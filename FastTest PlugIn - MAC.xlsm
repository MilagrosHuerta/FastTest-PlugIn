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4.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VerticalScroll="0" showSheetTabs="0" xWindow="0" yWindow="0" windowWidth="24000" windowHeight="9630" tabRatio="861" firstSheet="1"/>
  </bookViews>
  <sheets>
    <sheet name="INICIO" sheetId="1" r:id="rId1"/>
    <sheet name="DATOS GENERALES" sheetId="12" r:id="rId2"/>
    <sheet name="Formulario OM" sheetId="15" state="hidden" r:id="rId3"/>
    <sheet name="Datos OM" sheetId="14" state="hidden" r:id="rId4"/>
    <sheet name="XML OM" sheetId="18" state="hidden" r:id="rId5"/>
    <sheet name="Formulario O2" sheetId="31" state="hidden" r:id="rId6"/>
    <sheet name="Datos O2" sheetId="32" state="hidden" r:id="rId7"/>
    <sheet name="XML O2" sheetId="33" state="hidden" r:id="rId8"/>
    <sheet name="Formulario VF" sheetId="16" state="hidden" r:id="rId9"/>
    <sheet name="Datos VF" sheetId="17" state="hidden" r:id="rId10"/>
    <sheet name="XML VF" sheetId="21" state="hidden" r:id="rId11"/>
    <sheet name="Formulario E" sheetId="22" state="hidden" r:id="rId12"/>
    <sheet name="Datos E" sheetId="23" state="hidden" r:id="rId13"/>
    <sheet name="XML E" sheetId="24" state="hidden" r:id="rId14"/>
    <sheet name="Formulario RC" sheetId="28" state="hidden" r:id="rId15"/>
    <sheet name="Datos RC" sheetId="29" state="hidden" r:id="rId16"/>
    <sheet name="XML RC" sheetId="25" state="hidden" r:id="rId17"/>
    <sheet name="Formulario PP" sheetId="27" state="hidden" r:id="rId18"/>
    <sheet name="Datos PP" sheetId="30" state="hidden" r:id="rId19"/>
    <sheet name="DICCIONARIO" sheetId="34" state="hidden" r:id="rId20"/>
    <sheet name="XML PP" sheetId="26" state="hidden" r:id="rId21"/>
    <sheet name="XML" sheetId="19" state="hidden" r:id="rId22"/>
    <sheet name="DOC" sheetId="20" state="hidden" r:id="rId23"/>
  </sheets>
  <definedNames>
    <definedName name="_xlnm._FilterDatabase" localSheetId="21" hidden="1">XML!$A$1:$B$2210</definedName>
    <definedName name="APP">INICIO!$G$1</definedName>
    <definedName name="AUTOR">INICIO!$J$7</definedName>
    <definedName name="B_R">'DATOS GENERALES'!$U$40</definedName>
    <definedName name="BARAJAR_R">'DATOS GENERALES'!$K$29</definedName>
    <definedName name="C_SIMPLE">'DATOS GENERALES'!$K$33</definedName>
    <definedName name="Cambio_E">'DATOS GENERALES'!$P$41</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1">'DATOS GENERALES'!$Y$5</definedName>
    <definedName name="Categ_02" localSheetId="1">'DATOS GENERALES'!$Y$7</definedName>
    <definedName name="Categ_03" localSheetId="1">'DATOS GENERALES'!$Y$9</definedName>
    <definedName name="Categ_04" localSheetId="1">'DATOS GENERALES'!$Y$11</definedName>
    <definedName name="Categ_05" localSheetId="1">'DATOS GENERALES'!$Y$13</definedName>
    <definedName name="Categ_06" localSheetId="1">'DATOS GENERALES'!$Y$15</definedName>
    <definedName name="Categ_07" localSheetId="1">'DATOS GENERALES'!$Y$17</definedName>
    <definedName name="Categ_08" localSheetId="1">'DATOS GENERALES'!$Y$19</definedName>
    <definedName name="Categ_09" localSheetId="1">'DATOS GENERALES'!$Y$21</definedName>
    <definedName name="Categ_10" localSheetId="1">'DATOS GENERALES'!$Y$23</definedName>
    <definedName name="CONTRASEN_A">'DATOS GENERALES'!$K$15</definedName>
    <definedName name="Dato_01" localSheetId="11">'Formulario E'!$Y$5</definedName>
    <definedName name="Dato_01" comment="Celda para introducir datos para hacer preguntas variables." localSheetId="5">'Formulario O2'!$Y$5</definedName>
    <definedName name="Dato_01" comment="Celda para introducir datos para hacer preguntas variables." localSheetId="2">'Formulario OM'!$Y$5</definedName>
    <definedName name="Dato_01" localSheetId="17">'Formulario PP'!$Y$5</definedName>
    <definedName name="Dato_01" localSheetId="14">'Formulario RC'!$Y$5</definedName>
    <definedName name="Dato_01" localSheetId="8">'Formulario VF'!$Y$5</definedName>
    <definedName name="Dato_02" localSheetId="11">'Formulario E'!$Y$7</definedName>
    <definedName name="Dato_02" comment="Celda para introducir datos para hacer preguntas variables." localSheetId="5">'Formulario O2'!$Y$7</definedName>
    <definedName name="Dato_02" comment="Celda para introducir datos para hacer preguntas variables." localSheetId="2">'Formulario OM'!$Y$7</definedName>
    <definedName name="Dato_02" localSheetId="17">'Formulario PP'!$Y$7</definedName>
    <definedName name="Dato_02" localSheetId="14">'Formulario RC'!$Y$7</definedName>
    <definedName name="Dato_02" localSheetId="8">'Formulario VF'!$Y$7</definedName>
    <definedName name="Dato_03" localSheetId="11">'Formulario E'!$Y$9</definedName>
    <definedName name="Dato_03" comment="Celda para introducir datos para hacer preguntas variables." localSheetId="5">'Formulario O2'!$Y$9</definedName>
    <definedName name="Dato_03" comment="Celda para introducir datos para hacer preguntas variables." localSheetId="2">'Formulario OM'!$Y$9</definedName>
    <definedName name="Dato_03" localSheetId="17">'Formulario PP'!$Y$9</definedName>
    <definedName name="Dato_03" localSheetId="14">'Formulario RC'!$Y$9</definedName>
    <definedName name="Dato_03" localSheetId="8">'Formulario VF'!$Y$9</definedName>
    <definedName name="Dato_04" localSheetId="11">'Formulario E'!$Y$11</definedName>
    <definedName name="Dato_04" comment="Celda para introducir datos para hacer preguntas variables." localSheetId="5">'Formulario O2'!$Y$11</definedName>
    <definedName name="Dato_04" comment="Celda para introducir datos para hacer preguntas variables." localSheetId="2">'Formulario OM'!$Y$11</definedName>
    <definedName name="Dato_04" localSheetId="17">'Formulario PP'!$Y$11</definedName>
    <definedName name="Dato_04" localSheetId="14">'Formulario RC'!$Y$11</definedName>
    <definedName name="Dato_04" localSheetId="8">'Formulario VF'!$Y$11</definedName>
    <definedName name="Dato_05" localSheetId="11">'Formulario E'!$Y$13</definedName>
    <definedName name="Dato_05" comment="Celda para introducir datos para hacer preguntas variables." localSheetId="5">'Formulario O2'!$Y$13</definedName>
    <definedName name="Dato_05" comment="Celda para introducir datos para hacer preguntas variables." localSheetId="2">'Formulario OM'!$Y$13</definedName>
    <definedName name="Dato_05" localSheetId="17">'Formulario PP'!$Y$13</definedName>
    <definedName name="Dato_05" localSheetId="14">'Formulario RC'!$Y$13</definedName>
    <definedName name="Dato_05" localSheetId="8">'Formulario VF'!$Y$13</definedName>
    <definedName name="Dato_06" localSheetId="11">'Formulario E'!$Y$15</definedName>
    <definedName name="Dato_06" comment="Celda para introducir datos para hacer preguntas variables." localSheetId="5">'Formulario O2'!$Y$15</definedName>
    <definedName name="Dato_06" comment="Celda para introducir datos para hacer preguntas variables." localSheetId="2">'Formulario OM'!$Y$15</definedName>
    <definedName name="Dato_06" localSheetId="17">'Formulario PP'!$Y$15</definedName>
    <definedName name="Dato_06" localSheetId="14">'Formulario RC'!$Y$15</definedName>
    <definedName name="Dato_06" localSheetId="8">'Formulario VF'!$Y$15</definedName>
    <definedName name="Dato_07" localSheetId="11">'Formulario E'!$Y$17</definedName>
    <definedName name="Dato_07" comment="Celda para introducir datos para hacer preguntas variables." localSheetId="5">'Formulario O2'!$Y$17</definedName>
    <definedName name="Dato_07" comment="Celda para introducir datos para hacer preguntas variables." localSheetId="2">'Formulario OM'!$Y$17</definedName>
    <definedName name="Dato_07" localSheetId="17">'Formulario PP'!$Y$17</definedName>
    <definedName name="Dato_07" localSheetId="14">'Formulario RC'!$Y$17</definedName>
    <definedName name="Dato_07" localSheetId="8">'Formulario VF'!$Y$17</definedName>
    <definedName name="Dato_08" localSheetId="11">'Formulario E'!$Y$19</definedName>
    <definedName name="Dato_08" comment="Celda para introducir datos para hacer preguntas variables." localSheetId="5">'Formulario O2'!$Y$19</definedName>
    <definedName name="Dato_08" comment="Celda para introducir datos para hacer preguntas variables." localSheetId="2">'Formulario OM'!$Y$19</definedName>
    <definedName name="Dato_08" localSheetId="17">'Formulario PP'!$Y$19</definedName>
    <definedName name="Dato_08" localSheetId="14">'Formulario RC'!$Y$19</definedName>
    <definedName name="Dato_08" localSheetId="8">'Formulario VF'!$Y$19</definedName>
    <definedName name="Dato_09" localSheetId="11">'Formulario E'!$Y$21</definedName>
    <definedName name="Dato_09" comment="Celda para introducir datos para hacer preguntas variables." localSheetId="5">'Formulario O2'!$Y$21</definedName>
    <definedName name="Dato_09" comment="Celda para introducir datos para hacer preguntas variables." localSheetId="2">'Formulario OM'!$Y$21</definedName>
    <definedName name="Dato_09" localSheetId="17">'Formulario PP'!$Y$21</definedName>
    <definedName name="Dato_09" localSheetId="14">'Formulario RC'!$Y$21</definedName>
    <definedName name="Dato_09" localSheetId="8">'Formulario VF'!$Y$21</definedName>
    <definedName name="Dato_10" localSheetId="11">'Formulario E'!$Y$23</definedName>
    <definedName name="Dato_10" comment="Celda para introducir datos para hacer preguntas variables." localSheetId="5">'Formulario O2'!$Y$23</definedName>
    <definedName name="Dato_10" comment="Celda para introducir datos para hacer preguntas variables." localSheetId="2">'Formulario OM'!$Y$23</definedName>
    <definedName name="Dato_10" localSheetId="17">'Formulario PP'!$Y$23</definedName>
    <definedName name="Dato_10" localSheetId="14">'Formulario RC'!$Y$23</definedName>
    <definedName name="Dato_10" localSheetId="8">'Formulario VF'!$Y$23</definedName>
    <definedName name="Dato_11" localSheetId="11">'Formulario E'!$Y$25</definedName>
    <definedName name="Dato_11" comment="Celda para introducir datos para hacer preguntas variables." localSheetId="5">'Formulario O2'!$Y$25</definedName>
    <definedName name="Dato_11" comment="Celda para introducir datos para hacer preguntas variables." localSheetId="2">'Formulario OM'!$Y$25</definedName>
    <definedName name="Dato_11" localSheetId="17">'Formulario PP'!$Y$25</definedName>
    <definedName name="Dato_11" localSheetId="14">'Formulario RC'!$Y$25</definedName>
    <definedName name="Dato_11" localSheetId="8">'Formulario VF'!$Y$25</definedName>
    <definedName name="Dato_12" localSheetId="11">'Formulario E'!$Y$27</definedName>
    <definedName name="Dato_12" comment="Celda para introducir datos para hacer preguntas variables." localSheetId="5">'Formulario O2'!$Y$27</definedName>
    <definedName name="Dato_12" comment="Celda para introducir datos para hacer preguntas variables." localSheetId="2">'Formulario OM'!$Y$27</definedName>
    <definedName name="Dato_12" localSheetId="17">'Formulario PP'!$Y$27</definedName>
    <definedName name="Dato_12" localSheetId="14">'Formulario RC'!$Y$27</definedName>
    <definedName name="Dato_12" localSheetId="8">'Formulario VF'!$Y$27</definedName>
    <definedName name="Dato_13" localSheetId="11">'Formulario E'!$Y$29</definedName>
    <definedName name="Dato_13" comment="Celda para introducir datos para hacer preguntas variables." localSheetId="5">'Formulario O2'!$Y$29</definedName>
    <definedName name="Dato_13" comment="Celda para introducir datos para hacer preguntas variables." localSheetId="2">'Formulario OM'!$Y$29</definedName>
    <definedName name="Dato_13" localSheetId="17">'Formulario PP'!$Y$29</definedName>
    <definedName name="Dato_13" localSheetId="14">'Formulario RC'!$Y$29</definedName>
    <definedName name="Dato_13" localSheetId="8">'Formulario VF'!$Y$29</definedName>
    <definedName name="Dato_14" localSheetId="11">'Formulario E'!$Y$31</definedName>
    <definedName name="Dato_14" localSheetId="5">'Formulario O2'!$Y$31</definedName>
    <definedName name="Dato_14" localSheetId="2">'Formulario OM'!$Y$31</definedName>
    <definedName name="Dato_14" localSheetId="17">'Formulario PP'!$Y$31</definedName>
    <definedName name="Dato_14" localSheetId="14">'Formulario RC'!$Y$31</definedName>
    <definedName name="Dato_14" localSheetId="8">'Formulario VF'!$Y$31</definedName>
    <definedName name="Dato_15" localSheetId="11">'Formulario E'!$Y$33</definedName>
    <definedName name="Dato_15" localSheetId="5">'Formulario O2'!$Y$33</definedName>
    <definedName name="Dato_15" localSheetId="2">'Formulario OM'!$Y$33</definedName>
    <definedName name="Dato_15" localSheetId="17">'Formulario PP'!$Y$33</definedName>
    <definedName name="Dato_15" localSheetId="14">'Formulario RC'!$Y$33</definedName>
    <definedName name="Dato_15" localSheetId="8">'Formulario VF'!$Y$33</definedName>
    <definedName name="Dato_16" localSheetId="11">'Formulario E'!$Y$35</definedName>
    <definedName name="Dato_16" localSheetId="5">'Formulario O2'!$Y$35</definedName>
    <definedName name="Dato_16" localSheetId="2">'Formulario OM'!$Y$35</definedName>
    <definedName name="Dato_16" localSheetId="17">'Formulario PP'!$Y$35</definedName>
    <definedName name="Dato_16" localSheetId="14">'Formulario RC'!$Y$35</definedName>
    <definedName name="Dato_16" localSheetId="8">'Formulario VF'!$Y$35</definedName>
    <definedName name="Des_Categ">'DATOS GENERALES'!$S$7</definedName>
    <definedName name="Des_E_O2">'Datos O2'!$H$5</definedName>
    <definedName name="Des_E_OM">'Datos OM'!$H$5</definedName>
    <definedName name="Des_E_VF">'Datos VF'!$H$5</definedName>
    <definedName name="Des_Pr_O2">'Datos O2'!$G$5</definedName>
    <definedName name="Des_Pr_OM">'Datos OM'!$G$5</definedName>
    <definedName name="Des_Pr_VF">'Datos VF'!$G$5</definedName>
    <definedName name="Des_Subcat">'DATOS GENERALES'!$S$9</definedName>
    <definedName name="Descr_E">'Formulario E'!$H$9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S">DICCIONARIO!$B$5</definedName>
    <definedName name="DG_1_S">DICCIONARIO!$B$6</definedName>
    <definedName name="Diferencia_E">'DATOS GENERALES'!$O$41</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CIADO_E">'Datos E'!$H$2</definedName>
    <definedName name="ENUNCIADO_O2">'Datos O2'!$H$2</definedName>
    <definedName name="ENUNCIADO_OM">'Datos OM'!$H$2</definedName>
    <definedName name="ENUNCIADO_PP">'Datos PP'!$H$2</definedName>
    <definedName name="ENUNCIADO_RC">'Datos RC'!$H$2</definedName>
    <definedName name="ENUNCIADO_VF">'Datos VF'!$H$2</definedName>
    <definedName name="IDIOMA">INICIO!$A$37</definedName>
    <definedName name="LISTA_CATEGORIAS">'DATOS GENERALES'!$Y$5,'DATOS GENERALES'!$Y$7,'DATOS GENERALES'!$Y$9,'DATOS GENERALES'!$Y$11</definedName>
    <definedName name="MAYUSCULAS">'Formulario RC'!$W$9</definedName>
    <definedName name="ML_1_S">DICCIONARIO!$B$3</definedName>
    <definedName name="N_E">'Formulario E'!$L$5</definedName>
    <definedName name="N_FINAL">'DATOS GENERALES'!$K$27</definedName>
    <definedName name="N_INICIAL">'DATOS GENERALES'!$K$25</definedName>
    <definedName name="N_O2">'Formulario O2'!$L$5</definedName>
    <definedName name="N_OM">'Formulario OM'!$L$5</definedName>
    <definedName name="N_PP">'Formulario PP'!$L$5</definedName>
    <definedName name="N_Preg_Exportar">'DATOS GENERALES'!$O$45</definedName>
    <definedName name="N_Preguntas" comment="Nº Total de Preguntas" localSheetId="12">'Datos E'!$I$4</definedName>
    <definedName name="N_Preguntas" comment="Nº Total de Preguntas" localSheetId="6">'Datos O2'!$I$4</definedName>
    <definedName name="N_Preguntas" comment="Nº Total de Preguntas" localSheetId="3">'Datos OM'!$I$4</definedName>
    <definedName name="N_Preguntas" comment="Nº Total de Preguntas" localSheetId="18">'Datos PP'!$I$4</definedName>
    <definedName name="N_Preguntas" comment="Nº Total de Preguntas" localSheetId="15">'Datos RC'!$I$4</definedName>
    <definedName name="N_Preguntas" comment="Nº Total de Preguntas" localSheetId="9">'Datos VF'!$I$4</definedName>
    <definedName name="N_R">'DATOS GENERALES'!$U$43</definedName>
    <definedName name="N_RC">'Formulario RC'!$L$5</definedName>
    <definedName name="N_Respuestas">'DATOS GENERALES'!$X$45</definedName>
    <definedName name="N_VF">'Formulario VF'!$L$5</definedName>
    <definedName name="NOMBRE_E">'Datos E'!$B$2</definedName>
    <definedName name="NOMBRE_O2">'Datos O2'!$B$2</definedName>
    <definedName name="NOMBRE_OM">'Datos OM'!$B$2</definedName>
    <definedName name="NOMBRE_PP">'Datos PP'!$B$2</definedName>
    <definedName name="NOMBRE_RC">'Datos RC'!$B$2</definedName>
    <definedName name="NOMBRE_VF">'Datos VF'!$B$2</definedName>
    <definedName name="NUMERAR_R">'DATOS GENERALES'!$K$31</definedName>
    <definedName name="Oculto">'DATOS GENERALES'!$S$15</definedName>
    <definedName name="P_Max">'DATOS GENERALES'!$N$45</definedName>
    <definedName name="P_Min">'DATOS GENERALES'!$M$45</definedName>
    <definedName name="Par_01_1">'Datos PP'!$I$2</definedName>
    <definedName name="Par_01_2">'Datos PP'!$J$2</definedName>
    <definedName name="Par_02_1">'Datos PP'!$K$2</definedName>
    <definedName name="Par_02_2">'Datos PP'!$L$2</definedName>
    <definedName name="Par_03_1">'Datos PP'!$M$2</definedName>
    <definedName name="Par_03_2">'Datos PP'!$N$2</definedName>
    <definedName name="Par_04_1">'Datos PP'!$O$2</definedName>
    <definedName name="Par_04_2">'Datos PP'!$P$2</definedName>
    <definedName name="Par_05_1">'Datos PP'!$Q$2</definedName>
    <definedName name="Par_05_2">'Datos PP'!$R$2</definedName>
    <definedName name="Par_06_1">'Datos PP'!$S$2</definedName>
    <definedName name="Par_06_2">'Datos PP'!$T$2</definedName>
    <definedName name="Par_07_1">'Datos PP'!$U$2</definedName>
    <definedName name="Par_07_2">'Datos PP'!$V$2</definedName>
    <definedName name="Par_08_1">'Datos PP'!$W$2</definedName>
    <definedName name="Par_08_2">'Datos PP'!$X$2</definedName>
    <definedName name="Par_09_1">'Datos PP'!$Y$2</definedName>
    <definedName name="Par_09_2">'Datos PP'!$Z$2</definedName>
    <definedName name="Par_10_1">'Datos PP'!$AA$2</definedName>
    <definedName name="Par_10_2">'Datos PP'!$AB$2</definedName>
    <definedName name="Par_11_1">'Datos PP'!$AC$2</definedName>
    <definedName name="Par_11_2">'Datos PP'!$AD$2</definedName>
    <definedName name="Par_12_1">'Datos PP'!$AE$2</definedName>
    <definedName name="Par_12_2">'Datos PP'!$AF$2</definedName>
    <definedName name="Pareja_01_1">'Datos E'!$I$2</definedName>
    <definedName name="Pareja_01_2">'Datos E'!$J$2</definedName>
    <definedName name="Pareja_02_1">'Datos E'!$K$2</definedName>
    <definedName name="Pareja_02_2">'Datos E'!$L$2</definedName>
    <definedName name="Pareja_03_1">'Datos E'!$M$2</definedName>
    <definedName name="Pareja_03_2">'Datos E'!$N$2</definedName>
    <definedName name="Pareja_04_1">'Datos E'!$O$2</definedName>
    <definedName name="Pareja_04_2">'Datos E'!$P$2</definedName>
    <definedName name="Pareja_05_1">'Datos E'!$Q$2</definedName>
    <definedName name="Pareja_05_2">'Datos E'!$R$2</definedName>
    <definedName name="Pareja_06_1">'Datos E'!$S$2</definedName>
    <definedName name="Pareja_06_2">'Datos E'!$T$2</definedName>
    <definedName name="Pareja_07_1">'Datos E'!$U$2</definedName>
    <definedName name="Pareja_07_2">'Datos E'!$V$2</definedName>
    <definedName name="Pareja_08_1">'Datos E'!$W$2</definedName>
    <definedName name="Pareja_08_2">'Datos E'!$X$2</definedName>
    <definedName name="Pareja_09_1">'Datos E'!$Y$2</definedName>
    <definedName name="Pareja_09_2">'Datos E'!$Z$2</definedName>
    <definedName name="Pareja_10_1">'Datos E'!$AA$2</definedName>
    <definedName name="Pareja_10_2">'Datos E'!$AB$2</definedName>
    <definedName name="Pareja_11_1">'Datos E'!$AC$2</definedName>
    <definedName name="Pareja_11_2">'Datos E'!$AD$2</definedName>
    <definedName name="Pareja_12_1">'Datos E'!$AE$2</definedName>
    <definedName name="Pareja_12_2">'Datos E'!$AF$2</definedName>
    <definedName name="PENALIZACION">'DATOS GENERALES'!$S$13</definedName>
    <definedName name="PREF_PREGUNTA">'DATOS GENERALES'!$K$23</definedName>
    <definedName name="PREGUNTA_ACTUAL">'DATOS GENERALES'!$P$45</definedName>
    <definedName name="PT_01" comment="PUNTOS">'Datos RC'!$J$2</definedName>
    <definedName name="PT_02">'Datos RC'!$M$2</definedName>
    <definedName name="PT_03">'Datos RC'!$P$2</definedName>
    <definedName name="PT_04">'Datos RC'!$S$2</definedName>
    <definedName name="PT_05">'Datos RC'!$V$2</definedName>
    <definedName name="PT_06">'Datos RC'!$Y$2</definedName>
    <definedName name="PT_07">'Datos RC'!$AB$2</definedName>
    <definedName name="PT_08">'Datos RC'!$AE$2</definedName>
    <definedName name="PUNTUACION">'DATOS GENERALES'!$S$11</definedName>
    <definedName name="PUNTUACION_C_O2">'Datos O2'!$E$2</definedName>
    <definedName name="PUNTUACION_C_OM">'Datos OM'!$E$2</definedName>
    <definedName name="PUNTUACION_C_VF">'Datos VF'!$E$2</definedName>
    <definedName name="PUNTUACION_I_O2">'Datos O2'!$F$2</definedName>
    <definedName name="PUNTUACION_I_OM">'Datos OM'!$F$2</definedName>
    <definedName name="PUNTUACION_I_VF">'Datos VF'!$F$2</definedName>
    <definedName name="R_C_E">'Formulario E'!$P$7</definedName>
    <definedName name="R_C_O2">'Formulario O2'!$P$7</definedName>
    <definedName name="R_C_OM">'Formulario OM'!$P$7</definedName>
    <definedName name="R_C_PP">'Formulario PP'!$P$7</definedName>
    <definedName name="R_C_RC">'Formulario RC'!$P$7</definedName>
    <definedName name="R_CORRECTA">'DATOS GENERALES'!$K$17</definedName>
    <definedName name="R_Correctas_O2">'Datos O2'!$D$2</definedName>
    <definedName name="R_Correctas_OM">'Datos OM'!$D$2</definedName>
    <definedName name="R_Correctas_VF">'Datos VF'!$D$2</definedName>
    <definedName name="R_I_E">'Formulario E'!$P$9</definedName>
    <definedName name="R_I_O2">'Formulario O2'!$P$9</definedName>
    <definedName name="R_I_OM">'Formulario OM'!$P$9</definedName>
    <definedName name="R_I_PP">'Formulario PP'!$P$9</definedName>
    <definedName name="R_I_RC">'Formulario RC'!$P$9</definedName>
    <definedName name="R_INCORRECTA">'DATOS GENERALES'!$K$21</definedName>
    <definedName name="R_Incorrectas_O2">'Datos O2'!$C$2</definedName>
    <definedName name="R_Incorrectas_OM">'Datos OM'!$C$2</definedName>
    <definedName name="R_Incorrectas_VF">'Datos VF'!$C$2</definedName>
    <definedName name="R_Par_CORRECTA">'DATOS GENERALES'!$K$19</definedName>
    <definedName name="RANGO_E">'Formulario E'!$H$9,'Formulario E'!$H$11,'Formulario E'!$F$15,'Formulario E'!$J$15,'Formulario E'!$P$15,'Formulario E'!$T$15,'Formulario E'!$F$17,'Formulario E'!$J$17,'Formulario E'!$P$17,'Formulario E'!$T$17,'Formulario E'!$F$19,'Formulario E'!$J$19,'Formulario E'!$P$19,'Formulario E'!$T$19,'Formulario E'!$F$21,'Formulario E'!$J$21,'Formulario E'!$P$21,'Formulario E'!$T$21,'Formulario E'!$F$23,'Formulario E'!$J$23,'Formulario E'!$P$23,'Formulario E'!$T$23,'Formulario E'!$F$25,'Formulario E'!$J$25,'Formulario E'!$P$25,'Formulario E'!$T$25,'Formulario E'!$H$29,'Formulario E'!$H$31,'Formulario E'!$H$33,'Formulario E'!$H$35</definedName>
    <definedName name="RANGO_O2">'Formulario O2'!$P$7,'Formulario O2'!$W$7,'Formulario O2'!$W$9,'Formulario O2'!$H$9,'Formulario O2'!$H$11,'Formulario O2'!$H$13,'Formulario O2'!$H$15,'Formulario O2'!$H$17,'Formulario O2'!$H$19,'Formulario O2'!$H$21,'Formulario O2'!$H$23,'Formulario O2'!$T$13,'Formulario O2'!$T$15,'Formulario O2'!$T$17,'Formulario O2'!$T$19,'Formulario O2'!$T$21,'Formulario O2'!$T$23,'Formulario O2'!$H$29,'Formulario O2'!$H$31,'Formulario O2'!$H$33,'Formulario O2'!$H$35</definedName>
    <definedName name="RANGO_OM" comment="Rango de datos del formulario Opción Múltiple">'Formulario OM'!$W$7,'Formulario OM'!$W$9,'Formulario OM'!$H$9,'Formulario OM'!$H$11,'Formulario OM'!$H$13,'Formulario OM'!$H$15,'Formulario OM'!$H$17,'Formulario OM'!$H$19,'Formulario OM'!$H$21,'Formulario OM'!$H$23,'Formulario OM'!$T$13,'Formulario OM'!$T$15,'Formulario OM'!$T$17,'Formulario OM'!$T$19,'Formulario OM'!$T$21,'Formulario OM'!$T$23,'Formulario OM'!$H$29,'Formulario OM'!$H$31,'Formulario OM'!$H$33,'Formulario OM'!$H$35</definedName>
    <definedName name="RANGO_PP">'Formulario PP'!$H$9,'Formulario PP'!$H$11,'Formulario PP'!$F$17,'Formulario PP'!$H$17,'Formulario PP'!$P$17,'Formulario PP'!$R$17,'Formulario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PP'!$H$29,'Formulario PP'!$H$31,'Formulario PP'!$H$33,'Formulario PP'!$H$35</definedName>
    <definedName name="RANGO_RC">'Formulario RC'!$H$9,'Formulario RC'!$W$9,'Formulario RC'!$H$11,'Formulario RC'!$F$13,'Formulario RC'!$Q$13,'Formulario RC'!$T$13,'Formulario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RC'!$H$29,'Formulario RC'!$H$31,'Formulario RC'!$H$33,'Formulario RC'!$H$35</definedName>
    <definedName name="RANGO_VF" comment="Rango de datos del formulario Verdadero Falso">'Formulario VF'!$H$9,'Formulario VF'!$H$11,'Formulario VF'!$H$13,'Formulario VF'!$T$13,'Formulario VF'!$T$15,'Formulario VF'!$H$29,'Formulario VF'!$H$31,'Formulario VF'!$H$33,'Formulario VF'!$H$35</definedName>
    <definedName name="RC_01" comment="RESPUESTA CORTA">'Datos RC'!$I$2</definedName>
    <definedName name="RC_02">'Datos RC'!$L$2</definedName>
    <definedName name="RC_03">'Datos RC'!$O$2</definedName>
    <definedName name="RC_04">'Datos RC'!$R$2</definedName>
    <definedName name="RC_05">'Datos RC'!$U$2</definedName>
    <definedName name="RC_06">'Datos RC'!$X$2</definedName>
    <definedName name="RC_07">'Datos RC'!$AA$2</definedName>
    <definedName name="RC_08">'Datos RC'!$AD$2</definedName>
    <definedName name="RE_01" comment="RETROALIMENTACION">'Datos RC'!$K$2</definedName>
    <definedName name="RE_02">'Datos RC'!$N$2</definedName>
    <definedName name="RE_03">'Datos RC'!$Q$2</definedName>
    <definedName name="RE_04">'Datos RC'!$T$2</definedName>
    <definedName name="RE_05">'Datos RC'!$W$2</definedName>
    <definedName name="RE_06">'Datos RC'!$Z$2</definedName>
    <definedName name="RE_07">'Datos RC'!$AC$2</definedName>
    <definedName name="RE_08">'Datos RC'!$AF$2</definedName>
    <definedName name="RESPUESTA_1_O2">'Datos O2'!$I$2</definedName>
    <definedName name="RESPUESTA_1_OM">'Datos OM'!$I$2</definedName>
    <definedName name="RESPUESTA_1_VF">'Datos VF'!$I$2</definedName>
    <definedName name="RESPUESTA_2_O2">'Datos O2'!$J$2</definedName>
    <definedName name="RESPUESTA_2_OM">'Datos OM'!$J$2</definedName>
    <definedName name="RESPUESTA_3_O2">'Datos O2'!$K$2</definedName>
    <definedName name="RESPUESTA_3_OM">'Datos OM'!$K$2</definedName>
    <definedName name="RESPUESTA_4_O2">'Datos O2'!$L$2</definedName>
    <definedName name="RESPUESTA_4_OM">'Datos OM'!$L$2</definedName>
    <definedName name="RESPUESTA_5_O2">'Datos O2'!$M$2</definedName>
    <definedName name="RESPUESTA_5_OM">'Datos OM'!$M$2</definedName>
    <definedName name="RESPUESTA_6_O2">'Datos O2'!$N$2</definedName>
    <definedName name="RESPUESTA_6_OM">'Datos OM'!$N$2</definedName>
    <definedName name="RETROAL_1_O2">'Datos O2'!$O$2</definedName>
    <definedName name="RETROAL_1_OM">'Datos OM'!$O$2</definedName>
    <definedName name="RETROAL_1_VF">'Datos VF'!$O$2</definedName>
    <definedName name="RETROAL_2_O2">'Datos O2'!$P$2</definedName>
    <definedName name="RETROAL_2_OM">'Datos OM'!$P$2</definedName>
    <definedName name="RETROAL_2_VF">'Datos VF'!$P$2</definedName>
    <definedName name="RETROAL_3_O2">'Datos O2'!$Q$2</definedName>
    <definedName name="RETROAL_3_OM">'Datos OM'!$Q$2</definedName>
    <definedName name="RETROAL_4_O2">'Datos O2'!$R$2</definedName>
    <definedName name="RETROAL_4_OM">'Datos OM'!$R$2</definedName>
    <definedName name="RETROAL_5_O2">'Datos O2'!$S$2</definedName>
    <definedName name="RETROAL_5_OM">'Datos OM'!$S$2</definedName>
    <definedName name="RETROAL_6_O2">'Datos O2'!$T$2</definedName>
    <definedName name="RETROAL_6_OM">'Datos OM'!$T$2</definedName>
    <definedName name="Retroalim_GENERAL">'DATOS GENERALES'!$K$11</definedName>
    <definedName name="strDecimal_I" comment="Cambio sistema decimales">INICIO!$B$37</definedName>
    <definedName name="strMiles_I" comment="Cambio sistema decimales">INICIO!$C$37</definedName>
    <definedName name="SubCat_01" localSheetId="1">'DATOS GENERALES'!$Y$25</definedName>
    <definedName name="SubCat_02" localSheetId="1">'DATOS GENERALES'!$Y$27</definedName>
    <definedName name="SubCat_03" localSheetId="1">'DATOS GENERALES'!$Y$29</definedName>
    <definedName name="SubCat_04" localSheetId="1">'DATOS GENERALES'!$Y$31</definedName>
    <definedName name="SubCat_05" localSheetId="1">'DATOS GENERALES'!$Y$33</definedName>
    <definedName name="SubCat_06" localSheetId="1">'DATOS GENERALES'!$Y$35</definedName>
    <definedName name="T_R" comment="Tipo numeración respuestas">'DATOS GENERALES'!$U$38</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Cuestionario_Cod" comment="CODIGO Cuestionario">'DATOS GENERALES'!$K$45</definedName>
    <definedName name="Tipo_Cuestionario_MAY">'DATOS GENERALES'!$G$45</definedName>
    <definedName name="Tipo_Cuestionario_Nom" comment="NOMBRE Cuestionario">'DATOS GENERALES'!$J$45</definedName>
    <definedName name="Tipo_Cuestionario_Num" comment="NUMERO Cuestionario">'DATOS GENERALES'!$B$45</definedName>
    <definedName name="Tit_Categ" comment="Título de la categoría">'DATOS GENERALES'!$K$7</definedName>
    <definedName name="Tit_Subcat" comment="Título de la subcategoría">'DATOS GENERALES'!$K$9</definedName>
    <definedName name="UseSystem_I" comment="Cambio sistema decimales">INICIO!$D$37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8" i="30" l="1"/>
  <c r="A507" i="30"/>
  <c r="A506" i="30"/>
  <c r="A505" i="30"/>
  <c r="A504" i="30"/>
  <c r="A503" i="30"/>
  <c r="A502" i="30"/>
  <c r="A501" i="30"/>
  <c r="A500" i="30"/>
  <c r="A499" i="30"/>
  <c r="A498" i="30"/>
  <c r="A497" i="30"/>
  <c r="A496" i="30"/>
  <c r="A495" i="30"/>
  <c r="A494" i="30"/>
  <c r="A493" i="30"/>
  <c r="A492" i="30"/>
  <c r="A491" i="30"/>
  <c r="A490" i="30"/>
  <c r="A489" i="30"/>
  <c r="A488" i="30"/>
  <c r="A487" i="30"/>
  <c r="A486" i="30"/>
  <c r="A485" i="30"/>
  <c r="A484" i="30"/>
  <c r="A483" i="30"/>
  <c r="A482" i="30"/>
  <c r="A481" i="30"/>
  <c r="A480" i="30"/>
  <c r="A479" i="30"/>
  <c r="A478" i="30"/>
  <c r="A477" i="30"/>
  <c r="A476" i="30"/>
  <c r="A475" i="30"/>
  <c r="A474" i="30"/>
  <c r="A473" i="30"/>
  <c r="A472" i="30"/>
  <c r="A471" i="30"/>
  <c r="A470" i="30"/>
  <c r="A469" i="30"/>
  <c r="A468" i="30"/>
  <c r="A467" i="30"/>
  <c r="A466" i="30"/>
  <c r="A465" i="30"/>
  <c r="A464" i="30"/>
  <c r="A463" i="30"/>
  <c r="A462" i="30"/>
  <c r="A461" i="30"/>
  <c r="A460" i="30"/>
  <c r="A459" i="30"/>
  <c r="A458" i="30"/>
  <c r="A457" i="30"/>
  <c r="A456" i="30"/>
  <c r="A455" i="30"/>
  <c r="A454" i="30"/>
  <c r="A453" i="30"/>
  <c r="A452" i="30"/>
  <c r="A451" i="30"/>
  <c r="A450" i="30"/>
  <c r="A449" i="30"/>
  <c r="A448" i="30"/>
  <c r="A447" i="30"/>
  <c r="A446" i="30"/>
  <c r="A445" i="30"/>
  <c r="A444" i="30"/>
  <c r="A443" i="30"/>
  <c r="A442" i="30"/>
  <c r="A441" i="30"/>
  <c r="A440" i="30"/>
  <c r="A439" i="30"/>
  <c r="A438" i="30"/>
  <c r="A437" i="30"/>
  <c r="A436" i="30"/>
  <c r="A435" i="30"/>
  <c r="A434" i="30"/>
  <c r="A433" i="30"/>
  <c r="A432" i="30"/>
  <c r="A431" i="30"/>
  <c r="A430" i="30"/>
  <c r="A429" i="30"/>
  <c r="A428" i="30"/>
  <c r="A427" i="30"/>
  <c r="A426" i="30"/>
  <c r="A425" i="30"/>
  <c r="A424" i="30"/>
  <c r="A423" i="30"/>
  <c r="A422" i="30"/>
  <c r="A421" i="30"/>
  <c r="A420" i="30"/>
  <c r="A419" i="30"/>
  <c r="A418" i="30"/>
  <c r="A417" i="30"/>
  <c r="A416" i="30"/>
  <c r="A415" i="30"/>
  <c r="A414" i="30"/>
  <c r="A413" i="30"/>
  <c r="A412" i="30"/>
  <c r="A411" i="30"/>
  <c r="A410" i="30"/>
  <c r="A409" i="30"/>
  <c r="A408" i="30"/>
  <c r="A407" i="30"/>
  <c r="A406" i="30"/>
  <c r="A405" i="30"/>
  <c r="A404" i="30"/>
  <c r="A403" i="30"/>
  <c r="A402" i="30"/>
  <c r="A401" i="30"/>
  <c r="A400" i="30"/>
  <c r="A399" i="30"/>
  <c r="A398" i="30"/>
  <c r="A397" i="30"/>
  <c r="A396" i="30"/>
  <c r="A395" i="30"/>
  <c r="A394" i="30"/>
  <c r="A393" i="30"/>
  <c r="A392" i="30"/>
  <c r="A391" i="30"/>
  <c r="A390" i="30"/>
  <c r="A389" i="30"/>
  <c r="A388" i="30"/>
  <c r="A387" i="30"/>
  <c r="A386" i="30"/>
  <c r="A385" i="30"/>
  <c r="A384" i="30"/>
  <c r="A383" i="30"/>
  <c r="A382" i="30"/>
  <c r="A381" i="30"/>
  <c r="A380" i="30"/>
  <c r="A379" i="30"/>
  <c r="A378" i="30"/>
  <c r="A377" i="30"/>
  <c r="A376" i="30"/>
  <c r="A375" i="30"/>
  <c r="A374" i="30"/>
  <c r="A373" i="30"/>
  <c r="A372" i="30"/>
  <c r="A371" i="30"/>
  <c r="A370" i="30"/>
  <c r="A369" i="30"/>
  <c r="A368" i="30"/>
  <c r="A367" i="30"/>
  <c r="A366" i="30"/>
  <c r="A365" i="30"/>
  <c r="A364" i="30"/>
  <c r="A363" i="30"/>
  <c r="A362" i="30"/>
  <c r="A361" i="30"/>
  <c r="A360" i="30"/>
  <c r="A359" i="30"/>
  <c r="A358" i="30"/>
  <c r="A357" i="30"/>
  <c r="A356" i="30"/>
  <c r="A355" i="30"/>
  <c r="A354" i="30"/>
  <c r="A353" i="30"/>
  <c r="A352" i="30"/>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8" i="30"/>
  <c r="A9" i="30" s="1"/>
  <c r="A10" i="30" s="1"/>
  <c r="C508" i="30"/>
  <c r="C507" i="30"/>
  <c r="C506" i="30"/>
  <c r="C505" i="30"/>
  <c r="C504" i="30"/>
  <c r="C503" i="30"/>
  <c r="C502" i="30"/>
  <c r="C501" i="30"/>
  <c r="C500" i="30"/>
  <c r="C499" i="30"/>
  <c r="C498" i="30"/>
  <c r="C497" i="30"/>
  <c r="C496" i="30"/>
  <c r="C495" i="30"/>
  <c r="C494" i="30"/>
  <c r="C493" i="30"/>
  <c r="C492" i="30"/>
  <c r="C491" i="30"/>
  <c r="C490" i="30"/>
  <c r="C489" i="30"/>
  <c r="C488" i="30"/>
  <c r="C487" i="30"/>
  <c r="C486" i="30"/>
  <c r="C485" i="30"/>
  <c r="C484" i="30"/>
  <c r="C483" i="30"/>
  <c r="C482" i="30"/>
  <c r="C481" i="30"/>
  <c r="C480" i="30"/>
  <c r="C479" i="30"/>
  <c r="C478" i="30"/>
  <c r="C477" i="30"/>
  <c r="C476" i="30"/>
  <c r="C475" i="30"/>
  <c r="C474" i="30"/>
  <c r="C473" i="30"/>
  <c r="C472" i="30"/>
  <c r="C471" i="30"/>
  <c r="C470" i="30"/>
  <c r="C469" i="30"/>
  <c r="C468" i="30"/>
  <c r="C467" i="30"/>
  <c r="C466" i="30"/>
  <c r="C465" i="30"/>
  <c r="C464" i="30"/>
  <c r="C463" i="30"/>
  <c r="C462" i="30"/>
  <c r="C461" i="30"/>
  <c r="C460" i="30"/>
  <c r="C459" i="30"/>
  <c r="C458" i="30"/>
  <c r="C457" i="30"/>
  <c r="C456" i="30"/>
  <c r="C455" i="30"/>
  <c r="C454" i="30"/>
  <c r="C453" i="30"/>
  <c r="C452" i="30"/>
  <c r="C451" i="30"/>
  <c r="C450" i="30"/>
  <c r="C449" i="30"/>
  <c r="C448" i="30"/>
  <c r="C447" i="30"/>
  <c r="C446" i="30"/>
  <c r="C445" i="30"/>
  <c r="C444" i="30"/>
  <c r="C443" i="30"/>
  <c r="C442" i="30"/>
  <c r="C441" i="30"/>
  <c r="C440" i="30"/>
  <c r="C439" i="30"/>
  <c r="C438" i="30"/>
  <c r="C437" i="30"/>
  <c r="C436" i="30"/>
  <c r="C435" i="30"/>
  <c r="C434" i="30"/>
  <c r="C433" i="30"/>
  <c r="C432" i="30"/>
  <c r="C431" i="30"/>
  <c r="C430" i="30"/>
  <c r="C429" i="30"/>
  <c r="C428" i="30"/>
  <c r="C427" i="30"/>
  <c r="C426" i="30"/>
  <c r="C425" i="30"/>
  <c r="C424" i="30"/>
  <c r="C423" i="30"/>
  <c r="C422" i="30"/>
  <c r="C421" i="30"/>
  <c r="C420" i="30"/>
  <c r="C419" i="30"/>
  <c r="C418" i="30"/>
  <c r="C417" i="30"/>
  <c r="C416" i="30"/>
  <c r="C415" i="30"/>
  <c r="C414" i="30"/>
  <c r="C413" i="30"/>
  <c r="C412" i="30"/>
  <c r="C411" i="30"/>
  <c r="C410" i="30"/>
  <c r="C409" i="30"/>
  <c r="C408" i="30"/>
  <c r="C407" i="30"/>
  <c r="C406" i="30"/>
  <c r="C405" i="30"/>
  <c r="C404" i="30"/>
  <c r="C403" i="30"/>
  <c r="C402" i="30"/>
  <c r="C401" i="30"/>
  <c r="C400" i="30"/>
  <c r="C399" i="30"/>
  <c r="C398" i="30"/>
  <c r="C397" i="30"/>
  <c r="C396" i="30"/>
  <c r="C395" i="30"/>
  <c r="C394" i="30"/>
  <c r="C393" i="30"/>
  <c r="C392" i="30"/>
  <c r="C391" i="30"/>
  <c r="C390" i="30"/>
  <c r="C389" i="30"/>
  <c r="C388" i="30"/>
  <c r="C387" i="30"/>
  <c r="C386" i="30"/>
  <c r="C385" i="30"/>
  <c r="C384" i="30"/>
  <c r="C383" i="30"/>
  <c r="C382" i="30"/>
  <c r="C381" i="30"/>
  <c r="C380" i="30"/>
  <c r="C379" i="30"/>
  <c r="C378" i="30"/>
  <c r="C377" i="30"/>
  <c r="C376" i="30"/>
  <c r="C375" i="30"/>
  <c r="C374" i="30"/>
  <c r="C373" i="30"/>
  <c r="C372" i="30"/>
  <c r="C371" i="30"/>
  <c r="C370" i="30"/>
  <c r="C369" i="30"/>
  <c r="C368" i="30"/>
  <c r="C367" i="30"/>
  <c r="C366" i="30"/>
  <c r="C365" i="30"/>
  <c r="C364" i="30"/>
  <c r="C363" i="30"/>
  <c r="C362" i="30"/>
  <c r="C361" i="30"/>
  <c r="C360" i="30"/>
  <c r="C359" i="30"/>
  <c r="C358" i="30"/>
  <c r="C357" i="30"/>
  <c r="C356" i="30"/>
  <c r="C355" i="30"/>
  <c r="C354" i="30"/>
  <c r="C353" i="30"/>
  <c r="C352" i="30"/>
  <c r="C351" i="30"/>
  <c r="C350" i="30"/>
  <c r="C349" i="30"/>
  <c r="C348" i="30"/>
  <c r="C347" i="30"/>
  <c r="C346" i="30"/>
  <c r="C345" i="30"/>
  <c r="C344" i="30"/>
  <c r="C343" i="30"/>
  <c r="C342" i="30"/>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A508" i="29"/>
  <c r="A507" i="29"/>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C508" i="29"/>
  <c r="C507" i="29"/>
  <c r="C506" i="29"/>
  <c r="C505" i="29"/>
  <c r="C504" i="29"/>
  <c r="C503" i="29"/>
  <c r="C502" i="29"/>
  <c r="C501" i="29"/>
  <c r="C500" i="29"/>
  <c r="C499" i="29"/>
  <c r="C498" i="29"/>
  <c r="C497" i="29"/>
  <c r="C496" i="29"/>
  <c r="C495" i="29"/>
  <c r="C494" i="29"/>
  <c r="C493" i="29"/>
  <c r="C492" i="29"/>
  <c r="C491" i="29"/>
  <c r="C490" i="29"/>
  <c r="C489" i="29"/>
  <c r="C488" i="29"/>
  <c r="C487" i="29"/>
  <c r="C486" i="29"/>
  <c r="C485" i="29"/>
  <c r="C484" i="29"/>
  <c r="C483" i="29"/>
  <c r="C482" i="29"/>
  <c r="C481" i="29"/>
  <c r="C480" i="29"/>
  <c r="C479" i="29"/>
  <c r="C478" i="29"/>
  <c r="C477" i="29"/>
  <c r="C476" i="29"/>
  <c r="C475"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402" i="29"/>
  <c r="C401" i="29"/>
  <c r="C400" i="29"/>
  <c r="C399" i="29"/>
  <c r="C398" i="29"/>
  <c r="C397" i="29"/>
  <c r="C396" i="29"/>
  <c r="C395" i="29"/>
  <c r="C394" i="29"/>
  <c r="C39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A508" i="23"/>
  <c r="A507" i="23"/>
  <c r="A506" i="23"/>
  <c r="A505" i="23"/>
  <c r="A504" i="23"/>
  <c r="A503" i="23"/>
  <c r="A502" i="23"/>
  <c r="A501" i="23"/>
  <c r="A500" i="23"/>
  <c r="A499" i="23"/>
  <c r="A498" i="23"/>
  <c r="A497" i="23"/>
  <c r="A496" i="23"/>
  <c r="A495" i="23"/>
  <c r="A494" i="23"/>
  <c r="A493" i="23"/>
  <c r="A492" i="23"/>
  <c r="A491" i="23"/>
  <c r="A490" i="23"/>
  <c r="A489" i="23"/>
  <c r="A488" i="23"/>
  <c r="A487" i="23"/>
  <c r="A486" i="23"/>
  <c r="A485" i="23"/>
  <c r="A484" i="23"/>
  <c r="A483" i="23"/>
  <c r="A482" i="23"/>
  <c r="A481" i="23"/>
  <c r="A480" i="23"/>
  <c r="A479" i="23"/>
  <c r="A478" i="23"/>
  <c r="A477" i="23"/>
  <c r="A476" i="23"/>
  <c r="A475" i="23"/>
  <c r="A474" i="23"/>
  <c r="A473" i="23"/>
  <c r="A472" i="23"/>
  <c r="A471" i="23"/>
  <c r="A470" i="23"/>
  <c r="A469" i="23"/>
  <c r="A468" i="23"/>
  <c r="A467" i="23"/>
  <c r="A466" i="23"/>
  <c r="A465" i="23"/>
  <c r="A464" i="23"/>
  <c r="A463" i="23"/>
  <c r="A462" i="23"/>
  <c r="A461" i="23"/>
  <c r="A460" i="23"/>
  <c r="A459" i="23"/>
  <c r="A458" i="23"/>
  <c r="A457" i="23"/>
  <c r="A456" i="23"/>
  <c r="A455" i="23"/>
  <c r="A454" i="23"/>
  <c r="A453" i="23"/>
  <c r="A452" i="23"/>
  <c r="A451" i="23"/>
  <c r="A450" i="23"/>
  <c r="A449" i="23"/>
  <c r="A448" i="23"/>
  <c r="A447" i="23"/>
  <c r="A446" i="23"/>
  <c r="A445" i="23"/>
  <c r="A444" i="23"/>
  <c r="A443" i="23"/>
  <c r="A442" i="23"/>
  <c r="A441" i="23"/>
  <c r="A440" i="23"/>
  <c r="A439" i="23"/>
  <c r="A438" i="23"/>
  <c r="A437" i="23"/>
  <c r="A436" i="23"/>
  <c r="A435" i="23"/>
  <c r="A434" i="23"/>
  <c r="A433" i="23"/>
  <c r="A432" i="23"/>
  <c r="A431" i="23"/>
  <c r="A430" i="23"/>
  <c r="A429" i="23"/>
  <c r="A428" i="23"/>
  <c r="A427" i="23"/>
  <c r="A426" i="23"/>
  <c r="A425"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9" i="23"/>
  <c r="A388" i="23"/>
  <c r="A387" i="23"/>
  <c r="A386" i="23"/>
  <c r="A385" i="23"/>
  <c r="A384" i="23"/>
  <c r="A383" i="23"/>
  <c r="A382" i="23"/>
  <c r="A381" i="23"/>
  <c r="A380" i="23"/>
  <c r="A379" i="23"/>
  <c r="A378" i="23"/>
  <c r="A377" i="23"/>
  <c r="A376" i="23"/>
  <c r="A375" i="23"/>
  <c r="A374" i="23"/>
  <c r="A373" i="23"/>
  <c r="A372" i="23"/>
  <c r="A371" i="23"/>
  <c r="A370" i="23"/>
  <c r="A369" i="23"/>
  <c r="A368" i="23"/>
  <c r="A367" i="23"/>
  <c r="A366" i="23"/>
  <c r="A365" i="23"/>
  <c r="A364" i="23"/>
  <c r="A363" i="23"/>
  <c r="A362" i="23"/>
  <c r="A361" i="23"/>
  <c r="A360" i="23"/>
  <c r="A359"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8" i="23"/>
  <c r="A327" i="23"/>
  <c r="A326" i="23"/>
  <c r="A325" i="23"/>
  <c r="A324" i="23"/>
  <c r="A323" i="23"/>
  <c r="A322" i="23"/>
  <c r="A321" i="23"/>
  <c r="A320" i="23"/>
  <c r="A319" i="23"/>
  <c r="A318" i="23"/>
  <c r="A317" i="23"/>
  <c r="A316" i="23"/>
  <c r="A315" i="23"/>
  <c r="A314" i="23"/>
  <c r="A313" i="23"/>
  <c r="A312" i="23"/>
  <c r="A311" i="23"/>
  <c r="A310" i="23"/>
  <c r="A309" i="23"/>
  <c r="A308" i="23"/>
  <c r="A307" i="23"/>
  <c r="A306" i="23"/>
  <c r="A305" i="23"/>
  <c r="A304" i="23"/>
  <c r="A303" i="23"/>
  <c r="A302" i="23"/>
  <c r="A301" i="23"/>
  <c r="A300" i="23"/>
  <c r="A299" i="23"/>
  <c r="A298" i="23"/>
  <c r="A297" i="23"/>
  <c r="A296" i="23"/>
  <c r="A295" i="23"/>
  <c r="A294" i="23"/>
  <c r="A293" i="23"/>
  <c r="A292" i="23"/>
  <c r="A291" i="23"/>
  <c r="A290" i="23"/>
  <c r="A289" i="23"/>
  <c r="A288" i="23"/>
  <c r="A287" i="23"/>
  <c r="A286" i="23"/>
  <c r="A285" i="23"/>
  <c r="A284" i="23"/>
  <c r="A283" i="23"/>
  <c r="A282" i="23"/>
  <c r="A281" i="23"/>
  <c r="A280" i="23"/>
  <c r="A279" i="23"/>
  <c r="A278" i="23"/>
  <c r="A277" i="23"/>
  <c r="A276" i="23"/>
  <c r="A275" i="23"/>
  <c r="A274" i="23"/>
  <c r="A273" i="23"/>
  <c r="A272" i="23"/>
  <c r="A271" i="23"/>
  <c r="A270" i="23"/>
  <c r="A269" i="23"/>
  <c r="A268" i="23"/>
  <c r="A267" i="23"/>
  <c r="A266" i="23"/>
  <c r="A265" i="23"/>
  <c r="A264" i="23"/>
  <c r="A263" i="23"/>
  <c r="A262" i="23"/>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8" i="23"/>
  <c r="A9" i="23" s="1"/>
  <c r="C508" i="23"/>
  <c r="C507" i="23"/>
  <c r="C506" i="23"/>
  <c r="C505" i="23"/>
  <c r="C504" i="23"/>
  <c r="C503" i="23"/>
  <c r="C502" i="23"/>
  <c r="C501" i="23"/>
  <c r="C500" i="23"/>
  <c r="C499" i="23"/>
  <c r="C498" i="23"/>
  <c r="C497" i="23"/>
  <c r="C496" i="23"/>
  <c r="C495" i="23"/>
  <c r="C494" i="23"/>
  <c r="C493" i="23"/>
  <c r="C492" i="23"/>
  <c r="C491" i="23"/>
  <c r="C490" i="23"/>
  <c r="C489" i="23"/>
  <c r="C488" i="23"/>
  <c r="C487" i="23"/>
  <c r="C486" i="23"/>
  <c r="C485" i="23"/>
  <c r="C484" i="23"/>
  <c r="C483" i="23"/>
  <c r="C482" i="23"/>
  <c r="C481" i="23"/>
  <c r="C480" i="23"/>
  <c r="C479" i="23"/>
  <c r="C478" i="23"/>
  <c r="C477" i="23"/>
  <c r="C476" i="23"/>
  <c r="C475" i="23"/>
  <c r="C474" i="23"/>
  <c r="C473" i="23"/>
  <c r="C472" i="23"/>
  <c r="C471" i="23"/>
  <c r="C470" i="23"/>
  <c r="C469" i="23"/>
  <c r="C468" i="23"/>
  <c r="C467" i="23"/>
  <c r="C466" i="23"/>
  <c r="C465" i="23"/>
  <c r="C464" i="23"/>
  <c r="C463" i="23"/>
  <c r="C462" i="23"/>
  <c r="C461" i="23"/>
  <c r="C460" i="23"/>
  <c r="C459" i="23"/>
  <c r="C458" i="23"/>
  <c r="C457" i="23"/>
  <c r="C456" i="23"/>
  <c r="C455" i="23"/>
  <c r="C454" i="23"/>
  <c r="C453" i="23"/>
  <c r="C452" i="23"/>
  <c r="C451" i="23"/>
  <c r="C450" i="23"/>
  <c r="C449" i="23"/>
  <c r="C448" i="23"/>
  <c r="C447" i="23"/>
  <c r="C446" i="23"/>
  <c r="C445" i="23"/>
  <c r="C444" i="23"/>
  <c r="C443" i="23"/>
  <c r="C442" i="23"/>
  <c r="C441" i="23"/>
  <c r="C440" i="23"/>
  <c r="C439" i="23"/>
  <c r="C438" i="23"/>
  <c r="C437" i="23"/>
  <c r="C436" i="23"/>
  <c r="C435" i="23"/>
  <c r="C434" i="23"/>
  <c r="C433" i="23"/>
  <c r="C432" i="23"/>
  <c r="C431" i="23"/>
  <c r="C430" i="23"/>
  <c r="C429" i="23"/>
  <c r="C428" i="23"/>
  <c r="C427" i="23"/>
  <c r="C426" i="23"/>
  <c r="C425" i="23"/>
  <c r="C424" i="23"/>
  <c r="C423" i="23"/>
  <c r="C422" i="23"/>
  <c r="C421" i="23"/>
  <c r="C420" i="23"/>
  <c r="C419" i="23"/>
  <c r="C418" i="23"/>
  <c r="C417" i="23"/>
  <c r="C416" i="23"/>
  <c r="C415" i="23"/>
  <c r="C414" i="23"/>
  <c r="C413" i="23"/>
  <c r="C412" i="23"/>
  <c r="C411" i="23"/>
  <c r="C410" i="23"/>
  <c r="C409" i="23"/>
  <c r="C408" i="23"/>
  <c r="C407" i="23"/>
  <c r="C406" i="23"/>
  <c r="C405" i="23"/>
  <c r="C404" i="23"/>
  <c r="C403" i="23"/>
  <c r="C402" i="23"/>
  <c r="C401" i="23"/>
  <c r="C400" i="23"/>
  <c r="C399" i="23"/>
  <c r="C398" i="23"/>
  <c r="C397" i="23"/>
  <c r="C396" i="23"/>
  <c r="C395" i="23"/>
  <c r="C394" i="23"/>
  <c r="C393" i="23"/>
  <c r="C392" i="23"/>
  <c r="C391" i="23"/>
  <c r="C390" i="23"/>
  <c r="C389" i="23"/>
  <c r="C388" i="23"/>
  <c r="C387" i="23"/>
  <c r="C386" i="23"/>
  <c r="C385" i="23"/>
  <c r="C384" i="23"/>
  <c r="C383" i="23"/>
  <c r="C382" i="23"/>
  <c r="C381" i="23"/>
  <c r="C380" i="23"/>
  <c r="C379" i="23"/>
  <c r="C378" i="23"/>
  <c r="C377" i="23"/>
  <c r="C376" i="23"/>
  <c r="C375" i="23"/>
  <c r="C374" i="23"/>
  <c r="C373" i="23"/>
  <c r="C372" i="23"/>
  <c r="C371" i="23"/>
  <c r="C370" i="23"/>
  <c r="C369" i="23"/>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A508" i="17"/>
  <c r="A507" i="17"/>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508" i="32"/>
  <c r="A507" i="32"/>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C508" i="32"/>
  <c r="C507" i="32"/>
  <c r="C506" i="32"/>
  <c r="C505" i="32"/>
  <c r="C504" i="32"/>
  <c r="C503" i="32"/>
  <c r="C502" i="32"/>
  <c r="C501" i="32"/>
  <c r="C500" i="32"/>
  <c r="C499" i="32"/>
  <c r="C498" i="32"/>
  <c r="C497" i="32"/>
  <c r="C496" i="32"/>
  <c r="C495" i="32"/>
  <c r="C494" i="32"/>
  <c r="C493" i="32"/>
  <c r="C492" i="32"/>
  <c r="C491" i="32"/>
  <c r="C490" i="32"/>
  <c r="C489" i="32"/>
  <c r="C488" i="32"/>
  <c r="C487" i="32"/>
  <c r="C486" i="32"/>
  <c r="C485" i="32"/>
  <c r="C484" i="32"/>
  <c r="C483" i="32"/>
  <c r="C482" i="32"/>
  <c r="C481" i="32"/>
  <c r="C480" i="32"/>
  <c r="C479" i="32"/>
  <c r="C478" i="32"/>
  <c r="C477" i="32"/>
  <c r="C476" i="32"/>
  <c r="C475" i="32"/>
  <c r="C474" i="32"/>
  <c r="C473" i="32"/>
  <c r="C472" i="32"/>
  <c r="C471" i="32"/>
  <c r="C470" i="32"/>
  <c r="C469" i="32"/>
  <c r="C468" i="32"/>
  <c r="C467" i="32"/>
  <c r="C466" i="32"/>
  <c r="C465" i="32"/>
  <c r="C464" i="32"/>
  <c r="C463" i="32"/>
  <c r="C462" i="32"/>
  <c r="C461" i="32"/>
  <c r="C460" i="32"/>
  <c r="C459" i="32"/>
  <c r="C458" i="32"/>
  <c r="C457" i="32"/>
  <c r="C456" i="32"/>
  <c r="C455" i="32"/>
  <c r="C454" i="32"/>
  <c r="C453" i="32"/>
  <c r="C452" i="32"/>
  <c r="C451" i="32"/>
  <c r="C450" i="32"/>
  <c r="C449" i="32"/>
  <c r="C448" i="32"/>
  <c r="C447" i="32"/>
  <c r="C446" i="32"/>
  <c r="C445" i="32"/>
  <c r="C444" i="32"/>
  <c r="C443" i="32"/>
  <c r="C442" i="32"/>
  <c r="C441" i="32"/>
  <c r="C440" i="32"/>
  <c r="C439" i="32"/>
  <c r="C438" i="32"/>
  <c r="C437" i="32"/>
  <c r="C436" i="32"/>
  <c r="C435" i="32"/>
  <c r="C434"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8" i="14"/>
  <c r="A9" i="14" s="1"/>
  <c r="C508" i="14"/>
  <c r="C507" i="14"/>
  <c r="C506" i="14"/>
  <c r="C505" i="14"/>
  <c r="C504" i="14"/>
  <c r="C503" i="14"/>
  <c r="C502" i="14"/>
  <c r="C501" i="14"/>
  <c r="C500" i="14"/>
  <c r="C499" i="14"/>
  <c r="C498" i="14"/>
  <c r="C497" i="14"/>
  <c r="C496" i="14"/>
  <c r="C495" i="14"/>
  <c r="C494" i="14"/>
  <c r="C493" i="14"/>
  <c r="C492" i="14"/>
  <c r="C491" i="14"/>
  <c r="C490" i="14"/>
  <c r="C489" i="14"/>
  <c r="C488" i="14"/>
  <c r="C487" i="14"/>
  <c r="C486" i="14"/>
  <c r="C485" i="14"/>
  <c r="C484" i="14"/>
  <c r="C483" i="14"/>
  <c r="C482" i="14"/>
  <c r="C481" i="14"/>
  <c r="C480" i="14"/>
  <c r="C479" i="14"/>
  <c r="C478" i="14"/>
  <c r="C477" i="14"/>
  <c r="C476" i="14"/>
  <c r="C475" i="14"/>
  <c r="C474" i="14"/>
  <c r="C473" i="14"/>
  <c r="C472" i="14"/>
  <c r="C471" i="14"/>
  <c r="C470" i="14"/>
  <c r="C469" i="14"/>
  <c r="C468" i="14"/>
  <c r="C467" i="14"/>
  <c r="C466" i="14"/>
  <c r="C465" i="14"/>
  <c r="C464" i="14"/>
  <c r="C463" i="14"/>
  <c r="C462" i="14"/>
  <c r="C461" i="14"/>
  <c r="C460" i="14"/>
  <c r="C459" i="14"/>
  <c r="C458" i="14"/>
  <c r="C457" i="14"/>
  <c r="C456" i="14"/>
  <c r="C455" i="14"/>
  <c r="C454" i="14"/>
  <c r="C453" i="14"/>
  <c r="C452" i="14"/>
  <c r="C451" i="14"/>
  <c r="C450" i="14"/>
  <c r="C449" i="14"/>
  <c r="C448" i="14"/>
  <c r="C447" i="14"/>
  <c r="C446" i="14"/>
  <c r="C445" i="14"/>
  <c r="C444" i="14"/>
  <c r="C443" i="14"/>
  <c r="C442" i="14"/>
  <c r="C441" i="14"/>
  <c r="C440" i="14"/>
  <c r="C439" i="14"/>
  <c r="C438" i="14"/>
  <c r="C437" i="14"/>
  <c r="C436" i="14"/>
  <c r="C435" i="14"/>
  <c r="C434" i="14"/>
  <c r="C433" i="14"/>
  <c r="C432" i="14"/>
  <c r="C431" i="14"/>
  <c r="C430" i="14"/>
  <c r="C429" i="14"/>
  <c r="C428" i="14"/>
  <c r="C427" i="14"/>
  <c r="C426" i="14"/>
  <c r="C425" i="14"/>
  <c r="C424" i="14"/>
  <c r="C423" i="14"/>
  <c r="C422" i="14"/>
  <c r="C421" i="14"/>
  <c r="C420" i="14"/>
  <c r="C419" i="14"/>
  <c r="C418" i="14"/>
  <c r="C417" i="14"/>
  <c r="C416" i="14"/>
  <c r="C415" i="14"/>
  <c r="C414" i="14"/>
  <c r="C413" i="14"/>
  <c r="C412" i="14"/>
  <c r="C411" i="14"/>
  <c r="C410" i="14"/>
  <c r="C409" i="14"/>
  <c r="C408" i="14"/>
  <c r="C407" i="14"/>
  <c r="C406" i="14"/>
  <c r="C405" i="14"/>
  <c r="C404" i="14"/>
  <c r="C403" i="14"/>
  <c r="C402" i="14"/>
  <c r="C401" i="14"/>
  <c r="C400" i="14"/>
  <c r="C399" i="14"/>
  <c r="C398" i="14"/>
  <c r="C397" i="14"/>
  <c r="C396" i="14"/>
  <c r="C395" i="14"/>
  <c r="C394" i="14"/>
  <c r="C393" i="14"/>
  <c r="C392" i="14"/>
  <c r="C391" i="14"/>
  <c r="C390" i="14"/>
  <c r="C389" i="14"/>
  <c r="C388" i="14"/>
  <c r="C387" i="14"/>
  <c r="C386" i="14"/>
  <c r="C385" i="14"/>
  <c r="C384" i="14"/>
  <c r="C383" i="14"/>
  <c r="C382" i="14"/>
  <c r="C381" i="14"/>
  <c r="C380" i="14"/>
  <c r="C379" i="14"/>
  <c r="C378" i="14"/>
  <c r="C377" i="14"/>
  <c r="C376" i="14"/>
  <c r="C375" i="14"/>
  <c r="C374" i="14"/>
  <c r="C373" i="14"/>
  <c r="C372" i="14"/>
  <c r="C371" i="14"/>
  <c r="C370" i="14"/>
  <c r="C369" i="14"/>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B508" i="30" l="1"/>
  <c r="B507" i="30"/>
  <c r="B506" i="30"/>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21" i="30"/>
  <c r="B420" i="30"/>
  <c r="B419" i="30"/>
  <c r="B418" i="30"/>
  <c r="B417" i="30"/>
  <c r="B416" i="30"/>
  <c r="B415" i="30"/>
  <c r="B414" i="30"/>
  <c r="B413" i="30"/>
  <c r="B412" i="30"/>
  <c r="B411" i="30"/>
  <c r="B410" i="30"/>
  <c r="B409" i="30"/>
  <c r="B408" i="30"/>
  <c r="B407" i="30"/>
  <c r="B406" i="30"/>
  <c r="B405" i="30"/>
  <c r="B404" i="30"/>
  <c r="B403" i="30"/>
  <c r="B40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21" i="30"/>
  <c r="B220" i="30"/>
  <c r="B219" i="30"/>
  <c r="B218" i="30"/>
  <c r="B217" i="30"/>
  <c r="B216" i="30"/>
  <c r="B215" i="30"/>
  <c r="B214" i="30"/>
  <c r="B213" i="30"/>
  <c r="B212" i="30"/>
  <c r="B211" i="30"/>
  <c r="B210" i="30"/>
  <c r="B209" i="30"/>
  <c r="B208" i="30"/>
  <c r="B207" i="30"/>
  <c r="B206" i="30"/>
  <c r="B205" i="30"/>
  <c r="B204" i="30"/>
  <c r="B203" i="30"/>
  <c r="B20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B13" i="30"/>
  <c r="B12" i="30"/>
  <c r="B11" i="30"/>
  <c r="B10" i="30" l="1"/>
  <c r="B9" i="30"/>
  <c r="B7" i="30"/>
  <c r="B8" i="30"/>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508" i="23"/>
  <c r="B507" i="23"/>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9" i="17"/>
  <c r="B508" i="32"/>
  <c r="B507" i="32"/>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8" i="29" l="1"/>
  <c r="B9" i="29"/>
  <c r="B7" i="29"/>
  <c r="B10" i="17"/>
  <c r="B9" i="32" l="1"/>
  <c r="B11" i="14"/>
  <c r="B10" i="14"/>
  <c r="B11" i="17"/>
  <c r="B12" i="14"/>
  <c r="B13" i="32" l="1"/>
  <c r="B12" i="32"/>
  <c r="B11" i="32"/>
  <c r="B10" i="32"/>
  <c r="B12" i="17"/>
  <c r="B14" i="14" l="1"/>
  <c r="B13" i="14"/>
  <c r="B13" i="17" l="1"/>
  <c r="B16" i="14"/>
  <c r="B15" i="14"/>
  <c r="B15" i="17" l="1"/>
  <c r="B14" i="17"/>
  <c r="G13" i="31"/>
  <c r="B1" i="12" l="1"/>
  <c r="E4" i="14"/>
  <c r="H4" i="30" s="1"/>
  <c r="E4" i="32" l="1"/>
  <c r="H4" i="17"/>
  <c r="G4" i="23"/>
  <c r="H4" i="29"/>
  <c r="A37" i="1"/>
  <c r="K5" i="27" l="1"/>
  <c r="G35" i="27"/>
  <c r="G33" i="27"/>
  <c r="G31" i="27"/>
  <c r="G29" i="27"/>
  <c r="G11" i="27"/>
  <c r="G9" i="27"/>
  <c r="G7" i="27"/>
  <c r="G5" i="27"/>
  <c r="G35" i="28"/>
  <c r="G33" i="28"/>
  <c r="G31" i="28"/>
  <c r="G29" i="28"/>
  <c r="K5" i="28"/>
  <c r="G11" i="28"/>
  <c r="G9" i="28"/>
  <c r="G7" i="28"/>
  <c r="G5" i="28"/>
  <c r="G35" i="22"/>
  <c r="G33" i="22"/>
  <c r="G31" i="22"/>
  <c r="G29" i="22"/>
  <c r="K5" i="22"/>
  <c r="G11" i="22"/>
  <c r="G9" i="22"/>
  <c r="G7" i="22"/>
  <c r="G5" i="22"/>
  <c r="A27" i="27"/>
  <c r="A26" i="27"/>
  <c r="A25" i="27"/>
  <c r="A23" i="27"/>
  <c r="A21" i="27"/>
  <c r="A19" i="27"/>
  <c r="A18" i="27"/>
  <c r="A17" i="27"/>
  <c r="A13" i="27"/>
  <c r="A11" i="27"/>
  <c r="A9" i="27"/>
  <c r="A7" i="27"/>
  <c r="A5" i="27"/>
  <c r="A1" i="27"/>
  <c r="A27" i="28"/>
  <c r="A26" i="28"/>
  <c r="A25" i="28"/>
  <c r="A23" i="28"/>
  <c r="A21" i="28"/>
  <c r="A19" i="28"/>
  <c r="A18" i="28"/>
  <c r="A17" i="28"/>
  <c r="A13" i="28"/>
  <c r="A11" i="28"/>
  <c r="A9" i="28"/>
  <c r="A7" i="28"/>
  <c r="A5" i="28"/>
  <c r="A1" i="28"/>
  <c r="A27" i="22"/>
  <c r="A26" i="22"/>
  <c r="A25" i="22"/>
  <c r="A23" i="22"/>
  <c r="A21" i="22"/>
  <c r="A19" i="22"/>
  <c r="A18" i="22"/>
  <c r="A17" i="22"/>
  <c r="A13" i="22"/>
  <c r="A11" i="22"/>
  <c r="A9" i="22"/>
  <c r="A7" i="22"/>
  <c r="A5" i="22"/>
  <c r="A1" i="22"/>
  <c r="W2" i="27"/>
  <c r="V2" i="27"/>
  <c r="U2" i="27"/>
  <c r="T2" i="27"/>
  <c r="S2" i="27"/>
  <c r="R2" i="27"/>
  <c r="Q2" i="27"/>
  <c r="P2" i="27"/>
  <c r="O2" i="27"/>
  <c r="N2" i="27"/>
  <c r="M2" i="27"/>
  <c r="L2" i="27"/>
  <c r="Y1" i="27"/>
  <c r="W2" i="28"/>
  <c r="V2" i="28"/>
  <c r="U2" i="28"/>
  <c r="T2" i="28"/>
  <c r="S2" i="28"/>
  <c r="R2" i="28"/>
  <c r="Q2" i="28"/>
  <c r="P2" i="28"/>
  <c r="O2" i="28"/>
  <c r="N2" i="28"/>
  <c r="M2" i="28"/>
  <c r="L2" i="28"/>
  <c r="Y1" i="28"/>
  <c r="W2" i="22"/>
  <c r="V2" i="22"/>
  <c r="U2" i="22"/>
  <c r="T2" i="22"/>
  <c r="S2" i="22"/>
  <c r="R2" i="22"/>
  <c r="Q2" i="22"/>
  <c r="P2" i="22"/>
  <c r="O2" i="22"/>
  <c r="N2" i="22"/>
  <c r="M2" i="22"/>
  <c r="L2" i="22"/>
  <c r="Y1" i="22"/>
  <c r="Y1" i="16"/>
  <c r="V2" i="16"/>
  <c r="W2" i="16"/>
  <c r="U2" i="16"/>
  <c r="T2" i="16"/>
  <c r="S2" i="16"/>
  <c r="R2" i="16"/>
  <c r="Q2" i="16"/>
  <c r="P2" i="16"/>
  <c r="O2" i="16"/>
  <c r="N2" i="16"/>
  <c r="M2" i="16"/>
  <c r="L2" i="16"/>
  <c r="G35" i="16"/>
  <c r="G33" i="16"/>
  <c r="G31" i="16"/>
  <c r="G29" i="16"/>
  <c r="S13" i="16"/>
  <c r="K5" i="16"/>
  <c r="G11" i="16"/>
  <c r="G9" i="16"/>
  <c r="G7" i="16"/>
  <c r="G5" i="16"/>
  <c r="A23" i="12"/>
  <c r="A21" i="12"/>
  <c r="A13" i="12"/>
  <c r="A11" i="12"/>
  <c r="A9" i="12"/>
  <c r="A7" i="12"/>
  <c r="A5" i="12"/>
  <c r="A1" i="12"/>
  <c r="A27" i="16"/>
  <c r="A26" i="16"/>
  <c r="A25" i="16"/>
  <c r="A23" i="16"/>
  <c r="A21" i="16"/>
  <c r="A19" i="16"/>
  <c r="A18" i="16"/>
  <c r="A17" i="16"/>
  <c r="A13" i="16"/>
  <c r="A11" i="16"/>
  <c r="A9" i="16"/>
  <c r="A7" i="16"/>
  <c r="A5" i="16"/>
  <c r="A1" i="16"/>
  <c r="A11" i="31"/>
  <c r="A27" i="31"/>
  <c r="A26" i="31"/>
  <c r="A25" i="31"/>
  <c r="A23" i="31"/>
  <c r="A21" i="31"/>
  <c r="A19" i="31"/>
  <c r="A18" i="31"/>
  <c r="A17" i="31"/>
  <c r="A13" i="31"/>
  <c r="A9" i="31"/>
  <c r="A7" i="31"/>
  <c r="A5" i="31"/>
  <c r="A1" i="31"/>
  <c r="G5" i="31"/>
  <c r="Y1" i="31"/>
  <c r="V2" i="31"/>
  <c r="W2" i="31"/>
  <c r="U2" i="31"/>
  <c r="T2" i="31"/>
  <c r="S2" i="31"/>
  <c r="R2" i="31"/>
  <c r="Q2" i="31"/>
  <c r="P2" i="31"/>
  <c r="O2" i="31"/>
  <c r="N2" i="31"/>
  <c r="M2" i="31"/>
  <c r="L2" i="31"/>
  <c r="K5" i="31"/>
  <c r="O9" i="31"/>
  <c r="O5" i="31"/>
  <c r="V7" i="31"/>
  <c r="V9" i="31"/>
  <c r="S23" i="31"/>
  <c r="S21" i="31"/>
  <c r="S19" i="31"/>
  <c r="S17" i="31"/>
  <c r="S15" i="31"/>
  <c r="S13" i="31"/>
  <c r="G35" i="31"/>
  <c r="G33" i="31"/>
  <c r="G31" i="31"/>
  <c r="G29" i="31"/>
  <c r="G11" i="31"/>
  <c r="G9" i="31"/>
  <c r="G7" i="31"/>
  <c r="H5" i="31" l="1"/>
  <c r="A35" i="15" l="1"/>
  <c r="A34" i="15"/>
  <c r="A33" i="15"/>
  <c r="A32" i="15"/>
  <c r="A31" i="15"/>
  <c r="A30" i="15"/>
  <c r="A29" i="15"/>
  <c r="A36" i="15"/>
  <c r="P5" i="32" l="1"/>
  <c r="O5" i="32"/>
  <c r="S13" i="12"/>
  <c r="Z20" i="12" l="1"/>
  <c r="Z19" i="12"/>
  <c r="Z18" i="12"/>
  <c r="Z17" i="12"/>
  <c r="Z16" i="12"/>
  <c r="Z15" i="12"/>
  <c r="B1" i="27" l="1"/>
  <c r="H6" i="30" s="1"/>
  <c r="B1" i="28"/>
  <c r="H6" i="29" s="1"/>
  <c r="B1" i="22"/>
  <c r="H6" i="23" s="1"/>
  <c r="B1" i="16"/>
  <c r="H6" i="17" s="1"/>
  <c r="B1" i="31"/>
  <c r="H6" i="32" s="1"/>
  <c r="B1" i="15" l="1"/>
  <c r="H6" i="14" s="1"/>
  <c r="Z14" i="12" l="1"/>
  <c r="Z13" i="12"/>
  <c r="Z12" i="12"/>
  <c r="Z11" i="12"/>
  <c r="Z10" i="12"/>
  <c r="Z9" i="12"/>
  <c r="Z8" i="12"/>
  <c r="Z7" i="12"/>
  <c r="Z6" i="12"/>
  <c r="Z5" i="12"/>
  <c r="J4" i="17" l="1"/>
  <c r="J4" i="32" s="1"/>
  <c r="J4" i="14" s="1"/>
  <c r="J4" i="29"/>
  <c r="J4" i="30" s="1"/>
  <c r="R127" i="27" l="1"/>
  <c r="P27" i="15" l="1"/>
  <c r="P25" i="15"/>
  <c r="H25" i="15"/>
  <c r="H27" i="15"/>
  <c r="F27" i="15"/>
  <c r="F25" i="15"/>
  <c r="R127" i="15"/>
  <c r="R25" i="15"/>
  <c r="AG1" i="14" l="1"/>
  <c r="AF1" i="14"/>
  <c r="AE1" i="14"/>
  <c r="AD1" i="14"/>
  <c r="AC1" i="14"/>
  <c r="AB1" i="14"/>
  <c r="AA1" i="14"/>
  <c r="Z1" i="14"/>
  <c r="Y1" i="14"/>
  <c r="X1" i="14"/>
  <c r="W1" i="14"/>
  <c r="V1" i="14"/>
  <c r="U1" i="14"/>
  <c r="H5" i="29" l="1"/>
  <c r="L6" i="31" l="1"/>
  <c r="H6" i="31"/>
  <c r="I4" i="30" l="1"/>
  <c r="I4" i="29"/>
  <c r="I4" i="23"/>
  <c r="I4" i="17"/>
  <c r="I4" i="32"/>
  <c r="I4" i="14"/>
  <c r="A2" i="32" l="1"/>
  <c r="A1" i="33" s="1"/>
  <c r="AJ5" i="32"/>
  <c r="AI5" i="32"/>
  <c r="AH5" i="32"/>
  <c r="AG5" i="32"/>
  <c r="T5" i="32"/>
  <c r="S5" i="32"/>
  <c r="R5" i="32"/>
  <c r="Q5" i="32"/>
  <c r="N5" i="32"/>
  <c r="M5" i="32"/>
  <c r="L5" i="32"/>
  <c r="K5" i="32"/>
  <c r="J5" i="32"/>
  <c r="I5" i="32"/>
  <c r="H5" i="32"/>
  <c r="G5" i="32"/>
  <c r="E5" i="32"/>
  <c r="D5" i="32"/>
  <c r="U40" i="12"/>
  <c r="B34" i="33"/>
  <c r="B40" i="33" s="1"/>
  <c r="B46" i="33" s="1"/>
  <c r="B26" i="33"/>
  <c r="A26" i="33" s="1"/>
  <c r="B23" i="33"/>
  <c r="A23" i="33" s="1"/>
  <c r="B20" i="33"/>
  <c r="A20" i="33" s="1"/>
  <c r="B18" i="33"/>
  <c r="A18" i="33" s="1"/>
  <c r="B17" i="33"/>
  <c r="A17" i="33" s="1"/>
  <c r="A16" i="33"/>
  <c r="B15" i="33"/>
  <c r="A15" i="33" s="1"/>
  <c r="B14" i="33"/>
  <c r="A14" i="33" s="1"/>
  <c r="B12" i="33"/>
  <c r="A12" i="33" s="1"/>
  <c r="B10" i="33"/>
  <c r="A10" i="33" s="1"/>
  <c r="A4" i="32"/>
  <c r="C3" i="32"/>
  <c r="A3" i="32"/>
  <c r="AJ1" i="32"/>
  <c r="AI1" i="32"/>
  <c r="AH1" i="32"/>
  <c r="AG1" i="32"/>
  <c r="AF1" i="32"/>
  <c r="AE1" i="32"/>
  <c r="AD1" i="32"/>
  <c r="AC1" i="32"/>
  <c r="AB1" i="32"/>
  <c r="AA1" i="32"/>
  <c r="Z1" i="32"/>
  <c r="Y1" i="32"/>
  <c r="X1" i="32"/>
  <c r="W1" i="32"/>
  <c r="V1" i="32"/>
  <c r="U1" i="32"/>
  <c r="T1" i="32"/>
  <c r="S1" i="32"/>
  <c r="R1" i="32"/>
  <c r="Q1" i="32"/>
  <c r="P1" i="32"/>
  <c r="O1" i="32"/>
  <c r="H1" i="32"/>
  <c r="G1" i="32"/>
  <c r="F1" i="32"/>
  <c r="E1" i="32"/>
  <c r="D1" i="32"/>
  <c r="C1" i="32"/>
  <c r="P5" i="31"/>
  <c r="M40" i="12"/>
  <c r="D3" i="32" l="1"/>
  <c r="P4" i="31"/>
  <c r="C5" i="32"/>
  <c r="B52" i="33"/>
  <c r="M39" i="12"/>
  <c r="E3" i="32" l="1"/>
  <c r="P6" i="31"/>
  <c r="B58" i="33"/>
  <c r="P8" i="31"/>
  <c r="P9" i="31"/>
  <c r="F3" i="32" l="1"/>
  <c r="W6" i="31"/>
  <c r="F5" i="32"/>
  <c r="O45" i="12"/>
  <c r="G3" i="32" l="1"/>
  <c r="W8" i="31"/>
  <c r="H3" i="32" l="1"/>
  <c r="H8" i="31"/>
  <c r="H15" i="16"/>
  <c r="H5" i="16"/>
  <c r="H6" i="16"/>
  <c r="L6" i="16"/>
  <c r="I3" i="32" l="1"/>
  <c r="J3" i="32" s="1"/>
  <c r="K3" i="32" s="1"/>
  <c r="L3" i="32" s="1"/>
  <c r="M3" i="32" s="1"/>
  <c r="N3" i="32" s="1"/>
  <c r="O3" i="32" s="1"/>
  <c r="P3" i="32" s="1"/>
  <c r="Q3" i="32" s="1"/>
  <c r="R3" i="32" s="1"/>
  <c r="S3" i="32" s="1"/>
  <c r="T3" i="32" s="1"/>
  <c r="U3" i="32" s="1"/>
  <c r="V3" i="32" s="1"/>
  <c r="W3" i="32" s="1"/>
  <c r="X3" i="32" s="1"/>
  <c r="Y3" i="32" s="1"/>
  <c r="Z3" i="32" s="1"/>
  <c r="AA3" i="32" s="1"/>
  <c r="AB3" i="32" s="1"/>
  <c r="AC3" i="32" s="1"/>
  <c r="AD3" i="32" s="1"/>
  <c r="AE3" i="32" s="1"/>
  <c r="AF3" i="32" s="1"/>
  <c r="AG3" i="32" s="1"/>
  <c r="H10" i="31"/>
  <c r="H5" i="15"/>
  <c r="M43" i="12"/>
  <c r="M38" i="12"/>
  <c r="M42" i="12"/>
  <c r="M41" i="12"/>
  <c r="AH3" i="32" l="1"/>
  <c r="AI3" i="32" s="1"/>
  <c r="AJ3" i="32" s="1"/>
  <c r="H28" i="31"/>
  <c r="M45" i="12"/>
  <c r="K5" i="12"/>
  <c r="A3" i="20" l="1"/>
  <c r="H6" i="28" l="1"/>
  <c r="H5" i="28"/>
  <c r="N39" i="12"/>
  <c r="A1" i="32" l="1"/>
  <c r="B27" i="26"/>
  <c r="B31" i="26" s="1"/>
  <c r="B35" i="26" s="1"/>
  <c r="B39" i="26" s="1"/>
  <c r="B43" i="26" s="1"/>
  <c r="B47" i="26" s="1"/>
  <c r="B51" i="26" s="1"/>
  <c r="B55" i="26" s="1"/>
  <c r="B8" i="32" l="1"/>
  <c r="B7" i="32"/>
  <c r="B5" i="32"/>
  <c r="B1" i="32" s="1"/>
  <c r="B59" i="26"/>
  <c r="H7" i="31" l="1"/>
  <c r="B2" i="32"/>
  <c r="B4" i="33" s="1"/>
  <c r="AH2" i="32"/>
  <c r="W2" i="32"/>
  <c r="AD2" i="32"/>
  <c r="N2" i="32"/>
  <c r="Y2" i="32"/>
  <c r="Z2" i="32"/>
  <c r="AI2" i="32"/>
  <c r="AG2" i="32"/>
  <c r="R2" i="32"/>
  <c r="B50" i="33" s="1"/>
  <c r="J2" i="32"/>
  <c r="E2" i="32"/>
  <c r="Q2" i="32"/>
  <c r="B44" i="33" s="1"/>
  <c r="M2" i="32"/>
  <c r="I2" i="32"/>
  <c r="X2" i="32"/>
  <c r="U2" i="32"/>
  <c r="AC2" i="32"/>
  <c r="V2" i="32"/>
  <c r="F2" i="32"/>
  <c r="P2" i="32"/>
  <c r="B38" i="33" s="1"/>
  <c r="T2" i="32"/>
  <c r="B62" i="33" s="1"/>
  <c r="S2" i="32"/>
  <c r="B56" i="33" s="1"/>
  <c r="D2" i="32"/>
  <c r="H2" i="32"/>
  <c r="B7" i="33" s="1"/>
  <c r="O2" i="32"/>
  <c r="B32" i="33" s="1"/>
  <c r="AE2" i="32"/>
  <c r="AJ2" i="32"/>
  <c r="AA2" i="32"/>
  <c r="G2" i="32"/>
  <c r="L2" i="32"/>
  <c r="C2" i="32"/>
  <c r="AB2" i="32"/>
  <c r="AF2" i="32"/>
  <c r="K2" i="32"/>
  <c r="B63" i="26"/>
  <c r="B48" i="33"/>
  <c r="B36" i="33"/>
  <c r="B60" i="33"/>
  <c r="B42" i="33"/>
  <c r="B54" i="33"/>
  <c r="B30" i="33"/>
  <c r="B59" i="33" l="1"/>
  <c r="B35" i="33"/>
  <c r="B53" i="33"/>
  <c r="B29" i="33"/>
  <c r="B47" i="33"/>
  <c r="B41" i="33"/>
  <c r="B67" i="26"/>
  <c r="B71" i="26" l="1"/>
  <c r="B10" i="25" l="1"/>
  <c r="B9" i="19"/>
  <c r="B6" i="19"/>
  <c r="H6" i="27" l="1"/>
  <c r="H5" i="27"/>
  <c r="A2" i="30" l="1"/>
  <c r="A1" i="26" s="1"/>
  <c r="C1" i="30"/>
  <c r="D1" i="30"/>
  <c r="E1" i="30"/>
  <c r="F1" i="30"/>
  <c r="G1" i="30"/>
  <c r="H1" i="30"/>
  <c r="I1" i="30"/>
  <c r="J1" i="30"/>
  <c r="K1" i="30"/>
  <c r="L1" i="30"/>
  <c r="M1" i="30"/>
  <c r="N1" i="30"/>
  <c r="O1" i="30"/>
  <c r="P1" i="30"/>
  <c r="Q1" i="30"/>
  <c r="R1" i="30"/>
  <c r="S1" i="30"/>
  <c r="T1" i="30"/>
  <c r="U1" i="30"/>
  <c r="V1" i="30"/>
  <c r="W1" i="30"/>
  <c r="X1" i="30"/>
  <c r="Y1" i="30"/>
  <c r="Z1" i="30"/>
  <c r="AA1" i="30"/>
  <c r="AB1" i="30"/>
  <c r="AC1" i="30"/>
  <c r="AD1" i="30"/>
  <c r="AE1" i="30"/>
  <c r="AF1" i="30"/>
  <c r="AG1" i="30"/>
  <c r="AH1" i="30"/>
  <c r="AI1" i="30"/>
  <c r="AJ1" i="30"/>
  <c r="A3" i="30"/>
  <c r="C3" i="30"/>
  <c r="D3" i="30" s="1"/>
  <c r="E3" i="30" s="1"/>
  <c r="F3" i="30" s="1"/>
  <c r="G3" i="30" s="1"/>
  <c r="H3" i="30" s="1"/>
  <c r="A4" i="30"/>
  <c r="H8" i="27" l="1"/>
  <c r="I3" i="30" l="1"/>
  <c r="J3" i="30" s="1"/>
  <c r="K3" i="30" s="1"/>
  <c r="L3" i="30" s="1"/>
  <c r="M3" i="30" s="1"/>
  <c r="N3" i="30" s="1"/>
  <c r="O3" i="30" s="1"/>
  <c r="P3" i="30" s="1"/>
  <c r="Q3" i="30" s="1"/>
  <c r="R3" i="30" s="1"/>
  <c r="S3" i="30" s="1"/>
  <c r="T3" i="30" s="1"/>
  <c r="U3" i="30" s="1"/>
  <c r="V3" i="30" s="1"/>
  <c r="W3" i="30" s="1"/>
  <c r="X3" i="30" s="1"/>
  <c r="Y3" i="30" s="1"/>
  <c r="Z3" i="30" s="1"/>
  <c r="AA3" i="30" s="1"/>
  <c r="AB3" i="30" s="1"/>
  <c r="AC3" i="30" s="1"/>
  <c r="AD3" i="30" s="1"/>
  <c r="AE3" i="30" s="1"/>
  <c r="AF3" i="30" s="1"/>
  <c r="AG3" i="30" s="1"/>
  <c r="H10" i="27"/>
  <c r="N43" i="12"/>
  <c r="A1" i="30" l="1"/>
  <c r="AH3" i="30"/>
  <c r="AI3" i="30" s="1"/>
  <c r="AJ3" i="30" s="1"/>
  <c r="AJ2" i="30" s="1"/>
  <c r="H28" i="27"/>
  <c r="AA2" i="30"/>
  <c r="M2" i="30"/>
  <c r="R2" i="30"/>
  <c r="H2" i="30"/>
  <c r="B7" i="26" s="1"/>
  <c r="D2" i="30"/>
  <c r="K2" i="30"/>
  <c r="F2" i="30"/>
  <c r="L2" i="30"/>
  <c r="I2" i="30"/>
  <c r="P2" i="30"/>
  <c r="Z2" i="30"/>
  <c r="Q2" i="30"/>
  <c r="AB2" i="30"/>
  <c r="AG2" i="30"/>
  <c r="W2" i="30"/>
  <c r="V2" i="30"/>
  <c r="X2" i="30"/>
  <c r="E2" i="30"/>
  <c r="AC2" i="30"/>
  <c r="T2" i="30"/>
  <c r="Y2" i="30"/>
  <c r="G2" i="30"/>
  <c r="AD2" i="30"/>
  <c r="N2" i="30"/>
  <c r="J2" i="30"/>
  <c r="C2" i="30"/>
  <c r="AF2" i="30"/>
  <c r="AE2" i="30"/>
  <c r="O2" i="30"/>
  <c r="U2" i="30"/>
  <c r="S2" i="30"/>
  <c r="B65" i="26"/>
  <c r="B52" i="26"/>
  <c r="B45" i="26"/>
  <c r="B32" i="26"/>
  <c r="B48" i="26"/>
  <c r="B33" i="26"/>
  <c r="B64" i="26"/>
  <c r="B68" i="26"/>
  <c r="B57" i="26"/>
  <c r="B49" i="26"/>
  <c r="B60" i="26"/>
  <c r="B40" i="26"/>
  <c r="B29" i="26"/>
  <c r="B73" i="26"/>
  <c r="B44" i="26"/>
  <c r="B28" i="26"/>
  <c r="B41" i="26"/>
  <c r="B69" i="26"/>
  <c r="B37" i="26"/>
  <c r="B36" i="26"/>
  <c r="B56" i="26"/>
  <c r="B72" i="26"/>
  <c r="B53" i="26"/>
  <c r="B61" i="26"/>
  <c r="AI2" i="30" l="1"/>
  <c r="H7" i="27"/>
  <c r="B2" i="30"/>
  <c r="AH2" i="30"/>
  <c r="A41" i="26"/>
  <c r="A39" i="26"/>
  <c r="A42" i="26"/>
  <c r="A40" i="26"/>
  <c r="A30" i="26"/>
  <c r="A28" i="26"/>
  <c r="A27" i="26"/>
  <c r="A29" i="26"/>
  <c r="A33" i="26"/>
  <c r="A32" i="26"/>
  <c r="A31" i="26"/>
  <c r="A34" i="26"/>
  <c r="A47" i="26"/>
  <c r="A50" i="26"/>
  <c r="A48" i="26"/>
  <c r="A49" i="26"/>
  <c r="A46" i="26"/>
  <c r="A45" i="26"/>
  <c r="A43" i="26"/>
  <c r="A44" i="26"/>
  <c r="A38" i="26"/>
  <c r="A36" i="26"/>
  <c r="A35" i="26"/>
  <c r="A37" i="26"/>
  <c r="A53" i="26"/>
  <c r="A51" i="26"/>
  <c r="A54" i="26"/>
  <c r="A52" i="26"/>
  <c r="A58" i="26"/>
  <c r="A57" i="26"/>
  <c r="A55" i="26"/>
  <c r="A56" i="26"/>
  <c r="A62" i="26" l="1"/>
  <c r="A61" i="26"/>
  <c r="A59" i="26"/>
  <c r="A60" i="26"/>
  <c r="AF5" i="29"/>
  <c r="AE5" i="29"/>
  <c r="AD5" i="29"/>
  <c r="AC5" i="29"/>
  <c r="AB5" i="29"/>
  <c r="AA5" i="29"/>
  <c r="Z5" i="29"/>
  <c r="Y5" i="29"/>
  <c r="X5" i="29"/>
  <c r="W5" i="29"/>
  <c r="V5" i="29"/>
  <c r="U5" i="29"/>
  <c r="T5" i="29"/>
  <c r="S5" i="29"/>
  <c r="R5" i="29"/>
  <c r="Q5" i="29"/>
  <c r="P5" i="29"/>
  <c r="O5" i="29"/>
  <c r="K5" i="29"/>
  <c r="J5" i="29"/>
  <c r="I5" i="29"/>
  <c r="N5" i="29"/>
  <c r="M5" i="29"/>
  <c r="L5" i="29"/>
  <c r="P15" i="28"/>
  <c r="P17" i="28" s="1"/>
  <c r="P19" i="28" s="1"/>
  <c r="P21" i="28" s="1"/>
  <c r="P23" i="28" s="1"/>
  <c r="P25" i="28" s="1"/>
  <c r="P27" i="28" s="1"/>
  <c r="S15" i="28"/>
  <c r="S17" i="28" s="1"/>
  <c r="S19" i="28" s="1"/>
  <c r="S21" i="28" s="1"/>
  <c r="S23" i="28" s="1"/>
  <c r="S25" i="28" s="1"/>
  <c r="S27" i="28" s="1"/>
  <c r="A2" i="29"/>
  <c r="A1" i="25" s="1"/>
  <c r="C1" i="29"/>
  <c r="D1" i="29"/>
  <c r="E1" i="29"/>
  <c r="F1" i="29"/>
  <c r="G1" i="29"/>
  <c r="H1" i="29"/>
  <c r="I1" i="29"/>
  <c r="J1" i="29"/>
  <c r="K1" i="29"/>
  <c r="L1" i="29"/>
  <c r="M1" i="29"/>
  <c r="N1" i="29"/>
  <c r="O1" i="29"/>
  <c r="P1" i="29"/>
  <c r="Q1" i="29"/>
  <c r="R1" i="29"/>
  <c r="S1" i="29"/>
  <c r="T1" i="29"/>
  <c r="U1" i="29"/>
  <c r="V1" i="29"/>
  <c r="W1" i="29"/>
  <c r="X1" i="29"/>
  <c r="Y1" i="29"/>
  <c r="Z1" i="29"/>
  <c r="AA1" i="29"/>
  <c r="AB1" i="29"/>
  <c r="AC1" i="29"/>
  <c r="AD1" i="29"/>
  <c r="AE1" i="29"/>
  <c r="AF1" i="29"/>
  <c r="AG1" i="29"/>
  <c r="AH1" i="29"/>
  <c r="AI1" i="29"/>
  <c r="AJ1" i="29"/>
  <c r="A3" i="29"/>
  <c r="C3" i="29"/>
  <c r="D3" i="29" s="1"/>
  <c r="E3" i="29" s="1"/>
  <c r="F3" i="29" s="1"/>
  <c r="A4" i="29"/>
  <c r="L6" i="28"/>
  <c r="AH5" i="29" s="1"/>
  <c r="L6" i="27"/>
  <c r="B12" i="26"/>
  <c r="A12" i="26" s="1"/>
  <c r="B12" i="25"/>
  <c r="A12" i="25" s="1"/>
  <c r="B24" i="26"/>
  <c r="A24" i="26" s="1"/>
  <c r="B21" i="26"/>
  <c r="A21" i="26" s="1"/>
  <c r="B18" i="26"/>
  <c r="A18" i="26" s="1"/>
  <c r="B16" i="26"/>
  <c r="A16" i="26" s="1"/>
  <c r="B15" i="26"/>
  <c r="A15" i="26" s="1"/>
  <c r="B14" i="26"/>
  <c r="B10" i="26"/>
  <c r="A10" i="26" s="1"/>
  <c r="A7" i="26"/>
  <c r="B4" i="26"/>
  <c r="A4" i="26" s="1"/>
  <c r="C29" i="25"/>
  <c r="B16" i="25"/>
  <c r="A16" i="25" s="1"/>
  <c r="B15" i="25"/>
  <c r="A15" i="25" s="1"/>
  <c r="B14" i="25"/>
  <c r="A10" i="25"/>
  <c r="G3" i="29" l="1"/>
  <c r="H3" i="29" s="1"/>
  <c r="W8" i="28"/>
  <c r="C35" i="25"/>
  <c r="C41" i="25" s="1"/>
  <c r="L5" i="30"/>
  <c r="N5" i="30"/>
  <c r="M5" i="30"/>
  <c r="H5" i="30"/>
  <c r="AI5" i="30"/>
  <c r="AE5" i="30"/>
  <c r="S5" i="30"/>
  <c r="AD5" i="30"/>
  <c r="AC5" i="30"/>
  <c r="U5" i="30"/>
  <c r="I5" i="30"/>
  <c r="AA5" i="30"/>
  <c r="AJ5" i="30"/>
  <c r="T5" i="30"/>
  <c r="P5" i="30"/>
  <c r="AF5" i="30"/>
  <c r="AB5" i="30"/>
  <c r="X5" i="30"/>
  <c r="W5" i="30"/>
  <c r="G5" i="30"/>
  <c r="B5" i="30" s="1"/>
  <c r="AH5" i="30"/>
  <c r="Z5" i="30"/>
  <c r="V5" i="30"/>
  <c r="R5" i="30"/>
  <c r="Y5" i="30"/>
  <c r="Q5" i="30"/>
  <c r="O5" i="30"/>
  <c r="AG5" i="30"/>
  <c r="A65" i="26"/>
  <c r="A66" i="26"/>
  <c r="A64" i="26"/>
  <c r="A63" i="26"/>
  <c r="AJ5" i="29"/>
  <c r="AI5" i="29"/>
  <c r="H8" i="28" l="1"/>
  <c r="I3" i="29"/>
  <c r="J3" i="29" s="1"/>
  <c r="K3" i="29" s="1"/>
  <c r="L3" i="29" s="1"/>
  <c r="M3" i="29" s="1"/>
  <c r="N3" i="29" s="1"/>
  <c r="O3" i="29" s="1"/>
  <c r="P3" i="29" s="1"/>
  <c r="Q3" i="29" s="1"/>
  <c r="R3" i="29" s="1"/>
  <c r="S3" i="29" s="1"/>
  <c r="T3" i="29" s="1"/>
  <c r="U3" i="29" s="1"/>
  <c r="V3" i="29" s="1"/>
  <c r="W3" i="29" s="1"/>
  <c r="X3" i="29" s="1"/>
  <c r="Y3" i="29" s="1"/>
  <c r="Z3" i="29" s="1"/>
  <c r="AA3" i="29" s="1"/>
  <c r="AB3" i="29" s="1"/>
  <c r="AC3" i="29" s="1"/>
  <c r="AD3" i="29" s="1"/>
  <c r="AE3" i="29" s="1"/>
  <c r="AF3" i="29" s="1"/>
  <c r="AG3" i="29" s="1"/>
  <c r="H28" i="28" s="1"/>
  <c r="H30" i="28" s="1"/>
  <c r="H32" i="28" s="1"/>
  <c r="H34" i="28" s="1"/>
  <c r="H10" i="28"/>
  <c r="J5" i="30"/>
  <c r="K5" i="30"/>
  <c r="A70" i="26"/>
  <c r="A68" i="26"/>
  <c r="A69" i="26"/>
  <c r="A67" i="26"/>
  <c r="C47" i="25"/>
  <c r="AH3" i="29" l="1"/>
  <c r="AI3" i="29" s="1"/>
  <c r="AJ3" i="29" s="1"/>
  <c r="A73" i="26"/>
  <c r="A74" i="26"/>
  <c r="A71" i="26"/>
  <c r="A72" i="26"/>
  <c r="C53" i="25"/>
  <c r="C59" i="25" l="1"/>
  <c r="B12" i="24" l="1"/>
  <c r="A12" i="24" s="1"/>
  <c r="B24" i="24"/>
  <c r="A24" i="24" s="1"/>
  <c r="B21" i="24"/>
  <c r="A21" i="24" s="1"/>
  <c r="B18" i="24"/>
  <c r="A18" i="24" s="1"/>
  <c r="B16" i="24"/>
  <c r="A16" i="24" s="1"/>
  <c r="B15" i="24"/>
  <c r="A15" i="24" s="1"/>
  <c r="B14" i="24"/>
  <c r="B10" i="24"/>
  <c r="A10" i="24" s="1"/>
  <c r="L6" i="22" l="1"/>
  <c r="AJ1" i="23" l="1"/>
  <c r="AI1" i="23"/>
  <c r="AH1" i="23"/>
  <c r="AG1" i="23"/>
  <c r="AF1" i="23"/>
  <c r="AE1" i="23"/>
  <c r="AD1" i="23"/>
  <c r="AC1" i="23"/>
  <c r="AB1" i="23"/>
  <c r="AA1" i="23"/>
  <c r="Z1" i="23"/>
  <c r="Y1" i="23"/>
  <c r="X1" i="23"/>
  <c r="W1" i="23"/>
  <c r="V1" i="23"/>
  <c r="U1" i="23"/>
  <c r="T1" i="23"/>
  <c r="S1" i="23"/>
  <c r="R1" i="23"/>
  <c r="Q1" i="23"/>
  <c r="P1" i="23"/>
  <c r="O1" i="23"/>
  <c r="N1" i="23"/>
  <c r="M1" i="23"/>
  <c r="L1" i="23"/>
  <c r="K1" i="23"/>
  <c r="AF1" i="17"/>
  <c r="AE1" i="17"/>
  <c r="AD1" i="17"/>
  <c r="AC1" i="17"/>
  <c r="AB1" i="17"/>
  <c r="AA1" i="17"/>
  <c r="Z1" i="17"/>
  <c r="Y1" i="17"/>
  <c r="X1" i="17"/>
  <c r="W1" i="17"/>
  <c r="V1" i="17"/>
  <c r="U1" i="17"/>
  <c r="T1" i="17"/>
  <c r="S1" i="17"/>
  <c r="R1" i="17"/>
  <c r="Q1" i="17"/>
  <c r="P1" i="17"/>
  <c r="O1" i="17"/>
  <c r="N1" i="17"/>
  <c r="M1" i="17"/>
  <c r="L1" i="17"/>
  <c r="AJ1" i="14"/>
  <c r="AI1" i="14"/>
  <c r="AH1" i="14"/>
  <c r="H6" i="22" l="1"/>
  <c r="H5" i="22"/>
  <c r="A4" i="23"/>
  <c r="C3" i="23"/>
  <c r="D3" i="23" s="1"/>
  <c r="E3" i="23" s="1"/>
  <c r="F3" i="23" s="1"/>
  <c r="G3" i="23" s="1"/>
  <c r="A3" i="23"/>
  <c r="A2" i="23"/>
  <c r="A1" i="24" s="1"/>
  <c r="H1" i="23"/>
  <c r="G1" i="23"/>
  <c r="F1" i="23"/>
  <c r="E1" i="23"/>
  <c r="D1" i="23"/>
  <c r="C1" i="23"/>
  <c r="H3" i="23" l="1"/>
  <c r="H8" i="22"/>
  <c r="F12" i="28" l="1"/>
  <c r="Q12" i="28" s="1"/>
  <c r="T12" i="28" s="1"/>
  <c r="F14" i="28" s="1"/>
  <c r="Q14" i="28" s="1"/>
  <c r="T14" i="28" s="1"/>
  <c r="F16" i="28" s="1"/>
  <c r="Q16" i="28" s="1"/>
  <c r="T16" i="28" s="1"/>
  <c r="F18" i="28" s="1"/>
  <c r="Q18" i="28" s="1"/>
  <c r="T18" i="28" s="1"/>
  <c r="F20" i="28" s="1"/>
  <c r="Q20" i="28" s="1"/>
  <c r="T20" i="28" s="1"/>
  <c r="F22" i="28" s="1"/>
  <c r="Q22" i="28" s="1"/>
  <c r="F16" i="27"/>
  <c r="H16" i="27" s="1"/>
  <c r="P16" i="27" s="1"/>
  <c r="R16" i="27" s="1"/>
  <c r="F18" i="27" s="1"/>
  <c r="H18" i="27" s="1"/>
  <c r="P18" i="27" s="1"/>
  <c r="R18" i="27" s="1"/>
  <c r="F20" i="27" s="1"/>
  <c r="H20" i="27" s="1"/>
  <c r="G5" i="29"/>
  <c r="AG5" i="29"/>
  <c r="I3" i="23"/>
  <c r="J3" i="23" s="1"/>
  <c r="K3" i="23" s="1"/>
  <c r="L3" i="23" s="1"/>
  <c r="M3" i="23" s="1"/>
  <c r="N3" i="23" s="1"/>
  <c r="O3" i="23" s="1"/>
  <c r="P3" i="23" s="1"/>
  <c r="H10" i="22"/>
  <c r="F14" i="22" s="1"/>
  <c r="J14" i="22" s="1"/>
  <c r="P14" i="22" s="1"/>
  <c r="T14" i="22" s="1"/>
  <c r="F16" i="22" s="1"/>
  <c r="J16" i="22" s="1"/>
  <c r="P16" i="22" s="1"/>
  <c r="T16" i="22" s="1"/>
  <c r="F18" i="22" s="1"/>
  <c r="J18" i="22" s="1"/>
  <c r="P18" i="22" s="1"/>
  <c r="T18" i="22" s="1"/>
  <c r="F20" i="22" s="1"/>
  <c r="J20" i="22" s="1"/>
  <c r="P20" i="22" s="1"/>
  <c r="T20" i="22" s="1"/>
  <c r="F22" i="22" s="1"/>
  <c r="J22" i="22" s="1"/>
  <c r="P22" i="22" s="1"/>
  <c r="T22" i="22" s="1"/>
  <c r="F24" i="22" s="1"/>
  <c r="J24" i="22" s="1"/>
  <c r="P24" i="22" s="1"/>
  <c r="T24" i="22" s="1"/>
  <c r="B12" i="21"/>
  <c r="B1" i="30" l="1"/>
  <c r="P20" i="27"/>
  <c r="T22" i="28"/>
  <c r="T5" i="23"/>
  <c r="G5" i="23"/>
  <c r="AF5" i="23"/>
  <c r="Q3" i="23"/>
  <c r="A26" i="21"/>
  <c r="A27" i="21"/>
  <c r="B14" i="21"/>
  <c r="A14" i="21" s="1"/>
  <c r="A12" i="21"/>
  <c r="B10" i="21"/>
  <c r="A10" i="21" s="1"/>
  <c r="R20" i="27" l="1"/>
  <c r="I5" i="23"/>
  <c r="C5" i="30"/>
  <c r="AB5" i="23"/>
  <c r="U5" i="23"/>
  <c r="O5" i="23"/>
  <c r="Q5" i="23"/>
  <c r="M5" i="23"/>
  <c r="X5" i="23"/>
  <c r="N5" i="23"/>
  <c r="L5" i="23"/>
  <c r="AC5" i="23"/>
  <c r="K5" i="23"/>
  <c r="Y5" i="23"/>
  <c r="J5" i="23"/>
  <c r="C5" i="29"/>
  <c r="R5" i="23"/>
  <c r="H5" i="23"/>
  <c r="V5" i="23"/>
  <c r="Z5" i="23"/>
  <c r="AD5" i="23"/>
  <c r="P5" i="23"/>
  <c r="F24" i="28"/>
  <c r="R3" i="23"/>
  <c r="F22" i="27" l="1"/>
  <c r="C5" i="23"/>
  <c r="Q24" i="28"/>
  <c r="W5" i="23"/>
  <c r="AA5" i="23"/>
  <c r="AE5" i="23"/>
  <c r="S5" i="23"/>
  <c r="S3" i="23"/>
  <c r="AJ5" i="17"/>
  <c r="AI5" i="17"/>
  <c r="AH5" i="17"/>
  <c r="AG5" i="17"/>
  <c r="K5" i="17"/>
  <c r="J5" i="17"/>
  <c r="I5" i="17"/>
  <c r="H5" i="17"/>
  <c r="G5" i="17"/>
  <c r="AJ6" i="17"/>
  <c r="AJ1" i="17" s="1"/>
  <c r="AI6" i="17"/>
  <c r="AI1" i="17" s="1"/>
  <c r="AH6" i="17"/>
  <c r="AH1" i="17" s="1"/>
  <c r="AG6" i="17"/>
  <c r="AG1" i="17" s="1"/>
  <c r="G6" i="17"/>
  <c r="B6" i="17"/>
  <c r="H22" i="27" l="1"/>
  <c r="T24" i="28"/>
  <c r="T3" i="23"/>
  <c r="X45" i="12"/>
  <c r="N41" i="12"/>
  <c r="M2" i="23" l="1"/>
  <c r="B40" i="24" s="1"/>
  <c r="A39" i="24" s="1"/>
  <c r="A40" i="24" s="1"/>
  <c r="C2" i="23"/>
  <c r="P2" i="23"/>
  <c r="B48" i="24" s="1"/>
  <c r="K2" i="23"/>
  <c r="B34" i="24" s="1"/>
  <c r="A33" i="24" s="1"/>
  <c r="A35" i="24" s="1"/>
  <c r="Q2" i="23"/>
  <c r="B52" i="24" s="1"/>
  <c r="A51" i="24" s="1"/>
  <c r="A56" i="24" s="1"/>
  <c r="G2" i="23"/>
  <c r="F2" i="23"/>
  <c r="A1" i="23"/>
  <c r="I2" i="23"/>
  <c r="B28" i="24" s="1"/>
  <c r="A27" i="24" s="1"/>
  <c r="A31" i="24" s="1"/>
  <c r="J2" i="23"/>
  <c r="B30" i="24" s="1"/>
  <c r="N2" i="23"/>
  <c r="B42" i="24" s="1"/>
  <c r="S2" i="23"/>
  <c r="B58" i="24" s="1"/>
  <c r="A57" i="24" s="1"/>
  <c r="A58" i="24" s="1"/>
  <c r="E2" i="23"/>
  <c r="O2" i="23"/>
  <c r="B46" i="24" s="1"/>
  <c r="A45" i="24" s="1"/>
  <c r="D2" i="23"/>
  <c r="L2" i="23"/>
  <c r="B36" i="24" s="1"/>
  <c r="H2" i="23"/>
  <c r="B7" i="24" s="1"/>
  <c r="A7" i="24" s="1"/>
  <c r="R2" i="23"/>
  <c r="B54" i="24" s="1"/>
  <c r="P22" i="27"/>
  <c r="F26" i="28"/>
  <c r="T2" i="23"/>
  <c r="B60" i="24" s="1"/>
  <c r="U3" i="23"/>
  <c r="B8" i="23" l="1"/>
  <c r="B7" i="23"/>
  <c r="B9" i="23"/>
  <c r="B5" i="23"/>
  <c r="B1" i="23" s="1"/>
  <c r="A41" i="24"/>
  <c r="A43" i="24"/>
  <c r="A52" i="24"/>
  <c r="A55" i="24"/>
  <c r="A44" i="24"/>
  <c r="A54" i="24"/>
  <c r="A53" i="24"/>
  <c r="A48" i="24"/>
  <c r="A36" i="24"/>
  <c r="A42" i="24"/>
  <c r="A38" i="24"/>
  <c r="A34" i="24"/>
  <c r="A37" i="24"/>
  <c r="A46" i="24"/>
  <c r="A47" i="24"/>
  <c r="A49" i="24"/>
  <c r="A28" i="24"/>
  <c r="A29" i="24"/>
  <c r="A32" i="24"/>
  <c r="A30" i="24"/>
  <c r="A50" i="24"/>
  <c r="A61" i="24"/>
  <c r="A60" i="24"/>
  <c r="A62" i="24"/>
  <c r="A59" i="24"/>
  <c r="R22" i="27"/>
  <c r="Q26" i="28"/>
  <c r="U2" i="23"/>
  <c r="B64" i="24" s="1"/>
  <c r="A63" i="24" s="1"/>
  <c r="V3" i="23"/>
  <c r="B1" i="19"/>
  <c r="H7" i="22" l="1"/>
  <c r="B2" i="23"/>
  <c r="B4" i="24" s="1"/>
  <c r="A4" i="24" s="1"/>
  <c r="F24" i="27"/>
  <c r="T26" i="28"/>
  <c r="A64" i="24"/>
  <c r="A68" i="24"/>
  <c r="A67" i="24"/>
  <c r="A65" i="24"/>
  <c r="V2" i="23"/>
  <c r="B66" i="24" s="1"/>
  <c r="A66" i="24" s="1"/>
  <c r="W3" i="23"/>
  <c r="H24" i="27" l="1"/>
  <c r="X3" i="23"/>
  <c r="W2" i="23"/>
  <c r="B70" i="24" s="1"/>
  <c r="A69" i="24" s="1"/>
  <c r="P24" i="27" l="1"/>
  <c r="A74" i="24"/>
  <c r="A71" i="24"/>
  <c r="A73" i="24"/>
  <c r="A70" i="24"/>
  <c r="X2" i="23"/>
  <c r="B72" i="24" s="1"/>
  <c r="A72" i="24" s="1"/>
  <c r="Y3" i="23"/>
  <c r="B34" i="18"/>
  <c r="B40" i="18" s="1"/>
  <c r="B46" i="18" s="1"/>
  <c r="B52" i="18" s="1"/>
  <c r="B58" i="18" s="1"/>
  <c r="B18" i="18"/>
  <c r="A18" i="18" s="1"/>
  <c r="B17" i="18"/>
  <c r="A17" i="18" s="1"/>
  <c r="A16" i="18"/>
  <c r="B14" i="18"/>
  <c r="A14" i="18" s="1"/>
  <c r="B12" i="18"/>
  <c r="A12" i="18" s="1"/>
  <c r="B10" i="18"/>
  <c r="A10" i="18" s="1"/>
  <c r="B26" i="18"/>
  <c r="A26" i="18" s="1"/>
  <c r="B23" i="18"/>
  <c r="A23" i="18" s="1"/>
  <c r="B20" i="18"/>
  <c r="A20" i="18" s="1"/>
  <c r="B15" i="18"/>
  <c r="A15" i="18" s="1"/>
  <c r="R24" i="27" l="1"/>
  <c r="Y2" i="23"/>
  <c r="B76" i="24" s="1"/>
  <c r="A75" i="24" s="1"/>
  <c r="Z3" i="23"/>
  <c r="J45" i="12"/>
  <c r="K45" i="12"/>
  <c r="A4" i="20"/>
  <c r="B2" i="20" l="1"/>
  <c r="G45" i="12"/>
  <c r="F26" i="27"/>
  <c r="A79" i="24"/>
  <c r="A80" i="24"/>
  <c r="A76" i="24"/>
  <c r="A77" i="24"/>
  <c r="Z2" i="23"/>
  <c r="B78" i="24" s="1"/>
  <c r="A78" i="24" s="1"/>
  <c r="AA3" i="23"/>
  <c r="A4" i="17"/>
  <c r="C3" i="17"/>
  <c r="P4" i="16" s="1"/>
  <c r="A3" i="17"/>
  <c r="A2" i="17"/>
  <c r="K1" i="17"/>
  <c r="J1" i="17"/>
  <c r="H1" i="17"/>
  <c r="G1" i="17"/>
  <c r="F1" i="17"/>
  <c r="E1" i="17"/>
  <c r="D1" i="17"/>
  <c r="C1" i="17"/>
  <c r="N44" i="12"/>
  <c r="A5" i="20"/>
  <c r="B4" i="20"/>
  <c r="D3" i="17" l="1"/>
  <c r="E3" i="17" s="1"/>
  <c r="F3" i="17" s="1"/>
  <c r="H26" i="27"/>
  <c r="A1" i="21"/>
  <c r="AB3" i="23"/>
  <c r="AA2" i="23"/>
  <c r="B82" i="24" s="1"/>
  <c r="A81" i="24" s="1"/>
  <c r="C1" i="20"/>
  <c r="B5" i="20"/>
  <c r="A6" i="20"/>
  <c r="G3" i="17" l="1"/>
  <c r="H8" i="16" s="1"/>
  <c r="P26" i="27"/>
  <c r="A86" i="24"/>
  <c r="A85" i="24"/>
  <c r="A82" i="24"/>
  <c r="A83" i="24"/>
  <c r="AB2" i="23"/>
  <c r="B84" i="24" s="1"/>
  <c r="A84" i="24" s="1"/>
  <c r="AC3" i="23"/>
  <c r="D1" i="20"/>
  <c r="L6" i="15"/>
  <c r="H6" i="15"/>
  <c r="T1" i="14"/>
  <c r="S1" i="14"/>
  <c r="R1" i="14"/>
  <c r="Q1" i="14"/>
  <c r="P1" i="14"/>
  <c r="O1" i="14"/>
  <c r="H1" i="14"/>
  <c r="G1" i="14"/>
  <c r="F1" i="14"/>
  <c r="E1" i="14"/>
  <c r="D1" i="14"/>
  <c r="P5" i="15"/>
  <c r="B6" i="20"/>
  <c r="A7" i="20"/>
  <c r="E5" i="14" l="1"/>
  <c r="L5" i="14"/>
  <c r="O5" i="14"/>
  <c r="R5" i="14"/>
  <c r="AG5" i="14"/>
  <c r="H5" i="14"/>
  <c r="AI5" i="14"/>
  <c r="S5" i="14"/>
  <c r="K5" i="14"/>
  <c r="AH5" i="14"/>
  <c r="G5" i="14"/>
  <c r="Q5" i="14"/>
  <c r="AJ5" i="14"/>
  <c r="T5" i="14"/>
  <c r="P5" i="14"/>
  <c r="H3" i="17"/>
  <c r="H10" i="16" s="1"/>
  <c r="H12" i="16" s="1"/>
  <c r="R26" i="27"/>
  <c r="AC2" i="23"/>
  <c r="B88" i="24" s="1"/>
  <c r="A87" i="24" s="1"/>
  <c r="AD3" i="23"/>
  <c r="E1" i="20"/>
  <c r="N5" i="14"/>
  <c r="M5" i="14"/>
  <c r="J5" i="14"/>
  <c r="I5" i="14"/>
  <c r="B7" i="20"/>
  <c r="A8" i="20"/>
  <c r="P8" i="15" l="1"/>
  <c r="T12" i="16"/>
  <c r="T14" i="16" s="1"/>
  <c r="H14" i="16"/>
  <c r="H16" i="16" s="1"/>
  <c r="P9" i="15"/>
  <c r="G21" i="15"/>
  <c r="G21" i="31" s="1"/>
  <c r="G13" i="15"/>
  <c r="G19" i="15"/>
  <c r="G19" i="31" s="1"/>
  <c r="G15" i="15"/>
  <c r="G15" i="31" s="1"/>
  <c r="G17" i="15"/>
  <c r="G17" i="31" s="1"/>
  <c r="D5" i="14"/>
  <c r="G23" i="15"/>
  <c r="G23" i="31" s="1"/>
  <c r="I3" i="17"/>
  <c r="J3" i="17" s="1"/>
  <c r="K3" i="17" s="1"/>
  <c r="L3" i="17" s="1"/>
  <c r="M3" i="17" s="1"/>
  <c r="N3" i="17" s="1"/>
  <c r="A91" i="24"/>
  <c r="A88" i="24"/>
  <c r="A92" i="24"/>
  <c r="A89" i="24"/>
  <c r="AD2" i="23"/>
  <c r="B90" i="24" s="1"/>
  <c r="A90" i="24" s="1"/>
  <c r="AE3" i="23"/>
  <c r="F1" i="20"/>
  <c r="A9" i="20"/>
  <c r="F5" i="14" l="1"/>
  <c r="G13" i="16"/>
  <c r="A1" i="17"/>
  <c r="XEN5" i="16"/>
  <c r="XEN27" i="16"/>
  <c r="XEZ7" i="16"/>
  <c r="XEN21" i="16"/>
  <c r="XEN25" i="16"/>
  <c r="XEZ5" i="16"/>
  <c r="XEN23" i="16"/>
  <c r="S4" i="16"/>
  <c r="R4" i="16"/>
  <c r="I2" i="17"/>
  <c r="M2" i="17"/>
  <c r="L2" i="17"/>
  <c r="O3" i="17"/>
  <c r="N2" i="17"/>
  <c r="AF3" i="23"/>
  <c r="AE2" i="23"/>
  <c r="B94" i="24" s="1"/>
  <c r="A93" i="24" s="1"/>
  <c r="K2" i="17"/>
  <c r="H2" i="17"/>
  <c r="J2" i="17"/>
  <c r="F2" i="17"/>
  <c r="G2" i="17"/>
  <c r="D2" i="17"/>
  <c r="E2" i="17"/>
  <c r="C2" i="17"/>
  <c r="G1" i="20"/>
  <c r="B9" i="20"/>
  <c r="N40" i="12"/>
  <c r="A10" i="20"/>
  <c r="B3" i="20"/>
  <c r="B7" i="17" l="1"/>
  <c r="B8" i="17"/>
  <c r="B17" i="21"/>
  <c r="B7" i="21"/>
  <c r="A7" i="21" s="1"/>
  <c r="A98" i="24"/>
  <c r="A95" i="24"/>
  <c r="A97" i="24"/>
  <c r="A94" i="24"/>
  <c r="P3" i="17"/>
  <c r="O2" i="17"/>
  <c r="B19" i="21" s="1"/>
  <c r="A19" i="21" s="1"/>
  <c r="AF2" i="23"/>
  <c r="B96" i="24" s="1"/>
  <c r="A96" i="24" s="1"/>
  <c r="AG3" i="23"/>
  <c r="H28" i="22" s="1"/>
  <c r="H30" i="22" s="1"/>
  <c r="H32" i="22" s="1"/>
  <c r="H34" i="22" s="1"/>
  <c r="H1" i="20"/>
  <c r="B5" i="17"/>
  <c r="B1" i="17" s="1"/>
  <c r="B10" i="20"/>
  <c r="A11" i="20"/>
  <c r="A17" i="21" l="1"/>
  <c r="B23" i="21"/>
  <c r="A23" i="21" s="1"/>
  <c r="H7" i="16"/>
  <c r="Q3" i="17"/>
  <c r="P2" i="17"/>
  <c r="B25" i="21" s="1"/>
  <c r="A25" i="21" s="1"/>
  <c r="AG2" i="23"/>
  <c r="AH3" i="23"/>
  <c r="I1" i="20"/>
  <c r="B2" i="17"/>
  <c r="B4" i="21" s="1"/>
  <c r="A4" i="21" s="1"/>
  <c r="B11" i="20"/>
  <c r="A12" i="20"/>
  <c r="H30" i="27" l="1"/>
  <c r="AG5" i="23"/>
  <c r="R3" i="17"/>
  <c r="Q2" i="17"/>
  <c r="AH2" i="23"/>
  <c r="AI3" i="23"/>
  <c r="J1" i="20"/>
  <c r="B12" i="20"/>
  <c r="A13" i="20"/>
  <c r="H32" i="27" l="1"/>
  <c r="AH5" i="23"/>
  <c r="S3" i="17"/>
  <c r="R2" i="17"/>
  <c r="AJ3" i="23"/>
  <c r="AJ2" i="23" s="1"/>
  <c r="AI2" i="23"/>
  <c r="K1" i="20"/>
  <c r="B13" i="20"/>
  <c r="A14" i="20"/>
  <c r="H34" i="27" l="1"/>
  <c r="AI5" i="23"/>
  <c r="T3" i="17"/>
  <c r="S2" i="17"/>
  <c r="L1" i="20"/>
  <c r="B14" i="20"/>
  <c r="A15" i="20"/>
  <c r="AJ5" i="23" l="1"/>
  <c r="U3" i="17"/>
  <c r="T2" i="17"/>
  <c r="M1" i="20"/>
  <c r="B15" i="20"/>
  <c r="A16" i="20"/>
  <c r="V3" i="17" l="1"/>
  <c r="U2" i="17"/>
  <c r="N1" i="20"/>
  <c r="B16" i="20"/>
  <c r="A17" i="20"/>
  <c r="W3" i="17" l="1"/>
  <c r="V2" i="17"/>
  <c r="O1" i="20"/>
  <c r="B17" i="20"/>
  <c r="A18" i="20"/>
  <c r="X3" i="17" l="1"/>
  <c r="W2" i="17"/>
  <c r="P1" i="20"/>
  <c r="C5" i="14"/>
  <c r="A4" i="14"/>
  <c r="C3" i="14"/>
  <c r="A3" i="14"/>
  <c r="A2" i="14"/>
  <c r="C1" i="14"/>
  <c r="B13" i="33"/>
  <c r="A13" i="33" s="1"/>
  <c r="U38" i="12"/>
  <c r="I6" i="32" s="1"/>
  <c r="B18" i="20"/>
  <c r="A19" i="20"/>
  <c r="J6" i="32" l="1"/>
  <c r="I1" i="32"/>
  <c r="B13" i="24"/>
  <c r="A13" i="24" s="1"/>
  <c r="B1" i="24" s="1"/>
  <c r="B13" i="25"/>
  <c r="A13" i="25" s="1"/>
  <c r="B13" i="26"/>
  <c r="A13" i="26" s="1"/>
  <c r="B1" i="26" s="1"/>
  <c r="Y3" i="17"/>
  <c r="X2" i="17"/>
  <c r="A1" i="18"/>
  <c r="I1" i="23"/>
  <c r="B13" i="18"/>
  <c r="A13" i="18" s="1"/>
  <c r="B13" i="21"/>
  <c r="A13" i="21" s="1"/>
  <c r="I6" i="17"/>
  <c r="I6" i="14"/>
  <c r="Q1" i="20"/>
  <c r="D3" i="14"/>
  <c r="P4" i="15"/>
  <c r="B19" i="20"/>
  <c r="A20" i="20"/>
  <c r="C2" i="20"/>
  <c r="K6" i="32" l="1"/>
  <c r="J1" i="32"/>
  <c r="I1" i="17"/>
  <c r="E3" i="14"/>
  <c r="P6" i="15"/>
  <c r="Z3" i="17"/>
  <c r="Y2" i="17"/>
  <c r="J1" i="23"/>
  <c r="R1" i="20"/>
  <c r="J6" i="14"/>
  <c r="I1" i="14"/>
  <c r="B20" i="20"/>
  <c r="C15" i="20"/>
  <c r="C9" i="20"/>
  <c r="C16" i="20"/>
  <c r="C12" i="20"/>
  <c r="C4" i="20"/>
  <c r="C10" i="20"/>
  <c r="C11" i="20"/>
  <c r="C13" i="20"/>
  <c r="A21" i="20"/>
  <c r="C5" i="20"/>
  <c r="C14" i="20"/>
  <c r="C7" i="20"/>
  <c r="C19" i="20"/>
  <c r="C17" i="20"/>
  <c r="C18" i="20"/>
  <c r="C3" i="20"/>
  <c r="C6" i="20"/>
  <c r="D2" i="20"/>
  <c r="W6" i="15" l="1"/>
  <c r="K1" i="32"/>
  <c r="L6" i="32"/>
  <c r="F3" i="14"/>
  <c r="AA3" i="17"/>
  <c r="Z2" i="17"/>
  <c r="K6" i="14"/>
  <c r="J1" i="14"/>
  <c r="S1" i="20"/>
  <c r="B21" i="20"/>
  <c r="D4" i="20"/>
  <c r="D14" i="20"/>
  <c r="D18" i="20"/>
  <c r="D9" i="20"/>
  <c r="C20" i="20"/>
  <c r="D12" i="20"/>
  <c r="D3" i="20"/>
  <c r="D6" i="20"/>
  <c r="D11" i="20"/>
  <c r="D17" i="20"/>
  <c r="D5" i="20"/>
  <c r="A22" i="20"/>
  <c r="D10" i="20"/>
  <c r="D13" i="20"/>
  <c r="D19" i="20"/>
  <c r="D15" i="20"/>
  <c r="E2" i="20"/>
  <c r="D7" i="20"/>
  <c r="D16" i="20"/>
  <c r="G3" i="14" l="1"/>
  <c r="H3" i="14" s="1"/>
  <c r="H12" i="31" s="1"/>
  <c r="H14" i="31" s="1"/>
  <c r="H16" i="31" s="1"/>
  <c r="H18" i="31" s="1"/>
  <c r="H20" i="31" s="1"/>
  <c r="H22" i="31" s="1"/>
  <c r="T12" i="31" s="1"/>
  <c r="T14" i="31" s="1"/>
  <c r="T16" i="31" s="1"/>
  <c r="T18" i="31" s="1"/>
  <c r="T20" i="31" s="1"/>
  <c r="T22" i="31" s="1"/>
  <c r="L1" i="32"/>
  <c r="M6" i="32"/>
  <c r="W8" i="15"/>
  <c r="AB3" i="17"/>
  <c r="AA2" i="17"/>
  <c r="T1" i="20"/>
  <c r="L6" i="14"/>
  <c r="K1" i="14"/>
  <c r="B22" i="20"/>
  <c r="E13" i="20"/>
  <c r="E11" i="20"/>
  <c r="E3" i="20"/>
  <c r="E4" i="20"/>
  <c r="E14" i="20"/>
  <c r="E15" i="20"/>
  <c r="E16" i="20"/>
  <c r="E5" i="20"/>
  <c r="E6" i="20"/>
  <c r="E9" i="20"/>
  <c r="A23" i="20"/>
  <c r="E19" i="20"/>
  <c r="E12" i="20"/>
  <c r="E17" i="20"/>
  <c r="E7" i="20"/>
  <c r="E18" i="20"/>
  <c r="F2" i="20"/>
  <c r="D20" i="20"/>
  <c r="E20" i="20"/>
  <c r="E21" i="20"/>
  <c r="C21" i="20"/>
  <c r="E10" i="20"/>
  <c r="H8" i="15" l="1"/>
  <c r="N6" i="32"/>
  <c r="N1" i="32" s="1"/>
  <c r="M1" i="32"/>
  <c r="H10" i="15"/>
  <c r="H12" i="15" s="1"/>
  <c r="H14" i="15" s="1"/>
  <c r="H16" i="15" s="1"/>
  <c r="H18" i="15" s="1"/>
  <c r="H20" i="15" s="1"/>
  <c r="AB2" i="17"/>
  <c r="AC3" i="17"/>
  <c r="U1" i="20"/>
  <c r="M6" i="14"/>
  <c r="L1" i="14"/>
  <c r="I3" i="14"/>
  <c r="J3" i="14" s="1"/>
  <c r="K3" i="14" s="1"/>
  <c r="L3" i="14" s="1"/>
  <c r="M3" i="14" s="1"/>
  <c r="N3" i="14" s="1"/>
  <c r="O3" i="14" s="1"/>
  <c r="P3" i="14" s="1"/>
  <c r="Q3" i="14" s="1"/>
  <c r="R3" i="14" s="1"/>
  <c r="S3" i="14" s="1"/>
  <c r="T3" i="14" s="1"/>
  <c r="U3" i="14" s="1"/>
  <c r="B23" i="20"/>
  <c r="G2" i="20"/>
  <c r="F6" i="20"/>
  <c r="F10" i="20"/>
  <c r="F18" i="20"/>
  <c r="F3" i="20"/>
  <c r="F9" i="20"/>
  <c r="F16" i="20"/>
  <c r="F15" i="20"/>
  <c r="D21" i="20"/>
  <c r="F20" i="20"/>
  <c r="F5" i="20"/>
  <c r="F22" i="20"/>
  <c r="F14" i="20"/>
  <c r="F13" i="20"/>
  <c r="F4" i="20"/>
  <c r="F12" i="20"/>
  <c r="F17" i="20"/>
  <c r="F19" i="20"/>
  <c r="C22" i="20"/>
  <c r="F11" i="20"/>
  <c r="E22" i="20"/>
  <c r="F21" i="20"/>
  <c r="A24" i="20"/>
  <c r="F7" i="20"/>
  <c r="F23" i="20"/>
  <c r="H22" i="15" l="1"/>
  <c r="T12" i="15" s="1"/>
  <c r="T14" i="15" s="1"/>
  <c r="T16" i="15" s="1"/>
  <c r="T18" i="15" s="1"/>
  <c r="T20" i="15" s="1"/>
  <c r="T22" i="15" s="1"/>
  <c r="V3" i="14"/>
  <c r="H30" i="31"/>
  <c r="H32" i="31" s="1"/>
  <c r="H34" i="31" s="1"/>
  <c r="AC2" i="17"/>
  <c r="AD3" i="17"/>
  <c r="V1" i="20"/>
  <c r="N6" i="14"/>
  <c r="M1" i="14"/>
  <c r="B24" i="20"/>
  <c r="G5" i="20"/>
  <c r="D22" i="20"/>
  <c r="G4" i="20"/>
  <c r="G15" i="20"/>
  <c r="G21" i="20"/>
  <c r="G9" i="20"/>
  <c r="G19" i="20"/>
  <c r="C23" i="20"/>
  <c r="G22" i="20"/>
  <c r="A25" i="20"/>
  <c r="G3" i="20"/>
  <c r="G17" i="20"/>
  <c r="G20" i="20"/>
  <c r="G7" i="20"/>
  <c r="E23" i="20"/>
  <c r="C24" i="20"/>
  <c r="G16" i="20"/>
  <c r="G13" i="20"/>
  <c r="G10" i="20"/>
  <c r="G11" i="20"/>
  <c r="G14" i="20"/>
  <c r="G6" i="20"/>
  <c r="H2" i="20"/>
  <c r="G23" i="20"/>
  <c r="G12" i="20"/>
  <c r="G18" i="20"/>
  <c r="W3" i="14" l="1"/>
  <c r="AD2" i="17"/>
  <c r="AE3" i="17"/>
  <c r="W1" i="20"/>
  <c r="N1" i="14"/>
  <c r="B25" i="20"/>
  <c r="I2" i="20"/>
  <c r="H23" i="20"/>
  <c r="H18" i="20"/>
  <c r="H20" i="20"/>
  <c r="H10" i="20"/>
  <c r="D23" i="20"/>
  <c r="F24" i="20"/>
  <c r="H12" i="20"/>
  <c r="D24" i="20"/>
  <c r="H14" i="20"/>
  <c r="H16" i="20"/>
  <c r="H19" i="20"/>
  <c r="H3" i="20"/>
  <c r="H24" i="20"/>
  <c r="A26" i="20"/>
  <c r="H15" i="20"/>
  <c r="H11" i="20"/>
  <c r="G24" i="20"/>
  <c r="H17" i="20"/>
  <c r="H4" i="20"/>
  <c r="H5" i="20"/>
  <c r="H9" i="20"/>
  <c r="H22" i="20"/>
  <c r="E24" i="20"/>
  <c r="H21" i="20"/>
  <c r="H6" i="20"/>
  <c r="H13" i="20"/>
  <c r="H7" i="20"/>
  <c r="X3" i="14" l="1"/>
  <c r="X1" i="20"/>
  <c r="AF3" i="17"/>
  <c r="AE2" i="17"/>
  <c r="B26" i="20"/>
  <c r="J2" i="20"/>
  <c r="A27" i="20"/>
  <c r="I6" i="20"/>
  <c r="I7" i="20"/>
  <c r="H25" i="20"/>
  <c r="I18" i="20"/>
  <c r="I23" i="20"/>
  <c r="I9" i="20"/>
  <c r="I19" i="20"/>
  <c r="I20" i="20"/>
  <c r="I3" i="20"/>
  <c r="I22" i="20"/>
  <c r="F25" i="20"/>
  <c r="G25" i="20"/>
  <c r="I12" i="20"/>
  <c r="I25" i="20"/>
  <c r="I14" i="20"/>
  <c r="I17" i="20"/>
  <c r="I21" i="20"/>
  <c r="I16" i="20"/>
  <c r="I10" i="20"/>
  <c r="E25" i="20"/>
  <c r="I11" i="20"/>
  <c r="I5" i="20"/>
  <c r="C25" i="20"/>
  <c r="I4" i="20"/>
  <c r="I13" i="20"/>
  <c r="I15" i="20"/>
  <c r="I24" i="20"/>
  <c r="I26" i="20"/>
  <c r="Y3" i="14" l="1"/>
  <c r="Y1" i="20"/>
  <c r="B27" i="20"/>
  <c r="K2" i="20"/>
  <c r="J13" i="20"/>
  <c r="J9" i="20"/>
  <c r="J14" i="20"/>
  <c r="J26" i="20"/>
  <c r="J6" i="20"/>
  <c r="H26" i="20"/>
  <c r="C26" i="20"/>
  <c r="J24" i="20"/>
  <c r="J17" i="20"/>
  <c r="J12" i="20"/>
  <c r="J7" i="20"/>
  <c r="J25" i="20"/>
  <c r="G26" i="20"/>
  <c r="J19" i="20"/>
  <c r="J5" i="20"/>
  <c r="F26" i="20"/>
  <c r="J16" i="20"/>
  <c r="A28" i="20"/>
  <c r="J3" i="20"/>
  <c r="J11" i="20"/>
  <c r="J4" i="20"/>
  <c r="J21" i="20"/>
  <c r="J23" i="20"/>
  <c r="J20" i="20"/>
  <c r="D25" i="20"/>
  <c r="J15" i="20"/>
  <c r="J10" i="20"/>
  <c r="J18" i="20"/>
  <c r="J22" i="20"/>
  <c r="E26" i="20"/>
  <c r="Z3" i="14" l="1"/>
  <c r="A1" i="14"/>
  <c r="A41" i="33"/>
  <c r="A42" i="33" s="1"/>
  <c r="A43" i="33" s="1"/>
  <c r="A44" i="33" s="1"/>
  <c r="A45" i="33" s="1"/>
  <c r="A46" i="33" s="1"/>
  <c r="A53" i="33"/>
  <c r="A54" i="33" s="1"/>
  <c r="A55" i="33" s="1"/>
  <c r="A56" i="33" s="1"/>
  <c r="A57" i="33" s="1"/>
  <c r="A58" i="33" s="1"/>
  <c r="A47" i="33"/>
  <c r="A48" i="33" s="1"/>
  <c r="A49" i="33" s="1"/>
  <c r="A50" i="33" s="1"/>
  <c r="A51" i="33" s="1"/>
  <c r="A52" i="33" s="1"/>
  <c r="A59" i="33"/>
  <c r="A60" i="33" s="1"/>
  <c r="A61" i="33" s="1"/>
  <c r="A62" i="33" s="1"/>
  <c r="A63" i="33" s="1"/>
  <c r="A64" i="33" s="1"/>
  <c r="A29" i="33"/>
  <c r="A30" i="33" s="1"/>
  <c r="A31" i="33" s="1"/>
  <c r="A32" i="33" s="1"/>
  <c r="A33" i="33" s="1"/>
  <c r="A34" i="33" s="1"/>
  <c r="A35" i="33"/>
  <c r="A36" i="33" s="1"/>
  <c r="A37" i="33" s="1"/>
  <c r="A38" i="33" s="1"/>
  <c r="A39" i="33" s="1"/>
  <c r="A40" i="33" s="1"/>
  <c r="A7" i="33"/>
  <c r="AF2" i="17"/>
  <c r="AG3" i="17"/>
  <c r="H28" i="16" s="1"/>
  <c r="H30" i="16" s="1"/>
  <c r="H32" i="16" s="1"/>
  <c r="H34" i="16" s="1"/>
  <c r="Z1" i="20"/>
  <c r="B28" i="20"/>
  <c r="L2" i="20"/>
  <c r="D26" i="20"/>
  <c r="A29" i="20"/>
  <c r="K25" i="20"/>
  <c r="D27" i="20"/>
  <c r="K4" i="20"/>
  <c r="K13" i="20"/>
  <c r="K14" i="20"/>
  <c r="I27" i="20"/>
  <c r="K7" i="20"/>
  <c r="K9" i="20"/>
  <c r="K6" i="20"/>
  <c r="C27" i="20"/>
  <c r="K15" i="20"/>
  <c r="K27" i="20"/>
  <c r="N38" i="12"/>
  <c r="H27" i="20"/>
  <c r="K20" i="20"/>
  <c r="K12" i="20"/>
  <c r="F27" i="20"/>
  <c r="K17" i="20"/>
  <c r="K5" i="20"/>
  <c r="J27" i="20"/>
  <c r="K19" i="20"/>
  <c r="K3" i="20"/>
  <c r="G27" i="20"/>
  <c r="K18" i="20"/>
  <c r="K26" i="20"/>
  <c r="K21" i="20"/>
  <c r="K16" i="20"/>
  <c r="E27" i="20"/>
  <c r="K22" i="20"/>
  <c r="K11" i="20"/>
  <c r="K23" i="20"/>
  <c r="K10" i="20"/>
  <c r="K24" i="20"/>
  <c r="B8" i="14" l="1"/>
  <c r="B7" i="14"/>
  <c r="B9" i="14"/>
  <c r="V2" i="14"/>
  <c r="X2" i="14"/>
  <c r="Y2" i="14"/>
  <c r="W2" i="14"/>
  <c r="AA3" i="14"/>
  <c r="Z2" i="14"/>
  <c r="O2" i="14"/>
  <c r="B32" i="18" s="1"/>
  <c r="U2" i="14"/>
  <c r="G2" i="14"/>
  <c r="M2" i="14"/>
  <c r="L2" i="14"/>
  <c r="C2" i="14"/>
  <c r="K2" i="14"/>
  <c r="F2" i="14"/>
  <c r="H2" i="14"/>
  <c r="D2" i="14"/>
  <c r="J2" i="14"/>
  <c r="I2" i="14"/>
  <c r="N2" i="14"/>
  <c r="E2" i="14"/>
  <c r="B29" i="18" s="1"/>
  <c r="AA2" i="20"/>
  <c r="AG2" i="17"/>
  <c r="AH3" i="17"/>
  <c r="AA1" i="20"/>
  <c r="P2" i="14"/>
  <c r="B29" i="20"/>
  <c r="M2" i="20"/>
  <c r="J28" i="20"/>
  <c r="D28" i="20"/>
  <c r="L11" i="20"/>
  <c r="L18" i="20"/>
  <c r="A30" i="20"/>
  <c r="H28" i="20"/>
  <c r="L12" i="20"/>
  <c r="L17" i="20"/>
  <c r="E28" i="20"/>
  <c r="B48" i="18"/>
  <c r="L22" i="20"/>
  <c r="L15" i="20"/>
  <c r="F28" i="20"/>
  <c r="L20" i="20"/>
  <c r="K28" i="20"/>
  <c r="L29" i="20"/>
  <c r="B60" i="18"/>
  <c r="L27" i="20"/>
  <c r="B30" i="18"/>
  <c r="C28" i="20"/>
  <c r="L5" i="20"/>
  <c r="L28" i="20"/>
  <c r="L10" i="20"/>
  <c r="L19" i="20"/>
  <c r="L16" i="20"/>
  <c r="L7" i="20"/>
  <c r="I28" i="20"/>
  <c r="L3" i="20"/>
  <c r="B54" i="18"/>
  <c r="L25" i="20"/>
  <c r="L26" i="20"/>
  <c r="B36" i="18"/>
  <c r="L21" i="20"/>
  <c r="L13" i="20"/>
  <c r="L14" i="20"/>
  <c r="L6" i="20"/>
  <c r="L24" i="20"/>
  <c r="B42" i="18"/>
  <c r="L9" i="20"/>
  <c r="G28" i="20"/>
  <c r="L4" i="20"/>
  <c r="L23" i="20"/>
  <c r="AA27" i="20"/>
  <c r="AB3" i="14" l="1"/>
  <c r="AA2" i="14"/>
  <c r="B7" i="18"/>
  <c r="A7" i="18" s="1"/>
  <c r="A29" i="18"/>
  <c r="A30" i="18" s="1"/>
  <c r="A31" i="18" s="1"/>
  <c r="A32" i="18" s="1"/>
  <c r="A33" i="18" s="1"/>
  <c r="A34" i="18" s="1"/>
  <c r="B53" i="18"/>
  <c r="A53" i="18" s="1"/>
  <c r="A54" i="18" s="1"/>
  <c r="A55" i="18" s="1"/>
  <c r="B35" i="18"/>
  <c r="A35" i="18" s="1"/>
  <c r="A36" i="18" s="1"/>
  <c r="A37" i="18" s="1"/>
  <c r="B47" i="18"/>
  <c r="A47" i="18" s="1"/>
  <c r="A48" i="18" s="1"/>
  <c r="A49" i="18" s="1"/>
  <c r="B59" i="18"/>
  <c r="A59" i="18" s="1"/>
  <c r="A60" i="18" s="1"/>
  <c r="A61" i="18" s="1"/>
  <c r="B41" i="18"/>
  <c r="A41" i="18" s="1"/>
  <c r="A42" i="18" s="1"/>
  <c r="A43" i="18" s="1"/>
  <c r="A4" i="33"/>
  <c r="B1" i="33" s="1"/>
  <c r="B38" i="18"/>
  <c r="AI3" i="17"/>
  <c r="AH2" i="17"/>
  <c r="Q2" i="14"/>
  <c r="B30" i="20"/>
  <c r="N2" i="20"/>
  <c r="M27" i="20"/>
  <c r="D29" i="20"/>
  <c r="AA23" i="20"/>
  <c r="M6" i="20"/>
  <c r="I29" i="20"/>
  <c r="AA22" i="20"/>
  <c r="M10" i="20"/>
  <c r="AA28" i="20"/>
  <c r="G29" i="20"/>
  <c r="M9" i="20"/>
  <c r="M3" i="20"/>
  <c r="AA25" i="20"/>
  <c r="M4" i="20"/>
  <c r="AA29" i="20"/>
  <c r="M22" i="20"/>
  <c r="M5" i="20"/>
  <c r="M12" i="20"/>
  <c r="AA11" i="20"/>
  <c r="AA7" i="20"/>
  <c r="AA10" i="20"/>
  <c r="M29" i="20"/>
  <c r="AA18" i="20"/>
  <c r="AA6" i="20"/>
  <c r="AA9" i="20"/>
  <c r="AA4" i="20"/>
  <c r="M26" i="20"/>
  <c r="M23" i="20"/>
  <c r="AA19" i="20"/>
  <c r="E29" i="20"/>
  <c r="M16" i="20"/>
  <c r="M19" i="20"/>
  <c r="AA5" i="20"/>
  <c r="F29" i="20"/>
  <c r="M24" i="20"/>
  <c r="AA21" i="20"/>
  <c r="AA15" i="20"/>
  <c r="AA26" i="20"/>
  <c r="M7" i="20"/>
  <c r="AA20" i="20"/>
  <c r="AA13" i="20"/>
  <c r="M15" i="20"/>
  <c r="H29" i="20"/>
  <c r="AA12" i="20"/>
  <c r="M20" i="20"/>
  <c r="M13" i="20"/>
  <c r="M17" i="20"/>
  <c r="M11" i="20"/>
  <c r="K29" i="20"/>
  <c r="L30" i="20"/>
  <c r="AA17" i="20"/>
  <c r="C29" i="20"/>
  <c r="AA16" i="20"/>
  <c r="J29" i="20"/>
  <c r="M18" i="20"/>
  <c r="M21" i="20"/>
  <c r="AA14" i="20"/>
  <c r="M28" i="20"/>
  <c r="AA24" i="20"/>
  <c r="M25" i="20"/>
  <c r="M14" i="20"/>
  <c r="A31" i="20"/>
  <c r="AA3" i="20"/>
  <c r="AC3" i="14" l="1"/>
  <c r="AB2" i="14"/>
  <c r="A38" i="18"/>
  <c r="A39" i="18" s="1"/>
  <c r="A40" i="18" s="1"/>
  <c r="B44" i="18"/>
  <c r="A44" i="18" s="1"/>
  <c r="A45" i="18" s="1"/>
  <c r="A46" i="18" s="1"/>
  <c r="AJ3" i="17"/>
  <c r="AJ2" i="17" s="1"/>
  <c r="AI2" i="17"/>
  <c r="R2" i="14"/>
  <c r="B31" i="20"/>
  <c r="O2" i="20"/>
  <c r="P2" i="20"/>
  <c r="D30" i="20"/>
  <c r="N25" i="20"/>
  <c r="N10" i="20"/>
  <c r="N26" i="20"/>
  <c r="N13" i="20"/>
  <c r="N9" i="20"/>
  <c r="N28" i="20"/>
  <c r="N29" i="20"/>
  <c r="N24" i="20"/>
  <c r="J30" i="20"/>
  <c r="I30" i="20"/>
  <c r="AA30" i="20"/>
  <c r="N12" i="20"/>
  <c r="N30" i="20"/>
  <c r="H30" i="20"/>
  <c r="G30" i="20"/>
  <c r="N4" i="20"/>
  <c r="N5" i="20"/>
  <c r="N17" i="20"/>
  <c r="K30" i="20"/>
  <c r="C30" i="20"/>
  <c r="N7" i="20"/>
  <c r="N19" i="20"/>
  <c r="A32" i="20"/>
  <c r="F30" i="20"/>
  <c r="N11" i="20"/>
  <c r="N6" i="20"/>
  <c r="N21" i="20"/>
  <c r="N18" i="20"/>
  <c r="N15" i="20"/>
  <c r="N20" i="20"/>
  <c r="N22" i="20"/>
  <c r="N16" i="20"/>
  <c r="M30" i="20"/>
  <c r="N14" i="20"/>
  <c r="E30" i="20"/>
  <c r="N3" i="20"/>
  <c r="N23" i="20"/>
  <c r="N27" i="20"/>
  <c r="AD3" i="14" l="1"/>
  <c r="AC2" i="14"/>
  <c r="B50" i="18"/>
  <c r="A50" i="18" s="1"/>
  <c r="A51" i="18" s="1"/>
  <c r="A52" i="18" s="1"/>
  <c r="S2" i="14"/>
  <c r="B32" i="20"/>
  <c r="Q2" i="20"/>
  <c r="O11" i="20"/>
  <c r="P7" i="20"/>
  <c r="O19" i="20"/>
  <c r="P26" i="20"/>
  <c r="O27" i="20"/>
  <c r="P3" i="20"/>
  <c r="P22" i="20"/>
  <c r="P11" i="20"/>
  <c r="O26" i="20"/>
  <c r="P13" i="20"/>
  <c r="P31" i="20"/>
  <c r="P29" i="20"/>
  <c r="J31" i="20"/>
  <c r="O28" i="20"/>
  <c r="P25" i="20"/>
  <c r="O5" i="20"/>
  <c r="E31" i="20"/>
  <c r="O25" i="20"/>
  <c r="P10" i="20"/>
  <c r="O24" i="20"/>
  <c r="O29" i="20"/>
  <c r="O6" i="20"/>
  <c r="P5" i="20"/>
  <c r="P4" i="20"/>
  <c r="P17" i="20"/>
  <c r="P20" i="20"/>
  <c r="F31" i="20"/>
  <c r="P14" i="20"/>
  <c r="O12" i="20"/>
  <c r="L31" i="20"/>
  <c r="H31" i="20"/>
  <c r="P24" i="20"/>
  <c r="O4" i="20"/>
  <c r="P16" i="20"/>
  <c r="O7" i="20"/>
  <c r="O21" i="20"/>
  <c r="I31" i="20"/>
  <c r="P30" i="20"/>
  <c r="AA31" i="20"/>
  <c r="O14" i="20"/>
  <c r="O3" i="20"/>
  <c r="O31" i="20"/>
  <c r="P9" i="20"/>
  <c r="P6" i="20"/>
  <c r="P21" i="20"/>
  <c r="O9" i="20"/>
  <c r="M31" i="20"/>
  <c r="I32" i="20"/>
  <c r="O15" i="20"/>
  <c r="O16" i="20"/>
  <c r="O17" i="20"/>
  <c r="P18" i="20"/>
  <c r="P27" i="20"/>
  <c r="P19" i="20"/>
  <c r="C31" i="20"/>
  <c r="O30" i="20"/>
  <c r="P12" i="20"/>
  <c r="P23" i="20"/>
  <c r="O23" i="20"/>
  <c r="N31" i="20"/>
  <c r="O18" i="20"/>
  <c r="O22" i="20"/>
  <c r="P15" i="20"/>
  <c r="K31" i="20"/>
  <c r="O10" i="20"/>
  <c r="A33" i="20"/>
  <c r="D31" i="20"/>
  <c r="O13" i="20"/>
  <c r="G31" i="20"/>
  <c r="P28" i="20"/>
  <c r="O20" i="20"/>
  <c r="AE3" i="14" l="1"/>
  <c r="AD2" i="14"/>
  <c r="B56" i="18"/>
  <c r="A56" i="18" s="1"/>
  <c r="A57" i="18" s="1"/>
  <c r="A58" i="18" s="1"/>
  <c r="T2" i="14"/>
  <c r="B33" i="20"/>
  <c r="R2" i="20"/>
  <c r="Q11" i="20"/>
  <c r="Q16" i="20"/>
  <c r="Q18" i="20"/>
  <c r="Q27" i="20"/>
  <c r="K32" i="20"/>
  <c r="Q14" i="20"/>
  <c r="M32" i="20"/>
  <c r="Q6" i="20"/>
  <c r="Q3" i="20"/>
  <c r="Q22" i="20"/>
  <c r="Q12" i="20"/>
  <c r="Q5" i="20"/>
  <c r="Q9" i="20"/>
  <c r="Q25" i="20"/>
  <c r="H32" i="20"/>
  <c r="Q4" i="20"/>
  <c r="P32" i="20"/>
  <c r="F32" i="20"/>
  <c r="J32" i="20"/>
  <c r="Q28" i="20"/>
  <c r="AA32" i="20"/>
  <c r="D32" i="20"/>
  <c r="Q7" i="20"/>
  <c r="A34" i="20"/>
  <c r="Q20" i="20"/>
  <c r="Q32" i="20"/>
  <c r="Q17" i="20"/>
  <c r="E32" i="20"/>
  <c r="Q21" i="20"/>
  <c r="Q29" i="20"/>
  <c r="Q19" i="20"/>
  <c r="C32" i="20"/>
  <c r="Q13" i="20"/>
  <c r="L32" i="20"/>
  <c r="Q26" i="20"/>
  <c r="Q15" i="20"/>
  <c r="Q31" i="20"/>
  <c r="Q23" i="20"/>
  <c r="Q24" i="20"/>
  <c r="Q30" i="20"/>
  <c r="N32" i="20"/>
  <c r="Q10" i="20"/>
  <c r="G32" i="20"/>
  <c r="O32" i="20"/>
  <c r="AF3" i="14" l="1"/>
  <c r="AE2" i="14"/>
  <c r="B62" i="18"/>
  <c r="A62" i="18" s="1"/>
  <c r="A63" i="18" s="1"/>
  <c r="A64" i="18" s="1"/>
  <c r="B34" i="20"/>
  <c r="S2" i="20"/>
  <c r="R18" i="20"/>
  <c r="H33" i="20"/>
  <c r="N33" i="20"/>
  <c r="R11" i="20"/>
  <c r="P33" i="20"/>
  <c r="R23" i="20"/>
  <c r="R16" i="20"/>
  <c r="R24" i="20"/>
  <c r="R20" i="20"/>
  <c r="R28" i="20"/>
  <c r="R22" i="20"/>
  <c r="AA33" i="20"/>
  <c r="R5" i="20"/>
  <c r="F33" i="20"/>
  <c r="R15" i="20"/>
  <c r="M33" i="20"/>
  <c r="Q33" i="20"/>
  <c r="L33" i="20"/>
  <c r="R12" i="20"/>
  <c r="R7" i="20"/>
  <c r="R32" i="20"/>
  <c r="A35" i="20"/>
  <c r="R29" i="20"/>
  <c r="R14" i="20"/>
  <c r="O33" i="20"/>
  <c r="R19" i="20"/>
  <c r="R6" i="20"/>
  <c r="R17" i="20"/>
  <c r="C33" i="20"/>
  <c r="R9" i="20"/>
  <c r="R3" i="20"/>
  <c r="H34" i="20"/>
  <c r="D33" i="20"/>
  <c r="K33" i="20"/>
  <c r="R30" i="20"/>
  <c r="R4" i="20"/>
  <c r="E33" i="20"/>
  <c r="G33" i="20"/>
  <c r="I33" i="20"/>
  <c r="R10" i="20"/>
  <c r="R13" i="20"/>
  <c r="R27" i="20"/>
  <c r="J33" i="20"/>
  <c r="R26" i="20"/>
  <c r="R25" i="20"/>
  <c r="R21" i="20"/>
  <c r="R31" i="20"/>
  <c r="R33" i="20"/>
  <c r="AG3" i="14" l="1"/>
  <c r="AF2" i="14"/>
  <c r="B35" i="20"/>
  <c r="T2" i="20"/>
  <c r="S16" i="20"/>
  <c r="S13" i="20"/>
  <c r="S14" i="20"/>
  <c r="S29" i="20"/>
  <c r="S24" i="20"/>
  <c r="S9" i="20"/>
  <c r="S32" i="20"/>
  <c r="S25" i="20"/>
  <c r="S33" i="20"/>
  <c r="S19" i="20"/>
  <c r="S5" i="20"/>
  <c r="S11" i="20"/>
  <c r="A36" i="20"/>
  <c r="L34" i="20"/>
  <c r="J34" i="20"/>
  <c r="S18" i="20"/>
  <c r="P34" i="20"/>
  <c r="S21" i="20"/>
  <c r="O34" i="20"/>
  <c r="K34" i="20"/>
  <c r="AA34" i="20"/>
  <c r="G34" i="20"/>
  <c r="S10" i="20"/>
  <c r="S31" i="20"/>
  <c r="S34" i="20"/>
  <c r="C34" i="20"/>
  <c r="S27" i="20"/>
  <c r="D34" i="20"/>
  <c r="S6" i="20"/>
  <c r="I34" i="20"/>
  <c r="S28" i="20"/>
  <c r="M34" i="20"/>
  <c r="F34" i="20"/>
  <c r="N34" i="20"/>
  <c r="S4" i="20"/>
  <c r="S17" i="20"/>
  <c r="S3" i="20"/>
  <c r="H35" i="20"/>
  <c r="S30" i="20"/>
  <c r="S22" i="20"/>
  <c r="S15" i="20"/>
  <c r="R34" i="20"/>
  <c r="E34" i="20"/>
  <c r="S23" i="20"/>
  <c r="S12" i="20"/>
  <c r="S26" i="20"/>
  <c r="S7" i="20"/>
  <c r="Q34" i="20"/>
  <c r="S20" i="20"/>
  <c r="AG2" i="14" l="1"/>
  <c r="AH3" i="14"/>
  <c r="H28" i="15"/>
  <c r="H30" i="15" s="1"/>
  <c r="H32" i="15" s="1"/>
  <c r="H34" i="15" s="1"/>
  <c r="B36" i="20"/>
  <c r="U2" i="20"/>
  <c r="V2" i="20"/>
  <c r="T10" i="20"/>
  <c r="L35" i="20"/>
  <c r="Q35" i="20"/>
  <c r="T5" i="20"/>
  <c r="T34" i="20"/>
  <c r="T17" i="20"/>
  <c r="T29" i="20"/>
  <c r="H36" i="20"/>
  <c r="T30" i="20"/>
  <c r="A37" i="20"/>
  <c r="G35" i="20"/>
  <c r="T20" i="20"/>
  <c r="T3" i="20"/>
  <c r="T28" i="20"/>
  <c r="T27" i="20"/>
  <c r="C35" i="20"/>
  <c r="T16" i="20"/>
  <c r="M35" i="20"/>
  <c r="AA35" i="20"/>
  <c r="E35" i="20"/>
  <c r="T35" i="20"/>
  <c r="T31" i="20"/>
  <c r="T33" i="20"/>
  <c r="T32" i="20"/>
  <c r="T14" i="20"/>
  <c r="I35" i="20"/>
  <c r="T13" i="20"/>
  <c r="T12" i="20"/>
  <c r="R35" i="20"/>
  <c r="T4" i="20"/>
  <c r="D35" i="20"/>
  <c r="T15" i="20"/>
  <c r="T19" i="20"/>
  <c r="T26" i="20"/>
  <c r="F35" i="20"/>
  <c r="T9" i="20"/>
  <c r="J35" i="20"/>
  <c r="P35" i="20"/>
  <c r="T6" i="20"/>
  <c r="K35" i="20"/>
  <c r="T23" i="20"/>
  <c r="T11" i="20"/>
  <c r="T7" i="20"/>
  <c r="T22" i="20"/>
  <c r="T21" i="20"/>
  <c r="N35" i="20"/>
  <c r="S35" i="20"/>
  <c r="T25" i="20"/>
  <c r="T18" i="20"/>
  <c r="O35" i="20"/>
  <c r="T24" i="20"/>
  <c r="AI3" i="14" l="1"/>
  <c r="AH2" i="14"/>
  <c r="B37" i="20"/>
  <c r="W2" i="20"/>
  <c r="U12" i="20"/>
  <c r="V20" i="20"/>
  <c r="V29" i="20"/>
  <c r="V10" i="20"/>
  <c r="U27" i="20"/>
  <c r="R36" i="20"/>
  <c r="J36" i="20"/>
  <c r="U3" i="20"/>
  <c r="U4" i="20"/>
  <c r="U5" i="20"/>
  <c r="K37" i="20"/>
  <c r="U19" i="20"/>
  <c r="V17" i="20"/>
  <c r="U15" i="20"/>
  <c r="N36" i="20"/>
  <c r="V32" i="20"/>
  <c r="V23" i="20"/>
  <c r="V27" i="20"/>
  <c r="U28" i="20"/>
  <c r="V5" i="20"/>
  <c r="V15" i="20"/>
  <c r="V7" i="20"/>
  <c r="V22" i="20"/>
  <c r="V26" i="20"/>
  <c r="M36" i="20"/>
  <c r="P36" i="20"/>
  <c r="U14" i="20"/>
  <c r="O36" i="20"/>
  <c r="V25" i="20"/>
  <c r="I36" i="20"/>
  <c r="U10" i="20"/>
  <c r="U18" i="20"/>
  <c r="V3" i="20"/>
  <c r="Q36" i="20"/>
  <c r="U32" i="20"/>
  <c r="L36" i="20"/>
  <c r="G36" i="20"/>
  <c r="T36" i="20"/>
  <c r="V34" i="20"/>
  <c r="U29" i="20"/>
  <c r="U31" i="20"/>
  <c r="U9" i="20"/>
  <c r="V16" i="20"/>
  <c r="V6" i="20"/>
  <c r="V11" i="20"/>
  <c r="S36" i="20"/>
  <c r="U34" i="20"/>
  <c r="V21" i="20"/>
  <c r="V14" i="20"/>
  <c r="U30" i="20"/>
  <c r="U7" i="20"/>
  <c r="V24" i="20"/>
  <c r="U16" i="20"/>
  <c r="U23" i="20"/>
  <c r="U35" i="20"/>
  <c r="V35" i="20"/>
  <c r="V4" i="20"/>
  <c r="U20" i="20"/>
  <c r="U6" i="20"/>
  <c r="V33" i="20"/>
  <c r="D36" i="20"/>
  <c r="V31" i="20"/>
  <c r="U25" i="20"/>
  <c r="K36" i="20"/>
  <c r="C36" i="20"/>
  <c r="V30" i="20"/>
  <c r="U36" i="20"/>
  <c r="V19" i="20"/>
  <c r="U22" i="20"/>
  <c r="V13" i="20"/>
  <c r="V18" i="20"/>
  <c r="E36" i="20"/>
  <c r="U33" i="20"/>
  <c r="AA36" i="20"/>
  <c r="U11" i="20"/>
  <c r="V36" i="20"/>
  <c r="U26" i="20"/>
  <c r="U24" i="20"/>
  <c r="F36" i="20"/>
  <c r="U13" i="20"/>
  <c r="V9" i="20"/>
  <c r="A38" i="20"/>
  <c r="V28" i="20"/>
  <c r="U21" i="20"/>
  <c r="U17" i="20"/>
  <c r="V12" i="20"/>
  <c r="AJ3" i="14" l="1"/>
  <c r="AJ2" i="14" s="1"/>
  <c r="AI2" i="14"/>
  <c r="B38" i="20"/>
  <c r="X2" i="20"/>
  <c r="W6" i="20"/>
  <c r="W4" i="20"/>
  <c r="AA37" i="20"/>
  <c r="W22" i="20"/>
  <c r="W27" i="20"/>
  <c r="S37" i="20"/>
  <c r="R37" i="20"/>
  <c r="W29" i="20"/>
  <c r="A39" i="20"/>
  <c r="O37" i="20"/>
  <c r="W33" i="20"/>
  <c r="C37" i="20"/>
  <c r="W31" i="20"/>
  <c r="W19" i="20"/>
  <c r="G37" i="20"/>
  <c r="W3" i="20"/>
  <c r="E37" i="20"/>
  <c r="J37" i="20"/>
  <c r="Q37" i="20"/>
  <c r="W25" i="20"/>
  <c r="W30" i="20"/>
  <c r="F37" i="20"/>
  <c r="W13" i="20"/>
  <c r="W10" i="20"/>
  <c r="W37" i="20"/>
  <c r="W18" i="20"/>
  <c r="N37" i="20"/>
  <c r="W24" i="20"/>
  <c r="W7" i="20"/>
  <c r="W14" i="20"/>
  <c r="W26" i="20"/>
  <c r="D37" i="20"/>
  <c r="H37" i="20"/>
  <c r="W20" i="20"/>
  <c r="P37" i="20"/>
  <c r="L37" i="20"/>
  <c r="W17" i="20"/>
  <c r="W36" i="20"/>
  <c r="W35" i="20"/>
  <c r="M37" i="20"/>
  <c r="W21" i="20"/>
  <c r="W11" i="20"/>
  <c r="U37" i="20"/>
  <c r="W9" i="20"/>
  <c r="W34" i="20"/>
  <c r="I37" i="20"/>
  <c r="W12" i="20"/>
  <c r="N42" i="12"/>
  <c r="W5" i="20"/>
  <c r="V37" i="20"/>
  <c r="W23" i="20"/>
  <c r="W28" i="20"/>
  <c r="W16" i="20"/>
  <c r="W15" i="20"/>
  <c r="T37" i="20"/>
  <c r="W32" i="20"/>
  <c r="A1" i="29" l="1"/>
  <c r="N45" i="12"/>
  <c r="B5" i="29"/>
  <c r="B1" i="29" s="1"/>
  <c r="B39" i="20"/>
  <c r="Y2" i="20"/>
  <c r="Z2" i="20"/>
  <c r="R38" i="20"/>
  <c r="X35" i="20"/>
  <c r="X25" i="20"/>
  <c r="H39" i="20"/>
  <c r="X38" i="20"/>
  <c r="X5" i="20"/>
  <c r="Q38" i="20"/>
  <c r="T38" i="20"/>
  <c r="L38" i="20"/>
  <c r="X34" i="20"/>
  <c r="X4" i="20"/>
  <c r="E38" i="20"/>
  <c r="X33" i="20"/>
  <c r="X28" i="20"/>
  <c r="AA38" i="20"/>
  <c r="X26" i="20"/>
  <c r="X22" i="20"/>
  <c r="H38" i="20"/>
  <c r="X18" i="20"/>
  <c r="P38" i="20"/>
  <c r="X20" i="20"/>
  <c r="X15" i="20"/>
  <c r="X31" i="20"/>
  <c r="X6" i="20"/>
  <c r="G38" i="20"/>
  <c r="J38" i="20"/>
  <c r="X37" i="20"/>
  <c r="M38" i="20"/>
  <c r="X11" i="20"/>
  <c r="X21" i="20"/>
  <c r="X10" i="20"/>
  <c r="X24" i="20"/>
  <c r="X30" i="20"/>
  <c r="X32" i="20"/>
  <c r="X23" i="20"/>
  <c r="C38" i="20"/>
  <c r="A40" i="20"/>
  <c r="X12" i="20"/>
  <c r="X7" i="20"/>
  <c r="X14" i="20"/>
  <c r="V38" i="20"/>
  <c r="X9" i="20"/>
  <c r="K38" i="20"/>
  <c r="O38" i="20"/>
  <c r="X17" i="20"/>
  <c r="X3" i="20"/>
  <c r="U38" i="20"/>
  <c r="W38" i="20"/>
  <c r="X13" i="20"/>
  <c r="X27" i="20"/>
  <c r="D38" i="20"/>
  <c r="N38" i="20"/>
  <c r="F38" i="20"/>
  <c r="X19" i="20"/>
  <c r="S38" i="20"/>
  <c r="X16" i="20"/>
  <c r="I38" i="20"/>
  <c r="X29" i="20"/>
  <c r="X36" i="20"/>
  <c r="R5" i="12" l="1"/>
  <c r="H7" i="28"/>
  <c r="M25" i="12"/>
  <c r="AG2" i="29"/>
  <c r="R2" i="29"/>
  <c r="X2" i="29"/>
  <c r="AC2" i="29"/>
  <c r="U2" i="29"/>
  <c r="S2" i="29"/>
  <c r="Y2" i="29"/>
  <c r="AH2" i="29"/>
  <c r="H2" i="29"/>
  <c r="M2" i="29"/>
  <c r="AA2" i="29"/>
  <c r="AB2" i="29"/>
  <c r="E2" i="29"/>
  <c r="AF2" i="29"/>
  <c r="Z2" i="29"/>
  <c r="AD2" i="29"/>
  <c r="I2" i="29"/>
  <c r="V2" i="29"/>
  <c r="L2" i="29"/>
  <c r="F2" i="29"/>
  <c r="D2" i="29"/>
  <c r="W2" i="29"/>
  <c r="C2" i="29"/>
  <c r="J2" i="29"/>
  <c r="O2" i="29"/>
  <c r="AJ2" i="29"/>
  <c r="AE2" i="29"/>
  <c r="Q2" i="29"/>
  <c r="N2" i="29"/>
  <c r="G2" i="29"/>
  <c r="T2" i="29"/>
  <c r="K2" i="29"/>
  <c r="P2" i="29"/>
  <c r="AI2" i="29"/>
  <c r="B2" i="29"/>
  <c r="B40" i="20"/>
  <c r="B8" i="20"/>
  <c r="B32" i="25"/>
  <c r="AA39" i="20"/>
  <c r="Z28" i="20"/>
  <c r="Z32" i="20"/>
  <c r="B53" i="25"/>
  <c r="P39" i="20"/>
  <c r="Y14" i="20"/>
  <c r="Z12" i="20"/>
  <c r="Y3" i="20"/>
  <c r="Y17" i="20"/>
  <c r="K39" i="20"/>
  <c r="Z22" i="20"/>
  <c r="Y15" i="20"/>
  <c r="Z39" i="20"/>
  <c r="Z23" i="20"/>
  <c r="B36" i="25"/>
  <c r="N39" i="20"/>
  <c r="F39" i="20"/>
  <c r="I39" i="20"/>
  <c r="Y23" i="20"/>
  <c r="B50" i="25"/>
  <c r="X39" i="20"/>
  <c r="B47" i="25"/>
  <c r="K40" i="20"/>
  <c r="Y7" i="20"/>
  <c r="Y26" i="20"/>
  <c r="Z9" i="20"/>
  <c r="Z21" i="20"/>
  <c r="B38" i="25"/>
  <c r="Y38" i="20"/>
  <c r="Y35" i="20"/>
  <c r="Y37" i="20"/>
  <c r="Y24" i="20"/>
  <c r="Y19" i="20"/>
  <c r="Y31" i="20"/>
  <c r="Z16" i="20"/>
  <c r="B30" i="25"/>
  <c r="Y29" i="20"/>
  <c r="Z5" i="20"/>
  <c r="B59" i="25"/>
  <c r="A41" i="20"/>
  <c r="J39" i="20"/>
  <c r="B42" i="25"/>
  <c r="E39" i="20"/>
  <c r="Z24" i="20"/>
  <c r="B54" i="25"/>
  <c r="Y27" i="20"/>
  <c r="B56" i="25"/>
  <c r="Y20" i="20"/>
  <c r="Z3" i="20"/>
  <c r="B44" i="25"/>
  <c r="Z29" i="20"/>
  <c r="Z36" i="20"/>
  <c r="Y33" i="20"/>
  <c r="Z38" i="20"/>
  <c r="V39" i="20"/>
  <c r="Z6" i="20"/>
  <c r="Y21" i="20"/>
  <c r="B29" i="25"/>
  <c r="Q39" i="20"/>
  <c r="Z30" i="20"/>
  <c r="W39" i="20"/>
  <c r="Y4" i="20"/>
  <c r="Z15" i="20"/>
  <c r="B24" i="25"/>
  <c r="M39" i="20"/>
  <c r="Y36" i="20"/>
  <c r="T39" i="20"/>
  <c r="Z13" i="20"/>
  <c r="Y12" i="20"/>
  <c r="Z20" i="20"/>
  <c r="Y39" i="20"/>
  <c r="Z34" i="20"/>
  <c r="Y9" i="20"/>
  <c r="Z25" i="20"/>
  <c r="Z10" i="20"/>
  <c r="S39" i="20"/>
  <c r="B35" i="25"/>
  <c r="Z7" i="20"/>
  <c r="Z33" i="20"/>
  <c r="U39" i="20"/>
  <c r="B60" i="25"/>
  <c r="Y11" i="20"/>
  <c r="Z19" i="20"/>
  <c r="O39" i="20"/>
  <c r="Y5" i="20"/>
  <c r="Z27" i="20"/>
  <c r="Z11" i="20"/>
  <c r="Y16" i="20"/>
  <c r="R39" i="20"/>
  <c r="Y10" i="20"/>
  <c r="Z17" i="20"/>
  <c r="Y22" i="20"/>
  <c r="Z4" i="20"/>
  <c r="B48" i="25"/>
  <c r="Z18" i="20"/>
  <c r="Z35" i="20"/>
  <c r="Y13" i="20"/>
  <c r="G39" i="20"/>
  <c r="B26" i="25"/>
  <c r="Y18" i="20"/>
  <c r="B23" i="25"/>
  <c r="Y34" i="20"/>
  <c r="Y25" i="20"/>
  <c r="Y6" i="20"/>
  <c r="Z14" i="20"/>
  <c r="L39" i="20"/>
  <c r="Z31" i="20"/>
  <c r="Y30" i="20"/>
  <c r="Z37" i="20"/>
  <c r="B41" i="25"/>
  <c r="Y28" i="20"/>
  <c r="Y32" i="20"/>
  <c r="D39" i="20"/>
  <c r="Z26" i="20"/>
  <c r="C39" i="20"/>
  <c r="B62" i="25"/>
  <c r="B18" i="25" l="1"/>
  <c r="B7" i="25"/>
  <c r="A7" i="25" s="1"/>
  <c r="B17" i="25"/>
  <c r="B20" i="25"/>
  <c r="R5" i="16"/>
  <c r="R5" i="31"/>
  <c r="B4" i="25"/>
  <c r="A4" i="25" s="1"/>
  <c r="R5" i="15"/>
  <c r="R5" i="28"/>
  <c r="R5" i="27"/>
  <c r="R5" i="22"/>
  <c r="A38" i="25"/>
  <c r="A35" i="25"/>
  <c r="A37" i="25"/>
  <c r="A40" i="25"/>
  <c r="A36" i="25"/>
  <c r="A39" i="25"/>
  <c r="A26" i="25"/>
  <c r="A27" i="25"/>
  <c r="A25" i="25"/>
  <c r="A28" i="25"/>
  <c r="A24" i="25"/>
  <c r="A23" i="25"/>
  <c r="A34" i="25"/>
  <c r="A30" i="25"/>
  <c r="A33" i="25"/>
  <c r="A29" i="25"/>
  <c r="A32" i="25"/>
  <c r="A31" i="25"/>
  <c r="A58" i="25"/>
  <c r="A54" i="25"/>
  <c r="A57" i="25"/>
  <c r="A53" i="25"/>
  <c r="A56" i="25"/>
  <c r="A55" i="25"/>
  <c r="A50" i="25"/>
  <c r="A47" i="25"/>
  <c r="A49" i="25"/>
  <c r="A52" i="25"/>
  <c r="A48" i="25"/>
  <c r="A51" i="25"/>
  <c r="A46" i="25"/>
  <c r="A42" i="25"/>
  <c r="A45" i="25"/>
  <c r="A41" i="25"/>
  <c r="A44" i="25"/>
  <c r="A43" i="25"/>
  <c r="A60" i="25"/>
  <c r="A61" i="25"/>
  <c r="A62" i="25"/>
  <c r="A63" i="25"/>
  <c r="A64" i="25"/>
  <c r="A59" i="25"/>
  <c r="B41" i="20"/>
  <c r="S40" i="20"/>
  <c r="E8" i="20"/>
  <c r="V40" i="20"/>
  <c r="T40" i="20"/>
  <c r="X8" i="20"/>
  <c r="U8" i="20"/>
  <c r="L40" i="20"/>
  <c r="O40" i="20"/>
  <c r="W40" i="20"/>
  <c r="F8" i="20"/>
  <c r="E40" i="20"/>
  <c r="C40" i="20"/>
  <c r="G8" i="20"/>
  <c r="V8" i="20"/>
  <c r="S8" i="20"/>
  <c r="Y40" i="20"/>
  <c r="J40" i="20"/>
  <c r="H8" i="20"/>
  <c r="L8" i="20"/>
  <c r="C8" i="20"/>
  <c r="Q40" i="20"/>
  <c r="N40" i="20"/>
  <c r="H40" i="20"/>
  <c r="O8" i="20"/>
  <c r="AA40" i="20"/>
  <c r="Y8" i="20"/>
  <c r="Z40" i="20"/>
  <c r="AA8" i="20"/>
  <c r="I8" i="20"/>
  <c r="A42" i="20"/>
  <c r="X40" i="20"/>
  <c r="F40" i="20"/>
  <c r="P8" i="20"/>
  <c r="N8" i="20"/>
  <c r="D40" i="20"/>
  <c r="K8" i="20"/>
  <c r="W8" i="20"/>
  <c r="Q8" i="20"/>
  <c r="R40" i="20"/>
  <c r="M40" i="20"/>
  <c r="M8" i="20"/>
  <c r="T8" i="20"/>
  <c r="R8" i="20"/>
  <c r="U40" i="20"/>
  <c r="Z8" i="20"/>
  <c r="G40" i="20"/>
  <c r="P40" i="20"/>
  <c r="J8" i="20"/>
  <c r="I40" i="20"/>
  <c r="I41" i="20"/>
  <c r="A17" i="25" l="1"/>
  <c r="A21" i="25"/>
  <c r="A22" i="25"/>
  <c r="A19" i="25"/>
  <c r="A20" i="25"/>
  <c r="A18" i="25"/>
  <c r="B42" i="20"/>
  <c r="X41" i="20"/>
  <c r="J41" i="20"/>
  <c r="G41" i="20"/>
  <c r="T41" i="20"/>
  <c r="P41" i="20"/>
  <c r="E41" i="20"/>
  <c r="U41" i="20"/>
  <c r="D8" i="20"/>
  <c r="A43" i="20"/>
  <c r="M41" i="20"/>
  <c r="AA41" i="20"/>
  <c r="H41" i="20"/>
  <c r="Y41" i="20"/>
  <c r="N41" i="20"/>
  <c r="V41" i="20"/>
  <c r="K41" i="20"/>
  <c r="C41" i="20"/>
  <c r="F41" i="20"/>
  <c r="R41" i="20"/>
  <c r="O41" i="20"/>
  <c r="S41" i="20"/>
  <c r="L41" i="20"/>
  <c r="Q41" i="20"/>
  <c r="D41" i="20"/>
  <c r="K42" i="20"/>
  <c r="W41" i="20"/>
  <c r="Z41" i="20"/>
  <c r="B1" i="25" l="1"/>
  <c r="B15" i="21"/>
  <c r="A15" i="21" s="1"/>
  <c r="B1" i="21" s="1"/>
  <c r="B43" i="20"/>
  <c r="G42" i="20"/>
  <c r="E42" i="20"/>
  <c r="D42" i="20"/>
  <c r="C42" i="20"/>
  <c r="W42" i="20"/>
  <c r="M42" i="20"/>
  <c r="Z42" i="20"/>
  <c r="H42" i="20"/>
  <c r="Y42" i="20"/>
  <c r="E43" i="20"/>
  <c r="P42" i="20"/>
  <c r="Q42" i="20"/>
  <c r="U42" i="20"/>
  <c r="N42" i="20"/>
  <c r="L42" i="20"/>
  <c r="AA42" i="20"/>
  <c r="J42" i="20"/>
  <c r="T42" i="20"/>
  <c r="X42" i="20"/>
  <c r="R42" i="20"/>
  <c r="S42" i="20"/>
  <c r="A44" i="20"/>
  <c r="O42" i="20"/>
  <c r="F42" i="20"/>
  <c r="I42" i="20"/>
  <c r="V42" i="20"/>
  <c r="H7" i="15" l="1"/>
  <c r="B5" i="14"/>
  <c r="B1" i="14" s="1"/>
  <c r="B2" i="14"/>
  <c r="B4" i="18" s="1"/>
  <c r="A4" i="18" s="1"/>
  <c r="B1" i="18" s="1"/>
  <c r="B44" i="20"/>
  <c r="N43" i="20"/>
  <c r="V43" i="20"/>
  <c r="F43" i="20"/>
  <c r="Q43" i="20"/>
  <c r="J44" i="20"/>
  <c r="Y43" i="20"/>
  <c r="E44" i="20"/>
  <c r="S44" i="20"/>
  <c r="Q44" i="20"/>
  <c r="M43" i="20"/>
  <c r="O43" i="20"/>
  <c r="I43" i="20"/>
  <c r="I44" i="20"/>
  <c r="Y44" i="20"/>
  <c r="L43" i="20"/>
  <c r="M44" i="20"/>
  <c r="H43" i="20"/>
  <c r="T44" i="20"/>
  <c r="U43" i="20"/>
  <c r="L44" i="20"/>
  <c r="S43" i="20"/>
  <c r="AA44" i="20"/>
  <c r="D44" i="20"/>
  <c r="D43" i="20"/>
  <c r="N44" i="20"/>
  <c r="J43" i="20"/>
  <c r="P43" i="20"/>
  <c r="C44" i="20"/>
  <c r="T43" i="20"/>
  <c r="R44" i="20"/>
  <c r="C43" i="20"/>
  <c r="V44" i="20"/>
  <c r="F44" i="20"/>
  <c r="P44" i="20"/>
  <c r="Z44" i="20"/>
  <c r="R43" i="20"/>
  <c r="G44" i="20"/>
  <c r="X43" i="20"/>
  <c r="K44" i="20"/>
  <c r="A45" i="20"/>
  <c r="W43" i="20"/>
  <c r="X44" i="20"/>
  <c r="H44" i="20"/>
  <c r="AA43" i="20"/>
  <c r="W44" i="20"/>
  <c r="K43" i="20"/>
  <c r="U44" i="20"/>
  <c r="O44" i="20"/>
  <c r="Z43" i="20"/>
  <c r="G43" i="20"/>
  <c r="B45" i="20" l="1"/>
  <c r="H45" i="20"/>
  <c r="A46" i="20"/>
  <c r="L45" i="20"/>
  <c r="G45" i="20"/>
  <c r="Y45" i="20"/>
  <c r="F45" i="20"/>
  <c r="V45" i="20"/>
  <c r="O45" i="20"/>
  <c r="N45" i="20"/>
  <c r="R45" i="20"/>
  <c r="U45" i="20"/>
  <c r="W45" i="20"/>
  <c r="K45" i="20"/>
  <c r="E45" i="20"/>
  <c r="X45" i="20"/>
  <c r="I45" i="20"/>
  <c r="D45" i="20"/>
  <c r="C45" i="20"/>
  <c r="S45" i="20"/>
  <c r="P45" i="20"/>
  <c r="Q45" i="20"/>
  <c r="Z45" i="20"/>
  <c r="T45" i="20"/>
  <c r="B46" i="20" l="1"/>
  <c r="G46" i="20"/>
  <c r="O46" i="20"/>
  <c r="I46" i="20"/>
  <c r="Q46" i="20"/>
  <c r="P46" i="20"/>
  <c r="H46" i="20"/>
  <c r="AA45" i="20"/>
  <c r="K46" i="20"/>
  <c r="L46" i="20"/>
  <c r="W46" i="20"/>
  <c r="X46" i="20"/>
  <c r="U46" i="20"/>
  <c r="S46" i="20"/>
  <c r="R46" i="20"/>
  <c r="A47" i="20"/>
  <c r="V46" i="20"/>
  <c r="T46" i="20"/>
  <c r="E46" i="20"/>
  <c r="AA46" i="20"/>
  <c r="D46" i="20"/>
  <c r="C46" i="20"/>
  <c r="M46" i="20"/>
  <c r="N46" i="20"/>
  <c r="Y46" i="20"/>
  <c r="F46" i="20"/>
  <c r="J45" i="20"/>
  <c r="J46" i="20"/>
  <c r="Z46" i="20"/>
  <c r="M45" i="20"/>
  <c r="B47" i="20" l="1"/>
  <c r="A48" i="20"/>
  <c r="O47" i="20"/>
  <c r="W47" i="20"/>
  <c r="V47" i="20"/>
  <c r="Q47" i="20"/>
  <c r="D47" i="20"/>
  <c r="N47" i="20"/>
  <c r="R47" i="20"/>
  <c r="L47" i="20"/>
  <c r="S47" i="20"/>
  <c r="M47" i="20"/>
  <c r="X47" i="20"/>
  <c r="P47" i="20"/>
  <c r="G47" i="20"/>
  <c r="T47" i="20"/>
  <c r="B48" i="20" l="1"/>
  <c r="A49" i="20"/>
  <c r="Z47" i="20"/>
  <c r="AA47" i="20"/>
  <c r="K47" i="20"/>
  <c r="J47" i="20"/>
  <c r="C47" i="20"/>
  <c r="E47" i="20"/>
  <c r="I47" i="20"/>
  <c r="Y47" i="20"/>
  <c r="F47" i="20"/>
  <c r="H47" i="20"/>
  <c r="U47" i="20"/>
  <c r="AA48" i="20"/>
  <c r="B49" i="20" l="1"/>
  <c r="A50" i="20"/>
  <c r="G49" i="20"/>
  <c r="R49" i="20"/>
  <c r="I49" i="20"/>
  <c r="H49" i="20"/>
  <c r="Z49" i="20"/>
  <c r="E49" i="20"/>
  <c r="D48" i="20"/>
  <c r="S48" i="20"/>
  <c r="W48" i="20"/>
  <c r="I48" i="20"/>
  <c r="P48" i="20"/>
  <c r="Z48" i="20"/>
  <c r="L49" i="20"/>
  <c r="L48" i="20"/>
  <c r="J48" i="20"/>
  <c r="K49" i="20"/>
  <c r="D49" i="20"/>
  <c r="W49" i="20"/>
  <c r="U49" i="20"/>
  <c r="F48" i="20"/>
  <c r="S49" i="20"/>
  <c r="AA49" i="20"/>
  <c r="X49" i="20"/>
  <c r="Q48" i="20"/>
  <c r="O48" i="20"/>
  <c r="C48" i="20"/>
  <c r="U48" i="20"/>
  <c r="T48" i="20"/>
  <c r="K48" i="20"/>
  <c r="J49" i="20"/>
  <c r="V48" i="20"/>
  <c r="Y49" i="20"/>
  <c r="C49" i="20"/>
  <c r="V49" i="20"/>
  <c r="O49" i="20"/>
  <c r="E48" i="20"/>
  <c r="R48" i="20"/>
  <c r="Y48" i="20"/>
  <c r="G48" i="20"/>
  <c r="H48" i="20"/>
  <c r="X48" i="20"/>
  <c r="T49" i="20"/>
  <c r="M48" i="20"/>
  <c r="N48" i="20"/>
  <c r="N49" i="20"/>
  <c r="B50" i="20" l="1"/>
  <c r="E50" i="20"/>
  <c r="W50" i="20"/>
  <c r="D50" i="20"/>
  <c r="L50" i="20"/>
  <c r="R50" i="20"/>
  <c r="M49" i="20"/>
  <c r="Z50" i="20"/>
  <c r="F50" i="20"/>
  <c r="G50" i="20"/>
  <c r="U50" i="20"/>
  <c r="H50" i="20"/>
  <c r="P50" i="20"/>
  <c r="Q50" i="20"/>
  <c r="I50" i="20"/>
  <c r="S50" i="20"/>
  <c r="Q49" i="20"/>
  <c r="Y50" i="20"/>
  <c r="K50" i="20"/>
  <c r="C50" i="20"/>
  <c r="V50" i="20"/>
  <c r="X50" i="20"/>
  <c r="AA50" i="20"/>
  <c r="J50" i="20"/>
  <c r="P49" i="20"/>
  <c r="A51" i="20"/>
  <c r="M50" i="20"/>
  <c r="F49" i="20"/>
  <c r="T50" i="20"/>
  <c r="B51" i="20" l="1"/>
  <c r="Z51" i="20"/>
  <c r="Y51" i="20"/>
  <c r="H51" i="20"/>
  <c r="U51" i="20"/>
  <c r="F51" i="20"/>
  <c r="C51" i="20"/>
  <c r="A52" i="20"/>
  <c r="I51" i="20"/>
  <c r="S51" i="20"/>
  <c r="AA51" i="20"/>
  <c r="O51" i="20"/>
  <c r="Q51" i="20"/>
  <c r="W51" i="20"/>
  <c r="T51" i="20"/>
  <c r="K51" i="20"/>
  <c r="V51" i="20"/>
  <c r="N51" i="20"/>
  <c r="P51" i="20"/>
  <c r="R51" i="20"/>
  <c r="G51" i="20"/>
  <c r="M51" i="20"/>
  <c r="L51" i="20"/>
  <c r="J51" i="20"/>
  <c r="X51" i="20"/>
  <c r="N50" i="20"/>
  <c r="O50" i="20"/>
  <c r="E51" i="20"/>
  <c r="D51" i="20"/>
  <c r="B52" i="20" l="1"/>
  <c r="U52" i="20"/>
  <c r="R52" i="20"/>
  <c r="P52" i="20"/>
  <c r="E52" i="20"/>
  <c r="S52" i="20"/>
  <c r="Z52" i="20"/>
  <c r="A53" i="20"/>
  <c r="G52" i="20"/>
  <c r="AA52" i="20"/>
  <c r="X52" i="20"/>
  <c r="J52" i="20"/>
  <c r="Q52" i="20"/>
  <c r="C52" i="20"/>
  <c r="L52" i="20"/>
  <c r="M52" i="20"/>
  <c r="F52" i="20"/>
  <c r="Y52" i="20"/>
  <c r="B53" i="20" l="1"/>
  <c r="A54" i="20"/>
  <c r="Q53" i="20"/>
  <c r="M53" i="20"/>
  <c r="K52" i="20"/>
  <c r="V52" i="20"/>
  <c r="V53" i="20"/>
  <c r="X53" i="20"/>
  <c r="W52" i="20"/>
  <c r="O53" i="20"/>
  <c r="S53" i="20"/>
  <c r="O52" i="20"/>
  <c r="P53" i="20"/>
  <c r="D53" i="20"/>
  <c r="K53" i="20"/>
  <c r="J53" i="20"/>
  <c r="AA53" i="20"/>
  <c r="C53" i="20"/>
  <c r="N52" i="20"/>
  <c r="H53" i="20"/>
  <c r="I53" i="20"/>
  <c r="I52" i="20"/>
  <c r="H52" i="20"/>
  <c r="T52" i="20"/>
  <c r="U53" i="20"/>
  <c r="E53" i="20"/>
  <c r="T53" i="20"/>
  <c r="D52" i="20"/>
  <c r="Y53" i="20"/>
  <c r="B54" i="20" l="1"/>
  <c r="I54" i="20"/>
  <c r="L54" i="20"/>
  <c r="W53" i="20"/>
  <c r="Z53" i="20"/>
  <c r="R54" i="20"/>
  <c r="H54" i="20"/>
  <c r="L53" i="20"/>
  <c r="R53" i="20"/>
  <c r="E54" i="20"/>
  <c r="X54" i="20"/>
  <c r="U54" i="20"/>
  <c r="A55" i="20"/>
  <c r="T54" i="20"/>
  <c r="F53" i="20"/>
  <c r="N54" i="20"/>
  <c r="F54" i="20"/>
  <c r="Z54" i="20"/>
  <c r="Q54" i="20"/>
  <c r="J54" i="20"/>
  <c r="G53" i="20"/>
  <c r="N53" i="20"/>
  <c r="V54" i="20"/>
  <c r="B55" i="20" l="1"/>
  <c r="Y54" i="20"/>
  <c r="C54" i="20"/>
  <c r="P54" i="20"/>
  <c r="S54" i="20"/>
  <c r="D54" i="20"/>
  <c r="AA54" i="20"/>
  <c r="K54" i="20"/>
  <c r="W54" i="20"/>
  <c r="A56" i="20"/>
  <c r="Y55" i="20"/>
  <c r="S55" i="20"/>
  <c r="O54" i="20"/>
  <c r="M54" i="20"/>
  <c r="G54" i="20"/>
  <c r="U55" i="20"/>
  <c r="B56" i="20" l="1"/>
  <c r="T55" i="20"/>
  <c r="G55" i="20"/>
  <c r="Q55" i="20"/>
  <c r="K55" i="20"/>
  <c r="E55" i="20"/>
  <c r="M55" i="20"/>
  <c r="AA55" i="20"/>
  <c r="W55" i="20"/>
  <c r="J55" i="20"/>
  <c r="A57" i="20"/>
  <c r="Z56" i="20"/>
  <c r="G56" i="20"/>
  <c r="H56" i="20"/>
  <c r="D56" i="20"/>
  <c r="N56" i="20"/>
  <c r="C56" i="20"/>
  <c r="P55" i="20"/>
  <c r="L55" i="20"/>
  <c r="N55" i="20"/>
  <c r="W56" i="20"/>
  <c r="M56" i="20"/>
  <c r="S56" i="20"/>
  <c r="AA56" i="20"/>
  <c r="F56" i="20"/>
  <c r="T56" i="20"/>
  <c r="R55" i="20"/>
  <c r="V55" i="20"/>
  <c r="C55" i="20"/>
  <c r="P56" i="20"/>
  <c r="E56" i="20"/>
  <c r="Y56" i="20"/>
  <c r="L56" i="20"/>
  <c r="O56" i="20"/>
  <c r="H55" i="20"/>
  <c r="Z55" i="20"/>
  <c r="X55" i="20"/>
  <c r="I55" i="20"/>
  <c r="D55" i="20"/>
  <c r="F55" i="20"/>
  <c r="O55" i="20"/>
  <c r="X56" i="20"/>
  <c r="B57" i="20" l="1"/>
  <c r="R56" i="20"/>
  <c r="V56" i="20"/>
  <c r="C57" i="20"/>
  <c r="Q56" i="20"/>
  <c r="U56" i="20"/>
  <c r="I56" i="20"/>
  <c r="U57" i="20"/>
  <c r="G57" i="20"/>
  <c r="X57" i="20"/>
  <c r="S57" i="20"/>
  <c r="V57" i="20"/>
  <c r="A58" i="20"/>
  <c r="O57" i="20"/>
  <c r="D57" i="20"/>
  <c r="P57" i="20"/>
  <c r="K56" i="20"/>
  <c r="J56" i="20"/>
  <c r="W57" i="20"/>
  <c r="B58" i="20" l="1"/>
  <c r="A59" i="20"/>
  <c r="C58" i="20"/>
  <c r="T58" i="20"/>
  <c r="T57" i="20"/>
  <c r="AA57" i="20"/>
  <c r="I57" i="20"/>
  <c r="F58" i="20"/>
  <c r="H57" i="20"/>
  <c r="F57" i="20"/>
  <c r="K57" i="20"/>
  <c r="Z57" i="20"/>
  <c r="Q57" i="20"/>
  <c r="R57" i="20"/>
  <c r="Q58" i="20"/>
  <c r="W58" i="20"/>
  <c r="U58" i="20"/>
  <c r="Y58" i="20"/>
  <c r="E57" i="20"/>
  <c r="J57" i="20"/>
  <c r="N57" i="20"/>
  <c r="M57" i="20"/>
  <c r="Y57" i="20"/>
  <c r="L57" i="20"/>
  <c r="AA58" i="20"/>
  <c r="I58" i="20"/>
  <c r="B59" i="20" l="1"/>
  <c r="G58" i="20"/>
  <c r="S58" i="20"/>
  <c r="X58" i="20"/>
  <c r="O58" i="20"/>
  <c r="D58" i="20"/>
  <c r="A60" i="20"/>
  <c r="M59" i="20"/>
  <c r="I59" i="20"/>
  <c r="S59" i="20"/>
  <c r="Q59" i="20"/>
  <c r="P58" i="20"/>
  <c r="H58" i="20"/>
  <c r="E58" i="20"/>
  <c r="K58" i="20"/>
  <c r="M58" i="20"/>
  <c r="X59" i="20"/>
  <c r="P59" i="20"/>
  <c r="F59" i="20"/>
  <c r="O59" i="20"/>
  <c r="K59" i="20"/>
  <c r="R58" i="20"/>
  <c r="N58" i="20"/>
  <c r="Z58" i="20"/>
  <c r="V58" i="20"/>
  <c r="J58" i="20"/>
  <c r="L58" i="20"/>
  <c r="Z59" i="20"/>
  <c r="B60" i="20" l="1"/>
  <c r="A61" i="20"/>
  <c r="G60" i="20"/>
  <c r="D60" i="20"/>
  <c r="J59" i="20"/>
  <c r="AA59" i="20"/>
  <c r="R59" i="20"/>
  <c r="W59" i="20"/>
  <c r="N60" i="20"/>
  <c r="T59" i="20"/>
  <c r="D59" i="20"/>
  <c r="V59" i="20"/>
  <c r="H59" i="20"/>
  <c r="N59" i="20"/>
  <c r="C59" i="20"/>
  <c r="Z60" i="20"/>
  <c r="L60" i="20"/>
  <c r="W60" i="20"/>
  <c r="M60" i="20"/>
  <c r="L59" i="20"/>
  <c r="U59" i="20"/>
  <c r="Y59" i="20"/>
  <c r="E59" i="20"/>
  <c r="G59" i="20"/>
  <c r="C60" i="20"/>
  <c r="U60" i="20"/>
  <c r="B61" i="20" l="1"/>
  <c r="R60" i="20"/>
  <c r="F60" i="20"/>
  <c r="J60" i="20"/>
  <c r="H60" i="20"/>
  <c r="X60" i="20"/>
  <c r="AA60" i="20"/>
  <c r="O60" i="20"/>
  <c r="Y60" i="20"/>
  <c r="P60" i="20"/>
  <c r="V60" i="20"/>
  <c r="A62" i="20"/>
  <c r="Y61" i="20"/>
  <c r="J61" i="20"/>
  <c r="R61" i="20"/>
  <c r="W61" i="20"/>
  <c r="K60" i="20"/>
  <c r="Q60" i="20"/>
  <c r="X61" i="20"/>
  <c r="Z61" i="20"/>
  <c r="Q61" i="20"/>
  <c r="S60" i="20"/>
  <c r="T60" i="20"/>
  <c r="E60" i="20"/>
  <c r="I60" i="20"/>
  <c r="D61" i="20"/>
  <c r="B62" i="20" l="1"/>
  <c r="A63" i="20"/>
  <c r="S62" i="20"/>
  <c r="O62" i="20"/>
  <c r="K62" i="20"/>
  <c r="F61" i="20"/>
  <c r="E61" i="20"/>
  <c r="S61" i="20"/>
  <c r="L61" i="20"/>
  <c r="C61" i="20"/>
  <c r="G62" i="20"/>
  <c r="AA61" i="20"/>
  <c r="O61" i="20"/>
  <c r="N61" i="20"/>
  <c r="U61" i="20"/>
  <c r="J62" i="20"/>
  <c r="N62" i="20"/>
  <c r="P62" i="20"/>
  <c r="I61" i="20"/>
  <c r="M61" i="20"/>
  <c r="V61" i="20"/>
  <c r="I62" i="20"/>
  <c r="H62" i="20"/>
  <c r="F62" i="20"/>
  <c r="E62" i="20"/>
  <c r="K61" i="20"/>
  <c r="H61" i="20"/>
  <c r="T61" i="20"/>
  <c r="G61" i="20"/>
  <c r="P61" i="20"/>
  <c r="R62" i="20"/>
  <c r="B63" i="20" l="1"/>
  <c r="U63" i="20"/>
  <c r="Q63" i="20"/>
  <c r="F63" i="20"/>
  <c r="K63" i="20"/>
  <c r="W63" i="20"/>
  <c r="X63" i="20"/>
  <c r="U62" i="20"/>
  <c r="M62" i="20"/>
  <c r="W62" i="20"/>
  <c r="A64" i="20"/>
  <c r="Y63" i="20"/>
  <c r="E63" i="20"/>
  <c r="AA63" i="20"/>
  <c r="R63" i="20"/>
  <c r="N63" i="20"/>
  <c r="M63" i="20"/>
  <c r="Y62" i="20"/>
  <c r="C62" i="20"/>
  <c r="L62" i="20"/>
  <c r="D62" i="20"/>
  <c r="S63" i="20"/>
  <c r="T63" i="20"/>
  <c r="V63" i="20"/>
  <c r="H63" i="20"/>
  <c r="C63" i="20"/>
  <c r="O63" i="20"/>
  <c r="J63" i="20"/>
  <c r="X62" i="20"/>
  <c r="Q62" i="20"/>
  <c r="Z63" i="20"/>
  <c r="D63" i="20"/>
  <c r="G63" i="20"/>
  <c r="I63" i="20"/>
  <c r="P63" i="20"/>
  <c r="L63" i="20"/>
  <c r="AA62" i="20"/>
  <c r="Z62" i="20"/>
  <c r="T62" i="20"/>
  <c r="V62" i="20"/>
  <c r="B64" i="20" l="1"/>
  <c r="A65" i="20"/>
  <c r="N64" i="20"/>
  <c r="U64" i="20"/>
  <c r="Q64" i="20"/>
  <c r="B65" i="20" l="1"/>
  <c r="AA65" i="20"/>
  <c r="L65" i="20"/>
  <c r="Z65" i="20"/>
  <c r="U65" i="20"/>
  <c r="T65" i="20"/>
  <c r="K65" i="20"/>
  <c r="AA64" i="20"/>
  <c r="Y64" i="20"/>
  <c r="O64" i="20"/>
  <c r="K64" i="20"/>
  <c r="L64" i="20"/>
  <c r="C64" i="20"/>
  <c r="A66" i="20"/>
  <c r="V65" i="20"/>
  <c r="M65" i="20"/>
  <c r="S65" i="20"/>
  <c r="R65" i="20"/>
  <c r="E65" i="20"/>
  <c r="Y65" i="20"/>
  <c r="E64" i="20"/>
  <c r="W64" i="20"/>
  <c r="V64" i="20"/>
  <c r="P64" i="20"/>
  <c r="T64" i="20"/>
  <c r="X65" i="20"/>
  <c r="N65" i="20"/>
  <c r="H65" i="20"/>
  <c r="J65" i="20"/>
  <c r="Q65" i="20"/>
  <c r="P65" i="20"/>
  <c r="O65" i="20"/>
  <c r="J64" i="20"/>
  <c r="S64" i="20"/>
  <c r="H64" i="20"/>
  <c r="G64" i="20"/>
  <c r="Z64" i="20"/>
  <c r="I65" i="20"/>
  <c r="G65" i="20"/>
  <c r="C65" i="20"/>
  <c r="F65" i="20"/>
  <c r="D65" i="20"/>
  <c r="W65" i="20"/>
  <c r="I64" i="20"/>
  <c r="R64" i="20"/>
  <c r="X64" i="20"/>
  <c r="M64" i="20"/>
  <c r="F64" i="20"/>
  <c r="D64" i="20"/>
  <c r="B66" i="20" l="1"/>
  <c r="A67" i="20"/>
  <c r="W66" i="20"/>
  <c r="T66" i="20"/>
  <c r="G66" i="20"/>
  <c r="I66" i="20"/>
  <c r="L66" i="20"/>
  <c r="O66" i="20"/>
  <c r="Y66" i="20"/>
  <c r="E66" i="20"/>
  <c r="U66" i="20"/>
  <c r="K66" i="20"/>
  <c r="V66" i="20"/>
  <c r="H66" i="20"/>
  <c r="S66" i="20"/>
  <c r="D66" i="20"/>
  <c r="X66" i="20"/>
  <c r="Q66" i="20"/>
  <c r="AA66" i="20"/>
  <c r="B67" i="20" l="1"/>
  <c r="P66" i="20"/>
  <c r="C66" i="20"/>
  <c r="A68" i="20"/>
  <c r="Z66" i="20"/>
  <c r="J66" i="20"/>
  <c r="F66" i="20"/>
  <c r="P67" i="20"/>
  <c r="G67" i="20"/>
  <c r="Z67" i="20"/>
  <c r="R66" i="20"/>
  <c r="N66" i="20"/>
  <c r="M66" i="20"/>
  <c r="K67" i="20"/>
  <c r="J67" i="20"/>
  <c r="Q67" i="20"/>
  <c r="B68" i="20" l="1"/>
  <c r="A69" i="20"/>
  <c r="O68" i="20"/>
  <c r="H68" i="20"/>
  <c r="Z68" i="20"/>
  <c r="M67" i="20"/>
  <c r="D67" i="20"/>
  <c r="AA67" i="20"/>
  <c r="Y67" i="20"/>
  <c r="O67" i="20"/>
  <c r="C67" i="20"/>
  <c r="T67" i="20"/>
  <c r="N67" i="20"/>
  <c r="F67" i="20"/>
  <c r="R67" i="20"/>
  <c r="E67" i="20"/>
  <c r="H67" i="20"/>
  <c r="W68" i="20"/>
  <c r="R68" i="20"/>
  <c r="M68" i="20"/>
  <c r="P68" i="20"/>
  <c r="S68" i="20"/>
  <c r="D68" i="20"/>
  <c r="X67" i="20"/>
  <c r="C68" i="20"/>
  <c r="U67" i="20"/>
  <c r="V67" i="20"/>
  <c r="W67" i="20"/>
  <c r="S67" i="20"/>
  <c r="L67" i="20"/>
  <c r="I67" i="20"/>
  <c r="T68" i="20"/>
  <c r="B69" i="20" l="1"/>
  <c r="A70" i="20"/>
  <c r="T69" i="20"/>
  <c r="P69" i="20"/>
  <c r="U68" i="20"/>
  <c r="F68" i="20"/>
  <c r="Y68" i="20"/>
  <c r="G68" i="20"/>
  <c r="V68" i="20"/>
  <c r="K68" i="20"/>
  <c r="AA68" i="20"/>
  <c r="X68" i="20"/>
  <c r="N68" i="20"/>
  <c r="J68" i="20"/>
  <c r="Q68" i="20"/>
  <c r="I68" i="20"/>
  <c r="L68" i="20"/>
  <c r="E68" i="20"/>
  <c r="C69" i="20"/>
  <c r="B70" i="20" l="1"/>
  <c r="F69" i="20"/>
  <c r="S69" i="20"/>
  <c r="V69" i="20"/>
  <c r="K69" i="20"/>
  <c r="O69" i="20"/>
  <c r="W69" i="20"/>
  <c r="I69" i="20"/>
  <c r="U69" i="20"/>
  <c r="A71" i="20"/>
  <c r="H70" i="20"/>
  <c r="Y70" i="20"/>
  <c r="R70" i="20"/>
  <c r="G70" i="20"/>
  <c r="T70" i="20"/>
  <c r="K70" i="20"/>
  <c r="X69" i="20"/>
  <c r="N69" i="20"/>
  <c r="G69" i="20"/>
  <c r="Y69" i="20"/>
  <c r="Z70" i="20"/>
  <c r="O70" i="20"/>
  <c r="I70" i="20"/>
  <c r="N70" i="20"/>
  <c r="W70" i="20"/>
  <c r="F70" i="20"/>
  <c r="L69" i="20"/>
  <c r="E70" i="20"/>
  <c r="Q69" i="20"/>
  <c r="D69" i="20"/>
  <c r="H69" i="20"/>
  <c r="E69" i="20"/>
  <c r="AA69" i="20"/>
  <c r="Z69" i="20"/>
  <c r="R69" i="20"/>
  <c r="M69" i="20"/>
  <c r="J69" i="20"/>
  <c r="AA70" i="20"/>
  <c r="B71" i="20" l="1"/>
  <c r="Z71" i="20"/>
  <c r="G71" i="20"/>
  <c r="A72" i="20"/>
  <c r="T71" i="20"/>
  <c r="V70" i="20"/>
  <c r="D70" i="20"/>
  <c r="M70" i="20"/>
  <c r="C71" i="20"/>
  <c r="E71" i="20"/>
  <c r="F71" i="20"/>
  <c r="V71" i="20"/>
  <c r="Q71" i="20"/>
  <c r="J70" i="20"/>
  <c r="C70" i="20"/>
  <c r="L70" i="20"/>
  <c r="S70" i="20"/>
  <c r="H71" i="20"/>
  <c r="P71" i="20"/>
  <c r="L71" i="20"/>
  <c r="R71" i="20"/>
  <c r="X71" i="20"/>
  <c r="I71" i="20"/>
  <c r="D71" i="20"/>
  <c r="Y71" i="20"/>
  <c r="S71" i="20"/>
  <c r="U71" i="20"/>
  <c r="M71" i="20"/>
  <c r="AA71" i="20"/>
  <c r="W71" i="20"/>
  <c r="P70" i="20"/>
  <c r="Q70" i="20"/>
  <c r="X70" i="20"/>
  <c r="U70" i="20"/>
  <c r="O71" i="20"/>
  <c r="B72" i="20" l="1"/>
  <c r="A73" i="20"/>
  <c r="N72" i="20"/>
  <c r="L72" i="20"/>
  <c r="W72" i="20"/>
  <c r="K71" i="20"/>
  <c r="J71" i="20"/>
  <c r="X72" i="20"/>
  <c r="I72" i="20"/>
  <c r="J72" i="20"/>
  <c r="H72" i="20"/>
  <c r="V72" i="20"/>
  <c r="Q72" i="20"/>
  <c r="O72" i="20"/>
  <c r="U72" i="20"/>
  <c r="T72" i="20"/>
  <c r="P72" i="20"/>
  <c r="Z72" i="20"/>
  <c r="M72" i="20"/>
  <c r="N71" i="20"/>
  <c r="K72" i="20"/>
  <c r="AA72" i="20"/>
  <c r="B73" i="20" l="1"/>
  <c r="D72" i="20"/>
  <c r="F72" i="20"/>
  <c r="G72" i="20"/>
  <c r="S72" i="20"/>
  <c r="A74" i="20"/>
  <c r="N73" i="20"/>
  <c r="U73" i="20"/>
  <c r="R73" i="20"/>
  <c r="H73" i="20"/>
  <c r="E72" i="20"/>
  <c r="C72" i="20"/>
  <c r="K73" i="20"/>
  <c r="D73" i="20"/>
  <c r="L73" i="20"/>
  <c r="Z73" i="20"/>
  <c r="Y72" i="20"/>
  <c r="R72" i="20"/>
  <c r="J73" i="20"/>
  <c r="S73" i="20"/>
  <c r="B74" i="20" l="1"/>
  <c r="V74" i="20"/>
  <c r="J74" i="20"/>
  <c r="G74" i="20"/>
  <c r="S74" i="20"/>
  <c r="AA74" i="20"/>
  <c r="F74" i="20"/>
  <c r="AA73" i="20"/>
  <c r="F73" i="20"/>
  <c r="M73" i="20"/>
  <c r="E73" i="20"/>
  <c r="A75" i="20"/>
  <c r="O74" i="20"/>
  <c r="H74" i="20"/>
  <c r="Y74" i="20"/>
  <c r="W74" i="20"/>
  <c r="N74" i="20"/>
  <c r="I74" i="20"/>
  <c r="Y73" i="20"/>
  <c r="Q73" i="20"/>
  <c r="P73" i="20"/>
  <c r="X73" i="20"/>
  <c r="K74" i="20"/>
  <c r="T74" i="20"/>
  <c r="Q74" i="20"/>
  <c r="X74" i="20"/>
  <c r="Z74" i="20"/>
  <c r="E74" i="20"/>
  <c r="C74" i="20"/>
  <c r="V73" i="20"/>
  <c r="I73" i="20"/>
  <c r="C73" i="20"/>
  <c r="P74" i="20"/>
  <c r="L74" i="20"/>
  <c r="M74" i="20"/>
  <c r="R74" i="20"/>
  <c r="D74" i="20"/>
  <c r="U74" i="20"/>
  <c r="T73" i="20"/>
  <c r="G73" i="20"/>
  <c r="W73" i="20"/>
  <c r="O73" i="20"/>
  <c r="B75" i="20" l="1"/>
  <c r="K75" i="20"/>
  <c r="Z75" i="20"/>
  <c r="U75" i="20"/>
  <c r="D75" i="20"/>
  <c r="X75" i="20"/>
  <c r="Q75" i="20"/>
  <c r="P75" i="20"/>
  <c r="M75" i="20"/>
  <c r="J75" i="20"/>
  <c r="AA75" i="20"/>
  <c r="I75" i="20"/>
  <c r="O75" i="20"/>
  <c r="R75" i="20"/>
  <c r="A76" i="20"/>
  <c r="F75" i="20"/>
  <c r="H75" i="20"/>
  <c r="N75" i="20"/>
  <c r="C75" i="20"/>
  <c r="V75" i="20"/>
  <c r="E75" i="20"/>
  <c r="L75" i="20"/>
  <c r="S75" i="20"/>
  <c r="W75" i="20"/>
  <c r="Y75" i="20"/>
  <c r="T75" i="20"/>
  <c r="G75" i="20"/>
  <c r="B76" i="20" l="1"/>
  <c r="U76" i="20"/>
  <c r="K76" i="20"/>
  <c r="C76" i="20"/>
  <c r="A77" i="20"/>
  <c r="W76" i="20"/>
  <c r="T76" i="20"/>
  <c r="O76" i="20"/>
  <c r="B77" i="20" l="1"/>
  <c r="P76" i="20"/>
  <c r="R76" i="20"/>
  <c r="L76" i="20"/>
  <c r="G76" i="20"/>
  <c r="H76" i="20"/>
  <c r="AA76" i="20"/>
  <c r="Y76" i="20"/>
  <c r="M76" i="20"/>
  <c r="X77" i="20"/>
  <c r="L77" i="20"/>
  <c r="S77" i="20"/>
  <c r="Q77" i="20"/>
  <c r="F77" i="20"/>
  <c r="J76" i="20"/>
  <c r="D76" i="20"/>
  <c r="J77" i="20"/>
  <c r="T77" i="20"/>
  <c r="X76" i="20"/>
  <c r="E76" i="20"/>
  <c r="F76" i="20"/>
  <c r="I76" i="20"/>
  <c r="A78" i="20"/>
  <c r="V77" i="20"/>
  <c r="Q76" i="20"/>
  <c r="N76" i="20"/>
  <c r="Z76" i="20"/>
  <c r="S76" i="20"/>
  <c r="V76" i="20"/>
  <c r="G77" i="20"/>
  <c r="B78" i="20" l="1"/>
  <c r="Y77" i="20"/>
  <c r="Z77" i="20"/>
  <c r="H77" i="20"/>
  <c r="AA77" i="20"/>
  <c r="N77" i="20"/>
  <c r="P77" i="20"/>
  <c r="O78" i="20"/>
  <c r="X78" i="20"/>
  <c r="C78" i="20"/>
  <c r="P78" i="20"/>
  <c r="M78" i="20"/>
  <c r="W77" i="20"/>
  <c r="O77" i="20"/>
  <c r="A79" i="20"/>
  <c r="V78" i="20"/>
  <c r="R78" i="20"/>
  <c r="U78" i="20"/>
  <c r="N78" i="20"/>
  <c r="AA78" i="20"/>
  <c r="R77" i="20"/>
  <c r="M77" i="20"/>
  <c r="G78" i="20"/>
  <c r="E78" i="20"/>
  <c r="S78" i="20"/>
  <c r="C77" i="20"/>
  <c r="E77" i="20"/>
  <c r="K77" i="20"/>
  <c r="I77" i="20"/>
  <c r="U77" i="20"/>
  <c r="D77" i="20"/>
  <c r="Z78" i="20"/>
  <c r="B79" i="20" l="1"/>
  <c r="T78" i="20"/>
  <c r="H78" i="20"/>
  <c r="L78" i="20"/>
  <c r="R79" i="20"/>
  <c r="J78" i="20"/>
  <c r="J79" i="20"/>
  <c r="V79" i="20"/>
  <c r="I79" i="20"/>
  <c r="S79" i="20"/>
  <c r="W79" i="20"/>
  <c r="F78" i="20"/>
  <c r="I78" i="20"/>
  <c r="A80" i="20"/>
  <c r="M79" i="20"/>
  <c r="Q79" i="20"/>
  <c r="N79" i="20"/>
  <c r="E79" i="20"/>
  <c r="X79" i="20"/>
  <c r="D79" i="20"/>
  <c r="K78" i="20"/>
  <c r="H79" i="20"/>
  <c r="Z79" i="20"/>
  <c r="T79" i="20"/>
  <c r="F79" i="20"/>
  <c r="G79" i="20"/>
  <c r="Q78" i="20"/>
  <c r="Y78" i="20"/>
  <c r="W78" i="20"/>
  <c r="D78" i="20"/>
  <c r="AA79" i="20"/>
  <c r="B80" i="20" l="1"/>
  <c r="A81" i="20"/>
  <c r="U79" i="20"/>
  <c r="K79" i="20"/>
  <c r="N80" i="20"/>
  <c r="Y79" i="20"/>
  <c r="L79" i="20"/>
  <c r="P79" i="20"/>
  <c r="P80" i="20"/>
  <c r="U80" i="20"/>
  <c r="V80" i="20"/>
  <c r="O79" i="20"/>
  <c r="C79" i="20"/>
  <c r="E80" i="20"/>
  <c r="D80" i="20"/>
  <c r="L80" i="20"/>
  <c r="B81" i="20" l="1"/>
  <c r="T80" i="20"/>
  <c r="AA80" i="20"/>
  <c r="J80" i="20"/>
  <c r="C80" i="20"/>
  <c r="Q80" i="20"/>
  <c r="I80" i="20"/>
  <c r="H80" i="20"/>
  <c r="X80" i="20"/>
  <c r="G81" i="20"/>
  <c r="V81" i="20"/>
  <c r="P81" i="20"/>
  <c r="T81" i="20"/>
  <c r="K81" i="20"/>
  <c r="Y81" i="20"/>
  <c r="Z80" i="20"/>
  <c r="G80" i="20"/>
  <c r="F80" i="20"/>
  <c r="A82" i="20"/>
  <c r="R81" i="20"/>
  <c r="N81" i="20"/>
  <c r="X81" i="20"/>
  <c r="C81" i="20"/>
  <c r="W81" i="20"/>
  <c r="M81" i="20"/>
  <c r="Y80" i="20"/>
  <c r="L81" i="20"/>
  <c r="Z81" i="20"/>
  <c r="S81" i="20"/>
  <c r="H81" i="20"/>
  <c r="W80" i="20"/>
  <c r="K80" i="20"/>
  <c r="R80" i="20"/>
  <c r="M80" i="20"/>
  <c r="S80" i="20"/>
  <c r="O80" i="20"/>
  <c r="D81" i="20"/>
  <c r="B82" i="20" l="1"/>
  <c r="I81" i="20"/>
  <c r="AA81" i="20"/>
  <c r="J81" i="20"/>
  <c r="U82" i="20"/>
  <c r="AA82" i="20"/>
  <c r="H82" i="20"/>
  <c r="J82" i="20"/>
  <c r="Q82" i="20"/>
  <c r="U81" i="20"/>
  <c r="K82" i="20"/>
  <c r="V82" i="20"/>
  <c r="Z82" i="20"/>
  <c r="C82" i="20"/>
  <c r="O81" i="20"/>
  <c r="E81" i="20"/>
  <c r="A83" i="20"/>
  <c r="D82" i="20"/>
  <c r="T82" i="20"/>
  <c r="X82" i="20"/>
  <c r="E82" i="20"/>
  <c r="Q81" i="20"/>
  <c r="F81" i="20"/>
  <c r="L82" i="20"/>
  <c r="B83" i="20" l="1"/>
  <c r="W82" i="20"/>
  <c r="P82" i="20"/>
  <c r="G82" i="20"/>
  <c r="R83" i="20"/>
  <c r="Y82" i="20"/>
  <c r="M83" i="20"/>
  <c r="U83" i="20"/>
  <c r="X83" i="20"/>
  <c r="K83" i="20"/>
  <c r="H83" i="20"/>
  <c r="N82" i="20"/>
  <c r="M82" i="20"/>
  <c r="A84" i="20"/>
  <c r="C83" i="20"/>
  <c r="F83" i="20"/>
  <c r="T83" i="20"/>
  <c r="D83" i="20"/>
  <c r="O83" i="20"/>
  <c r="S83" i="20"/>
  <c r="O82" i="20"/>
  <c r="V83" i="20"/>
  <c r="I83" i="20"/>
  <c r="G83" i="20"/>
  <c r="P83" i="20"/>
  <c r="I82" i="20"/>
  <c r="R82" i="20"/>
  <c r="S82" i="20"/>
  <c r="F82" i="20"/>
  <c r="AA83" i="20"/>
  <c r="B84" i="20" l="1"/>
  <c r="A85" i="20"/>
  <c r="X84" i="20"/>
  <c r="D84" i="20"/>
  <c r="Z84" i="20"/>
  <c r="AA84" i="20"/>
  <c r="H84" i="20"/>
  <c r="G84" i="20"/>
  <c r="Q83" i="20"/>
  <c r="J83" i="20"/>
  <c r="C84" i="20"/>
  <c r="S84" i="20"/>
  <c r="U84" i="20"/>
  <c r="J84" i="20"/>
  <c r="L84" i="20"/>
  <c r="Y84" i="20"/>
  <c r="Y83" i="20"/>
  <c r="R84" i="20"/>
  <c r="T84" i="20"/>
  <c r="I84" i="20"/>
  <c r="W84" i="20"/>
  <c r="P84" i="20"/>
  <c r="L83" i="20"/>
  <c r="E83" i="20"/>
  <c r="N84" i="20"/>
  <c r="M84" i="20"/>
  <c r="F84" i="20"/>
  <c r="O84" i="20"/>
  <c r="Q84" i="20"/>
  <c r="W83" i="20"/>
  <c r="Z83" i="20"/>
  <c r="N83" i="20"/>
  <c r="V84" i="20"/>
  <c r="B85" i="20" l="1"/>
  <c r="E84" i="20"/>
  <c r="Y85" i="20"/>
  <c r="AA85" i="20"/>
  <c r="A86" i="20"/>
  <c r="I85" i="20"/>
  <c r="E85" i="20"/>
  <c r="S85" i="20"/>
  <c r="U85" i="20"/>
  <c r="Z85" i="20"/>
  <c r="O85" i="20"/>
  <c r="K84" i="20"/>
  <c r="C85" i="20"/>
  <c r="M85" i="20"/>
  <c r="N85" i="20"/>
  <c r="B86" i="20" l="1"/>
  <c r="S86" i="20"/>
  <c r="N86" i="20"/>
  <c r="V86" i="20"/>
  <c r="R86" i="20"/>
  <c r="M86" i="20"/>
  <c r="P85" i="20"/>
  <c r="J85" i="20"/>
  <c r="F85" i="20"/>
  <c r="G85" i="20"/>
  <c r="Z86" i="20"/>
  <c r="K86" i="20"/>
  <c r="D86" i="20"/>
  <c r="P86" i="20"/>
  <c r="X85" i="20"/>
  <c r="V85" i="20"/>
  <c r="H85" i="20"/>
  <c r="A87" i="20"/>
  <c r="T86" i="20"/>
  <c r="Y86" i="20"/>
  <c r="J86" i="20"/>
  <c r="W86" i="20"/>
  <c r="O86" i="20"/>
  <c r="T85" i="20"/>
  <c r="L85" i="20"/>
  <c r="K85" i="20"/>
  <c r="H86" i="20"/>
  <c r="F86" i="20"/>
  <c r="U86" i="20"/>
  <c r="L86" i="20"/>
  <c r="I86" i="20"/>
  <c r="X86" i="20"/>
  <c r="R85" i="20"/>
  <c r="D85" i="20"/>
  <c r="Q85" i="20"/>
  <c r="W85" i="20"/>
  <c r="AA86" i="20"/>
  <c r="B87" i="20" l="1"/>
  <c r="C86" i="20"/>
  <c r="E87" i="20"/>
  <c r="M87" i="20"/>
  <c r="U87" i="20"/>
  <c r="A88" i="20"/>
  <c r="G86" i="20"/>
  <c r="N87" i="20"/>
  <c r="E86" i="20"/>
  <c r="S87" i="20"/>
  <c r="X87" i="20"/>
  <c r="W87" i="20"/>
  <c r="H87" i="20"/>
  <c r="Q86" i="20"/>
  <c r="G87" i="20"/>
  <c r="B88" i="20" l="1"/>
  <c r="L87" i="20"/>
  <c r="AA87" i="20"/>
  <c r="C87" i="20"/>
  <c r="V87" i="20"/>
  <c r="U88" i="20"/>
  <c r="R88" i="20"/>
  <c r="D87" i="20"/>
  <c r="O88" i="20"/>
  <c r="O87" i="20"/>
  <c r="P87" i="20"/>
  <c r="R87" i="20"/>
  <c r="J87" i="20"/>
  <c r="Q88" i="20"/>
  <c r="M88" i="20"/>
  <c r="K87" i="20"/>
  <c r="Z87" i="20"/>
  <c r="A89" i="20"/>
  <c r="N88" i="20"/>
  <c r="I88" i="20"/>
  <c r="Y88" i="20"/>
  <c r="AA88" i="20"/>
  <c r="F87" i="20"/>
  <c r="T87" i="20"/>
  <c r="I87" i="20"/>
  <c r="Q87" i="20"/>
  <c r="H88" i="20"/>
  <c r="K88" i="20"/>
  <c r="Y87" i="20"/>
  <c r="J88" i="20"/>
  <c r="B89" i="20" l="1"/>
  <c r="A90" i="20"/>
  <c r="AA89" i="20"/>
  <c r="H89" i="20"/>
  <c r="O89" i="20"/>
  <c r="S89" i="20"/>
  <c r="I89" i="20"/>
  <c r="Z89" i="20"/>
  <c r="V88" i="20"/>
  <c r="D88" i="20"/>
  <c r="L88" i="20"/>
  <c r="V89" i="20"/>
  <c r="Q89" i="20"/>
  <c r="J89" i="20"/>
  <c r="X89" i="20"/>
  <c r="D89" i="20"/>
  <c r="K89" i="20"/>
  <c r="F88" i="20"/>
  <c r="W88" i="20"/>
  <c r="Z88" i="20"/>
  <c r="F89" i="20"/>
  <c r="N89" i="20"/>
  <c r="G89" i="20"/>
  <c r="M89" i="20"/>
  <c r="X88" i="20"/>
  <c r="E88" i="20"/>
  <c r="C88" i="20"/>
  <c r="U89" i="20"/>
  <c r="C89" i="20"/>
  <c r="E89" i="20"/>
  <c r="P89" i="20"/>
  <c r="T88" i="20"/>
  <c r="S88" i="20"/>
  <c r="G88" i="20"/>
  <c r="P88" i="20"/>
  <c r="L89" i="20"/>
  <c r="B90" i="20" l="1"/>
  <c r="Y89" i="20"/>
  <c r="S90" i="20"/>
  <c r="R89" i="20"/>
  <c r="I90" i="20"/>
  <c r="W89" i="20"/>
  <c r="A91" i="20"/>
  <c r="C90" i="20"/>
  <c r="D90" i="20"/>
  <c r="Y90" i="20"/>
  <c r="T90" i="20"/>
  <c r="R90" i="20"/>
  <c r="Q90" i="20"/>
  <c r="T89" i="20"/>
  <c r="M90" i="20"/>
  <c r="B91" i="20" l="1"/>
  <c r="D91" i="20"/>
  <c r="J91" i="20"/>
  <c r="AA91" i="20"/>
  <c r="I91" i="20"/>
  <c r="W90" i="20"/>
  <c r="N90" i="20"/>
  <c r="J90" i="20"/>
  <c r="O90" i="20"/>
  <c r="F91" i="20"/>
  <c r="R91" i="20"/>
  <c r="O91" i="20"/>
  <c r="G91" i="20"/>
  <c r="F90" i="20"/>
  <c r="L90" i="20"/>
  <c r="G90" i="20"/>
  <c r="K90" i="20"/>
  <c r="V90" i="20"/>
  <c r="X91" i="20"/>
  <c r="C91" i="20"/>
  <c r="E91" i="20"/>
  <c r="A92" i="20"/>
  <c r="V91" i="20"/>
  <c r="P91" i="20"/>
  <c r="Z90" i="20"/>
  <c r="P90" i="20"/>
  <c r="U90" i="20"/>
  <c r="U91" i="20"/>
  <c r="Q91" i="20"/>
  <c r="M91" i="20"/>
  <c r="L91" i="20"/>
  <c r="W91" i="20"/>
  <c r="AA90" i="20"/>
  <c r="X90" i="20"/>
  <c r="H90" i="20"/>
  <c r="E90" i="20"/>
  <c r="K91" i="20"/>
  <c r="B92" i="20" l="1"/>
  <c r="N91" i="20"/>
  <c r="Z91" i="20"/>
  <c r="W92" i="20"/>
  <c r="AA92" i="20"/>
  <c r="H91" i="20"/>
  <c r="K92" i="20"/>
  <c r="Y92" i="20"/>
  <c r="Q92" i="20"/>
  <c r="P92" i="20"/>
  <c r="S91" i="20"/>
  <c r="A93" i="20"/>
  <c r="U92" i="20"/>
  <c r="N92" i="20"/>
  <c r="L92" i="20"/>
  <c r="S92" i="20"/>
  <c r="T91" i="20"/>
  <c r="Y91" i="20"/>
  <c r="M92" i="20"/>
  <c r="B93" i="20" l="1"/>
  <c r="X92" i="20"/>
  <c r="G92" i="20"/>
  <c r="O92" i="20"/>
  <c r="D92" i="20"/>
  <c r="J92" i="20"/>
  <c r="F92" i="20"/>
  <c r="A94" i="20"/>
  <c r="S93" i="20"/>
  <c r="E93" i="20"/>
  <c r="AA93" i="20"/>
  <c r="I93" i="20"/>
  <c r="P93" i="20"/>
  <c r="F93" i="20"/>
  <c r="H92" i="20"/>
  <c r="V92" i="20"/>
  <c r="H93" i="20"/>
  <c r="J93" i="20"/>
  <c r="M93" i="20"/>
  <c r="W93" i="20"/>
  <c r="C93" i="20"/>
  <c r="R93" i="20"/>
  <c r="K93" i="20"/>
  <c r="R92" i="20"/>
  <c r="I92" i="20"/>
  <c r="C92" i="20"/>
  <c r="E92" i="20"/>
  <c r="T92" i="20"/>
  <c r="Z92" i="20"/>
  <c r="O93" i="20"/>
  <c r="B94" i="20" l="1"/>
  <c r="Z93" i="20"/>
  <c r="L93" i="20"/>
  <c r="N93" i="20"/>
  <c r="C94" i="20"/>
  <c r="T93" i="20"/>
  <c r="Y94" i="20"/>
  <c r="Q94" i="20"/>
  <c r="E94" i="20"/>
  <c r="V93" i="20"/>
  <c r="X93" i="20"/>
  <c r="A95" i="20"/>
  <c r="O94" i="20"/>
  <c r="AA94" i="20"/>
  <c r="V94" i="20"/>
  <c r="F94" i="20"/>
  <c r="D94" i="20"/>
  <c r="P94" i="20"/>
  <c r="G93" i="20"/>
  <c r="D93" i="20"/>
  <c r="Q93" i="20"/>
  <c r="U93" i="20"/>
  <c r="Y93" i="20"/>
  <c r="K94" i="20"/>
  <c r="B95" i="20" l="1"/>
  <c r="W94" i="20"/>
  <c r="I94" i="20"/>
  <c r="Z94" i="20"/>
  <c r="U94" i="20"/>
  <c r="T94" i="20"/>
  <c r="N95" i="20"/>
  <c r="K95" i="20"/>
  <c r="S95" i="20"/>
  <c r="G95" i="20"/>
  <c r="S94" i="20"/>
  <c r="A96" i="20"/>
  <c r="I95" i="20"/>
  <c r="X95" i="20"/>
  <c r="U95" i="20"/>
  <c r="Y95" i="20"/>
  <c r="X94" i="20"/>
  <c r="J94" i="20"/>
  <c r="M94" i="20"/>
  <c r="R94" i="20"/>
  <c r="L94" i="20"/>
  <c r="G94" i="20"/>
  <c r="N94" i="20"/>
  <c r="H94" i="20"/>
  <c r="AA95" i="20"/>
  <c r="B96" i="20" l="1"/>
  <c r="Z95" i="20"/>
  <c r="C95" i="20"/>
  <c r="T95" i="20"/>
  <c r="M95" i="20"/>
  <c r="D95" i="20"/>
  <c r="J95" i="20"/>
  <c r="P95" i="20"/>
  <c r="W95" i="20"/>
  <c r="F95" i="20"/>
  <c r="O95" i="20"/>
  <c r="L95" i="20"/>
  <c r="Q95" i="20"/>
  <c r="A97" i="20"/>
  <c r="AA96" i="20"/>
  <c r="R96" i="20"/>
  <c r="Q96" i="20"/>
  <c r="V96" i="20"/>
  <c r="E95" i="20"/>
  <c r="R95" i="20"/>
  <c r="V95" i="20"/>
  <c r="H95" i="20"/>
  <c r="D96" i="20"/>
  <c r="B97" i="20" l="1"/>
  <c r="N97" i="20"/>
  <c r="V97" i="20"/>
  <c r="Z97" i="20"/>
  <c r="P97" i="20"/>
  <c r="X97" i="20"/>
  <c r="R97" i="20"/>
  <c r="M96" i="20"/>
  <c r="W96" i="20"/>
  <c r="H96" i="20"/>
  <c r="P96" i="20"/>
  <c r="A98" i="20"/>
  <c r="D97" i="20"/>
  <c r="E97" i="20"/>
  <c r="J97" i="20"/>
  <c r="Q97" i="20"/>
  <c r="C97" i="20"/>
  <c r="W97" i="20"/>
  <c r="I96" i="20"/>
  <c r="X96" i="20"/>
  <c r="K96" i="20"/>
  <c r="S96" i="20"/>
  <c r="G96" i="20"/>
  <c r="U97" i="20"/>
  <c r="K97" i="20"/>
  <c r="Y97" i="20"/>
  <c r="O97" i="20"/>
  <c r="F97" i="20"/>
  <c r="I97" i="20"/>
  <c r="AA97" i="20"/>
  <c r="N96" i="20"/>
  <c r="C96" i="20"/>
  <c r="L96" i="20"/>
  <c r="E96" i="20"/>
  <c r="H97" i="20"/>
  <c r="L97" i="20"/>
  <c r="M97" i="20"/>
  <c r="S97" i="20"/>
  <c r="G97" i="20"/>
  <c r="T97" i="20"/>
  <c r="J96" i="20"/>
  <c r="T96" i="20"/>
  <c r="Z96" i="20"/>
  <c r="Y96" i="20"/>
  <c r="O96" i="20"/>
  <c r="U96" i="20"/>
  <c r="F96" i="20"/>
  <c r="B98" i="20" l="1"/>
  <c r="A99" i="20"/>
  <c r="J98" i="20"/>
  <c r="N98" i="20"/>
  <c r="B99" i="20" l="1"/>
  <c r="A100" i="20"/>
  <c r="H99" i="20"/>
  <c r="Z99" i="20"/>
  <c r="I99" i="20"/>
  <c r="F99" i="20"/>
  <c r="R99" i="20"/>
  <c r="M99" i="20"/>
  <c r="W98" i="20"/>
  <c r="F98" i="20"/>
  <c r="U98" i="20"/>
  <c r="Y98" i="20"/>
  <c r="D98" i="20"/>
  <c r="X98" i="20"/>
  <c r="N99" i="20"/>
  <c r="V99" i="20"/>
  <c r="D99" i="20"/>
  <c r="J99" i="20"/>
  <c r="T99" i="20"/>
  <c r="C99" i="20"/>
  <c r="I98" i="20"/>
  <c r="M98" i="20"/>
  <c r="G98" i="20"/>
  <c r="O98" i="20"/>
  <c r="P98" i="20"/>
  <c r="V98" i="20"/>
  <c r="P99" i="20"/>
  <c r="U99" i="20"/>
  <c r="S99" i="20"/>
  <c r="S98" i="20"/>
  <c r="C98" i="20"/>
  <c r="T98" i="20"/>
  <c r="K98" i="20"/>
  <c r="R98" i="20"/>
  <c r="AA99" i="20"/>
  <c r="K99" i="20"/>
  <c r="Q99" i="20"/>
  <c r="Y99" i="20"/>
  <c r="H98" i="20"/>
  <c r="L98" i="20"/>
  <c r="Q98" i="20"/>
  <c r="Z98" i="20"/>
  <c r="AA98" i="20"/>
  <c r="E98" i="20"/>
  <c r="X99" i="20"/>
  <c r="B100" i="20" l="1"/>
  <c r="A101" i="20"/>
  <c r="AA100" i="20"/>
  <c r="X100" i="20"/>
  <c r="E100" i="20"/>
  <c r="G99" i="20"/>
  <c r="L99" i="20"/>
  <c r="F100" i="20"/>
  <c r="V100" i="20"/>
  <c r="K100" i="20"/>
  <c r="T100" i="20"/>
  <c r="Q100" i="20"/>
  <c r="J100" i="20"/>
  <c r="M100" i="20"/>
  <c r="W100" i="20"/>
  <c r="D100" i="20"/>
  <c r="C100" i="20"/>
  <c r="U100" i="20"/>
  <c r="R100" i="20"/>
  <c r="W99" i="20"/>
  <c r="E99" i="20"/>
  <c r="O99" i="20"/>
  <c r="L100" i="20"/>
  <c r="B101" i="20" l="1"/>
  <c r="U101" i="20"/>
  <c r="L101" i="20"/>
  <c r="G101" i="20"/>
  <c r="T101" i="20"/>
  <c r="Y101" i="20"/>
  <c r="N101" i="20"/>
  <c r="N100" i="20"/>
  <c r="Z100" i="20"/>
  <c r="Z101" i="20"/>
  <c r="AA101" i="20"/>
  <c r="A102" i="20"/>
  <c r="E101" i="20"/>
  <c r="R101" i="20"/>
  <c r="V101" i="20"/>
  <c r="Q101" i="20"/>
  <c r="S100" i="20"/>
  <c r="I100" i="20"/>
  <c r="S101" i="20"/>
  <c r="P101" i="20"/>
  <c r="W101" i="20"/>
  <c r="H101" i="20"/>
  <c r="M101" i="20"/>
  <c r="K101" i="20"/>
  <c r="O101" i="20"/>
  <c r="P100" i="20"/>
  <c r="G100" i="20"/>
  <c r="J101" i="20"/>
  <c r="C101" i="20"/>
  <c r="X101" i="20"/>
  <c r="I101" i="20"/>
  <c r="D101" i="20"/>
  <c r="F101" i="20"/>
  <c r="H100" i="20"/>
  <c r="Y100" i="20"/>
  <c r="O100" i="20"/>
  <c r="B102" i="20" l="1"/>
  <c r="AA102" i="20"/>
  <c r="I102" i="20"/>
  <c r="T102" i="20"/>
  <c r="Y102" i="20"/>
  <c r="A103" i="20"/>
  <c r="X102" i="20"/>
  <c r="C102" i="20"/>
  <c r="D102" i="20"/>
  <c r="M102" i="20"/>
  <c r="V102" i="20"/>
  <c r="H102" i="20"/>
  <c r="O102" i="20"/>
  <c r="P102" i="20"/>
  <c r="B103" i="20" l="1"/>
  <c r="N103" i="20"/>
  <c r="J103" i="20"/>
  <c r="T103" i="20"/>
  <c r="U103" i="20"/>
  <c r="V103" i="20"/>
  <c r="S103" i="20"/>
  <c r="N102" i="20"/>
  <c r="K102" i="20"/>
  <c r="S102" i="20"/>
  <c r="A104" i="20"/>
  <c r="Q103" i="20"/>
  <c r="G103" i="20"/>
  <c r="F103" i="20"/>
  <c r="X103" i="20"/>
  <c r="I103" i="20"/>
  <c r="O103" i="20"/>
  <c r="Z102" i="20"/>
  <c r="F102" i="20"/>
  <c r="J102" i="20"/>
  <c r="L103" i="20"/>
  <c r="R103" i="20"/>
  <c r="AA103" i="20"/>
  <c r="C103" i="20"/>
  <c r="K103" i="20"/>
  <c r="P103" i="20"/>
  <c r="E103" i="20"/>
  <c r="U102" i="20"/>
  <c r="W102" i="20"/>
  <c r="R102" i="20"/>
  <c r="Z103" i="20"/>
  <c r="M103" i="20"/>
  <c r="Y103" i="20"/>
  <c r="W103" i="20"/>
  <c r="D103" i="20"/>
  <c r="H103" i="20"/>
  <c r="L102" i="20"/>
  <c r="G102" i="20"/>
  <c r="Q102" i="20"/>
  <c r="E102" i="20"/>
  <c r="B104" i="20" l="1"/>
  <c r="U104" i="20"/>
  <c r="V104" i="20"/>
  <c r="H104" i="20"/>
  <c r="L104" i="20"/>
  <c r="E104" i="20"/>
  <c r="K104" i="20"/>
  <c r="A105" i="20"/>
  <c r="C104" i="20"/>
  <c r="R104" i="20"/>
  <c r="F104" i="20"/>
  <c r="S104" i="20"/>
  <c r="D104" i="20"/>
  <c r="I104" i="20"/>
  <c r="M104" i="20"/>
  <c r="G104" i="20"/>
  <c r="Y104" i="20"/>
  <c r="P104" i="20"/>
  <c r="AA104" i="20"/>
  <c r="Z104" i="20"/>
  <c r="O104" i="20"/>
  <c r="Q104" i="20"/>
  <c r="J104" i="20"/>
  <c r="W104" i="20"/>
  <c r="T104" i="20"/>
  <c r="N104" i="20"/>
  <c r="X104" i="20"/>
  <c r="B105" i="20" l="1"/>
  <c r="Z105" i="20"/>
  <c r="Q105" i="20"/>
  <c r="A106" i="20"/>
  <c r="R105" i="20"/>
  <c r="K105" i="20"/>
  <c r="Y105" i="20"/>
  <c r="E105" i="20"/>
  <c r="T105" i="20"/>
  <c r="G105" i="20"/>
  <c r="W105" i="20"/>
  <c r="P105" i="20"/>
  <c r="C105" i="20"/>
  <c r="N105" i="20"/>
  <c r="O105" i="20"/>
  <c r="M105" i="20"/>
  <c r="B106" i="20" l="1"/>
  <c r="H105" i="20"/>
  <c r="L105" i="20"/>
  <c r="J105" i="20"/>
  <c r="T106" i="20"/>
  <c r="V105" i="20"/>
  <c r="S106" i="20"/>
  <c r="F106" i="20"/>
  <c r="P106" i="20"/>
  <c r="O106" i="20"/>
  <c r="N106" i="20"/>
  <c r="R106" i="20"/>
  <c r="I105" i="20"/>
  <c r="S105" i="20"/>
  <c r="AA105" i="20"/>
  <c r="A107" i="20"/>
  <c r="V106" i="20"/>
  <c r="AA106" i="20"/>
  <c r="Q106" i="20"/>
  <c r="J106" i="20"/>
  <c r="U106" i="20"/>
  <c r="C106" i="20"/>
  <c r="W106" i="20"/>
  <c r="D106" i="20"/>
  <c r="K106" i="20"/>
  <c r="Z106" i="20"/>
  <c r="F105" i="20"/>
  <c r="D105" i="20"/>
  <c r="X105" i="20"/>
  <c r="U105" i="20"/>
  <c r="G106" i="20"/>
  <c r="B107" i="20" l="1"/>
  <c r="A108" i="20"/>
  <c r="T107" i="20"/>
  <c r="G107" i="20"/>
  <c r="S107" i="20"/>
  <c r="Z107" i="20"/>
  <c r="F107" i="20"/>
  <c r="E106" i="20"/>
  <c r="L106" i="20"/>
  <c r="E107" i="20"/>
  <c r="C107" i="20"/>
  <c r="U107" i="20"/>
  <c r="R107" i="20"/>
  <c r="I107" i="20"/>
  <c r="H106" i="20"/>
  <c r="D107" i="20"/>
  <c r="W107" i="20"/>
  <c r="M107" i="20"/>
  <c r="H107" i="20"/>
  <c r="Y106" i="20"/>
  <c r="P107" i="20"/>
  <c r="Y107" i="20"/>
  <c r="N107" i="20"/>
  <c r="J107" i="20"/>
  <c r="M106" i="20"/>
  <c r="X106" i="20"/>
  <c r="I106" i="20"/>
  <c r="V107" i="20"/>
  <c r="B108" i="20" l="1"/>
  <c r="A109" i="20"/>
  <c r="X108" i="20"/>
  <c r="C108" i="20"/>
  <c r="E108" i="20"/>
  <c r="F108" i="20"/>
  <c r="K107" i="20"/>
  <c r="AA107" i="20"/>
  <c r="W108" i="20"/>
  <c r="I108" i="20"/>
  <c r="Q108" i="20"/>
  <c r="S108" i="20"/>
  <c r="Z108" i="20"/>
  <c r="O107" i="20"/>
  <c r="J108" i="20"/>
  <c r="H108" i="20"/>
  <c r="P108" i="20"/>
  <c r="Y108" i="20"/>
  <c r="AA108" i="20"/>
  <c r="X107" i="20"/>
  <c r="T108" i="20"/>
  <c r="U108" i="20"/>
  <c r="M108" i="20"/>
  <c r="V108" i="20"/>
  <c r="Q107" i="20"/>
  <c r="L107" i="20"/>
  <c r="G108" i="20"/>
  <c r="B109" i="20" l="1"/>
  <c r="O108" i="20"/>
  <c r="K108" i="20"/>
  <c r="S109" i="20"/>
  <c r="J109" i="20"/>
  <c r="K109" i="20"/>
  <c r="O109" i="20"/>
  <c r="AA109" i="20"/>
  <c r="I109" i="20"/>
  <c r="Y109" i="20"/>
  <c r="D108" i="20"/>
  <c r="R108" i="20"/>
  <c r="A110" i="20"/>
  <c r="F109" i="20"/>
  <c r="R109" i="20"/>
  <c r="E109" i="20"/>
  <c r="X109" i="20"/>
  <c r="W109" i="20"/>
  <c r="H109" i="20"/>
  <c r="V109" i="20"/>
  <c r="Z109" i="20"/>
  <c r="N109" i="20"/>
  <c r="T109" i="20"/>
  <c r="C109" i="20"/>
  <c r="N108" i="20"/>
  <c r="L108" i="20"/>
  <c r="D109" i="20"/>
  <c r="B110" i="20" l="1"/>
  <c r="AA110" i="20"/>
  <c r="D110" i="20"/>
  <c r="Q109" i="20"/>
  <c r="U109" i="20"/>
  <c r="A111" i="20"/>
  <c r="O110" i="20"/>
  <c r="M110" i="20"/>
  <c r="P109" i="20"/>
  <c r="H110" i="20"/>
  <c r="T110" i="20"/>
  <c r="C110" i="20"/>
  <c r="E110" i="20"/>
  <c r="G110" i="20"/>
  <c r="G109" i="20"/>
  <c r="F110" i="20"/>
  <c r="I110" i="20"/>
  <c r="Q110" i="20"/>
  <c r="S110" i="20"/>
  <c r="L110" i="20"/>
  <c r="L109" i="20"/>
  <c r="M109" i="20"/>
  <c r="K110" i="20"/>
  <c r="B111" i="20" l="1"/>
  <c r="V110" i="20"/>
  <c r="Z110" i="20"/>
  <c r="X110" i="20"/>
  <c r="Z111" i="20"/>
  <c r="P110" i="20"/>
  <c r="W110" i="20"/>
  <c r="N110" i="20"/>
  <c r="P111" i="20"/>
  <c r="H111" i="20"/>
  <c r="E111" i="20"/>
  <c r="A112" i="20"/>
  <c r="Y110" i="20"/>
  <c r="R111" i="20"/>
  <c r="R110" i="20"/>
  <c r="U110" i="20"/>
  <c r="J110" i="20"/>
  <c r="J111" i="20"/>
  <c r="I111" i="20"/>
  <c r="B112" i="20" l="1"/>
  <c r="Q112" i="20"/>
  <c r="P112" i="20"/>
  <c r="C112" i="20"/>
  <c r="I112" i="20"/>
  <c r="X112" i="20"/>
  <c r="G112" i="20"/>
  <c r="X111" i="20"/>
  <c r="L111" i="20"/>
  <c r="U111" i="20"/>
  <c r="AA111" i="20"/>
  <c r="M111" i="20"/>
  <c r="F112" i="20"/>
  <c r="AA112" i="20"/>
  <c r="R112" i="20"/>
  <c r="Y112" i="20"/>
  <c r="Z112" i="20"/>
  <c r="K112" i="20"/>
  <c r="V112" i="20"/>
  <c r="S111" i="20"/>
  <c r="F111" i="20"/>
  <c r="T111" i="20"/>
  <c r="K111" i="20"/>
  <c r="H112" i="20"/>
  <c r="O112" i="20"/>
  <c r="T112" i="20"/>
  <c r="U112" i="20"/>
  <c r="M112" i="20"/>
  <c r="W112" i="20"/>
  <c r="D112" i="20"/>
  <c r="V111" i="20"/>
  <c r="G111" i="20"/>
  <c r="Q111" i="20"/>
  <c r="C111" i="20"/>
  <c r="A113" i="20"/>
  <c r="J112" i="20"/>
  <c r="N112" i="20"/>
  <c r="E112" i="20"/>
  <c r="L112" i="20"/>
  <c r="S112" i="20"/>
  <c r="N111" i="20"/>
  <c r="W111" i="20"/>
  <c r="O111" i="20"/>
  <c r="Y111" i="20"/>
  <c r="D111" i="20"/>
  <c r="B113" i="20" l="1"/>
  <c r="W113" i="20"/>
  <c r="D113" i="20"/>
  <c r="O113" i="20"/>
  <c r="U113" i="20"/>
  <c r="Q113" i="20"/>
  <c r="J113" i="20"/>
  <c r="V113" i="20"/>
  <c r="T113" i="20"/>
  <c r="M113" i="20"/>
  <c r="H113" i="20"/>
  <c r="K113" i="20"/>
  <c r="F113" i="20"/>
  <c r="X113" i="20"/>
  <c r="N113" i="20"/>
  <c r="C113" i="20"/>
  <c r="G113" i="20"/>
  <c r="R113" i="20"/>
  <c r="I113" i="20"/>
  <c r="E113" i="20"/>
  <c r="A114" i="20"/>
  <c r="S113" i="20"/>
  <c r="Y113" i="20"/>
  <c r="L113" i="20"/>
  <c r="AA113" i="20"/>
  <c r="Z113" i="20"/>
  <c r="P113" i="20"/>
  <c r="B114" i="20" l="1"/>
  <c r="A115" i="20"/>
  <c r="I114" i="20"/>
  <c r="B115" i="20" l="1"/>
  <c r="J115" i="20"/>
  <c r="AA115" i="20"/>
  <c r="N115" i="20"/>
  <c r="I115" i="20"/>
  <c r="X115" i="20"/>
  <c r="M115" i="20"/>
  <c r="K114" i="20"/>
  <c r="X114" i="20"/>
  <c r="T114" i="20"/>
  <c r="Z114" i="20"/>
  <c r="F114" i="20"/>
  <c r="P114" i="20"/>
  <c r="A116" i="20"/>
  <c r="K115" i="20"/>
  <c r="L115" i="20"/>
  <c r="D115" i="20"/>
  <c r="H115" i="20"/>
  <c r="S115" i="20"/>
  <c r="C115" i="20"/>
  <c r="W114" i="20"/>
  <c r="Q114" i="20"/>
  <c r="G114" i="20"/>
  <c r="D114" i="20"/>
  <c r="E114" i="20"/>
  <c r="N114" i="20"/>
  <c r="U115" i="20"/>
  <c r="P115" i="20"/>
  <c r="Y115" i="20"/>
  <c r="F115" i="20"/>
  <c r="V115" i="20"/>
  <c r="W115" i="20"/>
  <c r="R115" i="20"/>
  <c r="C114" i="20"/>
  <c r="O114" i="20"/>
  <c r="Y114" i="20"/>
  <c r="S114" i="20"/>
  <c r="AA114" i="20"/>
  <c r="M114" i="20"/>
  <c r="Z115" i="20"/>
  <c r="G115" i="20"/>
  <c r="O115" i="20"/>
  <c r="T115" i="20"/>
  <c r="E115" i="20"/>
  <c r="Q115" i="20"/>
  <c r="H114" i="20"/>
  <c r="U114" i="20"/>
  <c r="V114" i="20"/>
  <c r="J114" i="20"/>
  <c r="R114" i="20"/>
  <c r="L114" i="20"/>
  <c r="B116" i="20" l="1"/>
  <c r="W116" i="20"/>
  <c r="E116" i="20"/>
  <c r="X116" i="20"/>
  <c r="L116" i="20"/>
  <c r="M116" i="20"/>
  <c r="S116" i="20"/>
  <c r="Z116" i="20"/>
  <c r="V116" i="20"/>
  <c r="K116" i="20"/>
  <c r="F116" i="20"/>
  <c r="A117" i="20"/>
  <c r="D116" i="20"/>
  <c r="P116" i="20"/>
  <c r="H116" i="20"/>
  <c r="N116" i="20"/>
  <c r="O116" i="20"/>
  <c r="J116" i="20"/>
  <c r="B117" i="20" l="1"/>
  <c r="A118" i="20"/>
  <c r="M117" i="20"/>
  <c r="Q117" i="20"/>
  <c r="AA117" i="20"/>
  <c r="R116" i="20"/>
  <c r="G116" i="20"/>
  <c r="P117" i="20"/>
  <c r="C117" i="20"/>
  <c r="G117" i="20"/>
  <c r="Y117" i="20"/>
  <c r="U116" i="20"/>
  <c r="V117" i="20"/>
  <c r="AA116" i="20"/>
  <c r="Q116" i="20"/>
  <c r="T116" i="20"/>
  <c r="C116" i="20"/>
  <c r="Y116" i="20"/>
  <c r="I116" i="20"/>
  <c r="U117" i="20"/>
  <c r="B118" i="20" l="1"/>
  <c r="A119" i="20"/>
  <c r="AA118" i="20"/>
  <c r="X118" i="20"/>
  <c r="W117" i="20"/>
  <c r="Z117" i="20"/>
  <c r="L117" i="20"/>
  <c r="K117" i="20"/>
  <c r="X117" i="20"/>
  <c r="G118" i="20"/>
  <c r="T118" i="20"/>
  <c r="L118" i="20"/>
  <c r="D118" i="20"/>
  <c r="E117" i="20"/>
  <c r="I117" i="20"/>
  <c r="S118" i="20"/>
  <c r="P118" i="20"/>
  <c r="S117" i="20"/>
  <c r="D117" i="20"/>
  <c r="T117" i="20"/>
  <c r="F117" i="20"/>
  <c r="R118" i="20"/>
  <c r="N117" i="20"/>
  <c r="J117" i="20"/>
  <c r="R117" i="20"/>
  <c r="O117" i="20"/>
  <c r="H117" i="20"/>
  <c r="N118" i="20"/>
  <c r="B119" i="20" l="1"/>
  <c r="W118" i="20"/>
  <c r="F118" i="20"/>
  <c r="Y118" i="20"/>
  <c r="K118" i="20"/>
  <c r="X119" i="20"/>
  <c r="E118" i="20"/>
  <c r="I118" i="20"/>
  <c r="U118" i="20"/>
  <c r="C118" i="20"/>
  <c r="H118" i="20"/>
  <c r="M118" i="20"/>
  <c r="A120" i="20"/>
  <c r="H119" i="20"/>
  <c r="E119" i="20"/>
  <c r="Y119" i="20"/>
  <c r="L119" i="20"/>
  <c r="Q118" i="20"/>
  <c r="T119" i="20"/>
  <c r="G119" i="20"/>
  <c r="Q119" i="20"/>
  <c r="R119" i="20"/>
  <c r="O119" i="20"/>
  <c r="V118" i="20"/>
  <c r="J118" i="20"/>
  <c r="O118" i="20"/>
  <c r="Z118" i="20"/>
  <c r="W119" i="20"/>
  <c r="B120" i="20" l="1"/>
  <c r="P120" i="20"/>
  <c r="N120" i="20"/>
  <c r="I120" i="20"/>
  <c r="T120" i="20"/>
  <c r="S120" i="20"/>
  <c r="D119" i="20"/>
  <c r="N119" i="20"/>
  <c r="U119" i="20"/>
  <c r="AA119" i="20"/>
  <c r="K120" i="20"/>
  <c r="F120" i="20"/>
  <c r="U120" i="20"/>
  <c r="AA120" i="20"/>
  <c r="I119" i="20"/>
  <c r="P119" i="20"/>
  <c r="F119" i="20"/>
  <c r="M119" i="20"/>
  <c r="V120" i="20"/>
  <c r="G120" i="20"/>
  <c r="O120" i="20"/>
  <c r="H120" i="20"/>
  <c r="Y120" i="20"/>
  <c r="J120" i="20"/>
  <c r="E120" i="20"/>
  <c r="S119" i="20"/>
  <c r="J119" i="20"/>
  <c r="R120" i="20"/>
  <c r="D120" i="20"/>
  <c r="A121" i="20"/>
  <c r="X120" i="20"/>
  <c r="C120" i="20"/>
  <c r="L120" i="20"/>
  <c r="C119" i="20"/>
  <c r="Z119" i="20"/>
  <c r="K119" i="20"/>
  <c r="V119" i="20"/>
  <c r="M120" i="20"/>
  <c r="B121" i="20" l="1"/>
  <c r="Z120" i="20"/>
  <c r="M121" i="20"/>
  <c r="T121" i="20"/>
  <c r="W120" i="20"/>
  <c r="E121" i="20"/>
  <c r="Z121" i="20"/>
  <c r="O121" i="20"/>
  <c r="K121" i="20"/>
  <c r="C121" i="20"/>
  <c r="S121" i="20"/>
  <c r="J121" i="20"/>
  <c r="U121" i="20"/>
  <c r="AA121" i="20"/>
  <c r="Y121" i="20"/>
  <c r="A122" i="20"/>
  <c r="V121" i="20"/>
  <c r="Q121" i="20"/>
  <c r="L121" i="20"/>
  <c r="I121" i="20"/>
  <c r="P121" i="20"/>
  <c r="Q120" i="20"/>
  <c r="G121" i="20"/>
  <c r="B122" i="20" l="1"/>
  <c r="A123" i="20"/>
  <c r="W121" i="20"/>
  <c r="D121" i="20"/>
  <c r="N121" i="20"/>
  <c r="R121" i="20"/>
  <c r="X121" i="20"/>
  <c r="P122" i="20"/>
  <c r="Z122" i="20"/>
  <c r="C122" i="20"/>
  <c r="F121" i="20"/>
  <c r="H121" i="20"/>
  <c r="D122" i="20"/>
  <c r="V122" i="20"/>
  <c r="B123" i="20" l="1"/>
  <c r="L122" i="20"/>
  <c r="T122" i="20"/>
  <c r="F122" i="20"/>
  <c r="H122" i="20"/>
  <c r="O122" i="20"/>
  <c r="N122" i="20"/>
  <c r="U122" i="20"/>
  <c r="I122" i="20"/>
  <c r="A124" i="20"/>
  <c r="AA123" i="20"/>
  <c r="Z123" i="20"/>
  <c r="U123" i="20"/>
  <c r="Y123" i="20"/>
  <c r="C123" i="20"/>
  <c r="M122" i="20"/>
  <c r="G122" i="20"/>
  <c r="J123" i="20"/>
  <c r="K122" i="20"/>
  <c r="X123" i="20"/>
  <c r="O123" i="20"/>
  <c r="S123" i="20"/>
  <c r="L123" i="20"/>
  <c r="G123" i="20"/>
  <c r="E122" i="20"/>
  <c r="D123" i="20"/>
  <c r="W122" i="20"/>
  <c r="AA122" i="20"/>
  <c r="Y122" i="20"/>
  <c r="S122" i="20"/>
  <c r="X122" i="20"/>
  <c r="Q122" i="20"/>
  <c r="R122" i="20"/>
  <c r="J122" i="20"/>
  <c r="Q123" i="20"/>
  <c r="B124" i="20" l="1"/>
  <c r="U124" i="20"/>
  <c r="E124" i="20"/>
  <c r="K124" i="20"/>
  <c r="Q124" i="20"/>
  <c r="H124" i="20"/>
  <c r="P123" i="20"/>
  <c r="N123" i="20"/>
  <c r="H123" i="20"/>
  <c r="R123" i="20"/>
  <c r="G124" i="20"/>
  <c r="O124" i="20"/>
  <c r="Y124" i="20"/>
  <c r="V124" i="20"/>
  <c r="Z124" i="20"/>
  <c r="M123" i="20"/>
  <c r="F123" i="20"/>
  <c r="T123" i="20"/>
  <c r="J124" i="20"/>
  <c r="F124" i="20"/>
  <c r="X124" i="20"/>
  <c r="D124" i="20"/>
  <c r="C124" i="20"/>
  <c r="M124" i="20"/>
  <c r="S124" i="20"/>
  <c r="I123" i="20"/>
  <c r="T124" i="20"/>
  <c r="R124" i="20"/>
  <c r="A125" i="20"/>
  <c r="N124" i="20"/>
  <c r="I124" i="20"/>
  <c r="L124" i="20"/>
  <c r="V123" i="20"/>
  <c r="K123" i="20"/>
  <c r="W123" i="20"/>
  <c r="E123" i="20"/>
  <c r="W124" i="20"/>
  <c r="B125" i="20" l="1"/>
  <c r="R125" i="20"/>
  <c r="M125" i="20"/>
  <c r="D125" i="20"/>
  <c r="J125" i="20"/>
  <c r="F125" i="20"/>
  <c r="AA124" i="20"/>
  <c r="A126" i="20"/>
  <c r="G125" i="20"/>
  <c r="V125" i="20"/>
  <c r="Z125" i="20"/>
  <c r="O125" i="20"/>
  <c r="I125" i="20"/>
  <c r="H125" i="20"/>
  <c r="P125" i="20"/>
  <c r="E125" i="20"/>
  <c r="N125" i="20"/>
  <c r="L125" i="20"/>
  <c r="X125" i="20"/>
  <c r="T125" i="20"/>
  <c r="W125" i="20"/>
  <c r="K125" i="20"/>
  <c r="AA125" i="20"/>
  <c r="Y125" i="20"/>
  <c r="U125" i="20"/>
  <c r="S125" i="20"/>
  <c r="Q125" i="20"/>
  <c r="P124" i="20"/>
  <c r="C125" i="20"/>
  <c r="B126" i="20" l="1"/>
  <c r="K126" i="20"/>
  <c r="R126" i="20"/>
  <c r="V126" i="20"/>
  <c r="Q126" i="20"/>
  <c r="Z126" i="20"/>
  <c r="AA126" i="20"/>
  <c r="T126" i="20"/>
  <c r="N126" i="20"/>
  <c r="S126" i="20"/>
  <c r="A127" i="20"/>
  <c r="Y126" i="20"/>
  <c r="O126" i="20"/>
  <c r="B127" i="20" l="1"/>
  <c r="A128" i="20"/>
  <c r="W126" i="20"/>
  <c r="G126" i="20"/>
  <c r="H126" i="20"/>
  <c r="C126" i="20"/>
  <c r="S127" i="20"/>
  <c r="E126" i="20"/>
  <c r="L126" i="20"/>
  <c r="F126" i="20"/>
  <c r="U126" i="20"/>
  <c r="Y127" i="20"/>
  <c r="W127" i="20"/>
  <c r="M126" i="20"/>
  <c r="P126" i="20"/>
  <c r="D126" i="20"/>
  <c r="X126" i="20"/>
  <c r="I126" i="20"/>
  <c r="J126" i="20"/>
  <c r="D127" i="20"/>
  <c r="B128" i="20" l="1"/>
  <c r="E128" i="20"/>
  <c r="W128" i="20"/>
  <c r="J128" i="20"/>
  <c r="F128" i="20"/>
  <c r="J127" i="20"/>
  <c r="C127" i="20"/>
  <c r="Q127" i="20"/>
  <c r="P127" i="20"/>
  <c r="Z127" i="20"/>
  <c r="V127" i="20"/>
  <c r="L128" i="20"/>
  <c r="U128" i="20"/>
  <c r="V128" i="20"/>
  <c r="O128" i="20"/>
  <c r="F127" i="20"/>
  <c r="M127" i="20"/>
  <c r="N127" i="20"/>
  <c r="H127" i="20"/>
  <c r="E127" i="20"/>
  <c r="X127" i="20"/>
  <c r="A129" i="20"/>
  <c r="R128" i="20"/>
  <c r="N128" i="20"/>
  <c r="I128" i="20"/>
  <c r="Z128" i="20"/>
  <c r="C128" i="20"/>
  <c r="P128" i="20"/>
  <c r="O127" i="20"/>
  <c r="U127" i="20"/>
  <c r="T127" i="20"/>
  <c r="X128" i="20"/>
  <c r="K128" i="20"/>
  <c r="Q128" i="20"/>
  <c r="M128" i="20"/>
  <c r="S128" i="20"/>
  <c r="G128" i="20"/>
  <c r="I127" i="20"/>
  <c r="K127" i="20"/>
  <c r="G127" i="20"/>
  <c r="L127" i="20"/>
  <c r="R127" i="20"/>
  <c r="AA127" i="20"/>
  <c r="AA128" i="20"/>
  <c r="B129" i="20" l="1"/>
  <c r="A130" i="20"/>
  <c r="X129" i="20"/>
  <c r="E129" i="20"/>
  <c r="F129" i="20"/>
  <c r="T128" i="20"/>
  <c r="Y128" i="20"/>
  <c r="I129" i="20"/>
  <c r="Q129" i="20"/>
  <c r="D128" i="20"/>
  <c r="U129" i="20"/>
  <c r="T129" i="20"/>
  <c r="H129" i="20"/>
  <c r="O129" i="20"/>
  <c r="H128" i="20"/>
  <c r="S129" i="20"/>
  <c r="B130" i="20" l="1"/>
  <c r="Y129" i="20"/>
  <c r="L129" i="20"/>
  <c r="C129" i="20"/>
  <c r="J129" i="20"/>
  <c r="Q130" i="20"/>
  <c r="AA129" i="20"/>
  <c r="G129" i="20"/>
  <c r="G130" i="20"/>
  <c r="F130" i="20"/>
  <c r="U130" i="20"/>
  <c r="C130" i="20"/>
  <c r="L130" i="20"/>
  <c r="V129" i="20"/>
  <c r="Z129" i="20"/>
  <c r="K129" i="20"/>
  <c r="A131" i="20"/>
  <c r="N130" i="20"/>
  <c r="P130" i="20"/>
  <c r="M130" i="20"/>
  <c r="T130" i="20"/>
  <c r="Z130" i="20"/>
  <c r="R130" i="20"/>
  <c r="P129" i="20"/>
  <c r="AA130" i="20"/>
  <c r="K130" i="20"/>
  <c r="X130" i="20"/>
  <c r="W130" i="20"/>
  <c r="D130" i="20"/>
  <c r="N129" i="20"/>
  <c r="W129" i="20"/>
  <c r="D129" i="20"/>
  <c r="R129" i="20"/>
  <c r="M129" i="20"/>
  <c r="Y130" i="20"/>
  <c r="B131" i="20" l="1"/>
  <c r="A132" i="20"/>
  <c r="O130" i="20"/>
  <c r="J130" i="20"/>
  <c r="M131" i="20"/>
  <c r="H130" i="20"/>
  <c r="S130" i="20"/>
  <c r="C131" i="20"/>
  <c r="N131" i="20"/>
  <c r="Y131" i="20"/>
  <c r="F131" i="20"/>
  <c r="I130" i="20"/>
  <c r="V130" i="20"/>
  <c r="AA131" i="20"/>
  <c r="E130" i="20"/>
  <c r="X131" i="20"/>
  <c r="B132" i="20" l="1"/>
  <c r="A133" i="20"/>
  <c r="Q132" i="20"/>
  <c r="E132" i="20"/>
  <c r="I132" i="20"/>
  <c r="AA132" i="20"/>
  <c r="S132" i="20"/>
  <c r="G131" i="20"/>
  <c r="L131" i="20"/>
  <c r="Q131" i="20"/>
  <c r="R131" i="20"/>
  <c r="K131" i="20"/>
  <c r="H132" i="20"/>
  <c r="P132" i="20"/>
  <c r="Z132" i="20"/>
  <c r="O132" i="20"/>
  <c r="D132" i="20"/>
  <c r="T132" i="20"/>
  <c r="T131" i="20"/>
  <c r="W131" i="20"/>
  <c r="S131" i="20"/>
  <c r="D131" i="20"/>
  <c r="V132" i="20"/>
  <c r="G132" i="20"/>
  <c r="U132" i="20"/>
  <c r="R132" i="20"/>
  <c r="H131" i="20"/>
  <c r="P131" i="20"/>
  <c r="I131" i="20"/>
  <c r="J131" i="20"/>
  <c r="L132" i="20"/>
  <c r="K132" i="20"/>
  <c r="C132" i="20"/>
  <c r="F132" i="20"/>
  <c r="Z131" i="20"/>
  <c r="O131" i="20"/>
  <c r="U131" i="20"/>
  <c r="E131" i="20"/>
  <c r="V131" i="20"/>
  <c r="W132" i="20"/>
  <c r="B133" i="20" l="1"/>
  <c r="A134" i="20"/>
  <c r="I133" i="20"/>
  <c r="N133" i="20"/>
  <c r="X133" i="20"/>
  <c r="Y133" i="20"/>
  <c r="D133" i="20"/>
  <c r="E133" i="20"/>
  <c r="Y132" i="20"/>
  <c r="U133" i="20"/>
  <c r="P133" i="20"/>
  <c r="R133" i="20"/>
  <c r="AA133" i="20"/>
  <c r="M133" i="20"/>
  <c r="W133" i="20"/>
  <c r="X132" i="20"/>
  <c r="H133" i="20"/>
  <c r="Z133" i="20"/>
  <c r="S133" i="20"/>
  <c r="J133" i="20"/>
  <c r="F133" i="20"/>
  <c r="M132" i="20"/>
  <c r="C133" i="20"/>
  <c r="O133" i="20"/>
  <c r="V133" i="20"/>
  <c r="G133" i="20"/>
  <c r="L133" i="20"/>
  <c r="N132" i="20"/>
  <c r="J132" i="20"/>
  <c r="T133" i="20"/>
  <c r="B134" i="20" l="1"/>
  <c r="W134" i="20"/>
  <c r="D134" i="20"/>
  <c r="C134" i="20"/>
  <c r="K133" i="20"/>
  <c r="AA134" i="20"/>
  <c r="R134" i="20"/>
  <c r="A135" i="20"/>
  <c r="P134" i="20"/>
  <c r="J134" i="20"/>
  <c r="V134" i="20"/>
  <c r="Q134" i="20"/>
  <c r="G134" i="20"/>
  <c r="M134" i="20"/>
  <c r="I134" i="20"/>
  <c r="H134" i="20"/>
  <c r="F134" i="20"/>
  <c r="T134" i="20"/>
  <c r="Q133" i="20"/>
  <c r="O134" i="20"/>
  <c r="B135" i="20" l="1"/>
  <c r="A136" i="20"/>
  <c r="S135" i="20"/>
  <c r="M135" i="20"/>
  <c r="Y135" i="20"/>
  <c r="D135" i="20"/>
  <c r="Z135" i="20"/>
  <c r="X135" i="20"/>
  <c r="Z134" i="20"/>
  <c r="S134" i="20"/>
  <c r="K134" i="20"/>
  <c r="AA135" i="20"/>
  <c r="E135" i="20"/>
  <c r="F135" i="20"/>
  <c r="W135" i="20"/>
  <c r="J135" i="20"/>
  <c r="G135" i="20"/>
  <c r="N134" i="20"/>
  <c r="I135" i="20"/>
  <c r="P135" i="20"/>
  <c r="H135" i="20"/>
  <c r="L135" i="20"/>
  <c r="T135" i="20"/>
  <c r="C135" i="20"/>
  <c r="X134" i="20"/>
  <c r="R135" i="20"/>
  <c r="Q135" i="20"/>
  <c r="V135" i="20"/>
  <c r="K135" i="20"/>
  <c r="O135" i="20"/>
  <c r="E134" i="20"/>
  <c r="L134" i="20"/>
  <c r="U134" i="20"/>
  <c r="Y134" i="20"/>
  <c r="U135" i="20"/>
  <c r="B136" i="20" l="1"/>
  <c r="A137" i="20"/>
  <c r="O136" i="20"/>
  <c r="K136" i="20"/>
  <c r="Z136" i="20"/>
  <c r="Y136" i="20"/>
  <c r="P136" i="20"/>
  <c r="E136" i="20"/>
  <c r="J136" i="20"/>
  <c r="S136" i="20"/>
  <c r="N135" i="20"/>
  <c r="N136" i="20"/>
  <c r="U136" i="20"/>
  <c r="V136" i="20"/>
  <c r="F136" i="20"/>
  <c r="C136" i="20"/>
  <c r="B137" i="20" l="1"/>
  <c r="X136" i="20"/>
  <c r="G136" i="20"/>
  <c r="W136" i="20"/>
  <c r="H136" i="20"/>
  <c r="P137" i="20"/>
  <c r="M136" i="20"/>
  <c r="L136" i="20"/>
  <c r="Q136" i="20"/>
  <c r="D136" i="20"/>
  <c r="R136" i="20"/>
  <c r="S137" i="20"/>
  <c r="T136" i="20"/>
  <c r="A138" i="20"/>
  <c r="AA136" i="20"/>
  <c r="I136" i="20"/>
  <c r="J137" i="20"/>
  <c r="B138" i="20" l="1"/>
  <c r="C138" i="20"/>
  <c r="C137" i="20"/>
  <c r="T137" i="20"/>
  <c r="Z137" i="20"/>
  <c r="O137" i="20"/>
  <c r="E137" i="20"/>
  <c r="K137" i="20"/>
  <c r="V137" i="20"/>
  <c r="H137" i="20"/>
  <c r="W137" i="20"/>
  <c r="D137" i="20"/>
  <c r="Q138" i="20"/>
  <c r="J138" i="20"/>
  <c r="AA138" i="20"/>
  <c r="G138" i="20"/>
  <c r="M138" i="20"/>
  <c r="L137" i="20"/>
  <c r="I137" i="20"/>
  <c r="Y137" i="20"/>
  <c r="F137" i="20"/>
  <c r="K138" i="20"/>
  <c r="E138" i="20"/>
  <c r="A139" i="20"/>
  <c r="U137" i="20"/>
  <c r="N137" i="20"/>
  <c r="G137" i="20"/>
  <c r="N138" i="20"/>
  <c r="L138" i="20"/>
  <c r="Y138" i="20"/>
  <c r="O138" i="20"/>
  <c r="AA137" i="20"/>
  <c r="X137" i="20"/>
  <c r="V138" i="20"/>
  <c r="D138" i="20"/>
  <c r="U138" i="20"/>
  <c r="R137" i="20"/>
  <c r="M137" i="20"/>
  <c r="Q137" i="20"/>
  <c r="S138" i="20"/>
  <c r="B139" i="20" l="1"/>
  <c r="A140" i="20"/>
  <c r="N139" i="20"/>
  <c r="F139" i="20"/>
  <c r="L139" i="20"/>
  <c r="M139" i="20"/>
  <c r="T139" i="20"/>
  <c r="T138" i="20"/>
  <c r="W138" i="20"/>
  <c r="X138" i="20"/>
  <c r="H139" i="20"/>
  <c r="R138" i="20"/>
  <c r="O139" i="20"/>
  <c r="J139" i="20"/>
  <c r="R139" i="20"/>
  <c r="Y139" i="20"/>
  <c r="W139" i="20"/>
  <c r="V139" i="20"/>
  <c r="F138" i="20"/>
  <c r="E139" i="20"/>
  <c r="I138" i="20"/>
  <c r="AA139" i="20"/>
  <c r="Q139" i="20"/>
  <c r="Z139" i="20"/>
  <c r="H138" i="20"/>
  <c r="P138" i="20"/>
  <c r="X139" i="20"/>
  <c r="I139" i="20"/>
  <c r="C139" i="20"/>
  <c r="U139" i="20"/>
  <c r="Z138" i="20"/>
  <c r="D139" i="20"/>
  <c r="B140" i="20" l="1"/>
  <c r="O140" i="20"/>
  <c r="W140" i="20"/>
  <c r="P140" i="20"/>
  <c r="X140" i="20"/>
  <c r="J140" i="20"/>
  <c r="Z140" i="20"/>
  <c r="K139" i="20"/>
  <c r="T140" i="20"/>
  <c r="K140" i="20"/>
  <c r="A141" i="20"/>
  <c r="R140" i="20"/>
  <c r="Y140" i="20"/>
  <c r="S140" i="20"/>
  <c r="G140" i="20"/>
  <c r="E140" i="20"/>
  <c r="F140" i="20"/>
  <c r="P139" i="20"/>
  <c r="Q140" i="20"/>
  <c r="I140" i="20"/>
  <c r="S139" i="20"/>
  <c r="C140" i="20"/>
  <c r="N140" i="20"/>
  <c r="M140" i="20"/>
  <c r="L140" i="20"/>
  <c r="H140" i="20"/>
  <c r="V140" i="20"/>
  <c r="U140" i="20"/>
  <c r="G139" i="20"/>
  <c r="AA140" i="20"/>
  <c r="D140" i="20"/>
  <c r="B141" i="20" l="1"/>
  <c r="F141" i="20"/>
  <c r="T141" i="20"/>
  <c r="O141" i="20"/>
  <c r="L141" i="20"/>
  <c r="A142" i="20"/>
  <c r="D141" i="20"/>
  <c r="W141" i="20"/>
  <c r="M141" i="20"/>
  <c r="P141" i="20"/>
  <c r="B142" i="20" l="1"/>
  <c r="G141" i="20"/>
  <c r="S141" i="20"/>
  <c r="H141" i="20"/>
  <c r="V141" i="20"/>
  <c r="I141" i="20"/>
  <c r="Y141" i="20"/>
  <c r="AA141" i="20"/>
  <c r="G142" i="20"/>
  <c r="H142" i="20"/>
  <c r="J141" i="20"/>
  <c r="R141" i="20"/>
  <c r="I142" i="20"/>
  <c r="C142" i="20"/>
  <c r="C141" i="20"/>
  <c r="N141" i="20"/>
  <c r="X141" i="20"/>
  <c r="A143" i="20"/>
  <c r="R142" i="20"/>
  <c r="E141" i="20"/>
  <c r="K141" i="20"/>
  <c r="N142" i="20"/>
  <c r="P142" i="20"/>
  <c r="Y142" i="20"/>
  <c r="Z142" i="20"/>
  <c r="D142" i="20"/>
  <c r="Q142" i="20"/>
  <c r="U141" i="20"/>
  <c r="Q141" i="20"/>
  <c r="L142" i="20"/>
  <c r="W142" i="20"/>
  <c r="Z141" i="20"/>
  <c r="V142" i="20"/>
  <c r="B143" i="20" l="1"/>
  <c r="D143" i="20"/>
  <c r="Y143" i="20"/>
  <c r="AA143" i="20"/>
  <c r="R143" i="20"/>
  <c r="G143" i="20"/>
  <c r="N143" i="20"/>
  <c r="O142" i="20"/>
  <c r="S142" i="20"/>
  <c r="X142" i="20"/>
  <c r="H143" i="20"/>
  <c r="F143" i="20"/>
  <c r="T143" i="20"/>
  <c r="M142" i="20"/>
  <c r="AA142" i="20"/>
  <c r="C143" i="20"/>
  <c r="L143" i="20"/>
  <c r="U143" i="20"/>
  <c r="X143" i="20"/>
  <c r="E143" i="20"/>
  <c r="M143" i="20"/>
  <c r="T142" i="20"/>
  <c r="K142" i="20"/>
  <c r="E142" i="20"/>
  <c r="A144" i="20"/>
  <c r="W143" i="20"/>
  <c r="K143" i="20"/>
  <c r="Q143" i="20"/>
  <c r="U142" i="20"/>
  <c r="F142" i="20"/>
  <c r="J142" i="20"/>
  <c r="P143" i="20"/>
  <c r="S143" i="20"/>
  <c r="Z143" i="20"/>
  <c r="V143" i="20"/>
  <c r="I143" i="20"/>
  <c r="B144" i="20" l="1"/>
  <c r="A145" i="20"/>
  <c r="E144" i="20"/>
  <c r="K144" i="20"/>
  <c r="C144" i="20"/>
  <c r="T144" i="20"/>
  <c r="J144" i="20"/>
  <c r="O143" i="20"/>
  <c r="L144" i="20"/>
  <c r="V144" i="20"/>
  <c r="U144" i="20"/>
  <c r="W144" i="20"/>
  <c r="H144" i="20"/>
  <c r="X144" i="20"/>
  <c r="F144" i="20"/>
  <c r="P144" i="20"/>
  <c r="AA144" i="20"/>
  <c r="I144" i="20"/>
  <c r="O144" i="20"/>
  <c r="J143" i="20"/>
  <c r="R144" i="20"/>
  <c r="B145" i="20" l="1"/>
  <c r="M145" i="20"/>
  <c r="A146" i="20"/>
  <c r="C145" i="20"/>
  <c r="Y145" i="20"/>
  <c r="H145" i="20"/>
  <c r="K145" i="20"/>
  <c r="S144" i="20"/>
  <c r="N144" i="20"/>
  <c r="G144" i="20"/>
  <c r="S145" i="20"/>
  <c r="G145" i="20"/>
  <c r="Y144" i="20"/>
  <c r="D144" i="20"/>
  <c r="F145" i="20"/>
  <c r="T145" i="20"/>
  <c r="X145" i="20"/>
  <c r="V145" i="20"/>
  <c r="L145" i="20"/>
  <c r="Q144" i="20"/>
  <c r="E145" i="20"/>
  <c r="N145" i="20"/>
  <c r="AA145" i="20"/>
  <c r="R145" i="20"/>
  <c r="D145" i="20"/>
  <c r="M144" i="20"/>
  <c r="Z144" i="20"/>
  <c r="Q145" i="20"/>
  <c r="O145" i="20"/>
  <c r="B146" i="20" l="1"/>
  <c r="W145" i="20"/>
  <c r="I145" i="20"/>
  <c r="L146" i="20"/>
  <c r="V146" i="20"/>
  <c r="Q146" i="20"/>
  <c r="M146" i="20"/>
  <c r="N146" i="20"/>
  <c r="U146" i="20"/>
  <c r="C146" i="20"/>
  <c r="X146" i="20"/>
  <c r="D146" i="20"/>
  <c r="J145" i="20"/>
  <c r="U145" i="20"/>
  <c r="Z145" i="20"/>
  <c r="O146" i="20"/>
  <c r="A147" i="20"/>
  <c r="P145" i="20"/>
  <c r="H146" i="20"/>
  <c r="B147" i="20" l="1"/>
  <c r="N147" i="20"/>
  <c r="Q147" i="20"/>
  <c r="G147" i="20"/>
  <c r="Y147" i="20"/>
  <c r="V147" i="20"/>
  <c r="AA147" i="20"/>
  <c r="T146" i="20"/>
  <c r="Y146" i="20"/>
  <c r="F146" i="20"/>
  <c r="Z146" i="20"/>
  <c r="L147" i="20"/>
  <c r="J147" i="20"/>
  <c r="I147" i="20"/>
  <c r="E146" i="20"/>
  <c r="G146" i="20"/>
  <c r="A148" i="20"/>
  <c r="C147" i="20"/>
  <c r="E147" i="20"/>
  <c r="T147" i="20"/>
  <c r="P147" i="20"/>
  <c r="F147" i="20"/>
  <c r="O147" i="20"/>
  <c r="S146" i="20"/>
  <c r="I146" i="20"/>
  <c r="J146" i="20"/>
  <c r="K146" i="20"/>
  <c r="R147" i="20"/>
  <c r="S147" i="20"/>
  <c r="U147" i="20"/>
  <c r="R146" i="20"/>
  <c r="AA146" i="20"/>
  <c r="W147" i="20"/>
  <c r="K147" i="20"/>
  <c r="X147" i="20"/>
  <c r="D147" i="20"/>
  <c r="H147" i="20"/>
  <c r="Z147" i="20"/>
  <c r="P146" i="20"/>
  <c r="W146" i="20"/>
  <c r="M147" i="20"/>
  <c r="B148" i="20" l="1"/>
  <c r="Z148" i="20"/>
  <c r="H148" i="20"/>
  <c r="Y148" i="20"/>
  <c r="K148" i="20"/>
  <c r="G148" i="20"/>
  <c r="E148" i="20"/>
  <c r="Q148" i="20"/>
  <c r="L148" i="20"/>
  <c r="O148" i="20"/>
  <c r="N148" i="20"/>
  <c r="X148" i="20"/>
  <c r="U148" i="20"/>
  <c r="I148" i="20"/>
  <c r="W148" i="20"/>
  <c r="F148" i="20"/>
  <c r="S148" i="20"/>
  <c r="A149" i="20"/>
  <c r="T148" i="20"/>
  <c r="C148" i="20"/>
  <c r="V148" i="20"/>
  <c r="D148" i="20"/>
  <c r="P148" i="20"/>
  <c r="J148" i="20"/>
  <c r="M148" i="20"/>
  <c r="AA148" i="20"/>
  <c r="R148" i="20"/>
  <c r="B149" i="20" l="1"/>
  <c r="U149" i="20"/>
  <c r="F149" i="20"/>
  <c r="I149" i="20"/>
  <c r="A150" i="20"/>
  <c r="D149" i="20"/>
  <c r="J149" i="20"/>
  <c r="W149" i="20"/>
  <c r="S149" i="20"/>
  <c r="B150" i="20" l="1"/>
  <c r="O150" i="20"/>
  <c r="Q150" i="20"/>
  <c r="K150" i="20"/>
  <c r="Z150" i="20"/>
  <c r="R150" i="20"/>
  <c r="M150" i="20"/>
  <c r="G149" i="20"/>
  <c r="K149" i="20"/>
  <c r="E149" i="20"/>
  <c r="N149" i="20"/>
  <c r="P149" i="20"/>
  <c r="N150" i="20"/>
  <c r="I150" i="20"/>
  <c r="Z149" i="20"/>
  <c r="R149" i="20"/>
  <c r="Y150" i="20"/>
  <c r="D150" i="20"/>
  <c r="AA150" i="20"/>
  <c r="W150" i="20"/>
  <c r="H150" i="20"/>
  <c r="P150" i="20"/>
  <c r="Q149" i="20"/>
  <c r="X149" i="20"/>
  <c r="O149" i="20"/>
  <c r="C149" i="20"/>
  <c r="G150" i="20"/>
  <c r="X150" i="20"/>
  <c r="T149" i="20"/>
  <c r="L149" i="20"/>
  <c r="S150" i="20"/>
  <c r="E150" i="20"/>
  <c r="T150" i="20"/>
  <c r="V150" i="20"/>
  <c r="F150" i="20"/>
  <c r="U150" i="20"/>
  <c r="L150" i="20"/>
  <c r="V149" i="20"/>
  <c r="M149" i="20"/>
  <c r="H149" i="20"/>
  <c r="Y149" i="20"/>
  <c r="A151" i="20"/>
  <c r="C150" i="20"/>
  <c r="AA149" i="20"/>
  <c r="J150" i="20"/>
  <c r="B151" i="20" l="1"/>
  <c r="E151" i="20"/>
  <c r="I151" i="20"/>
  <c r="M151" i="20"/>
  <c r="Q151" i="20"/>
  <c r="Y151" i="20"/>
  <c r="G151" i="20"/>
  <c r="U151" i="20"/>
  <c r="N151" i="20"/>
  <c r="C151" i="20"/>
  <c r="H151" i="20"/>
  <c r="T151" i="20"/>
  <c r="W151" i="20"/>
  <c r="A152" i="20"/>
  <c r="J151" i="20"/>
  <c r="V151" i="20"/>
  <c r="D151" i="20"/>
  <c r="Z151" i="20"/>
  <c r="AA151" i="20"/>
  <c r="R151" i="20"/>
  <c r="K151" i="20"/>
  <c r="X151" i="20"/>
  <c r="P151" i="20"/>
  <c r="O151" i="20"/>
  <c r="B152" i="20" l="1"/>
  <c r="C152" i="20"/>
  <c r="D152" i="20"/>
  <c r="J152" i="20"/>
  <c r="R152" i="20"/>
  <c r="I152" i="20"/>
  <c r="L151" i="20"/>
  <c r="G152" i="20"/>
  <c r="S152" i="20"/>
  <c r="Y152" i="20"/>
  <c r="U152" i="20"/>
  <c r="F152" i="20"/>
  <c r="Z152" i="20"/>
  <c r="P152" i="20"/>
  <c r="E152" i="20"/>
  <c r="O152" i="20"/>
  <c r="S151" i="20"/>
  <c r="V152" i="20"/>
  <c r="N152" i="20"/>
  <c r="K152" i="20"/>
  <c r="AA152" i="20"/>
  <c r="W152" i="20"/>
  <c r="M152" i="20"/>
  <c r="F151" i="20"/>
  <c r="Q152" i="20"/>
  <c r="X152" i="20"/>
  <c r="H152" i="20"/>
  <c r="T152" i="20"/>
  <c r="L152" i="20"/>
</calcChain>
</file>

<file path=xl/comments1.xml><?xml version="1.0" encoding="utf-8"?>
<comments xmlns="http://schemas.openxmlformats.org/spreadsheetml/2006/main">
  <authors>
    <author>Milagros Huerta Gómez de Merodio</author>
  </authors>
  <commentList>
    <comment ref="X38" authorId="0" shapeId="0">
      <text>
        <r>
          <rPr>
            <sz val="9"/>
            <color indexed="81"/>
            <rFont val="Tahoma"/>
            <family val="2"/>
          </rPr>
          <t xml:space="preserve">Nº posibles respuestas
</t>
        </r>
      </text>
    </comment>
  </commentList>
</comments>
</file>

<file path=xl/comments2.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3.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4.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F6" authorId="0" shapeId="0">
      <text>
        <r>
          <rPr>
            <b/>
            <sz val="9"/>
            <color indexed="81"/>
            <rFont val="Tahoma"/>
            <family val="2"/>
          </rPr>
          <t>Si es necesario que coincidan las mayúsculas hay que poner 1.</t>
        </r>
      </text>
    </comment>
    <comment ref="A7" authorId="0" shapeId="0">
      <text>
        <r>
          <rPr>
            <b/>
            <sz val="9"/>
            <color indexed="81"/>
            <rFont val="Tahoma"/>
            <family val="2"/>
          </rPr>
          <t>Nº de la primera pregunta.</t>
        </r>
      </text>
    </comment>
  </commentList>
</comments>
</file>

<file path=xl/comments5.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sharedStrings.xml><?xml version="1.0" encoding="utf-8"?>
<sst xmlns="http://schemas.openxmlformats.org/spreadsheetml/2006/main" count="3214" uniqueCount="563">
  <si>
    <t>MILAGROS HUERTA GÓMEZ DE MERODIO</t>
  </si>
  <si>
    <t>Universidad de Cádiz</t>
  </si>
  <si>
    <t>LEER CON ATENCIÓN</t>
  </si>
  <si>
    <t>.</t>
  </si>
  <si>
    <t>Retroalimentación General:</t>
  </si>
  <si>
    <t>Contraseña/Nº Identificación:</t>
  </si>
  <si>
    <t>Retroalimentación Respuesta Correcta:</t>
  </si>
  <si>
    <t>Retroalimentación Respuesta Incorrecta:</t>
  </si>
  <si>
    <t>Prefijo de las preguntas (no más de 15 caracteres):</t>
  </si>
  <si>
    <t>Nº Inicial de pregunta a exportar:</t>
  </si>
  <si>
    <t>Nº Final de pregunta a exportar:</t>
  </si>
  <si>
    <t>Tipo numeración respuestas (NINGUNA = none):</t>
  </si>
  <si>
    <t>Barajar respuestas en el cuestionario (SÍ= true):</t>
  </si>
  <si>
    <t>Necesario coincidir Mayúsculas Respuesta (SI = 1):</t>
  </si>
  <si>
    <t>Cuestionario una sola opción de respuesta (SÍ=true):</t>
  </si>
  <si>
    <t>CÓDIGOS ESPECIALES</t>
  </si>
  <si>
    <t>Código</t>
  </si>
  <si>
    <t>Tipo Numeración</t>
  </si>
  <si>
    <t>OM</t>
  </si>
  <si>
    <t>abc</t>
  </si>
  <si>
    <t>Verdadero Falso</t>
  </si>
  <si>
    <t>VF</t>
  </si>
  <si>
    <t>ABCD</t>
  </si>
  <si>
    <t>Emparejar</t>
  </si>
  <si>
    <t>E</t>
  </si>
  <si>
    <t>true</t>
  </si>
  <si>
    <t>Respuesta Corta</t>
  </si>
  <si>
    <t>RC</t>
  </si>
  <si>
    <t>iii</t>
  </si>
  <si>
    <t>false</t>
  </si>
  <si>
    <t>Palabra Perdida</t>
  </si>
  <si>
    <t>PP</t>
  </si>
  <si>
    <t>IIII</t>
  </si>
  <si>
    <t>Q</t>
  </si>
  <si>
    <t>none</t>
  </si>
  <si>
    <t>Pregunta Actual a Exportar</t>
  </si>
  <si>
    <t>Este número se incrementará para generar el archivo con TODAS las preguntas.</t>
  </si>
  <si>
    <t>Descripción:</t>
  </si>
  <si>
    <t>Puntuación:</t>
  </si>
  <si>
    <t>Penalización intento, en caso de permitir más de uno:</t>
  </si>
  <si>
    <t>Oculto:</t>
  </si>
  <si>
    <t>NOMBRE</t>
  </si>
  <si>
    <t>Mal</t>
  </si>
  <si>
    <t>Descrip.
Pregunta</t>
  </si>
  <si>
    <t>OK</t>
  </si>
  <si>
    <t>Puntos OK</t>
  </si>
  <si>
    <t>Puntos Mal</t>
  </si>
  <si>
    <t>Enunciado</t>
  </si>
  <si>
    <t>Retroal. 1</t>
  </si>
  <si>
    <t>Retroal. 2</t>
  </si>
  <si>
    <t>Retroal. 3</t>
  </si>
  <si>
    <t>Retroal. 4</t>
  </si>
  <si>
    <t>Retroal. 5</t>
  </si>
  <si>
    <t>Retroal. 6</t>
  </si>
  <si>
    <t>Pista 1</t>
  </si>
  <si>
    <t>Pista 2</t>
  </si>
  <si>
    <t>Pista 3</t>
  </si>
  <si>
    <t>Pista 4</t>
  </si>
  <si>
    <t/>
  </si>
  <si>
    <t xml:space="preserve">Nº Inicial del Banco de preguntas: </t>
  </si>
  <si>
    <t xml:space="preserve">Pregunta Nº: </t>
  </si>
  <si>
    <t xml:space="preserve">Nombre de la pregunta: </t>
  </si>
  <si>
    <t xml:space="preserve">Descripción: </t>
  </si>
  <si>
    <t xml:space="preserve">Enunciado de la pregunta: </t>
  </si>
  <si>
    <t xml:space="preserve">Retroalimentación: </t>
  </si>
  <si>
    <t xml:space="preserve">Pista 1: </t>
  </si>
  <si>
    <t xml:space="preserve">Pista 2: </t>
  </si>
  <si>
    <t xml:space="preserve">Pista 3: </t>
  </si>
  <si>
    <t xml:space="preserve">Pista 4: </t>
  </si>
  <si>
    <t xml:space="preserve">R. Incorrectas: </t>
  </si>
  <si>
    <t xml:space="preserve">Retroalimentación respuesta incorrecta: </t>
  </si>
  <si>
    <t xml:space="preserve">Puntos por respuesta correcta: </t>
  </si>
  <si>
    <t xml:space="preserve">Puntos por respuesta incorrecta: </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</si>
  <si>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</si>
  <si>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</si>
  <si>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</si>
  <si>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</si>
  <si>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</si>
  <si>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</si>
  <si>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</si>
  <si>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</si>
  <si>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</si>
  <si>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</si>
  <si>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</si>
  <si>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</si>
  <si>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</si>
  <si>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</si>
  <si>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</si>
  <si>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</si>
  <si>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</si>
  <si>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</si>
  <si>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</si>
  <si>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</si>
  <si>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</si>
  <si>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</si>
  <si>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</si>
  <si>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</si>
  <si>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</si>
  <si>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</si>
  <si>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</si>
  <si>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</si>
  <si>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</si>
  <si>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</si>
  <si>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&lt;quiz&gt;</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</si>
  <si>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</si>
  <si>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</si>
  <si>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</si>
  <si>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</si>
  <si>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</si>
  <si>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</si>
  <si>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</si>
  <si>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</si>
  <si>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</si>
  <si>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</si>
  <si>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</si>
  <si>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</si>
  <si>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</si>
  <si>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</si>
  <si>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</si>
  <si>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</si>
  <si>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</si>
  <si>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</si>
  <si>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Pareja 01: </t>
  </si>
  <si>
    <t xml:space="preserve">Pareja 02: </t>
  </si>
  <si>
    <t xml:space="preserve">Pareja 03: </t>
  </si>
  <si>
    <t xml:space="preserve">Pareja 04: </t>
  </si>
  <si>
    <t xml:space="preserve">Pareja 06: </t>
  </si>
  <si>
    <t xml:space="preserve">Pareja 08: </t>
  </si>
  <si>
    <t xml:space="preserve">Pareja 10: </t>
  </si>
  <si>
    <t xml:space="preserve">Pareja 12: </t>
  </si>
  <si>
    <t xml:space="preserve">Pareja 05: </t>
  </si>
  <si>
    <t xml:space="preserve">Pareja 07: </t>
  </si>
  <si>
    <t xml:space="preserve">Pareja 09: </t>
  </si>
  <si>
    <t xml:space="preserve">Pareja 11: </t>
  </si>
  <si>
    <t>GRUPO 1</t>
  </si>
  <si>
    <t>GRUPO 2</t>
  </si>
  <si>
    <t>Pareja 10.1</t>
  </si>
  <si>
    <t>Pareja 10.2</t>
  </si>
  <si>
    <t>Pareja 11.1</t>
  </si>
  <si>
    <t>Pareja 11.2</t>
  </si>
  <si>
    <t>Pareja 12.1</t>
  </si>
  <si>
    <t>Pareja 12.2</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</si>
  <si>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</si>
  <si>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</si>
  <si>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</si>
  <si>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</si>
  <si>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</si>
  <si>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</si>
  <si>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</si>
  <si>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</si>
  <si>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</si>
  <si>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</si>
  <si>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</si>
  <si>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</si>
  <si>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</si>
  <si>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</si>
  <si>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</si>
  <si>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</si>
  <si>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</si>
  <si>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</si>
  <si>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PAREJAS</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</si>
  <si>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</si>
  <si>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</si>
  <si>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</si>
  <si>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</si>
  <si>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</si>
  <si>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</si>
  <si>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</si>
  <si>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</si>
  <si>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</si>
  <si>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</si>
  <si>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</si>
  <si>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</si>
  <si>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</si>
  <si>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</si>
  <si>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</si>
  <si>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</si>
  <si>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</si>
  <si>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</si>
  <si>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</si>
  <si>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</si>
  <si>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</si>
  <si>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</si>
  <si>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</si>
  <si>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</si>
  <si>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</si>
  <si>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 xml:space="preserve">Respuesta 01: </t>
  </si>
  <si>
    <t xml:space="preserve">Respuesta 03: </t>
  </si>
  <si>
    <t xml:space="preserve">Respuesta 05: </t>
  </si>
  <si>
    <t xml:space="preserve">Respuesta 07: </t>
  </si>
  <si>
    <t xml:space="preserve">Respuesta 02: </t>
  </si>
  <si>
    <t xml:space="preserve">Respuesta 04: </t>
  </si>
  <si>
    <t xml:space="preserve">Respuesta 06: </t>
  </si>
  <si>
    <t xml:space="preserve">Respuesta 08: </t>
  </si>
  <si>
    <t xml:space="preserve">Puntos: </t>
  </si>
  <si>
    <t>Retroalim. :</t>
  </si>
  <si>
    <t>Respuesta 01</t>
  </si>
  <si>
    <t>Puntos 01</t>
  </si>
  <si>
    <t>Retroalm. 01</t>
  </si>
  <si>
    <t>Resp.</t>
  </si>
  <si>
    <t>Respuesta 02</t>
  </si>
  <si>
    <t>Puntos 02</t>
  </si>
  <si>
    <t>Retroalm. 02</t>
  </si>
  <si>
    <t>Respuesta 03</t>
  </si>
  <si>
    <t>Puntos 03</t>
  </si>
  <si>
    <t>Retroalm. 03</t>
  </si>
  <si>
    <t>Respuesta 04</t>
  </si>
  <si>
    <t>Puntos 04</t>
  </si>
  <si>
    <t>Retroalm. 04</t>
  </si>
  <si>
    <t>Respuesta 05</t>
  </si>
  <si>
    <t>Puntos 05</t>
  </si>
  <si>
    <t>Retroalm. 05</t>
  </si>
  <si>
    <t>Respuesta 06</t>
  </si>
  <si>
    <t>Puntos 06</t>
  </si>
  <si>
    <t>Retroalm. 06</t>
  </si>
  <si>
    <t>Respuesta 07</t>
  </si>
  <si>
    <t>Puntos 07</t>
  </si>
  <si>
    <t>Retroalm. 07</t>
  </si>
  <si>
    <t>Respuesta 08</t>
  </si>
  <si>
    <t>Puntos 08</t>
  </si>
  <si>
    <t>Retroalm. 08</t>
  </si>
  <si>
    <t>Nº GRUPO</t>
  </si>
  <si>
    <t xml:space="preserve">Palabra 01: </t>
  </si>
  <si>
    <t xml:space="preserve">Palabra 02: </t>
  </si>
  <si>
    <t xml:space="preserve">Palabra 03: </t>
  </si>
  <si>
    <t xml:space="preserve">Palabra 04: </t>
  </si>
  <si>
    <t xml:space="preserve">Palabra 05: </t>
  </si>
  <si>
    <t xml:space="preserve">Palabra 06: </t>
  </si>
  <si>
    <t xml:space="preserve">Palabra 07: </t>
  </si>
  <si>
    <t xml:space="preserve">Palabra 08: </t>
  </si>
  <si>
    <t xml:space="preserve">Palabra 09: </t>
  </si>
  <si>
    <t xml:space="preserve">Palabra 10: </t>
  </si>
  <si>
    <t xml:space="preserve">Palabra 11: </t>
  </si>
  <si>
    <t xml:space="preserve">Palabra 12: </t>
  </si>
  <si>
    <t>Par 01.1</t>
  </si>
  <si>
    <t>Par 01.2</t>
  </si>
  <si>
    <t>Par 02.1</t>
  </si>
  <si>
    <t>Par 02.2</t>
  </si>
  <si>
    <t>Par 03.1</t>
  </si>
  <si>
    <t>Par 03.2</t>
  </si>
  <si>
    <t>Par 04.1</t>
  </si>
  <si>
    <t>Par 04.2</t>
  </si>
  <si>
    <t>Par 05.1</t>
  </si>
  <si>
    <t>Par 05.2</t>
  </si>
  <si>
    <t>Par 06.1</t>
  </si>
  <si>
    <t>Par 06.2</t>
  </si>
  <si>
    <t>Par 07.1</t>
  </si>
  <si>
    <t>Par 07.2</t>
  </si>
  <si>
    <t>Par 08.1</t>
  </si>
  <si>
    <t>Par 08.2</t>
  </si>
  <si>
    <t>Par 09.1</t>
  </si>
  <si>
    <t>Par 09.2</t>
  </si>
  <si>
    <t>Par 10.1</t>
  </si>
  <si>
    <t>Par 10.2</t>
  </si>
  <si>
    <t>Par 11.1</t>
  </si>
  <si>
    <t>Par 11.2</t>
  </si>
  <si>
    <t>Par 12.1</t>
  </si>
  <si>
    <t>Par 12.2</t>
  </si>
  <si>
    <t>PALABRAS</t>
  </si>
  <si>
    <t>en una subcategoría</t>
  </si>
  <si>
    <t>Nº Inicial Pr</t>
  </si>
  <si>
    <t>Nº Final Pr</t>
  </si>
  <si>
    <t>Cambio</t>
  </si>
  <si>
    <t>Diferen</t>
  </si>
  <si>
    <t>EXPORTAR PREGUNTAS A WORD - TXT - LÁTEX</t>
  </si>
  <si>
    <t>Pincha aquí si quieres poner el rango completo de preguntas</t>
  </si>
  <si>
    <t>Formulario</t>
  </si>
  <si>
    <t>Opción Múltiple 1R</t>
  </si>
  <si>
    <t>Opción Múltiple VR</t>
  </si>
  <si>
    <t>O2</t>
  </si>
  <si>
    <t>(una respuesta)</t>
  </si>
  <si>
    <t>(varias respuestas)</t>
  </si>
  <si>
    <t>Nombre  Tipos de Cuestionaros:</t>
  </si>
  <si>
    <t>MAYUSC</t>
  </si>
  <si>
    <t>Esta Aplicación ha sido desarrollada, en la primera versión, por:</t>
  </si>
  <si>
    <t>&lt;?xml version="1.0" encoding= "UTF-8"?&gt;</t>
  </si>
  <si>
    <t>PALABRA</t>
  </si>
  <si>
    <t>VIDEO TUTORIALES</t>
  </si>
  <si>
    <t xml:space="preserve">    &lt;defaultgrade&gt;1&lt;/defaultgrade&gt;</t>
  </si>
  <si>
    <t xml:space="preserve">    &lt;idnumber&gt;&lt;/idnumber&gt;</t>
  </si>
  <si>
    <t>&lt;/question&gt;</t>
  </si>
  <si>
    <t>&lt;/quiz&gt;</t>
  </si>
  <si>
    <t>¡No usar la función CORTAR! [Ctrl+X]</t>
  </si>
  <si>
    <t>NO USAR CORTAR [Ctrl+X]</t>
  </si>
  <si>
    <r>
      <t xml:space="preserve">Actualmente están </t>
    </r>
    <r>
      <rPr>
        <b/>
        <sz val="11"/>
        <color rgb="FF005877"/>
        <rFont val="Calibri"/>
        <family val="2"/>
        <scheme val="minor"/>
      </rPr>
      <t xml:space="preserve">Activos </t>
    </r>
    <r>
      <rPr>
        <sz val="11"/>
        <color rgb="FF005877"/>
        <rFont val="Calibri"/>
        <family val="2"/>
        <scheme val="minor"/>
      </rPr>
      <t xml:space="preserve">los </t>
    </r>
    <r>
      <rPr>
        <b/>
        <sz val="11"/>
        <color rgb="FF005877"/>
        <rFont val="Calibri"/>
        <family val="2"/>
        <scheme val="minor"/>
      </rPr>
      <t xml:space="preserve">Cuestionarios Tipo: 
</t>
    </r>
    <r>
      <rPr>
        <sz val="11"/>
        <color rgb="FF005877"/>
        <rFont val="Calibri"/>
        <family val="2"/>
        <scheme val="minor"/>
      </rPr>
      <t xml:space="preserve">- </t>
    </r>
    <r>
      <rPr>
        <b/>
        <sz val="11"/>
        <color rgb="FF005877"/>
        <rFont val="Calibri"/>
        <family val="2"/>
        <scheme val="minor"/>
      </rPr>
      <t xml:space="preserve">Opción Múltiple </t>
    </r>
    <r>
      <rPr>
        <sz val="11"/>
        <color rgb="FF005877"/>
        <rFont val="Calibri"/>
        <family val="2"/>
        <scheme val="minor"/>
      </rPr>
      <t xml:space="preserve">(1 Respuesta)           - </t>
    </r>
    <r>
      <rPr>
        <b/>
        <sz val="11"/>
        <color rgb="FF005877"/>
        <rFont val="Calibri"/>
        <family val="2"/>
        <scheme val="minor"/>
      </rPr>
      <t xml:space="preserve">Opción Múltiple </t>
    </r>
    <r>
      <rPr>
        <sz val="11"/>
        <color rgb="FF005877"/>
        <rFont val="Calibri"/>
        <family val="2"/>
        <scheme val="minor"/>
      </rPr>
      <t xml:space="preserve">(Varias Respuestas)
- </t>
    </r>
    <r>
      <rPr>
        <b/>
        <sz val="11"/>
        <color rgb="FF005877"/>
        <rFont val="Calibri"/>
        <family val="2"/>
        <scheme val="minor"/>
      </rPr>
      <t>Verdadero Falso</t>
    </r>
    <r>
      <rPr>
        <sz val="11"/>
        <color rgb="FF005877"/>
        <rFont val="Calibri"/>
        <family val="2"/>
        <scheme val="minor"/>
      </rPr>
      <t xml:space="preserve">                                   - </t>
    </r>
    <r>
      <rPr>
        <b/>
        <sz val="11"/>
        <color rgb="FF005877"/>
        <rFont val="Calibri"/>
        <family val="2"/>
        <scheme val="minor"/>
      </rPr>
      <t>Palabra Perdida</t>
    </r>
    <r>
      <rPr>
        <sz val="11"/>
        <color rgb="FF005877"/>
        <rFont val="Calibri"/>
        <family val="2"/>
        <scheme val="minor"/>
      </rPr>
      <t xml:space="preserve">            
- </t>
    </r>
    <r>
      <rPr>
        <b/>
        <sz val="11"/>
        <color rgb="FF005877"/>
        <rFont val="Calibri"/>
        <family val="2"/>
        <scheme val="minor"/>
      </rPr>
      <t>Emparejar</t>
    </r>
    <r>
      <rPr>
        <sz val="11"/>
        <color rgb="FF005877"/>
        <rFont val="Calibri"/>
        <family val="2"/>
        <scheme val="minor"/>
      </rPr>
      <t xml:space="preserve">                                             - </t>
    </r>
    <r>
      <rPr>
        <b/>
        <sz val="11"/>
        <color rgb="FF005877"/>
        <rFont val="Calibri"/>
        <family val="2"/>
        <scheme val="minor"/>
      </rPr>
      <t>Respuesta Corta</t>
    </r>
    <r>
      <rPr>
        <sz val="11"/>
        <color rgb="FF005877"/>
        <rFont val="Calibri"/>
        <family val="2"/>
        <scheme val="minor"/>
      </rPr>
      <t xml:space="preserve">
</t>
    </r>
    <r>
      <rPr>
        <b/>
        <sz val="11"/>
        <color rgb="FF005877"/>
        <rFont val="Calibri"/>
        <family val="2"/>
        <scheme val="minor"/>
      </rPr>
      <t>Pendiente por incluir</t>
    </r>
    <r>
      <rPr>
        <sz val="11"/>
        <color rgb="FF005877"/>
        <rFont val="Calibri"/>
        <family val="2"/>
        <scheme val="minor"/>
      </rPr>
      <t xml:space="preserve"> Cuestionario Tipo:
- </t>
    </r>
    <r>
      <rPr>
        <b/>
        <sz val="11"/>
        <color rgb="FFFF0000"/>
        <rFont val="Calibri"/>
        <family val="2"/>
        <scheme val="minor"/>
      </rPr>
      <t>Cloze</t>
    </r>
    <r>
      <rPr>
        <sz val="11"/>
        <color rgb="FF005877"/>
        <rFont val="Calibri"/>
        <family val="2"/>
        <scheme val="minor"/>
      </rPr>
      <t>: permite cálculos numéricos e intercalar distintos tipos de cuestiones en una sola pregunta. Muy útil para hacer muchos problemas con distintos datos muy rápidamente.</t>
    </r>
  </si>
  <si>
    <t>DATOS
GENERALES</t>
  </si>
  <si>
    <t>BANCO
PREGUNTAS</t>
  </si>
  <si>
    <t>LIMPIAR
DATOS</t>
  </si>
  <si>
    <t>GUARDAR
PREGUNTA</t>
  </si>
  <si>
    <t>BORRAR
PREGUNTA</t>
  </si>
  <si>
    <t>DAR
FORMATO</t>
  </si>
  <si>
    <t>NO FUNCIONA CON
VERSIONES DE EXCEL 
ANTERIORES A 2007</t>
  </si>
  <si>
    <t>Ir a DATOS GENERALES</t>
  </si>
  <si>
    <t>Ir a INICIO</t>
  </si>
  <si>
    <t>USAR DATOS
VARIABLES</t>
  </si>
  <si>
    <t>CONCATENAR</t>
  </si>
  <si>
    <t>SUPERÍNDICE</t>
  </si>
  <si>
    <t>SUBÍNDICE</t>
  </si>
  <si>
    <t>FÓRMULA</t>
  </si>
  <si>
    <t>ACTIVAR</t>
  </si>
  <si>
    <t>DESACTIVAR</t>
  </si>
  <si>
    <t>Título  CATEGORÍA:</t>
  </si>
  <si>
    <t>Título SUBCATEGORÍA:</t>
  </si>
  <si>
    <t>Retroalimentación Respuesta Parcialmente Correcta:</t>
  </si>
  <si>
    <t>Tipo num.:</t>
  </si>
  <si>
    <t>Preguntas almacenadas</t>
  </si>
  <si>
    <t>LISTA DESPLEGABLE CATEGORÍAS</t>
  </si>
  <si>
    <t>TEMA 01</t>
  </si>
  <si>
    <t>TEMA 02</t>
  </si>
  <si>
    <t>TEMA 03</t>
  </si>
  <si>
    <t>TEMA 04</t>
  </si>
  <si>
    <t>TEMA 05</t>
  </si>
  <si>
    <t>TEMA 06</t>
  </si>
  <si>
    <t>TEMA 07</t>
  </si>
  <si>
    <t>TEMA 08</t>
  </si>
  <si>
    <t>TEMA 09</t>
  </si>
  <si>
    <t>TEMA 10</t>
  </si>
  <si>
    <r>
      <rPr>
        <b/>
        <sz val="9"/>
        <color theme="0"/>
        <rFont val="Calibri"/>
        <family val="2"/>
        <scheme val="minor"/>
      </rPr>
      <t>SALTO LÍNEA</t>
    </r>
    <r>
      <rPr>
        <b/>
        <sz val="9"/>
        <color rgb="FFE87B00"/>
        <rFont val="Calibri"/>
        <family val="2"/>
        <scheme val="minor"/>
      </rPr>
      <t xml:space="preserve"> </t>
    </r>
  </si>
  <si>
    <t>05_R_CORTA</t>
  </si>
  <si>
    <t>04_EMPAREJAR</t>
  </si>
  <si>
    <t>06_P_PERDIDA</t>
  </si>
  <si>
    <t>FastTest PlugIn</t>
  </si>
  <si>
    <r>
      <rPr>
        <b/>
        <sz val="11"/>
        <color rgb="FF005877"/>
        <rFont val="Calibri"/>
        <family val="2"/>
        <scheme val="minor"/>
      </rPr>
      <t>1.</t>
    </r>
    <r>
      <rPr>
        <sz val="11"/>
        <color rgb="FF005877"/>
        <rFont val="Calibri"/>
        <family val="2"/>
        <scheme val="minor"/>
      </rPr>
      <t xml:space="preserve"> Esta aplicación se ha desarrollado gracias a un </t>
    </r>
    <r>
      <rPr>
        <b/>
        <sz val="11"/>
        <color rgb="FF005877"/>
        <rFont val="Calibri"/>
        <family val="2"/>
        <scheme val="minor"/>
      </rPr>
      <t xml:space="preserve">Proyecto de Innovación Docente </t>
    </r>
    <r>
      <rPr>
        <sz val="11"/>
        <color rgb="FF005877"/>
        <rFont val="Calibri"/>
        <family val="2"/>
        <scheme val="minor"/>
      </rPr>
      <t xml:space="preserve">aprobado por la Unidad de Innovación Docente de la Universidad de Cádiz.
</t>
    </r>
    <r>
      <rPr>
        <b/>
        <sz val="11"/>
        <color rgb="FF005877"/>
        <rFont val="Calibri"/>
        <family val="2"/>
        <scheme val="minor"/>
      </rPr>
      <t>2.</t>
    </r>
    <r>
      <rPr>
        <sz val="11"/>
        <color rgb="FF005877"/>
        <rFont val="Calibri"/>
        <family val="2"/>
        <scheme val="minor"/>
      </rPr>
      <t xml:space="preserve"> El usuario final es aquel docente que quiera usar los </t>
    </r>
    <r>
      <rPr>
        <b/>
        <sz val="11"/>
        <color rgb="FF005877"/>
        <rFont val="Calibri"/>
        <family val="2"/>
        <scheme val="minor"/>
      </rPr>
      <t>CUESTIONARIOS</t>
    </r>
    <r>
      <rPr>
        <sz val="11"/>
        <color rgb="FF005877"/>
        <rFont val="Calibri"/>
        <family val="2"/>
        <scheme val="minor"/>
      </rPr>
      <t xml:space="preserve"> de la plataforma </t>
    </r>
    <r>
      <rPr>
        <b/>
        <sz val="11"/>
        <color rgb="FF005877"/>
        <rFont val="Calibri"/>
        <family val="2"/>
        <scheme val="minor"/>
      </rPr>
      <t>MOODLE</t>
    </r>
    <r>
      <rPr>
        <sz val="11"/>
        <color rgb="FF005877"/>
        <rFont val="Calibri"/>
        <family val="2"/>
        <scheme val="minor"/>
      </rPr>
      <t xml:space="preserve">. También la puede usar quien quiera tener sus Preguntas almacenados en un mismo sitio y con orden o quiera exportarlas a un documento de </t>
    </r>
    <r>
      <rPr>
        <b/>
        <sz val="11"/>
        <color rgb="FF005877"/>
        <rFont val="Calibri"/>
        <family val="2"/>
        <scheme val="minor"/>
      </rPr>
      <t>TEXTO</t>
    </r>
    <r>
      <rPr>
        <sz val="11"/>
        <color rgb="FF005877"/>
        <rFont val="Calibri"/>
        <family val="2"/>
        <scheme val="minor"/>
      </rPr>
      <t xml:space="preserve">.
</t>
    </r>
    <r>
      <rPr>
        <b/>
        <sz val="11"/>
        <color rgb="FF005877"/>
        <rFont val="Calibri"/>
        <family val="2"/>
        <scheme val="minor"/>
      </rPr>
      <t>3</t>
    </r>
    <r>
      <rPr>
        <sz val="11"/>
        <color rgb="FF005877"/>
        <rFont val="Calibri"/>
        <family val="2"/>
        <scheme val="minor"/>
      </rPr>
      <t>. La idea principal es facilitar la creación de un</t>
    </r>
    <r>
      <rPr>
        <b/>
        <sz val="11"/>
        <color rgb="FF005877"/>
        <rFont val="Calibri"/>
        <family val="2"/>
        <scheme val="minor"/>
      </rPr>
      <t xml:space="preserve"> BANCO DE PREGUNTAS</t>
    </r>
    <r>
      <rPr>
        <sz val="11"/>
        <color rgb="FF005877"/>
        <rFont val="Calibri"/>
        <family val="2"/>
        <scheme val="minor"/>
      </rPr>
      <t xml:space="preserve"> para los cuestionarios, por lo que</t>
    </r>
    <r>
      <rPr>
        <b/>
        <sz val="11"/>
        <color rgb="FF005877"/>
        <rFont val="Calibri"/>
        <family val="2"/>
        <scheme val="minor"/>
      </rPr>
      <t xml:space="preserve"> el usuario final, deberá repasar </t>
    </r>
    <r>
      <rPr>
        <sz val="11"/>
        <color rgb="FF005877"/>
        <rFont val="Calibri"/>
        <family val="2"/>
        <scheme val="minor"/>
      </rPr>
      <t xml:space="preserve">que las preguntas se suben bien (al menos las primeras veces) y que ha </t>
    </r>
    <r>
      <rPr>
        <b/>
        <sz val="11"/>
        <color rgb="FF005877"/>
        <rFont val="Calibri"/>
        <family val="2"/>
        <scheme val="minor"/>
      </rPr>
      <t xml:space="preserve">rellenado los datos de manera adecuada, como si lo estuviera haciendo en Moodle.
4. </t>
    </r>
    <r>
      <rPr>
        <b/>
        <sz val="11"/>
        <color rgb="FFFF0000"/>
        <rFont val="Calibri"/>
        <family val="2"/>
        <scheme val="minor"/>
      </rPr>
      <t xml:space="preserve">No utilizar </t>
    </r>
    <r>
      <rPr>
        <sz val="11"/>
        <color rgb="FF005877"/>
        <rFont val="Calibri"/>
        <family val="2"/>
        <scheme val="minor"/>
      </rPr>
      <t xml:space="preserve">el comando </t>
    </r>
    <r>
      <rPr>
        <b/>
        <sz val="11"/>
        <color rgb="FFFF0000"/>
        <rFont val="Calibri"/>
        <family val="2"/>
        <scheme val="minor"/>
      </rPr>
      <t>CORTAR [Ctrl+X]</t>
    </r>
    <r>
      <rPr>
        <sz val="11"/>
        <color rgb="FF005877"/>
        <rFont val="Calibri"/>
        <family val="2"/>
        <scheme val="minor"/>
      </rPr>
      <t xml:space="preserve">, ya que pueden dejar de funcionar muchas de las opciones.
</t>
    </r>
    <r>
      <rPr>
        <sz val="4"/>
        <color rgb="FF005877"/>
        <rFont val="Calibri"/>
        <family val="2"/>
        <scheme val="minor"/>
      </rPr>
      <t xml:space="preserve">   </t>
    </r>
    <r>
      <rPr>
        <u/>
        <sz val="11"/>
        <color rgb="FF005877"/>
        <rFont val="Calibri"/>
        <family val="2"/>
        <scheme val="minor"/>
      </rPr>
      <t>Si pinchas en cada uno de los tipos que se indican a continuación, podrás ver video tutoriales sobre cómo se crean en MOODLE.</t>
    </r>
  </si>
  <si>
    <t>EXPORTAR a MOODLE</t>
  </si>
  <si>
    <t>EXPORTAR a TEXTO (doc/txt)</t>
  </si>
  <si>
    <t xml:space="preserve"> </t>
  </si>
  <si>
    <t>BANCO DE PREGUNTAS</t>
  </si>
  <si>
    <t>FORMULARIO</t>
  </si>
  <si>
    <t>EXPORTAR a Juego de la OCA</t>
  </si>
  <si>
    <t>03_VERD_FALSO</t>
  </si>
  <si>
    <t>01_OM_1RESP</t>
  </si>
  <si>
    <t>02_OM_VRESP</t>
  </si>
  <si>
    <t>Versión 1.1  - 08/03/2021</t>
  </si>
  <si>
    <t>INSERTAR IMÁGENES</t>
  </si>
  <si>
    <t>Cloze (PENDIENTE)</t>
  </si>
  <si>
    <t>IMPORTAR de libro EXCEL</t>
  </si>
  <si>
    <t>EXPORTAR a libro EXCEL</t>
  </si>
  <si>
    <t xml:space="preserve">    &lt;penalty&gt;0.333333333333333&lt;/penalty&gt;</t>
  </si>
  <si>
    <t>Tipo Pregunta:</t>
  </si>
  <si>
    <t>fasttestplugin@gmail.com</t>
  </si>
  <si>
    <t>IDIOMA
LANGUAGE</t>
  </si>
  <si>
    <t>ESPAÑOL</t>
  </si>
  <si>
    <t>INGLÉS</t>
  </si>
  <si>
    <t>FRANCÉS</t>
  </si>
  <si>
    <t>PORTUGUÉS</t>
  </si>
  <si>
    <t>ITALIANO</t>
  </si>
  <si>
    <t>I</t>
  </si>
  <si>
    <t>F</t>
  </si>
  <si>
    <t>P</t>
  </si>
  <si>
    <t>S</t>
  </si>
  <si>
    <t>MENÚS LATERALES</t>
  </si>
  <si>
    <t>GENERAL DATES</t>
  </si>
  <si>
    <t>DATOS GENERALES</t>
  </si>
  <si>
    <t>Type Question:</t>
  </si>
  <si>
    <t>CATEGORY Title:</t>
  </si>
  <si>
    <t>SUBCATEGORY Title</t>
  </si>
  <si>
    <t>FORMULARIO OPCIÓN MÚLTIPLE 1R/VR</t>
  </si>
  <si>
    <t>FORMULARIO VERDADERO / FALSO</t>
  </si>
  <si>
    <t>INGLÉS [E]</t>
  </si>
  <si>
    <t>ESPAÑOL [S]</t>
  </si>
  <si>
    <t>FRANCÉS [F]</t>
  </si>
  <si>
    <t>PORTUGUÉS [P]</t>
  </si>
  <si>
    <t>ITALIANO [I]</t>
  </si>
  <si>
    <t>,</t>
  </si>
  <si>
    <t>T01</t>
  </si>
  <si>
    <t>Tomo no de tus respuestas</t>
  </si>
  <si>
    <t>Respuesta correcta.</t>
  </si>
  <si>
    <t>Respuesta parcialmente correcta.</t>
  </si>
  <si>
    <t>Respuesta incorrecta.</t>
  </si>
  <si>
    <t xml:space="preserve">      &lt;text&gt;$course$/top/TEMA 01/01_OM_1RESP&lt;/text&gt;</t>
  </si>
  <si>
    <t xml:space="preserve">      &lt;text&gt;&lt;![CDATA[&lt;p&gt; TEMA 01 en una subcategoría&lt;/p&gt;]]&gt;&lt;/text&gt;</t>
  </si>
  <si>
    <t xml:space="preserve">      &lt;text&gt;&lt;![CDATA[&lt;p&gt;Tomo no de tus respuestas&lt;/p&gt;]]&gt;&lt;/text&gt;</t>
  </si>
  <si>
    <t>©</t>
  </si>
  <si>
    <t xml:space="preserve">    &lt;shuffleanswers&gt;true&lt;/shuffleanswers&gt;</t>
  </si>
  <si>
    <t xml:space="preserve">      &lt;text&gt;&lt;![CDATA[&lt;p&gt;Respuesta correcta.&lt;/p&gt;]]&gt;&lt;/text&gt;</t>
  </si>
  <si>
    <t xml:space="preserve">      &lt;text&gt;&lt;![CDATA[&lt;p&gt;Respuesta parcialmente correcta.&lt;/p&gt;]]&gt;&lt;/text&gt;</t>
  </si>
  <si>
    <t xml:space="preserve">      &lt;text&gt;&lt;![CDATA[&lt;p&gt;Respuesta incorrecta.&lt;/p&gt;]]&gt;&lt;/text&gt;</t>
  </si>
  <si>
    <t xml:space="preserve"> &lt;==&gt; </t>
  </si>
  <si>
    <t>&lt;!-- question: 31  --&gt;</t>
  </si>
  <si>
    <t xml:space="preserve">      &lt;text&gt;&lt;![CDATA[&lt;p&gt;Enlace las parejas.&lt;/p&gt;]]&gt;&lt;/text&gt;</t>
  </si>
  <si>
    <t xml:space="preserve">      &lt;text&gt;&lt;![CDATA[&lt;p&gt;&lt;img src="https://dl.dropboxusercontent.com/s/oh1ssro2fay57yo/Alumno_hablando_rapido.gif" width="" height="100"&gt;&lt;/p&gt;]]&gt;&lt;/text&gt;</t>
  </si>
  <si>
    <t xml:space="preserve">      &lt;text&gt;&lt;![CDATA[&lt;p&gt;&lt;img src="https://dl.dropboxusercontent.com/s/2smr0aec6oujybp/Antonio_hablando_izq_rapido.gif" width="" height="120"&gt;&lt;/p&gt;]]&gt;&lt;/text&gt;</t>
  </si>
  <si>
    <t xml:space="preserve">    &lt;hint format="html"&gt;</t>
  </si>
  <si>
    <t xml:space="preserve">      &lt;text&gt;&lt;![CDATA[&lt;p&gt;Pista 1 &lt;/p&gt;]]&gt;&lt;/text&gt;</t>
  </si>
  <si>
    <t xml:space="preserve">     &lt;/hint&gt;</t>
  </si>
  <si>
    <t xml:space="preserve">      &lt;text&gt;&lt;![CDATA[&lt;p&gt;Pista 2 &lt;/p&gt;]]&gt;&lt;/text&gt;</t>
  </si>
  <si>
    <t xml:space="preserve">      &lt;text&gt;&lt;![CDATA[&lt;p&gt;Pista 3 &lt;/p&gt;]]&gt;&lt;/text&gt;</t>
  </si>
  <si>
    <t xml:space="preserve">      &lt;text&gt;&lt;![CDATA[&lt;p&gt;Pista 4 &lt;/p&gt;]]&gt;&lt;/text&gt;</t>
  </si>
  <si>
    <t xml:space="preserve">        &lt;text&gt;Niño&lt;/text&gt;</t>
  </si>
  <si>
    <t xml:space="preserve">        &lt;text&gt;Chico&lt;/text&gt;</t>
  </si>
  <si>
    <t xml:space="preserve">      &lt;text&gt;&lt;![CDATA[&lt;p&gt;&lt;img src="https://dl.dropboxusercontent.com/s/qfxkf5guj4pjibp/Profe_hablando_rapido.gif" width="" height="100"&gt;&lt;/p&gt;]]&gt;&lt;/text&gt;</t>
  </si>
  <si>
    <t xml:space="preserve">        &lt;text&gt;Profe&lt;/text&gt;</t>
  </si>
  <si>
    <t xml:space="preserve">      &lt;text&gt;&lt;![CDATA[&lt;p&gt;&lt;img src="https://dl.dropboxusercontent.com/s/myylbuzhhn0uox7/Alicia_hablando_rapido.gif" width="" height="120"&gt;&lt;/p&gt;]]&gt;&lt;/text&gt;</t>
  </si>
  <si>
    <t xml:space="preserve">        &lt;text&gt;Chica&lt;/text&gt;</t>
  </si>
  <si>
    <t>&lt;!-- question: 51  --&gt;</t>
  </si>
  <si>
    <t xml:space="preserve">      &lt;text&gt;T01 - 51 Verano&lt;/text&gt;</t>
  </si>
  <si>
    <t xml:space="preserve">      &lt;text&gt;&lt;![CDATA[&lt;p&gt;En la playa de [[1]] nos invitaron a pizza, comida típica de [[7]]. Si sumamos 2 + 2 tenemos [[11]].&lt;/p&gt;]]&gt;&lt;/text&gt;</t>
  </si>
  <si>
    <t xml:space="preserve">    &lt;shuffleanswers&gt;1&lt;/shuffleanswers&gt;</t>
  </si>
  <si>
    <t xml:space="preserve">    &lt;selectoption&gt;</t>
  </si>
  <si>
    <t xml:space="preserve">      &lt;text&gt;Cádiz&lt;/text&gt;</t>
  </si>
  <si>
    <t xml:space="preserve">      &lt;group&gt;1&lt;/group&gt;</t>
  </si>
  <si>
    <t xml:space="preserve">    &lt;/selectoption&gt;</t>
  </si>
  <si>
    <t xml:space="preserve">      &lt;text&gt;Sevilla&lt;/text&gt;</t>
  </si>
  <si>
    <t xml:space="preserve">      &lt;text&gt;Jaén&lt;/text&gt;</t>
  </si>
  <si>
    <t xml:space="preserve">      &lt;text&gt;Córdoba&lt;/text&gt;</t>
  </si>
  <si>
    <t xml:space="preserve">      &lt;text&gt;España&lt;/text&gt;</t>
  </si>
  <si>
    <t xml:space="preserve">      &lt;group&gt;2&lt;/group&gt;</t>
  </si>
  <si>
    <t xml:space="preserve">      &lt;text&gt;Portugal&lt;/text&gt;</t>
  </si>
  <si>
    <t xml:space="preserve">      &lt;text&gt;Italia&lt;/text&gt;</t>
  </si>
  <si>
    <t xml:space="preserve">      &lt;text&gt;Uno&lt;/text&gt;</t>
  </si>
  <si>
    <t xml:space="preserve">      &lt;group&gt;3&lt;/group&gt;</t>
  </si>
  <si>
    <t xml:space="preserve">      &lt;text&gt;Dos&lt;/text&gt;</t>
  </si>
  <si>
    <t xml:space="preserve">      &lt;text&gt;Tres&lt;/text&gt;</t>
  </si>
  <si>
    <t xml:space="preserve">      &lt;text&gt;Cuatro&lt;/text&gt;</t>
  </si>
  <si>
    <t xml:space="preserve">      &lt;text&gt;Cinco&lt;/text&gt;</t>
  </si>
  <si>
    <t xml:space="preserve">      &lt;text&gt;&lt;![CDATA[&lt;p&gt;Primera pista &lt;/p&gt;]]&gt;&lt;/text&gt;</t>
  </si>
  <si>
    <t xml:space="preserve">      &lt;text&gt;&lt;![CDATA[&lt;p&gt;Segunda pista &lt;/p&gt;]]&gt;&lt;/text&gt;</t>
  </si>
  <si>
    <t xml:space="preserve">      &lt;text&gt;&lt;![CDATA[&lt;p&gt;Tercera pista &lt;/p&gt;]]&gt;&lt;/text&gt;</t>
  </si>
  <si>
    <t xml:space="preserve">      &lt;text&gt;&lt;![CDATA[&lt;p&gt;Cuarta pista &lt;/p&gt;]]&gt;&lt;/text&gt;</t>
  </si>
  <si>
    <t>&lt;!-- question: 52  --&gt;</t>
  </si>
  <si>
    <t xml:space="preserve">      &lt;text&gt;T01 - 52 Verano&lt;/text&gt;</t>
  </si>
  <si>
    <t xml:space="preserve">      &lt;text&gt;&lt;![CDATA[&lt;p&gt;Cuando viajamos a [[5]], visitamos la Torre del Oro que está en [[2]], me confundí con la Torre de Pisa que está en [[7]]. &lt;/p&gt;
Si sumamos 1 + 2 tenemos [[10]], pero si los multiplicamos, tenemos [[9]].&lt;/p&gt;]]&gt;&lt;/text&gt;</t>
  </si>
  <si>
    <t xml:space="preserve">      &lt;text&gt;$course$/top/TEMA 01/05_R_CORTA&lt;/text&gt;</t>
  </si>
  <si>
    <t>&lt;!-- question: 1  --&gt;</t>
  </si>
  <si>
    <t xml:space="preserve">      &lt;text&gt;T01 - 01 Atención a la lectura&lt;/text&gt;</t>
  </si>
  <si>
    <t xml:space="preserve">      &lt;text&gt;&lt;![CDATA[&lt;p&gt;¿De qué color es el caballo BLANCO de Santiago?&lt;/p&gt;]]&gt;&lt;/text&gt;</t>
  </si>
  <si>
    <t xml:space="preserve">    &lt;single&gt;true&lt;/single&gt;</t>
  </si>
  <si>
    <t xml:space="preserve">    &lt;answernumbering&gt;abc&lt;/answernumbering&gt;</t>
  </si>
  <si>
    <t xml:space="preserve">    &lt;answer fraction="100" format="html"&gt;</t>
  </si>
  <si>
    <t xml:space="preserve">      &lt;text&gt;&lt;![CDATA[&lt;p&gt;Blanco&lt;/p&gt;]]&gt;&lt;/text&gt;</t>
  </si>
  <si>
    <t xml:space="preserve">      &lt;text&gt;&lt;![CDATA[&lt;p&gt;Muy bien, veo que has leído bien la pregunta&lt;/p&gt;]]&gt;&lt;/text&gt;</t>
  </si>
  <si>
    <t xml:space="preserve">    &lt;answer fraction="-20" format="html"&gt;</t>
  </si>
  <si>
    <t xml:space="preserve">      &lt;text&gt;&lt;![CDATA[&lt;p&gt;Negro&lt;/p&gt;]]&gt;&lt;/text&gt;</t>
  </si>
  <si>
    <t xml:space="preserve">      &lt;text&gt;&lt;![CDATA[&lt;p&gt;Debes prestar atención a lo que lees 1.&lt;/p&gt;]]&gt;&lt;/text&gt;</t>
  </si>
  <si>
    <t xml:space="preserve">      &lt;text&gt;&lt;![CDATA[&lt;p&gt;Marrón&lt;/p&gt;]]&gt;&lt;/text&gt;</t>
  </si>
  <si>
    <t xml:space="preserve">      &lt;text&gt;&lt;![CDATA[&lt;p&gt;Debes prestar atención a lo que lees 2.&lt;/p&gt;]]&gt;&lt;/text&gt;</t>
  </si>
  <si>
    <t xml:space="preserve">      &lt;text&gt;&lt;![CDATA[&lt;p&gt;Gris&lt;/p&gt;]]&gt;&lt;/text&gt;</t>
  </si>
  <si>
    <t xml:space="preserve">      &lt;text&gt;&lt;![CDATA[&lt;p&gt;Debes prestar atención a lo que lees 3.&lt;/p&gt;]]&gt;&lt;/text&gt;</t>
  </si>
  <si>
    <t xml:space="preserve">      &lt;text&gt;&lt;![CDATA[&lt;p&gt;Beige&lt;/p&gt;]]&gt;&lt;/text&gt;</t>
  </si>
  <si>
    <t xml:space="preserve">      &lt;text&gt;&lt;![CDATA[&lt;p&gt;Debes prestar atención a lo que lees 4.&lt;/p&gt;]]&gt;&lt;/text&gt;</t>
  </si>
  <si>
    <t xml:space="preserve">      &lt;text&gt;&lt;![CDATA[&lt;p&gt;Pardo&lt;/p&gt;]]&gt;&lt;/text&gt;</t>
  </si>
  <si>
    <t xml:space="preserve">      &lt;text&gt;&lt;![CDATA[&lt;p&gt;Debes prestar atención a lo que lees 5.&lt;/p&gt;]]&gt;&lt;/text&gt;</t>
  </si>
  <si>
    <t>&lt;!-- question: 2  --&gt;</t>
  </si>
  <si>
    <t xml:space="preserve">      &lt;text&gt;T01 - 02 UNIDADES&lt;/text&gt;</t>
  </si>
  <si>
    <t xml:space="preserve">      &lt;text&gt;&lt;![CDATA[&lt;p&gt;¿En qué unidades se mide la longitud?&lt;/p&gt;Lee bien la pregunta.&lt;/p&gt;]]&gt;&lt;/text&gt;</t>
  </si>
  <si>
    <t xml:space="preserve">      &lt;text&gt;&lt;![CDATA[&lt;p&gt;m&lt;/p&gt;]]&gt;&lt;/text&gt;</t>
  </si>
  <si>
    <t xml:space="preserve">      &lt;text&gt;&lt;![CDATA[&lt;p&gt;1&lt;/p&gt;]]&gt;&lt;/text&gt;</t>
  </si>
  <si>
    <t xml:space="preserve">    &lt;answer fraction="" format="html"&gt;</t>
  </si>
  <si>
    <t xml:space="preserve">      &lt;text&gt;&lt;![CDATA[&lt;p&gt;2&lt;/p&gt;]]&gt;&lt;/text&gt;</t>
  </si>
  <si>
    <t xml:space="preserve">      &lt;text&gt;&lt;![CDATA[&lt;p&gt;3&lt;/p&gt;]]&gt;&lt;/text&gt;</t>
  </si>
  <si>
    <t xml:space="preserve">      &lt;text&gt;&lt;![CDATA[&lt;p&gt;4&lt;/p&gt;]]&gt;&lt;/text&gt;</t>
  </si>
  <si>
    <t xml:space="preserve">      &lt;text&gt;&lt;![CDATA[&lt;p&gt;5&lt;/p&gt;]]&gt;&lt;/text&gt;</t>
  </si>
  <si>
    <t xml:space="preserve">      &lt;text&gt;&lt;![CDATA[&lt;p&gt;6&lt;/p&gt;]]&gt;&lt;/text&gt;</t>
  </si>
  <si>
    <t>&lt;!-- question: 3  --&gt;</t>
  </si>
  <si>
    <t xml:space="preserve">      &lt;text&gt;T01 - 03 MATEMÁTICAS&lt;/text&gt;</t>
  </si>
  <si>
    <t xml:space="preserve">      &lt;text&gt;&lt;![CDATA[&lt;p&gt;¿Cuál es la derivada de la siguiente función? $$\frac{\sin(x)}{x-1}$$&lt;/p&gt;]]&gt;&lt;/text&gt;</t>
  </si>
  <si>
    <t xml:space="preserve">      &lt;text&gt;&lt;![CDATA[&lt;p&gt;$$\frac{\cos(x)}{x-1}-\frac{\sin(x)}{(x-1)^2}$$&lt;/p&gt;]]&gt;&lt;/text&gt;</t>
  </si>
  <si>
    <t xml:space="preserve">      &lt;text&gt;&lt;![CDATA[&lt;p&gt;&lt;/p&gt;]]&gt;&lt;/text&gt;</t>
  </si>
  <si>
    <t xml:space="preserve">      &lt;text&gt;&lt;![CDATA[&lt;p&gt;$$\frac{\cos^2(x)}{x-1}$$&lt;/p&gt;]]&gt;&lt;/text&gt;</t>
  </si>
  <si>
    <t xml:space="preserve">      &lt;text&gt;&lt;![CDATA[&lt;p&gt;$$-\frac{\cos^2(x)}{x-1}$$&lt;/p&gt;]]&gt;&lt;/text&gt;</t>
  </si>
  <si>
    <t xml:space="preserve">      &lt;text&gt;$course$/top/TEMA 01/02_OM_VRESP&lt;/text&gt;</t>
  </si>
  <si>
    <t>&lt;!-- question: 11  --&gt;</t>
  </si>
  <si>
    <t xml:space="preserve">      &lt;text&gt;T01 - 11 Atención a la lectura&lt;/text&gt;</t>
  </si>
  <si>
    <t xml:space="preserve">    &lt;single&gt;false&lt;/single&gt;</t>
  </si>
  <si>
    <t xml:space="preserve">    &lt;answer fraction="50" format="html"&gt;</t>
  </si>
  <si>
    <t xml:space="preserve">      &lt;text&gt;&lt;![CDATA[&lt;p&gt;BLANCO&lt;/p&gt;]]&gt;&lt;/text&gt;</t>
  </si>
  <si>
    <t xml:space="preserve">      &lt;text&gt;&lt;![CDATA[&lt;p&gt;blanco&lt;/p&gt;]]&gt;&lt;/text&gt;</t>
  </si>
  <si>
    <t xml:space="preserve">    &lt;answer fraction="-25" format="html"&gt;</t>
  </si>
  <si>
    <t>&lt;!-- question: 12  --&gt;</t>
  </si>
  <si>
    <t xml:space="preserve">      &lt;text&gt;T01 - 12 UNIDADES&lt;/text&gt;</t>
  </si>
  <si>
    <t xml:space="preserve">      &lt;text&gt;&lt;![CDATA[&lt;p&gt;mm&lt;/p&gt;]]&gt;&lt;/text&gt;</t>
  </si>
  <si>
    <t xml:space="preserve">      &lt;text&gt;$course$/top/TEMA 01/03_VERD_FALSO&lt;/text&gt;</t>
  </si>
  <si>
    <t>&lt;!-- question: 21  --&gt;</t>
  </si>
  <si>
    <t xml:space="preserve">      &lt;text&gt;T01 - 21 Atención a la lectura&lt;/text&gt;</t>
  </si>
  <si>
    <t xml:space="preserve">      &lt;text&gt;&lt;![CDATA[&lt;p&gt;El caballo Blanco de Santiago es BLANCO&lt;/p&gt;]]&gt;&lt;/text&gt;</t>
  </si>
  <si>
    <t xml:space="preserve">      &lt;text&gt;true&lt;/text&gt;</t>
  </si>
  <si>
    <t xml:space="preserve">      &lt;text&gt;false&lt;/text&gt;</t>
  </si>
  <si>
    <t>&lt;!-- question: 22  --&gt;</t>
  </si>
  <si>
    <t xml:space="preserve">      &lt;text&gt;T01 - 22 Lectura&lt;/text&gt;</t>
  </si>
  <si>
    <t xml:space="preserve">      &lt;text&gt;&lt;![CDATA[&lt;p&gt;El caballo NEGRO de Santiago es Blanco&lt;/p&gt;]]&gt;&lt;/text&gt;</t>
  </si>
  <si>
    <t xml:space="preserve">      &lt;text&gt;$course$/top/TEMA 01/04_EMPAREJAR&lt;/text&gt;</t>
  </si>
  <si>
    <t xml:space="preserve">      &lt;text&gt;T01 - 31 Conocimientos&lt;/text&gt;</t>
  </si>
  <si>
    <t xml:space="preserve">      &lt;text&gt;&lt;![CDATA[&lt;p&gt;Relacione los nombres.&lt;/p&gt;]]&gt;&lt;/text&gt;</t>
  </si>
  <si>
    <t xml:space="preserve">      &lt;text&gt;&lt;![CDATA[&lt;p&gt;Mesa&lt;/p&gt;]]&gt;&lt;/text&gt;</t>
  </si>
  <si>
    <t xml:space="preserve">        &lt;text&gt;Silla&lt;/text&gt;</t>
  </si>
  <si>
    <t xml:space="preserve">      &lt;text&gt;&lt;![CDATA[&lt;p&gt;Pizarra&lt;/p&gt;]]&gt;&lt;/text&gt;</t>
  </si>
  <si>
    <t xml:space="preserve">        &lt;text&gt;Tiza&lt;/text&gt;</t>
  </si>
  <si>
    <t xml:space="preserve">      &lt;text&gt;&lt;![CDATA[&lt;p&gt;Playa&lt;/p&gt;]]&gt;&lt;/text&gt;</t>
  </si>
  <si>
    <t xml:space="preserve">        &lt;text&gt;Arena&lt;/text&gt;</t>
  </si>
  <si>
    <t xml:space="preserve">      &lt;text&gt;&lt;![CDATA[&lt;p&gt;Sol&lt;/p&gt;]]&gt;&lt;/text&gt;</t>
  </si>
  <si>
    <t xml:space="preserve">        &lt;text&gt;Luna&lt;/text&gt;</t>
  </si>
  <si>
    <t xml:space="preserve">      &lt;text&gt;&lt;![CDATA[&lt;p&gt;Comida&lt;/p&gt;]]&gt;&lt;/text&gt;</t>
  </si>
  <si>
    <t xml:space="preserve">        &lt;text&gt;Cena&lt;/text&gt;</t>
  </si>
  <si>
    <t xml:space="preserve">      &lt;text&gt;&lt;![CDATA[&lt;p&gt;Niño&lt;/p&gt;]]&gt;&lt;/text&gt;</t>
  </si>
  <si>
    <t xml:space="preserve">        &lt;text&gt;Niña&lt;/text&gt;</t>
  </si>
  <si>
    <t xml:space="preserve">      &lt;text&gt;&lt;![CDATA[&lt;p&gt;Juego de mesa&lt;/p&gt;]]&gt;&lt;/text&gt;</t>
  </si>
  <si>
    <t xml:space="preserve">        &lt;text&gt;Parchís&lt;/text&gt;</t>
  </si>
  <si>
    <t xml:space="preserve">      &lt;text&gt;&lt;![CDATA[&lt;p&gt;Coche&lt;/p&gt;]]&gt;&lt;/text&gt;</t>
  </si>
  <si>
    <t xml:space="preserve">        &lt;text&gt;Moto&lt;/text&gt;</t>
  </si>
  <si>
    <t xml:space="preserve">      &lt;text&gt;&lt;![CDATA[&lt;p&gt;Perro&lt;/p&gt;]]&gt;&lt;/text&gt;</t>
  </si>
  <si>
    <t xml:space="preserve">        &lt;text&gt;Gato&lt;/text&gt;</t>
  </si>
  <si>
    <t xml:space="preserve">      &lt;text&gt;&lt;![CDATA[&lt;p&gt;Pico&lt;/p&gt;]]&gt;&lt;/text&gt;</t>
  </si>
  <si>
    <t xml:space="preserve">        &lt;text&gt;Pala&lt;/text&gt;</t>
  </si>
  <si>
    <t xml:space="preserve">      &lt;text&gt;&lt;![CDATA[&lt;p&gt;Marido&lt;/p&gt;]]&gt;&lt;/text&gt;</t>
  </si>
  <si>
    <t xml:space="preserve">        &lt;text&gt;Mujer&lt;/text&gt;</t>
  </si>
  <si>
    <t xml:space="preserve">      &lt;text&gt;&lt;![CDATA[&lt;p&gt;Ojos&lt;/p&gt;]]&gt;&lt;/text&gt;</t>
  </si>
  <si>
    <t xml:space="preserve">        &lt;text&gt;Nariz&lt;/text&gt;</t>
  </si>
  <si>
    <t>&lt;!-- question: 32  --&gt;</t>
  </si>
  <si>
    <t xml:space="preserve">      &lt;text&gt;T01 - 32 Lógica&lt;/text&gt;</t>
  </si>
  <si>
    <t xml:space="preserve">        &lt;text&gt;uno&lt;/text&gt;</t>
  </si>
  <si>
    <t xml:space="preserve">        &lt;text&gt;dos&lt;/text&gt;</t>
  </si>
  <si>
    <t xml:space="preserve">        &lt;text&gt;tres&lt;/text&gt;</t>
  </si>
  <si>
    <t xml:space="preserve">        &lt;text&gt;cuatro&lt;/text&gt;</t>
  </si>
  <si>
    <t xml:space="preserve">        &lt;text&gt;cinco&lt;/text&gt;</t>
  </si>
  <si>
    <t xml:space="preserve">        &lt;text&gt;seis&lt;/text&gt;</t>
  </si>
  <si>
    <t xml:space="preserve">      &lt;text&gt;&lt;![CDATA[&lt;p&gt;7&lt;/p&gt;]]&gt;&lt;/text&gt;</t>
  </si>
  <si>
    <t xml:space="preserve">        &lt;text&gt;siete&lt;/text&gt;</t>
  </si>
  <si>
    <t xml:space="preserve">      &lt;text&gt;&lt;![CDATA[&lt;p&gt;8&lt;/p&gt;]]&gt;&lt;/text&gt;</t>
  </si>
  <si>
    <t xml:space="preserve">        &lt;text&gt;ocho&lt;/text&gt;</t>
  </si>
  <si>
    <t xml:space="preserve">      &lt;text&gt;&lt;![CDATA[&lt;p&gt;9&lt;/p&gt;]]&gt;&lt;/text&gt;</t>
  </si>
  <si>
    <t xml:space="preserve">        &lt;text&gt;nueve&lt;/text&gt;</t>
  </si>
  <si>
    <t xml:space="preserve">      &lt;text&gt;&lt;![CDATA[&lt;p&gt;10&lt;/p&gt;]]&gt;&lt;/text&gt;</t>
  </si>
  <si>
    <t xml:space="preserve">        &lt;text&gt;diez&lt;/text&gt;</t>
  </si>
  <si>
    <t xml:space="preserve">      &lt;text&gt;&lt;![CDATA[&lt;p&gt;11&lt;/p&gt;]]&gt;&lt;/text&gt;</t>
  </si>
  <si>
    <t xml:space="preserve">        &lt;text&gt;once&lt;/text&gt;</t>
  </si>
  <si>
    <t xml:space="preserve">      &lt;text&gt;&lt;![CDATA[&lt;p&gt;12&lt;/p&gt;]]&gt;&lt;/text&gt;</t>
  </si>
  <si>
    <t xml:space="preserve">        &lt;text&gt;doce&lt;/text&gt;</t>
  </si>
  <si>
    <t>&lt;!-- question: 33  --&gt;</t>
  </si>
  <si>
    <t xml:space="preserve">      &lt;text&gt;T01 - 33 Lógica&lt;/text&gt;</t>
  </si>
  <si>
    <t>&lt;!-- question: 41  --&gt;</t>
  </si>
  <si>
    <t xml:space="preserve">      &lt;text&gt;T01 - 41 Provincia&lt;/text&gt;</t>
  </si>
  <si>
    <t xml:space="preserve">      &lt;text&gt;&lt;![CDATA[&lt;p&gt;Escribe una Capital de Provincia Andaluza. Cuidado con la ortografía.&lt;/p&gt;]]&gt;&lt;/text&gt;</t>
  </si>
  <si>
    <t xml:space="preserve">    &lt;usecase&gt;0&lt;/usecase&gt;</t>
  </si>
  <si>
    <t xml:space="preserve">    &lt;answer fraction="100" format="moodle_auto_format"&gt;</t>
  </si>
  <si>
    <t xml:space="preserve">      &lt;text&gt;&lt;![CDATA[&lt;p&gt;Muy bien&lt;/p&gt;]]&gt;&lt;/text&gt;</t>
  </si>
  <si>
    <t xml:space="preserve">      &lt;text&gt;Huelva&lt;/text&gt;</t>
  </si>
  <si>
    <t xml:space="preserve">      &lt;text&gt;Granada&lt;/text&gt;</t>
  </si>
  <si>
    <t xml:space="preserve">      &lt;text&gt;Málaga&lt;/text&gt;</t>
  </si>
  <si>
    <t xml:space="preserve">      &lt;text&gt;Almería&lt;/text&gt;</t>
  </si>
  <si>
    <t xml:space="preserve">      &lt;text&gt;&lt;![CDATA[&lt;p&gt;P1 &lt;/p&gt;]]&gt;&lt;/text&gt;</t>
  </si>
  <si>
    <t xml:space="preserve">      &lt;text&gt;&lt;![CDATA[&lt;p&gt;P2 &lt;/p&gt;]]&gt;&lt;/text&gt;</t>
  </si>
  <si>
    <t xml:space="preserve">      &lt;text&gt;&lt;![CDATA[&lt;p&gt;P3 &lt;/p&gt;]]&gt;&lt;/text&gt;</t>
  </si>
  <si>
    <t xml:space="preserve">      &lt;text&gt;&lt;![CDATA[&lt;p&gt;P4 &lt;/p&gt;]]&gt;&lt;/text&gt;</t>
  </si>
  <si>
    <t>&lt;!-- question: 42  --&gt;</t>
  </si>
  <si>
    <t xml:space="preserve">      &lt;text&gt;T01 - 42 Países&lt;/text&gt;</t>
  </si>
  <si>
    <t xml:space="preserve">      &lt;text&gt;&lt;![CDATA[&lt;p&gt;La Capital de España.&lt;/p&gt;]]&gt;&lt;/text&gt;</t>
  </si>
  <si>
    <t xml:space="preserve">      &lt;text&gt;Madrid&lt;/text&gt;</t>
  </si>
  <si>
    <t xml:space="preserve">    &lt;answer fraction="50" format="moodle_auto_format"&gt;</t>
  </si>
  <si>
    <t xml:space="preserve">      &lt;text&gt;madrid&lt;/text&gt;</t>
  </si>
  <si>
    <t xml:space="preserve">      &lt;text&gt;&lt;![CDATA[&lt;p&gt;Cuidado con la ortografía&lt;/p&gt;]]&gt;&lt;/text&gt;</t>
  </si>
  <si>
    <t xml:space="preserve">      &lt;text&gt;MADRID&lt;/text&gt;</t>
  </si>
  <si>
    <t xml:space="preserve">      &lt;text&gt;&lt;![CDATA[&lt;p&gt;No escribas todo en mayúsculas.&lt;/p&gt;]]&gt;&lt;/text&gt;</t>
  </si>
  <si>
    <t>&lt;!-- question: 53  --&gt;</t>
  </si>
  <si>
    <t xml:space="preserve">      &lt;text&gt;T01 - 53 Verano&lt;/text&gt;</t>
  </si>
  <si>
    <t>&lt;!-- question: 54  --&gt;</t>
  </si>
  <si>
    <t xml:space="preserve">      &lt;text&gt;T01 - 54 Verano&lt;/text&gt;</t>
  </si>
  <si>
    <t xml:space="preserve">      &lt;text&gt;&lt;![CDATA[&lt;p&gt;m&lt;sup&gt;2&lt;/sup&gt;&lt;/p&gt;]]&gt;&lt;/text&gt;</t>
  </si>
  <si>
    <t xml:space="preserve">      &lt;text&gt;&lt;![CDATA[&lt;p&gt;m&lt;sup&gt;3&lt;/sup&gt;&lt;/p&gt;]]&gt;&lt;/text&gt;</t>
  </si>
  <si>
    <t xml:space="preserve">      &lt;text&gt;&lt;![CDATA[&lt;p&gt;m&lt;sup&gt;4&lt;/sup&gt;&lt;/p&gt;]]&gt;&lt;/text&gt;</t>
  </si>
  <si>
    <t xml:space="preserve">      &lt;text&gt;&lt;![CDATA[&lt;p&gt;m&lt;sub&gt;2&lt;/sub&gt;&lt;/p&gt;]]&gt;&lt;/text&gt;</t>
  </si>
  <si>
    <t xml:space="preserve">      &lt;text&gt;&lt;![CDATA[&lt;p&gt;m&lt;sub&gt;3&lt;/sub&gt;&lt;/p&gt;]]&gt;&lt;/text&gt;</t>
  </si>
  <si>
    <t xml:space="preserve">      &lt;text&gt;&lt;![CDATA[&lt;p&gt;mm&lt;sup&gt;2&lt;/sup&gt;&lt;/p&gt;]]&gt;&lt;/text&gt;</t>
  </si>
  <si>
    <t xml:space="preserve">      &lt;text&gt;&lt;![CDATA[&lt;p&gt;mm&lt;sup&gt;3&lt;/sup&gt;&lt;/p&gt;]]&gt;&lt;/text&gt;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</si>
</sst>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4" tint="-0.249977111117893"/>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sz val="9"/>
      <color indexed="81"/>
      <name val="Tahoma"/>
      <family val="2"/>
    </font>
    <font>
      <b/>
      <sz val="11"/>
      <color theme="9" tint="0.59999389629810485"/>
      <name val="Calibri"/>
      <family val="2"/>
      <scheme val="minor"/>
    </font>
    <font>
      <b/>
      <sz val="9"/>
      <color rgb="FF0000FF"/>
      <name val="Calibri"/>
      <family val="2"/>
    </font>
    <font>
      <b/>
      <sz val="9"/>
      <color rgb="FFFF0000"/>
      <name val="Calibri"/>
      <family val="2"/>
    </font>
    <font>
      <sz val="10"/>
      <color theme="1"/>
      <name val="Calibri"/>
      <family val="2"/>
      <scheme val="minor"/>
    </font>
    <font>
      <b/>
      <sz val="9"/>
      <color indexed="81"/>
      <name val="Tahoma"/>
      <family val="2"/>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0"/>
      <color rgb="FF0000FF"/>
      <name val="Calibri"/>
      <family val="2"/>
    </font>
    <font>
      <b/>
      <sz val="11"/>
      <color indexed="21"/>
      <name val="Calibri"/>
      <family val="2"/>
      <scheme val="minor"/>
    </font>
    <font>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u/>
      <sz val="11"/>
      <color rgb="FF005877"/>
      <name val="Calibri"/>
      <family val="2"/>
      <scheme val="minor"/>
    </font>
    <font>
      <sz val="4"/>
      <color rgb="FF005877"/>
      <name val="Calibri"/>
      <family val="2"/>
      <scheme val="minor"/>
    </font>
    <font>
      <b/>
      <u/>
      <sz val="9"/>
      <color rgb="FFFF0000"/>
      <name val="Calibri"/>
      <family val="2"/>
      <scheme val="minor"/>
    </font>
    <font>
      <b/>
      <sz val="10"/>
      <color rgb="FFFF0000"/>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9"/>
      <color rgb="FFE87B0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6"/>
      <color rgb="FF005877"/>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2"/>
      <color theme="1"/>
      <name val="Calibri"/>
      <family val="2"/>
      <scheme val="minor"/>
    </font>
    <font>
      <u/>
      <sz val="11"/>
      <color theme="0"/>
      <name val="Calibri"/>
      <family val="2"/>
      <scheme val="minor"/>
    </font>
    <font>
      <sz val="11"/>
      <color rgb="FFE87B00"/>
      <name val="Calibri"/>
      <family val="2"/>
      <scheme val="minor"/>
    </font>
    <font>
      <b/>
      <sz val="11"/>
      <color rgb="FFE87B00"/>
      <name val="Calibri"/>
      <family val="2"/>
      <scheme val="minor"/>
    </font>
    <font>
      <sz val="10"/>
      <color rgb="FF005877"/>
      <name val="Calibri"/>
      <family val="2"/>
      <scheme val="minor"/>
    </font>
    <font>
      <sz val="10"/>
      <color theme="0"/>
      <name val="Calibri"/>
      <family val="2"/>
      <scheme val="minor"/>
    </font>
  </fonts>
  <fills count="2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s>
  <borders count="45">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492">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2" fillId="3" borderId="0" xfId="0" applyFont="1" applyFill="1" applyAlignment="1" applyProtection="1">
      <alignment horizontal="right"/>
    </xf>
    <xf numFmtId="0" fontId="4" fillId="2" borderId="0" xfId="0" applyFont="1" applyFill="1" applyBorder="1" applyAlignment="1" applyProtection="1">
      <alignment horizontal="center" vertical="center"/>
      <protection locked="0"/>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12" fillId="0" borderId="0" xfId="0" applyFont="1" applyBorder="1" applyAlignment="1" applyProtection="1">
      <alignment horizontal="center" vertical="center"/>
    </xf>
    <xf numFmtId="0" fontId="5" fillId="0" borderId="0" xfId="0" applyFont="1" applyBorder="1" applyAlignment="1">
      <alignment horizontal="center" vertical="center"/>
    </xf>
    <xf numFmtId="0" fontId="0" fillId="0" borderId="0" xfId="0" applyBorder="1"/>
    <xf numFmtId="0" fontId="5" fillId="4" borderId="0" xfId="0" applyFont="1" applyFill="1" applyBorder="1" applyAlignment="1" applyProtection="1">
      <alignment horizontal="right" vertical="center" shrinkToFit="1"/>
    </xf>
    <xf numFmtId="0" fontId="9" fillId="0" borderId="0" xfId="0" applyFont="1" applyBorder="1" applyAlignment="1">
      <alignment vertical="center"/>
    </xf>
    <xf numFmtId="0" fontId="9" fillId="0" borderId="0" xfId="0" applyFont="1" applyBorder="1" applyAlignment="1">
      <alignment horizontal="center" vertical="center"/>
    </xf>
    <xf numFmtId="0" fontId="0" fillId="0" borderId="0" xfId="0" applyBorder="1" applyAlignment="1">
      <alignment vertical="center"/>
    </xf>
    <xf numFmtId="0" fontId="6" fillId="0" borderId="0" xfId="0" applyFont="1" applyBorder="1" applyAlignment="1" applyProtection="1">
      <alignment horizontal="right" vertical="center" shrinkToFit="1"/>
    </xf>
    <xf numFmtId="0" fontId="6" fillId="0" borderId="0" xfId="0" applyFont="1" applyBorder="1" applyAlignment="1" applyProtection="1">
      <alignment vertical="center"/>
    </xf>
    <xf numFmtId="0" fontId="6" fillId="0" borderId="0" xfId="0" applyFont="1" applyBorder="1" applyAlignment="1" applyProtection="1">
      <alignment horizontal="center" vertical="center"/>
    </xf>
    <xf numFmtId="0" fontId="0" fillId="0" borderId="0" xfId="0" applyBorder="1" applyProtection="1"/>
    <xf numFmtId="0" fontId="12" fillId="0" borderId="0" xfId="0" applyFont="1" applyBorder="1" applyAlignment="1" applyProtection="1">
      <alignment vertical="center"/>
    </xf>
    <xf numFmtId="0" fontId="12" fillId="0" borderId="0" xfId="0" applyFont="1" applyBorder="1" applyAlignment="1" applyProtection="1">
      <alignment horizontal="left" vertical="center" indent="1"/>
    </xf>
    <xf numFmtId="0" fontId="17" fillId="0" borderId="0" xfId="0" applyFont="1" applyBorder="1" applyProtection="1"/>
    <xf numFmtId="0" fontId="0" fillId="0" borderId="0" xfId="0" applyBorder="1" applyAlignment="1" applyProtection="1">
      <alignment horizontal="right" shrinkToFit="1"/>
    </xf>
    <xf numFmtId="0" fontId="0" fillId="0" borderId="0" xfId="0" applyBorder="1" applyAlignment="1" applyProtection="1"/>
    <xf numFmtId="0" fontId="7" fillId="0" borderId="0" xfId="0" applyFont="1" applyBorder="1" applyAlignment="1" applyProtection="1">
      <alignment horizontal="right" vertical="center" shrinkToFit="1"/>
    </xf>
    <xf numFmtId="0" fontId="0" fillId="0" borderId="0" xfId="0" applyBorder="1" applyAlignment="1"/>
    <xf numFmtId="0" fontId="17" fillId="0" borderId="0" xfId="0" applyFont="1" applyBorder="1"/>
    <xf numFmtId="0" fontId="2" fillId="17"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0" fillId="16" borderId="0" xfId="0" applyFont="1" applyFill="1" applyBorder="1" applyAlignment="1" applyProtection="1">
      <alignment horizontal="right"/>
      <protection locked="0"/>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2"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0" fillId="0" borderId="0" xfId="0" applyFont="1" applyProtection="1"/>
    <xf numFmtId="0" fontId="21" fillId="0" borderId="0" xfId="0" applyFont="1" applyAlignment="1" applyProtection="1">
      <alignment horizontal="left"/>
    </xf>
    <xf numFmtId="0" fontId="8" fillId="0" borderId="0" xfId="0" applyFont="1" applyAlignment="1" applyProtection="1">
      <alignment horizontal="left" vertical="center"/>
    </xf>
    <xf numFmtId="0" fontId="0" fillId="2" borderId="0" xfId="0" applyFill="1" applyProtection="1"/>
    <xf numFmtId="0" fontId="0" fillId="4" borderId="0" xfId="0" applyFill="1" applyProtection="1"/>
    <xf numFmtId="0" fontId="7" fillId="0" borderId="0" xfId="0" applyFont="1" applyAlignment="1" applyProtection="1">
      <alignment horizontal="left" vertical="center"/>
    </xf>
    <xf numFmtId="0" fontId="12" fillId="0" borderId="0" xfId="0" applyFont="1" applyProtection="1"/>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2" fillId="0" borderId="0" xfId="0" applyFont="1" applyAlignment="1" applyProtection="1">
      <alignment horizontal="center" vertical="center"/>
    </xf>
    <xf numFmtId="0" fontId="20" fillId="4" borderId="0" xfId="0" applyFont="1" applyFill="1" applyBorder="1" applyAlignment="1" applyProtection="1">
      <alignment horizontal="center" wrapText="1"/>
    </xf>
    <xf numFmtId="0" fontId="5" fillId="0" borderId="0" xfId="0" applyFont="1" applyAlignment="1">
      <alignment horizontal="left" vertical="center"/>
    </xf>
    <xf numFmtId="0" fontId="5" fillId="0" borderId="0" xfId="0" applyFont="1"/>
    <xf numFmtId="0" fontId="0" fillId="4" borderId="0" xfId="0" applyFill="1" applyAlignment="1">
      <alignment horizontal="center" vertical="center"/>
    </xf>
    <xf numFmtId="0" fontId="2" fillId="0" borderId="0" xfId="0" applyFont="1"/>
    <xf numFmtId="0" fontId="0" fillId="0" borderId="0" xfId="0" applyAlignment="1">
      <alignment horizontal="left"/>
    </xf>
    <xf numFmtId="0" fontId="20" fillId="17" borderId="0" xfId="0" applyFont="1" applyFill="1" applyBorder="1" applyAlignment="1" applyProtection="1">
      <alignment horizontal="center" wrapText="1"/>
    </xf>
    <xf numFmtId="0" fontId="2" fillId="17" borderId="0" xfId="0" applyFont="1" applyFill="1" applyBorder="1" applyAlignment="1" applyProtection="1">
      <alignment horizontal="center" vertical="center"/>
    </xf>
    <xf numFmtId="0" fontId="22" fillId="2" borderId="0" xfId="0" applyFont="1" applyFill="1" applyBorder="1" applyAlignment="1" applyProtection="1">
      <alignment horizontal="center" wrapText="1"/>
    </xf>
    <xf numFmtId="0" fontId="20" fillId="3" borderId="0" xfId="0" applyFont="1" applyFill="1" applyBorder="1" applyAlignment="1" applyProtection="1">
      <alignment horizontal="left" wrapText="1"/>
    </xf>
    <xf numFmtId="0" fontId="7" fillId="0" borderId="0" xfId="0" applyFont="1" applyFill="1" applyAlignment="1" applyProtection="1">
      <alignment horizontal="left"/>
    </xf>
    <xf numFmtId="0" fontId="6" fillId="5" borderId="0" xfId="0" applyFont="1" applyFill="1" applyProtection="1"/>
    <xf numFmtId="0" fontId="0" fillId="13" borderId="0" xfId="0" applyFill="1" applyBorder="1" applyAlignment="1" applyProtection="1">
      <alignment horizontal="left" vertical="center"/>
      <protection locked="0"/>
    </xf>
    <xf numFmtId="0" fontId="0" fillId="14" borderId="0" xfId="0" applyFill="1" applyBorder="1" applyAlignment="1" applyProtection="1">
      <alignment horizontal="left" vertical="center"/>
      <protection locked="0"/>
    </xf>
    <xf numFmtId="0" fontId="0" fillId="7" borderId="0" xfId="0" applyFill="1" applyBorder="1" applyAlignment="1" applyProtection="1">
      <alignment horizontal="left" vertical="center"/>
      <protection locked="0"/>
    </xf>
    <xf numFmtId="0" fontId="2" fillId="17" borderId="0" xfId="0" applyFont="1" applyFill="1" applyBorder="1" applyAlignment="1" applyProtection="1">
      <alignment horizontal="center" vertical="center" shrinkToFit="1"/>
    </xf>
    <xf numFmtId="0" fontId="0" fillId="15" borderId="0" xfId="0" applyFill="1" applyBorder="1" applyAlignment="1" applyProtection="1">
      <alignment horizontal="left" vertical="center"/>
      <protection locked="0"/>
    </xf>
    <xf numFmtId="0" fontId="12" fillId="0" borderId="0" xfId="0" applyFont="1"/>
    <xf numFmtId="0" fontId="0" fillId="6" borderId="0" xfId="0" applyFill="1"/>
    <xf numFmtId="0" fontId="5" fillId="0" borderId="20" xfId="0" applyFont="1" applyBorder="1"/>
    <xf numFmtId="0" fontId="0" fillId="0" borderId="0" xfId="0" applyAlignment="1">
      <alignment horizontal="left" vertical="center"/>
    </xf>
    <xf numFmtId="0" fontId="5" fillId="0" borderId="21" xfId="0" applyFont="1" applyBorder="1"/>
    <xf numFmtId="0" fontId="5" fillId="0" borderId="22" xfId="0" applyFont="1" applyBorder="1"/>
    <xf numFmtId="0" fontId="0" fillId="4" borderId="0" xfId="0" applyFill="1"/>
    <xf numFmtId="0" fontId="5" fillId="0" borderId="0" xfId="0" applyFont="1" applyAlignment="1">
      <alignment horizontal="left"/>
    </xf>
    <xf numFmtId="0" fontId="20" fillId="18" borderId="0" xfId="0" applyFont="1" applyFill="1" applyBorder="1" applyAlignment="1" applyProtection="1">
      <alignment horizontal="center" wrapText="1"/>
    </xf>
    <xf numFmtId="0" fontId="0" fillId="0" borderId="0" xfId="0" applyAlignment="1">
      <alignment horizontal="right"/>
    </xf>
    <xf numFmtId="0" fontId="0" fillId="0" borderId="11" xfId="0" applyBorder="1" applyProtection="1"/>
    <xf numFmtId="0" fontId="0" fillId="0" borderId="12" xfId="0" applyBorder="1" applyProtection="1"/>
    <xf numFmtId="0" fontId="0" fillId="0" borderId="13" xfId="0" applyBorder="1"/>
    <xf numFmtId="0" fontId="0" fillId="0" borderId="14" xfId="0" applyBorder="1"/>
    <xf numFmtId="0" fontId="0" fillId="0" borderId="15" xfId="0" applyBorder="1"/>
    <xf numFmtId="0" fontId="0" fillId="0" borderId="16" xfId="0" applyBorder="1"/>
    <xf numFmtId="0" fontId="5" fillId="0" borderId="0" xfId="0" applyFont="1" applyAlignment="1">
      <alignment horizontal="center" vertical="center"/>
    </xf>
    <xf numFmtId="0" fontId="9" fillId="0" borderId="0" xfId="0" applyFont="1" applyBorder="1" applyAlignment="1">
      <alignment horizontal="left" vertical="center"/>
    </xf>
    <xf numFmtId="0" fontId="0" fillId="2" borderId="0" xfId="0" applyFill="1"/>
    <xf numFmtId="164" fontId="0" fillId="0" borderId="0" xfId="0" applyNumberFormat="1" applyAlignment="1">
      <alignment horizontal="right"/>
    </xf>
    <xf numFmtId="0" fontId="0" fillId="0" borderId="0" xfId="0" applyBorder="1" applyProtection="1">
      <protection locked="0"/>
    </xf>
    <xf numFmtId="0" fontId="7" fillId="0" borderId="0" xfId="0" applyFont="1"/>
    <xf numFmtId="0" fontId="12" fillId="0" borderId="0" xfId="0" applyFont="1" applyAlignment="1">
      <alignment horizontal="left" vertical="center"/>
    </xf>
    <xf numFmtId="164" fontId="12" fillId="0" borderId="0" xfId="0" applyNumberFormat="1" applyFont="1" applyAlignment="1">
      <alignment horizontal="right"/>
    </xf>
    <xf numFmtId="0" fontId="20" fillId="18" borderId="0" xfId="0" applyFont="1" applyFill="1" applyBorder="1" applyAlignment="1" applyProtection="1">
      <alignment horizontal="center" vertical="center"/>
    </xf>
    <xf numFmtId="0" fontId="22" fillId="2" borderId="0" xfId="0" applyFont="1" applyFill="1" applyBorder="1" applyAlignment="1" applyProtection="1">
      <alignment horizontal="center"/>
    </xf>
    <xf numFmtId="0" fontId="20" fillId="4" borderId="0" xfId="0" applyFont="1" applyFill="1" applyBorder="1" applyAlignment="1" applyProtection="1">
      <alignment horizontal="center"/>
    </xf>
    <xf numFmtId="0" fontId="0" fillId="6" borderId="0" xfId="0" applyFill="1" applyBorder="1" applyAlignment="1" applyProtection="1">
      <alignment horizontal="left" vertical="center"/>
    </xf>
    <xf numFmtId="0" fontId="0" fillId="8" borderId="0" xfId="0" applyFill="1" applyBorder="1" applyAlignment="1" applyProtection="1">
      <alignment horizontal="left" vertical="center"/>
    </xf>
    <xf numFmtId="0" fontId="0" fillId="13" borderId="0" xfId="0" applyFill="1" applyBorder="1" applyAlignment="1" applyProtection="1">
      <alignment horizontal="left" vertical="center"/>
    </xf>
    <xf numFmtId="0" fontId="0" fillId="14" borderId="0" xfId="0" applyFill="1" applyBorder="1" applyAlignment="1" applyProtection="1">
      <alignment horizontal="left" vertical="center"/>
    </xf>
    <xf numFmtId="0" fontId="0" fillId="7" borderId="0" xfId="0" applyFill="1" applyBorder="1" applyAlignment="1" applyProtection="1">
      <alignment horizontal="left" vertical="center"/>
    </xf>
    <xf numFmtId="0" fontId="0" fillId="15" borderId="0" xfId="0" applyFill="1" applyBorder="1" applyAlignment="1" applyProtection="1">
      <alignment horizontal="left" vertical="center"/>
    </xf>
    <xf numFmtId="0" fontId="0" fillId="16" borderId="0" xfId="0" applyFont="1" applyFill="1" applyBorder="1" applyAlignment="1" applyProtection="1">
      <alignment horizontal="right" vertical="top"/>
      <protection locked="0"/>
    </xf>
    <xf numFmtId="0" fontId="0" fillId="0" borderId="0" xfId="0" applyBorder="1" applyAlignment="1" applyProtection="1">
      <alignment vertical="top"/>
    </xf>
    <xf numFmtId="0" fontId="0" fillId="0" borderId="0" xfId="0" applyBorder="1" applyAlignment="1" applyProtection="1">
      <alignment horizontal="right" vertical="top" shrinkToFit="1"/>
    </xf>
    <xf numFmtId="0" fontId="0" fillId="0" borderId="0" xfId="0" applyAlignment="1">
      <alignment wrapText="1"/>
    </xf>
    <xf numFmtId="0" fontId="0" fillId="0" borderId="0" xfId="0" applyFont="1"/>
    <xf numFmtId="0" fontId="4" fillId="2" borderId="0" xfId="0" applyFont="1" applyFill="1"/>
    <xf numFmtId="0" fontId="0" fillId="3" borderId="0" xfId="0" applyFill="1" applyProtection="1">
      <protection locked="0"/>
    </xf>
    <xf numFmtId="0" fontId="4" fillId="2" borderId="0" xfId="0" quotePrefix="1" applyFont="1" applyFill="1" applyBorder="1" applyAlignment="1" applyProtection="1">
      <alignment horizontal="center" vertical="center"/>
      <protection locked="0"/>
    </xf>
    <xf numFmtId="0" fontId="0" fillId="18" borderId="4" xfId="0" applyFill="1" applyBorder="1"/>
    <xf numFmtId="0" fontId="0" fillId="18" borderId="0" xfId="0" applyFill="1" applyBorder="1"/>
    <xf numFmtId="0" fontId="0" fillId="18" borderId="5" xfId="0" applyFill="1" applyBorder="1"/>
    <xf numFmtId="0" fontId="2" fillId="18" borderId="0" xfId="0" applyFont="1" applyFill="1" applyBorder="1" applyAlignment="1"/>
    <xf numFmtId="0" fontId="1" fillId="18" borderId="0" xfId="1" applyFill="1" applyBorder="1" applyAlignment="1">
      <alignment vertical="center"/>
    </xf>
    <xf numFmtId="0" fontId="10" fillId="18" borderId="0" xfId="0" applyFont="1" applyFill="1" applyBorder="1" applyAlignment="1">
      <alignment vertical="top" wrapText="1"/>
    </xf>
    <xf numFmtId="0" fontId="0" fillId="18" borderId="7" xfId="0" applyFill="1" applyBorder="1"/>
    <xf numFmtId="0" fontId="0" fillId="18" borderId="4" xfId="0" applyFill="1" applyBorder="1" applyProtection="1"/>
    <xf numFmtId="0" fontId="0" fillId="18" borderId="0" xfId="0" applyFill="1" applyBorder="1" applyProtection="1"/>
    <xf numFmtId="0" fontId="10" fillId="18" borderId="0" xfId="0" applyFont="1" applyFill="1" applyBorder="1" applyAlignment="1" applyProtection="1">
      <alignment vertical="top" wrapText="1"/>
    </xf>
    <xf numFmtId="0" fontId="10" fillId="18" borderId="0" xfId="0" applyFont="1" applyFill="1" applyBorder="1" applyAlignment="1" applyProtection="1">
      <alignment horizontal="right" vertical="top"/>
    </xf>
    <xf numFmtId="0" fontId="2" fillId="18" borderId="0" xfId="0" applyFont="1" applyFill="1" applyBorder="1" applyAlignment="1" applyProtection="1">
      <alignment horizontal="right" vertical="top" indent="1"/>
    </xf>
    <xf numFmtId="0" fontId="2" fillId="18" borderId="0" xfId="0" applyFont="1" applyFill="1" applyBorder="1" applyAlignment="1" applyProtection="1">
      <alignment horizontal="right" indent="1"/>
    </xf>
    <xf numFmtId="0" fontId="2" fillId="18" borderId="0" xfId="0" applyFont="1" applyFill="1" applyBorder="1" applyAlignment="1" applyProtection="1">
      <alignment vertical="center" wrapText="1"/>
    </xf>
    <xf numFmtId="0" fontId="2" fillId="18" borderId="4" xfId="0" applyFont="1" applyFill="1" applyBorder="1" applyAlignment="1" applyProtection="1">
      <alignment horizontal="right" indent="1"/>
    </xf>
    <xf numFmtId="0" fontId="2" fillId="18" borderId="0" xfId="0" applyFont="1" applyFill="1" applyBorder="1" applyAlignment="1" applyProtection="1">
      <alignment horizontal="left" indent="1"/>
    </xf>
    <xf numFmtId="0" fontId="0" fillId="18" borderId="6" xfId="0" applyFill="1" applyBorder="1" applyProtection="1"/>
    <xf numFmtId="0" fontId="0" fillId="18" borderId="7" xfId="0" applyFill="1" applyBorder="1" applyProtection="1"/>
    <xf numFmtId="0" fontId="19" fillId="18" borderId="4" xfId="0" applyFont="1" applyFill="1" applyBorder="1"/>
    <xf numFmtId="0" fontId="14" fillId="18" borderId="0" xfId="0" applyFont="1" applyFill="1" applyBorder="1" applyAlignment="1">
      <alignment horizontal="right" vertical="center"/>
    </xf>
    <xf numFmtId="0" fontId="19" fillId="18" borderId="0" xfId="0" applyFont="1" applyFill="1" applyBorder="1" applyAlignment="1">
      <alignment horizontal="center" vertical="center"/>
    </xf>
    <xf numFmtId="0" fontId="19" fillId="18" borderId="0" xfId="0" applyFont="1" applyFill="1" applyBorder="1" applyAlignment="1">
      <alignment vertical="center"/>
    </xf>
    <xf numFmtId="0" fontId="19" fillId="18" borderId="5" xfId="0" applyFont="1" applyFill="1" applyBorder="1" applyAlignment="1">
      <alignment vertical="center"/>
    </xf>
    <xf numFmtId="0" fontId="10" fillId="18" borderId="4" xfId="0" applyFont="1" applyFill="1" applyBorder="1"/>
    <xf numFmtId="0" fontId="2" fillId="18" borderId="0" xfId="0" applyFont="1" applyFill="1" applyBorder="1" applyAlignment="1">
      <alignment horizontal="right" vertical="center"/>
    </xf>
    <xf numFmtId="0" fontId="10" fillId="18" borderId="0" xfId="0" applyFont="1" applyFill="1" applyBorder="1" applyAlignment="1">
      <alignment vertical="center"/>
    </xf>
    <xf numFmtId="0" fontId="10" fillId="18" borderId="5" xfId="0" applyFont="1" applyFill="1" applyBorder="1" applyAlignment="1">
      <alignment vertical="center"/>
    </xf>
    <xf numFmtId="0" fontId="2" fillId="18" borderId="0" xfId="0" applyFont="1" applyFill="1" applyBorder="1" applyAlignment="1">
      <alignment vertical="center"/>
    </xf>
    <xf numFmtId="0" fontId="10" fillId="18" borderId="0" xfId="0" applyFont="1" applyFill="1" applyBorder="1" applyAlignment="1">
      <alignment horizontal="center" vertical="center"/>
    </xf>
    <xf numFmtId="0" fontId="19" fillId="18" borderId="0" xfId="0" applyFont="1" applyFill="1" applyBorder="1" applyAlignment="1">
      <alignment horizontal="left" vertical="center" indent="1"/>
    </xf>
    <xf numFmtId="0" fontId="10" fillId="18" borderId="0" xfId="0" applyFont="1" applyFill="1" applyBorder="1" applyAlignment="1">
      <alignment horizontal="left" vertical="center" indent="1"/>
    </xf>
    <xf numFmtId="0" fontId="10" fillId="18" borderId="0" xfId="0" applyFont="1" applyFill="1" applyBorder="1" applyAlignment="1" applyProtection="1">
      <alignment horizontal="left" vertical="center" indent="1"/>
    </xf>
    <xf numFmtId="0" fontId="10" fillId="18" borderId="6" xfId="0" applyFont="1" applyFill="1" applyBorder="1" applyAlignment="1">
      <alignment vertical="center"/>
    </xf>
    <xf numFmtId="0" fontId="10" fillId="18" borderId="7" xfId="0" applyFont="1" applyFill="1" applyBorder="1" applyAlignment="1">
      <alignment vertical="center"/>
    </xf>
    <xf numFmtId="0" fontId="0" fillId="18" borderId="0" xfId="0" applyFill="1"/>
    <xf numFmtId="0" fontId="19" fillId="18" borderId="0" xfId="0" applyFont="1" applyFill="1" applyAlignment="1">
      <alignment horizontal="center" vertical="center"/>
    </xf>
    <xf numFmtId="0" fontId="20" fillId="18" borderId="0" xfId="0" applyFont="1" applyFill="1" applyBorder="1" applyAlignment="1">
      <alignment horizontal="right" vertical="center"/>
    </xf>
    <xf numFmtId="0" fontId="28" fillId="18" borderId="4" xfId="0" applyFont="1" applyFill="1" applyBorder="1"/>
    <xf numFmtId="0" fontId="30" fillId="18" borderId="0" xfId="0" applyFont="1" applyFill="1" applyBorder="1" applyAlignment="1">
      <alignment vertical="center"/>
    </xf>
    <xf numFmtId="0" fontId="30" fillId="18" borderId="0" xfId="0" applyFont="1" applyFill="1" applyBorder="1" applyAlignment="1">
      <alignment horizontal="right" vertical="center"/>
    </xf>
    <xf numFmtId="0" fontId="28" fillId="18" borderId="0" xfId="0" applyFont="1" applyFill="1" applyBorder="1" applyAlignment="1">
      <alignment horizontal="center" vertical="center"/>
    </xf>
    <xf numFmtId="0" fontId="28" fillId="18" borderId="0" xfId="0" applyFont="1" applyFill="1" applyBorder="1" applyAlignment="1">
      <alignment vertical="center"/>
    </xf>
    <xf numFmtId="0" fontId="28" fillId="18" borderId="5" xfId="0" applyFont="1" applyFill="1" applyBorder="1" applyAlignment="1">
      <alignment vertical="center"/>
    </xf>
    <xf numFmtId="0" fontId="10" fillId="18" borderId="0" xfId="0" applyFont="1" applyFill="1" applyBorder="1" applyAlignment="1" applyProtection="1">
      <alignment vertical="center"/>
    </xf>
    <xf numFmtId="0" fontId="2" fillId="18" borderId="0" xfId="0" applyFont="1" applyFill="1" applyBorder="1" applyAlignment="1" applyProtection="1">
      <alignment horizontal="right" vertical="center"/>
    </xf>
    <xf numFmtId="0" fontId="10" fillId="18" borderId="0" xfId="0" applyFont="1" applyFill="1" applyBorder="1" applyAlignment="1" applyProtection="1">
      <alignment horizontal="center" vertical="center"/>
    </xf>
    <xf numFmtId="0" fontId="14" fillId="18" borderId="0" xfId="0" applyFont="1" applyFill="1" applyBorder="1" applyAlignment="1" applyProtection="1">
      <alignment horizontal="right" vertical="center"/>
    </xf>
    <xf numFmtId="0" fontId="19" fillId="18" borderId="0" xfId="0" applyFont="1" applyFill="1" applyBorder="1" applyAlignment="1" applyProtection="1">
      <alignment horizontal="center" vertical="center"/>
    </xf>
    <xf numFmtId="0" fontId="19" fillId="18" borderId="0" xfId="0" applyFont="1" applyFill="1" applyBorder="1" applyAlignment="1" applyProtection="1">
      <alignment vertical="center"/>
    </xf>
    <xf numFmtId="0" fontId="0" fillId="18" borderId="0" xfId="0" applyFill="1" applyProtection="1"/>
    <xf numFmtId="0" fontId="19" fillId="18" borderId="0" xfId="0" applyFont="1" applyFill="1" applyAlignment="1" applyProtection="1">
      <alignment horizontal="center" vertical="center"/>
    </xf>
    <xf numFmtId="0" fontId="20" fillId="18" borderId="0" xfId="0" applyFont="1" applyFill="1" applyBorder="1" applyAlignment="1" applyProtection="1">
      <alignment horizontal="right" vertical="center"/>
    </xf>
    <xf numFmtId="0" fontId="24" fillId="18" borderId="0" xfId="0" applyFont="1" applyFill="1" applyBorder="1" applyAlignment="1" applyProtection="1">
      <alignment horizontal="right"/>
    </xf>
    <xf numFmtId="0" fontId="2" fillId="18" borderId="0" xfId="0" applyFont="1" applyFill="1" applyBorder="1" applyAlignment="1" applyProtection="1">
      <alignment horizontal="right"/>
    </xf>
    <xf numFmtId="0" fontId="19" fillId="18" borderId="0" xfId="0" applyFont="1" applyFill="1" applyBorder="1" applyAlignment="1" applyProtection="1">
      <alignment horizontal="left" vertical="center" indent="1"/>
    </xf>
    <xf numFmtId="0" fontId="23" fillId="18" borderId="0" xfId="0" applyFont="1" applyFill="1" applyBorder="1" applyAlignment="1" applyProtection="1">
      <alignment horizontal="right"/>
    </xf>
    <xf numFmtId="0" fontId="28" fillId="18" borderId="0" xfId="0" applyFont="1" applyFill="1" applyBorder="1" applyAlignment="1" applyProtection="1">
      <alignment horizontal="center" vertical="center"/>
    </xf>
    <xf numFmtId="0" fontId="2" fillId="18" borderId="0" xfId="0" applyFont="1" applyFill="1" applyBorder="1" applyAlignment="1">
      <alignment vertical="top"/>
    </xf>
    <xf numFmtId="0" fontId="10" fillId="19" borderId="0" xfId="0" applyFont="1" applyFill="1" applyBorder="1" applyAlignment="1" applyProtection="1">
      <alignment horizontal="center" vertical="center" shrinkToFit="1"/>
      <protection locked="0"/>
    </xf>
    <xf numFmtId="0" fontId="0" fillId="3" borderId="0" xfId="0" applyFill="1" applyBorder="1"/>
    <xf numFmtId="0" fontId="33" fillId="3" borderId="0" xfId="0" applyFont="1" applyFill="1" applyBorder="1"/>
    <xf numFmtId="0" fontId="34" fillId="19" borderId="0" xfId="0" applyFont="1" applyFill="1" applyBorder="1" applyAlignment="1" applyProtection="1">
      <alignment horizontal="center" vertical="center" shrinkToFit="1"/>
      <protection locked="0"/>
    </xf>
    <xf numFmtId="0" fontId="34" fillId="3" borderId="0" xfId="0" applyFont="1" applyFill="1" applyBorder="1" applyAlignment="1" applyProtection="1">
      <alignment horizontal="center" vertical="center" shrinkToFit="1"/>
      <protection locked="0"/>
    </xf>
    <xf numFmtId="0" fontId="12" fillId="4" borderId="0" xfId="0" applyFont="1" applyFill="1"/>
    <xf numFmtId="0" fontId="4" fillId="3" borderId="0" xfId="0" applyFont="1" applyFill="1" applyBorder="1" applyProtection="1"/>
    <xf numFmtId="0" fontId="10" fillId="18" borderId="0" xfId="0" applyFont="1" applyFill="1" applyBorder="1" applyAlignment="1">
      <alignment horizontal="center" vertical="center"/>
    </xf>
    <xf numFmtId="0" fontId="2" fillId="17" borderId="0" xfId="0" quotePrefix="1" applyFont="1" applyFill="1" applyBorder="1" applyAlignment="1" applyProtection="1">
      <alignment horizontal="center" vertical="center" shrinkToFit="1"/>
    </xf>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2" fillId="4" borderId="17" xfId="0" applyFont="1" applyFill="1" applyBorder="1" applyProtection="1">
      <protection locked="0"/>
    </xf>
    <xf numFmtId="0" fontId="12" fillId="4" borderId="24" xfId="0" applyFont="1" applyFill="1" applyBorder="1" applyProtection="1">
      <protection locked="0"/>
    </xf>
    <xf numFmtId="0" fontId="12" fillId="4" borderId="19" xfId="0" applyFont="1" applyFill="1" applyBorder="1" applyProtection="1">
      <protection locked="0"/>
    </xf>
    <xf numFmtId="0" fontId="12" fillId="4" borderId="25" xfId="0" applyFont="1" applyFill="1" applyBorder="1" applyProtection="1">
      <protection locked="0"/>
    </xf>
    <xf numFmtId="164" fontId="0" fillId="0" borderId="18" xfId="0" applyNumberFormat="1" applyBorder="1" applyAlignment="1" applyProtection="1">
      <alignment horizontal="center" vertical="center"/>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6" fillId="3" borderId="27" xfId="0" applyFont="1" applyFill="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2"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2" fillId="3" borderId="32" xfId="0" applyFont="1" applyFill="1" applyBorder="1" applyAlignment="1" applyProtection="1">
      <alignment horizontal="center" vertical="center" wrapText="1"/>
    </xf>
    <xf numFmtId="0" fontId="12"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2" fillId="0" borderId="0" xfId="0" applyFont="1" applyFill="1" applyBorder="1" applyAlignment="1" applyProtection="1">
      <alignment horizontal="center" vertical="center"/>
    </xf>
    <xf numFmtId="0" fontId="35" fillId="2" borderId="0" xfId="0" applyFont="1" applyFill="1" applyBorder="1" applyAlignment="1" applyProtection="1">
      <alignment horizontal="center" vertical="center" wrapText="1"/>
    </xf>
    <xf numFmtId="0" fontId="0" fillId="6" borderId="0" xfId="0" applyFill="1" applyBorder="1" applyAlignment="1" applyProtection="1">
      <alignment horizontal="left" vertical="center" wrapText="1"/>
      <protection locked="0"/>
    </xf>
    <xf numFmtId="0" fontId="0" fillId="8" borderId="0" xfId="0" applyFill="1" applyBorder="1" applyAlignment="1" applyProtection="1">
      <alignment horizontal="left" vertical="center" wrapText="1"/>
      <protection locked="0"/>
    </xf>
    <xf numFmtId="0" fontId="0" fillId="9" borderId="0" xfId="0" applyFill="1" applyBorder="1" applyAlignment="1" applyProtection="1">
      <alignment horizontal="left" vertical="center" wrapText="1"/>
      <protection locked="0"/>
    </xf>
    <xf numFmtId="0" fontId="0" fillId="10" borderId="0" xfId="0" applyFill="1" applyBorder="1" applyAlignment="1" applyProtection="1">
      <alignment horizontal="left" vertical="center" wrapText="1"/>
      <protection locked="0"/>
    </xf>
    <xf numFmtId="0" fontId="0" fillId="11" borderId="0" xfId="0" applyFill="1" applyBorder="1" applyAlignment="1" applyProtection="1">
      <alignment horizontal="left" vertical="center" wrapText="1"/>
      <protection locked="0"/>
    </xf>
    <xf numFmtId="0" fontId="0" fillId="12" borderId="0" xfId="0" applyFill="1" applyBorder="1" applyAlignment="1" applyProtection="1">
      <alignment horizontal="left" vertical="center" wrapText="1"/>
      <protection locked="0"/>
    </xf>
    <xf numFmtId="0" fontId="0" fillId="0" borderId="0" xfId="0" applyBorder="1" applyAlignment="1" applyProtection="1">
      <alignment horizontal="right" vertical="center" shrinkToFit="1"/>
    </xf>
    <xf numFmtId="0" fontId="22" fillId="2" borderId="0"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3" borderId="0" xfId="0" applyFont="1" applyFill="1" applyBorder="1" applyAlignment="1" applyProtection="1">
      <alignment horizontal="left" vertical="center"/>
      <protection locked="0"/>
    </xf>
    <xf numFmtId="0" fontId="22" fillId="2" borderId="0" xfId="0" applyFont="1" applyFill="1" applyBorder="1" applyAlignment="1" applyProtection="1">
      <alignment horizontal="left" vertical="center" wrapText="1"/>
      <protection locked="0"/>
    </xf>
    <xf numFmtId="0" fontId="0" fillId="0" borderId="0" xfId="0" applyBorder="1" applyAlignment="1" applyProtection="1">
      <alignment vertical="center"/>
    </xf>
    <xf numFmtId="0" fontId="20" fillId="17" borderId="0" xfId="0" applyFont="1" applyFill="1" applyBorder="1" applyAlignment="1" applyProtection="1">
      <alignment horizontal="left" vertical="center"/>
    </xf>
    <xf numFmtId="0" fontId="26" fillId="17" borderId="0" xfId="0" applyFont="1" applyFill="1" applyBorder="1" applyAlignment="1" applyProtection="1">
      <alignment horizontal="left" vertical="center"/>
    </xf>
    <xf numFmtId="0" fontId="0" fillId="0" borderId="0" xfId="0" applyFont="1" applyBorder="1" applyAlignment="1" applyProtection="1">
      <alignment horizontal="right" vertical="center" shrinkToFit="1"/>
    </xf>
    <xf numFmtId="0" fontId="36" fillId="2" borderId="0" xfId="0" applyFont="1" applyFill="1" applyBorder="1" applyAlignment="1" applyProtection="1">
      <alignment horizontal="center" vertical="center"/>
      <protection locked="0"/>
    </xf>
    <xf numFmtId="0" fontId="37" fillId="4" borderId="0" xfId="0" applyFont="1" applyFill="1" applyBorder="1" applyAlignment="1" applyProtection="1">
      <alignment horizontal="center" vertical="center"/>
      <protection locked="0"/>
    </xf>
    <xf numFmtId="0" fontId="37" fillId="3"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wrapText="1"/>
      <protection locked="0"/>
    </xf>
    <xf numFmtId="0" fontId="0" fillId="8" borderId="0" xfId="0" applyFont="1" applyFill="1" applyBorder="1" applyAlignment="1" applyProtection="1">
      <alignment horizontal="left" vertical="center"/>
      <protection locked="0"/>
    </xf>
    <xf numFmtId="0" fontId="0" fillId="8" borderId="0" xfId="0" applyFont="1" applyFill="1" applyBorder="1" applyAlignment="1" applyProtection="1">
      <alignment horizontal="left" vertical="center" wrapText="1"/>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7"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0" borderId="0" xfId="0" applyFont="1" applyBorder="1" applyAlignment="1" applyProtection="1">
      <alignment vertical="center"/>
    </xf>
    <xf numFmtId="0" fontId="6" fillId="2"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protection locked="0"/>
    </xf>
    <xf numFmtId="0" fontId="0" fillId="8"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protection locked="0"/>
    </xf>
    <xf numFmtId="0" fontId="0" fillId="12" borderId="0" xfId="0" applyFont="1" applyFill="1" applyBorder="1" applyAlignment="1" applyProtection="1">
      <alignment horizontal="center" vertical="center" wrapText="1"/>
      <protection locked="0"/>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37" fillId="17" borderId="0" xfId="0" applyFont="1" applyFill="1" applyBorder="1" applyAlignment="1" applyProtection="1">
      <alignment horizontal="center" vertical="center"/>
    </xf>
    <xf numFmtId="0" fontId="37" fillId="6" borderId="0" xfId="0" applyFont="1" applyFill="1" applyBorder="1" applyAlignment="1" applyProtection="1">
      <alignment horizontal="left" vertical="center"/>
      <protection locked="0"/>
    </xf>
    <xf numFmtId="0" fontId="37" fillId="8" borderId="0" xfId="0" applyFont="1" applyFill="1" applyBorder="1" applyAlignment="1" applyProtection="1">
      <alignment horizontal="left" vertical="center"/>
      <protection locked="0"/>
    </xf>
    <xf numFmtId="0" fontId="37" fillId="9" borderId="0" xfId="0" applyFont="1" applyFill="1" applyBorder="1" applyAlignment="1" applyProtection="1">
      <alignment horizontal="left" vertical="center"/>
      <protection locked="0"/>
    </xf>
    <xf numFmtId="0" fontId="37" fillId="10" borderId="0" xfId="0" applyFont="1" applyFill="1" applyBorder="1" applyAlignment="1" applyProtection="1">
      <alignment horizontal="left" vertical="center"/>
      <protection locked="0"/>
    </xf>
    <xf numFmtId="0" fontId="37" fillId="11" borderId="0" xfId="0" applyFont="1" applyFill="1" applyBorder="1" applyAlignment="1" applyProtection="1">
      <alignment horizontal="left" vertical="center"/>
      <protection locked="0"/>
    </xf>
    <xf numFmtId="0" fontId="37" fillId="12" borderId="0" xfId="0" applyFont="1" applyFill="1" applyBorder="1" applyAlignment="1" applyProtection="1">
      <alignment horizontal="left" vertical="center"/>
      <protection locked="0"/>
    </xf>
    <xf numFmtId="0" fontId="37" fillId="13" borderId="0" xfId="0" applyFont="1" applyFill="1" applyBorder="1" applyAlignment="1" applyProtection="1">
      <alignment horizontal="left" vertical="center"/>
      <protection locked="0"/>
    </xf>
    <xf numFmtId="0" fontId="37" fillId="14" borderId="0" xfId="0" applyFont="1" applyFill="1" applyBorder="1" applyAlignment="1" applyProtection="1">
      <alignment horizontal="left" vertical="center"/>
      <protection locked="0"/>
    </xf>
    <xf numFmtId="0" fontId="37" fillId="7" borderId="0" xfId="0" applyFont="1" applyFill="1" applyBorder="1" applyAlignment="1" applyProtection="1">
      <alignment horizontal="left" vertical="center"/>
      <protection locked="0"/>
    </xf>
    <xf numFmtId="0" fontId="37" fillId="15" borderId="0" xfId="0" applyFont="1" applyFill="1" applyBorder="1" applyAlignment="1" applyProtection="1">
      <alignment horizontal="left" vertical="center"/>
      <protection locked="0"/>
    </xf>
    <xf numFmtId="1" fontId="37" fillId="4" borderId="0" xfId="0" applyNumberFormat="1" applyFont="1" applyFill="1" applyBorder="1" applyAlignment="1" applyProtection="1">
      <alignment horizontal="center" vertical="center"/>
      <protection locked="0"/>
    </xf>
    <xf numFmtId="0" fontId="37" fillId="6" borderId="0" xfId="0" applyFont="1" applyFill="1" applyBorder="1" applyAlignment="1" applyProtection="1">
      <alignment horizontal="left" vertical="center" wrapText="1"/>
      <protection locked="0"/>
    </xf>
    <xf numFmtId="0" fontId="37" fillId="8" borderId="0" xfId="0" applyFont="1" applyFill="1" applyBorder="1" applyAlignment="1" applyProtection="1">
      <alignment horizontal="left" vertical="center" wrapText="1"/>
      <protection locked="0"/>
    </xf>
    <xf numFmtId="0" fontId="37" fillId="9" borderId="0" xfId="0" applyFont="1" applyFill="1" applyBorder="1" applyAlignment="1" applyProtection="1">
      <alignment horizontal="left" vertical="center" wrapText="1"/>
      <protection locked="0"/>
    </xf>
    <xf numFmtId="0" fontId="37" fillId="10" borderId="0" xfId="0" applyFont="1" applyFill="1" applyBorder="1" applyAlignment="1" applyProtection="1">
      <alignment horizontal="left" vertical="center" wrapText="1"/>
      <protection locked="0"/>
    </xf>
    <xf numFmtId="0" fontId="37" fillId="11" borderId="0" xfId="0" applyFont="1" applyFill="1" applyBorder="1" applyAlignment="1" applyProtection="1">
      <alignment horizontal="left" vertical="center" wrapText="1"/>
      <protection locked="0"/>
    </xf>
    <xf numFmtId="0" fontId="37" fillId="12"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center" vertical="center" shrinkToFit="1"/>
      <protection locked="0"/>
    </xf>
    <xf numFmtId="165" fontId="10" fillId="0" borderId="0" xfId="0" applyNumberFormat="1" applyFont="1" applyFill="1" applyBorder="1" applyAlignment="1" applyProtection="1">
      <alignment horizontal="center" vertical="center" shrinkToFit="1"/>
      <protection locked="0"/>
    </xf>
    <xf numFmtId="1" fontId="10" fillId="0" borderId="0" xfId="0" applyNumberFormat="1" applyFont="1" applyFill="1" applyBorder="1" applyAlignment="1" applyProtection="1">
      <alignment horizontal="center" vertical="center" shrinkToFi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10" fillId="18"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7"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8" borderId="0" xfId="0" applyFont="1" applyFill="1" applyBorder="1" applyAlignment="1">
      <alignment horizontal="left" vertical="top"/>
    </xf>
    <xf numFmtId="0" fontId="0" fillId="18" borderId="0" xfId="0" applyFill="1" applyBorder="1" applyAlignment="1"/>
    <xf numFmtId="0" fontId="0" fillId="18" borderId="5" xfId="0" applyFill="1" applyBorder="1" applyAlignment="1"/>
    <xf numFmtId="0" fontId="0" fillId="18" borderId="7" xfId="0" applyFill="1" applyBorder="1" applyAlignment="1"/>
    <xf numFmtId="0" fontId="28" fillId="18" borderId="4" xfId="0" applyFont="1" applyFill="1" applyBorder="1" applyProtection="1"/>
    <xf numFmtId="0" fontId="28" fillId="18" borderId="0" xfId="0" applyFont="1" applyFill="1" applyBorder="1" applyProtection="1"/>
    <xf numFmtId="0" fontId="28" fillId="18" borderId="0" xfId="0" applyFont="1" applyFill="1" applyBorder="1"/>
    <xf numFmtId="0" fontId="28" fillId="18" borderId="5" xfId="0" applyFont="1" applyFill="1" applyBorder="1"/>
    <xf numFmtId="0" fontId="28" fillId="18" borderId="0" xfId="0" applyFont="1" applyFill="1" applyBorder="1" applyAlignment="1">
      <alignment vertical="top" wrapText="1"/>
    </xf>
    <xf numFmtId="0" fontId="4" fillId="2" borderId="0" xfId="0" applyFont="1" applyFill="1" applyBorder="1" applyAlignment="1">
      <alignment horizontal="center" vertical="center" shrinkToFit="1"/>
    </xf>
    <xf numFmtId="0" fontId="46" fillId="2" borderId="0" xfId="1" applyFont="1" applyFill="1" applyBorder="1" applyAlignment="1">
      <alignment horizontal="center" vertical="center" wrapText="1" shrinkToFit="1"/>
    </xf>
    <xf numFmtId="0" fontId="46" fillId="2" borderId="0" xfId="1" applyFont="1" applyFill="1" applyBorder="1" applyAlignment="1">
      <alignment horizontal="center" vertical="center" shrinkToFit="1"/>
    </xf>
    <xf numFmtId="0" fontId="46" fillId="2" borderId="0" xfId="1" applyFont="1" applyFill="1" applyBorder="1" applyAlignment="1">
      <alignment horizontal="center" vertical="center" wrapText="1"/>
    </xf>
    <xf numFmtId="0" fontId="46" fillId="2" borderId="0" xfId="1" applyFont="1" applyFill="1" applyBorder="1" applyAlignment="1">
      <alignment horizontal="center" vertical="center"/>
    </xf>
    <xf numFmtId="0" fontId="29" fillId="2" borderId="5" xfId="1" applyFont="1" applyFill="1" applyBorder="1" applyAlignment="1">
      <alignment vertical="center"/>
    </xf>
    <xf numFmtId="0" fontId="11" fillId="3" borderId="37" xfId="0" applyFont="1" applyFill="1" applyBorder="1" applyAlignment="1">
      <alignment vertical="center" wrapText="1"/>
    </xf>
    <xf numFmtId="0" fontId="10" fillId="0" borderId="0" xfId="0" applyFont="1" applyFill="1" applyBorder="1" applyAlignment="1" applyProtection="1">
      <alignment vertical="center"/>
      <protection locked="0"/>
    </xf>
    <xf numFmtId="0" fontId="10" fillId="0" borderId="0" xfId="0" applyNumberFormat="1" applyFont="1" applyFill="1" applyBorder="1" applyAlignment="1" applyProtection="1">
      <alignment horizontal="center" vertical="center"/>
      <protection locked="0"/>
    </xf>
    <xf numFmtId="0" fontId="22" fillId="5" borderId="10" xfId="0" applyFont="1" applyFill="1" applyBorder="1" applyAlignment="1">
      <alignment horizontal="center" vertical="center" shrinkToFit="1"/>
    </xf>
    <xf numFmtId="0" fontId="45" fillId="5" borderId="10" xfId="0" applyFont="1" applyFill="1" applyBorder="1" applyAlignment="1">
      <alignment horizontal="center" vertical="center" shrinkToFit="1"/>
    </xf>
    <xf numFmtId="0" fontId="20" fillId="3" borderId="5" xfId="0" applyFont="1" applyFill="1" applyBorder="1" applyAlignment="1">
      <alignment vertical="center" wrapText="1"/>
    </xf>
    <xf numFmtId="0" fontId="20" fillId="3" borderId="0" xfId="0" applyFont="1" applyFill="1" applyBorder="1" applyAlignment="1">
      <alignment vertical="center" wrapText="1"/>
    </xf>
    <xf numFmtId="0" fontId="2" fillId="0" borderId="19" xfId="0" applyFont="1" applyFill="1" applyBorder="1" applyAlignment="1">
      <alignment horizontal="center" vertical="center"/>
    </xf>
    <xf numFmtId="0" fontId="22" fillId="3" borderId="19" xfId="0" applyFont="1" applyFill="1" applyBorder="1" applyAlignment="1" applyProtection="1">
      <alignment horizontal="center" vertical="center" shrinkToFit="1"/>
    </xf>
    <xf numFmtId="20" fontId="4" fillId="3" borderId="0" xfId="0" quotePrefix="1" applyNumberFormat="1" applyFont="1" applyFill="1" applyBorder="1" applyProtection="1"/>
    <xf numFmtId="0" fontId="10"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48" fillId="3" borderId="0" xfId="0" applyFont="1" applyFill="1" applyBorder="1" applyProtection="1"/>
    <xf numFmtId="0" fontId="10" fillId="0" borderId="0" xfId="0" applyFont="1" applyFill="1"/>
    <xf numFmtId="1" fontId="4" fillId="2" borderId="0" xfId="0" applyNumberFormat="1" applyFont="1" applyFill="1" applyBorder="1" applyAlignment="1" applyProtection="1">
      <alignment horizontal="center" vertical="center" shrinkToFit="1"/>
      <protection locked="0"/>
    </xf>
    <xf numFmtId="0" fontId="2" fillId="0" borderId="0" xfId="0" applyFont="1" applyFill="1" applyBorder="1" applyAlignment="1" applyProtection="1">
      <alignment horizontal="left" vertical="center"/>
    </xf>
    <xf numFmtId="0" fontId="20" fillId="17" borderId="0" xfId="0" applyFont="1" applyFill="1" applyBorder="1" applyAlignment="1" applyProtection="1">
      <alignment horizontal="center" vertical="center"/>
    </xf>
    <xf numFmtId="0" fontId="49" fillId="17" borderId="0" xfId="0" applyFont="1" applyFill="1" applyBorder="1" applyAlignment="1" applyProtection="1">
      <alignment horizontal="left" vertical="center"/>
    </xf>
    <xf numFmtId="0" fontId="5" fillId="6" borderId="0" xfId="0" applyFont="1" applyFill="1" applyBorder="1" applyAlignment="1" applyProtection="1">
      <alignment horizontal="center" vertical="center" wrapText="1"/>
    </xf>
    <xf numFmtId="0" fontId="5" fillId="8" borderId="0" xfId="0" applyFont="1" applyFill="1" applyBorder="1" applyAlignment="1" applyProtection="1">
      <alignment horizontal="center" vertical="center" wrapText="1"/>
    </xf>
    <xf numFmtId="0" fontId="5" fillId="10" borderId="0" xfId="0" applyFont="1" applyFill="1" applyBorder="1" applyAlignment="1" applyProtection="1">
      <alignment horizontal="center" vertical="center" wrapText="1"/>
    </xf>
    <xf numFmtId="0" fontId="5" fillId="11" borderId="0" xfId="0" applyFont="1" applyFill="1" applyBorder="1" applyAlignment="1" applyProtection="1">
      <alignment horizontal="center" vertical="center" wrapText="1"/>
    </xf>
    <xf numFmtId="0" fontId="5" fillId="12" borderId="0" xfId="0" applyFont="1" applyFill="1" applyBorder="1" applyAlignment="1" applyProtection="1">
      <alignment horizontal="center" vertical="center" wrapText="1"/>
    </xf>
    <xf numFmtId="0" fontId="5" fillId="13" borderId="0" xfId="0" applyFont="1" applyFill="1" applyBorder="1" applyAlignment="1" applyProtection="1">
      <alignment horizontal="center" vertical="center" wrapText="1"/>
    </xf>
    <xf numFmtId="0" fontId="5" fillId="14" borderId="0" xfId="0" applyFont="1" applyFill="1" applyBorder="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15" borderId="0" xfId="0" applyFont="1" applyFill="1" applyBorder="1" applyAlignment="1" applyProtection="1">
      <alignment horizontal="center" vertical="center" wrapText="1"/>
    </xf>
    <xf numFmtId="0" fontId="50" fillId="2" borderId="0" xfId="0" applyFont="1" applyFill="1" applyBorder="1" applyAlignment="1" applyProtection="1">
      <alignment horizontal="left" vertical="center" wrapText="1" indent="1"/>
    </xf>
    <xf numFmtId="0" fontId="5" fillId="6" borderId="0" xfId="0" applyFont="1" applyFill="1" applyBorder="1" applyAlignment="1">
      <alignment horizontal="center" vertical="center" wrapText="1"/>
    </xf>
    <xf numFmtId="0" fontId="5" fillId="8" borderId="0"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10" borderId="0"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2" borderId="0" xfId="0" applyFont="1" applyFill="1" applyBorder="1" applyAlignment="1">
      <alignment horizontal="center" vertical="center" wrapText="1"/>
    </xf>
    <xf numFmtId="0" fontId="5" fillId="13" borderId="0" xfId="0" applyFont="1" applyFill="1" applyBorder="1" applyAlignment="1">
      <alignment horizontal="center" vertical="center" wrapText="1"/>
    </xf>
    <xf numFmtId="0" fontId="5" fillId="14" borderId="0" xfId="0" applyFont="1" applyFill="1" applyBorder="1" applyAlignment="1">
      <alignment horizontal="center" vertical="center" wrapText="1"/>
    </xf>
    <xf numFmtId="0" fontId="5" fillId="7" borderId="0" xfId="0" applyFont="1" applyFill="1" applyBorder="1" applyAlignment="1">
      <alignment horizontal="center" vertical="center" wrapText="1"/>
    </xf>
    <xf numFmtId="0" fontId="5" fillId="15" borderId="0" xfId="0" applyFont="1" applyFill="1" applyBorder="1" applyAlignment="1">
      <alignment horizontal="center" vertical="center" wrapText="1"/>
    </xf>
    <xf numFmtId="0" fontId="20" fillId="6" borderId="0" xfId="0" applyFont="1" applyFill="1" applyBorder="1" applyAlignment="1" applyProtection="1">
      <alignment horizontal="left" vertical="center" wrapText="1" indent="1"/>
    </xf>
    <xf numFmtId="0" fontId="20" fillId="8" borderId="0" xfId="0" applyFont="1" applyFill="1" applyBorder="1" applyAlignment="1" applyProtection="1">
      <alignment horizontal="left" vertical="center" wrapText="1" indent="1"/>
    </xf>
    <xf numFmtId="0" fontId="20" fillId="9" borderId="0" xfId="0" applyFont="1" applyFill="1" applyBorder="1" applyAlignment="1" applyProtection="1">
      <alignment horizontal="left" vertical="center" wrapText="1" indent="1"/>
    </xf>
    <xf numFmtId="0" fontId="20" fillId="10" borderId="0" xfId="0" applyFont="1" applyFill="1" applyBorder="1" applyAlignment="1" applyProtection="1">
      <alignment horizontal="left" vertical="center" wrapText="1" indent="1"/>
    </xf>
    <xf numFmtId="0" fontId="20" fillId="11" borderId="0" xfId="0" applyFont="1" applyFill="1" applyBorder="1" applyAlignment="1" applyProtection="1">
      <alignment horizontal="left" vertical="center" wrapText="1" indent="1"/>
    </xf>
    <xf numFmtId="0" fontId="20" fillId="12" borderId="0" xfId="0" applyFont="1" applyFill="1" applyBorder="1" applyAlignment="1" applyProtection="1">
      <alignment horizontal="left" vertical="center" wrapText="1" indent="1"/>
    </xf>
    <xf numFmtId="0" fontId="20" fillId="13" borderId="0" xfId="0" applyFont="1" applyFill="1" applyBorder="1" applyAlignment="1" applyProtection="1">
      <alignment horizontal="left" vertical="center" wrapText="1" indent="1"/>
    </xf>
    <xf numFmtId="0" fontId="20" fillId="14" borderId="0" xfId="0" applyFont="1" applyFill="1" applyBorder="1" applyAlignment="1" applyProtection="1">
      <alignment horizontal="left" vertical="center" wrapText="1" indent="1"/>
    </xf>
    <xf numFmtId="0" fontId="20" fillId="7" borderId="0" xfId="0" applyFont="1" applyFill="1" applyBorder="1" applyAlignment="1" applyProtection="1">
      <alignment horizontal="left" vertical="center" wrapText="1" indent="1"/>
    </xf>
    <xf numFmtId="0" fontId="20" fillId="15" borderId="0" xfId="0" applyFont="1" applyFill="1" applyBorder="1" applyAlignment="1" applyProtection="1">
      <alignment horizontal="left" vertical="center" wrapText="1" indent="1"/>
    </xf>
    <xf numFmtId="0" fontId="20" fillId="17" borderId="0" xfId="0" applyFont="1" applyFill="1" applyBorder="1" applyAlignment="1" applyProtection="1">
      <alignment horizontal="center" vertical="center" wrapText="1"/>
    </xf>
    <xf numFmtId="0" fontId="22" fillId="2" borderId="0" xfId="0" applyFont="1" applyFill="1" applyBorder="1" applyAlignment="1" applyProtection="1">
      <alignment horizontal="center" vertical="center" wrapText="1"/>
    </xf>
    <xf numFmtId="0" fontId="20" fillId="4" borderId="0" xfId="0" applyFont="1" applyFill="1" applyBorder="1" applyAlignment="1" applyProtection="1">
      <alignment horizontal="center" vertical="center" wrapText="1"/>
    </xf>
    <xf numFmtId="0" fontId="20" fillId="3" borderId="0" xfId="0" applyFont="1" applyFill="1" applyBorder="1" applyAlignment="1" applyProtection="1">
      <alignment horizontal="left" vertical="center" wrapText="1"/>
    </xf>
    <xf numFmtId="0" fontId="6" fillId="0" borderId="0" xfId="0" applyFont="1"/>
    <xf numFmtId="0" fontId="51" fillId="0" borderId="0" xfId="0" applyFont="1"/>
    <xf numFmtId="0" fontId="52" fillId="2" borderId="2" xfId="1" applyFont="1" applyFill="1" applyBorder="1" applyAlignment="1">
      <alignment vertical="center" shrinkToFit="1"/>
    </xf>
    <xf numFmtId="0" fontId="52" fillId="2" borderId="0" xfId="1" applyFont="1" applyFill="1" applyBorder="1" applyAlignment="1">
      <alignment vertical="center" shrinkToFit="1"/>
    </xf>
    <xf numFmtId="0" fontId="55" fillId="9" borderId="0" xfId="0" applyFont="1" applyFill="1" applyBorder="1" applyAlignment="1">
      <alignment horizontal="center" vertical="center" wrapText="1"/>
    </xf>
    <xf numFmtId="0" fontId="4" fillId="3" borderId="0" xfId="0" applyFont="1" applyFill="1" applyAlignment="1" applyProtection="1">
      <alignment shrinkToFit="1"/>
    </xf>
    <xf numFmtId="0" fontId="6" fillId="3" borderId="0" xfId="0" applyFont="1" applyFill="1" applyProtection="1"/>
    <xf numFmtId="0" fontId="56" fillId="0" borderId="0" xfId="1" applyFont="1" applyAlignment="1">
      <alignment horizontal="right"/>
    </xf>
    <xf numFmtId="0" fontId="57" fillId="0" borderId="0" xfId="0" applyFont="1" applyAlignment="1">
      <alignment horizontal="left"/>
    </xf>
    <xf numFmtId="0" fontId="5" fillId="4" borderId="0" xfId="0" applyFont="1" applyFill="1" applyAlignment="1">
      <alignment horizontal="center" vertical="center"/>
    </xf>
    <xf numFmtId="0" fontId="0" fillId="0" borderId="17" xfId="0" applyBorder="1"/>
    <xf numFmtId="0" fontId="0" fillId="0" borderId="24" xfId="0" applyBorder="1"/>
    <xf numFmtId="0" fontId="0" fillId="0" borderId="19" xfId="0" applyBorder="1"/>
    <xf numFmtId="0" fontId="0" fillId="0" borderId="25" xfId="0" applyBorder="1"/>
    <xf numFmtId="0" fontId="0" fillId="0" borderId="18" xfId="0" applyBorder="1"/>
    <xf numFmtId="0" fontId="0" fillId="0" borderId="27" xfId="0" applyBorder="1"/>
    <xf numFmtId="0" fontId="4" fillId="5" borderId="0" xfId="0" applyFont="1" applyFill="1" applyAlignment="1" applyProtection="1">
      <alignment horizontal="center" vertical="center" shrinkToFit="1"/>
    </xf>
    <xf numFmtId="0" fontId="25" fillId="5" borderId="0" xfId="0" applyFont="1" applyFill="1" applyBorder="1" applyAlignment="1" applyProtection="1">
      <alignment horizontal="right" vertical="center" indent="1"/>
    </xf>
    <xf numFmtId="0" fontId="0" fillId="0" borderId="0" xfId="0" applyAlignment="1">
      <alignment horizontal="center"/>
    </xf>
    <xf numFmtId="0" fontId="6" fillId="5" borderId="0" xfId="0" applyFont="1" applyFill="1" applyBorder="1" applyAlignment="1" applyProtection="1">
      <alignment horizontal="center" vertical="center"/>
    </xf>
    <xf numFmtId="0" fontId="10" fillId="5" borderId="0" xfId="0" applyFont="1" applyFill="1" applyBorder="1" applyAlignment="1" applyProtection="1">
      <alignment horizontal="center" vertical="center"/>
    </xf>
    <xf numFmtId="0" fontId="4" fillId="2" borderId="0" xfId="0" applyFont="1" applyFill="1" applyBorder="1" applyAlignment="1" applyProtection="1">
      <alignment horizontal="left" vertical="center" wrapText="1"/>
    </xf>
    <xf numFmtId="0" fontId="25" fillId="5" borderId="0" xfId="0" applyFont="1" applyFill="1" applyBorder="1" applyAlignment="1" applyProtection="1">
      <alignment horizontal="right" vertical="center"/>
    </xf>
    <xf numFmtId="0" fontId="59" fillId="5" borderId="0" xfId="0" applyFont="1" applyFill="1" applyBorder="1" applyProtection="1"/>
    <xf numFmtId="0" fontId="10" fillId="5" borderId="0" xfId="0" applyFont="1" applyFill="1" applyBorder="1" applyProtection="1"/>
    <xf numFmtId="0" fontId="6" fillId="5" borderId="0" xfId="0" applyFont="1" applyFill="1" applyBorder="1" applyAlignment="1" applyProtection="1">
      <alignment vertical="center"/>
    </xf>
    <xf numFmtId="0" fontId="12" fillId="5" borderId="0" xfId="0" applyFont="1" applyFill="1" applyBorder="1" applyAlignment="1" applyProtection="1">
      <alignment vertical="center"/>
    </xf>
    <xf numFmtId="0" fontId="12" fillId="5" borderId="0" xfId="0" applyFont="1" applyFill="1" applyBorder="1" applyAlignment="1" applyProtection="1">
      <alignment horizontal="left" vertical="center" indent="1"/>
    </xf>
    <xf numFmtId="0" fontId="4" fillId="5" borderId="0" xfId="0" applyFont="1" applyFill="1" applyBorder="1" applyAlignment="1" applyProtection="1">
      <alignment vertical="center"/>
    </xf>
    <xf numFmtId="0" fontId="4" fillId="5" borderId="0" xfId="0" applyFont="1" applyFill="1" applyBorder="1" applyAlignment="1" applyProtection="1">
      <alignment horizontal="left" vertical="center" indent="1"/>
    </xf>
    <xf numFmtId="0" fontId="60" fillId="5" borderId="0" xfId="0" applyFont="1" applyFill="1" applyBorder="1" applyProtection="1"/>
    <xf numFmtId="0" fontId="6" fillId="5" borderId="0" xfId="0" applyFont="1" applyFill="1" applyBorder="1" applyProtection="1"/>
    <xf numFmtId="0" fontId="10" fillId="5" borderId="0" xfId="0" applyFont="1" applyFill="1" applyBorder="1" applyAlignment="1" applyProtection="1">
      <alignment vertical="center"/>
    </xf>
    <xf numFmtId="0" fontId="2" fillId="5" borderId="0" xfId="0" applyFont="1" applyFill="1" applyBorder="1" applyAlignment="1" applyProtection="1">
      <alignment vertical="center"/>
    </xf>
    <xf numFmtId="0" fontId="2" fillId="5" borderId="0" xfId="0" applyFont="1" applyFill="1" applyBorder="1" applyAlignment="1" applyProtection="1">
      <alignment horizontal="left" vertical="center" indent="1"/>
    </xf>
    <xf numFmtId="0" fontId="50" fillId="2" borderId="0" xfId="0" applyFont="1" applyFill="1" applyBorder="1" applyAlignment="1" applyProtection="1">
      <alignment horizontal="right" vertical="center" wrapText="1" indent="1"/>
    </xf>
    <xf numFmtId="0" fontId="4" fillId="2" borderId="0" xfId="0" applyFont="1" applyFill="1" applyBorder="1" applyAlignment="1" applyProtection="1">
      <alignment horizontal="center" vertical="center" shrinkToFit="1"/>
      <protection locked="0"/>
    </xf>
    <xf numFmtId="0" fontId="10" fillId="18" borderId="6" xfId="0" applyFont="1" applyFill="1" applyBorder="1" applyAlignment="1">
      <alignment horizontal="center" vertical="center" shrinkToFit="1"/>
    </xf>
    <xf numFmtId="0" fontId="53" fillId="2" borderId="0" xfId="1" applyFont="1" applyFill="1" applyBorder="1" applyAlignment="1">
      <alignment vertical="center" shrinkToFit="1"/>
    </xf>
    <xf numFmtId="0" fontId="2" fillId="0" borderId="0" xfId="1" applyFont="1" applyAlignment="1">
      <alignment horizontal="center" vertical="center"/>
    </xf>
    <xf numFmtId="0" fontId="44" fillId="2" borderId="5" xfId="1" applyFont="1" applyFill="1" applyBorder="1" applyAlignment="1">
      <alignment vertical="center"/>
    </xf>
    <xf numFmtId="0" fontId="10" fillId="18" borderId="0" xfId="0" applyFont="1" applyFill="1" applyBorder="1" applyAlignment="1">
      <alignment horizontal="left" vertical="top" wrapText="1"/>
    </xf>
    <xf numFmtId="0" fontId="2" fillId="18" borderId="0" xfId="0" applyFont="1" applyFill="1" applyBorder="1" applyAlignment="1">
      <alignment horizontal="center" vertical="center"/>
    </xf>
    <xf numFmtId="0" fontId="58" fillId="3" borderId="0" xfId="1" applyFont="1" applyFill="1" applyBorder="1" applyAlignment="1">
      <alignment horizontal="center" vertical="center"/>
    </xf>
    <xf numFmtId="0" fontId="1" fillId="18" borderId="0" xfId="1" applyFill="1" applyBorder="1" applyAlignment="1">
      <alignment horizontal="center" vertical="center"/>
    </xf>
    <xf numFmtId="0" fontId="0" fillId="18" borderId="0" xfId="0" applyFill="1" applyBorder="1" applyAlignment="1">
      <alignment horizontal="center"/>
    </xf>
    <xf numFmtId="0" fontId="0" fillId="18" borderId="5" xfId="0" applyFill="1" applyBorder="1" applyAlignment="1">
      <alignment horizontal="center"/>
    </xf>
    <xf numFmtId="0" fontId="0" fillId="18" borderId="7" xfId="0" applyFill="1" applyBorder="1" applyAlignment="1">
      <alignment horizontal="center"/>
    </xf>
    <xf numFmtId="0" fontId="0" fillId="18" borderId="8" xfId="0" applyFill="1" applyBorder="1" applyAlignment="1">
      <alignment horizontal="center"/>
    </xf>
    <xf numFmtId="0" fontId="50" fillId="5" borderId="0" xfId="0" applyFont="1" applyFill="1" applyAlignment="1">
      <alignment horizontal="center" vertical="center"/>
    </xf>
    <xf numFmtId="0" fontId="40" fillId="4" borderId="0" xfId="0" applyFont="1" applyFill="1" applyBorder="1" applyAlignment="1">
      <alignment horizontal="center" vertical="center" wrapText="1"/>
    </xf>
    <xf numFmtId="0" fontId="3" fillId="4" borderId="0" xfId="0" applyFont="1" applyFill="1" applyBorder="1" applyAlignment="1">
      <alignment horizontal="center" vertical="center"/>
    </xf>
    <xf numFmtId="0" fontId="41" fillId="19" borderId="0" xfId="0" applyFont="1" applyFill="1" applyBorder="1" applyAlignment="1">
      <alignment horizontal="center" vertical="center" wrapText="1"/>
    </xf>
    <xf numFmtId="0" fontId="11" fillId="3" borderId="41" xfId="0" applyFont="1" applyFill="1" applyBorder="1" applyAlignment="1">
      <alignment horizontal="center" vertical="center" wrapText="1"/>
    </xf>
    <xf numFmtId="0" fontId="11" fillId="3" borderId="36" xfId="0" applyFont="1" applyFill="1" applyBorder="1" applyAlignment="1">
      <alignment horizontal="center" vertical="center" wrapText="1"/>
    </xf>
    <xf numFmtId="0" fontId="11" fillId="3" borderId="37" xfId="0" applyFont="1" applyFill="1" applyBorder="1" applyAlignment="1">
      <alignment horizontal="center" vertical="center" wrapText="1"/>
    </xf>
    <xf numFmtId="0" fontId="54" fillId="2" borderId="2" xfId="1" applyFont="1" applyFill="1" applyBorder="1" applyAlignment="1">
      <alignment horizontal="center" vertical="center" shrinkToFit="1"/>
    </xf>
    <xf numFmtId="0" fontId="54" fillId="2" borderId="0" xfId="1" applyFont="1" applyFill="1" applyBorder="1" applyAlignment="1">
      <alignment horizontal="center" vertical="center" shrinkToFit="1"/>
    </xf>
    <xf numFmtId="0" fontId="44" fillId="5" borderId="0" xfId="1" applyFont="1" applyFill="1" applyBorder="1" applyAlignment="1">
      <alignment horizontal="center" vertical="center"/>
    </xf>
    <xf numFmtId="0" fontId="4" fillId="2" borderId="0" xfId="0" applyFont="1" applyFill="1"/>
    <xf numFmtId="0" fontId="10" fillId="18" borderId="0" xfId="0" applyFont="1" applyFill="1" applyBorder="1" applyAlignment="1">
      <alignment horizontal="left" wrapText="1"/>
    </xf>
    <xf numFmtId="0" fontId="10" fillId="0" borderId="0" xfId="0" applyFont="1" applyFill="1" applyBorder="1" applyAlignment="1" applyProtection="1">
      <alignment horizontal="left" vertical="top" wrapText="1"/>
      <protection locked="0"/>
    </xf>
    <xf numFmtId="0" fontId="10" fillId="0" borderId="0" xfId="0" applyFont="1" applyFill="1" applyBorder="1" applyAlignment="1" applyProtection="1">
      <alignment horizontal="left" vertical="center"/>
      <protection locked="0"/>
    </xf>
    <xf numFmtId="0" fontId="4" fillId="3" borderId="0" xfId="0" applyFont="1" applyFill="1" applyBorder="1" applyAlignment="1" applyProtection="1">
      <alignment horizontal="left"/>
      <protection locked="0"/>
    </xf>
    <xf numFmtId="0" fontId="10" fillId="0" borderId="0" xfId="0" applyFont="1" applyFill="1" applyBorder="1" applyAlignment="1">
      <alignment horizontal="center" vertical="top" wrapText="1"/>
    </xf>
    <xf numFmtId="0" fontId="10" fillId="3" borderId="0" xfId="0" applyFont="1" applyFill="1" applyBorder="1" applyAlignment="1" applyProtection="1">
      <alignment horizontal="left"/>
      <protection locked="0"/>
    </xf>
    <xf numFmtId="0" fontId="4" fillId="2" borderId="0" xfId="0" applyFont="1" applyFill="1" applyBorder="1" applyAlignment="1">
      <alignment horizontal="center" vertical="center" shrinkToFit="1"/>
    </xf>
    <xf numFmtId="0" fontId="20" fillId="3" borderId="41" xfId="0" applyFont="1" applyFill="1" applyBorder="1" applyAlignment="1">
      <alignment horizontal="center" vertical="center" wrapText="1"/>
    </xf>
    <xf numFmtId="0" fontId="20" fillId="3" borderId="36" xfId="0" applyFont="1" applyFill="1" applyBorder="1" applyAlignment="1">
      <alignment horizontal="center" vertical="center" wrapText="1"/>
    </xf>
    <xf numFmtId="0" fontId="20" fillId="3" borderId="37" xfId="0" applyFont="1" applyFill="1" applyBorder="1" applyAlignment="1">
      <alignment horizontal="center" vertical="center" wrapText="1"/>
    </xf>
    <xf numFmtId="0" fontId="53" fillId="2" borderId="1" xfId="1" applyFont="1" applyFill="1" applyBorder="1" applyAlignment="1">
      <alignment horizontal="left" vertical="center" indent="1"/>
    </xf>
    <xf numFmtId="0" fontId="53" fillId="2" borderId="2" xfId="1" applyFont="1" applyFill="1" applyBorder="1" applyAlignment="1">
      <alignment horizontal="left" vertical="center" indent="1"/>
    </xf>
    <xf numFmtId="0" fontId="53" fillId="2" borderId="4" xfId="1" applyFont="1" applyFill="1" applyBorder="1" applyAlignment="1">
      <alignment horizontal="left" vertical="center" indent="1"/>
    </xf>
    <xf numFmtId="0" fontId="53" fillId="2" borderId="0" xfId="1" applyFont="1" applyFill="1" applyBorder="1" applyAlignment="1">
      <alignment horizontal="left" vertical="center" inden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42" fillId="5" borderId="0" xfId="0" applyFont="1" applyFill="1" applyBorder="1" applyAlignment="1">
      <alignment horizontal="left" vertical="top" indent="1"/>
    </xf>
    <xf numFmtId="0" fontId="11" fillId="18" borderId="17" xfId="0" applyFont="1" applyFill="1" applyBorder="1" applyAlignment="1">
      <alignment horizontal="center" vertical="center" wrapText="1"/>
    </xf>
    <xf numFmtId="0" fontId="11" fillId="18" borderId="23" xfId="0" applyFont="1" applyFill="1" applyBorder="1" applyAlignment="1">
      <alignment horizontal="center" vertical="center" wrapText="1"/>
    </xf>
    <xf numFmtId="0" fontId="11" fillId="18" borderId="24"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0" xfId="0" applyFont="1" applyFill="1" applyBorder="1" applyAlignment="1">
      <alignment horizontal="center" vertical="center" wrapText="1"/>
    </xf>
    <xf numFmtId="0" fontId="11" fillId="18" borderId="25" xfId="0" applyFont="1" applyFill="1" applyBorder="1" applyAlignment="1">
      <alignment horizontal="center" vertical="center" wrapText="1"/>
    </xf>
    <xf numFmtId="0" fontId="11" fillId="18" borderId="18" xfId="0" applyFont="1" applyFill="1" applyBorder="1" applyAlignment="1">
      <alignment horizontal="center" vertical="center" wrapText="1"/>
    </xf>
    <xf numFmtId="0" fontId="11" fillId="18" borderId="26" xfId="0" applyFont="1" applyFill="1" applyBorder="1" applyAlignment="1">
      <alignment horizontal="center" vertical="center" wrapText="1"/>
    </xf>
    <xf numFmtId="0" fontId="11" fillId="18" borderId="27" xfId="0" applyFont="1" applyFill="1" applyBorder="1" applyAlignment="1">
      <alignment horizontal="center" vertical="center" wrapText="1"/>
    </xf>
    <xf numFmtId="0" fontId="31" fillId="18" borderId="0" xfId="0" applyFont="1" applyFill="1" applyBorder="1" applyAlignment="1">
      <alignment horizontal="center" vertical="justify" wrapText="1"/>
    </xf>
    <xf numFmtId="0" fontId="43" fillId="18" borderId="0" xfId="0" applyFont="1" applyFill="1" applyBorder="1" applyAlignment="1" applyProtection="1">
      <alignment horizontal="center"/>
    </xf>
    <xf numFmtId="0" fontId="10" fillId="0" borderId="0" xfId="0" applyFont="1" applyFill="1" applyBorder="1" applyAlignment="1" applyProtection="1">
      <alignment horizontal="left" vertical="center" shrinkToFit="1"/>
      <protection locked="0"/>
    </xf>
    <xf numFmtId="0" fontId="10" fillId="0" borderId="0" xfId="0" applyNumberFormat="1" applyFont="1" applyFill="1" applyBorder="1" applyAlignment="1" applyProtection="1">
      <alignment horizontal="left" vertical="center" shrinkToFit="1"/>
      <protection locked="0"/>
    </xf>
    <xf numFmtId="0" fontId="35" fillId="5" borderId="39" xfId="1" applyFont="1" applyFill="1" applyBorder="1" applyAlignment="1">
      <alignment horizontal="center" vertical="center" wrapText="1"/>
    </xf>
    <xf numFmtId="0" fontId="35" fillId="5" borderId="39" xfId="1" applyFont="1" applyFill="1" applyBorder="1" applyAlignment="1">
      <alignment horizontal="center" vertical="center"/>
    </xf>
    <xf numFmtId="0" fontId="35" fillId="5" borderId="38" xfId="1" applyFont="1" applyFill="1" applyBorder="1" applyAlignment="1">
      <alignment horizontal="center" vertical="center" wrapText="1"/>
    </xf>
    <xf numFmtId="0" fontId="35" fillId="5" borderId="38" xfId="1" applyFont="1" applyFill="1" applyBorder="1" applyAlignment="1">
      <alignment horizontal="center" vertical="center" wrapText="1" shrinkToFit="1"/>
    </xf>
    <xf numFmtId="0" fontId="35" fillId="5" borderId="39" xfId="1"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0" xfId="0" applyNumberFormat="1" applyFont="1" applyFill="1" applyBorder="1" applyAlignment="1" applyProtection="1">
      <alignment horizontal="left" vertical="center" shrinkToFit="1"/>
      <protection locked="0"/>
    </xf>
    <xf numFmtId="0" fontId="2" fillId="17" borderId="0" xfId="0" applyFont="1" applyFill="1" applyBorder="1" applyAlignment="1" applyProtection="1">
      <alignment horizontal="left" vertical="center" shrinkToFit="1"/>
    </xf>
    <xf numFmtId="0" fontId="35" fillId="5" borderId="40" xfId="1" applyFont="1" applyFill="1" applyBorder="1" applyAlignment="1">
      <alignment horizontal="center" vertical="center"/>
    </xf>
    <xf numFmtId="0" fontId="25" fillId="5" borderId="0" xfId="0" applyFont="1" applyFill="1" applyBorder="1" applyAlignment="1" applyProtection="1">
      <alignment horizontal="right" vertical="center"/>
    </xf>
    <xf numFmtId="0" fontId="35" fillId="5" borderId="0" xfId="1" applyFont="1" applyFill="1" applyBorder="1" applyAlignment="1">
      <alignment horizontal="center" vertical="center" wrapText="1" shrinkToFit="1"/>
    </xf>
    <xf numFmtId="0" fontId="10" fillId="0" borderId="4" xfId="0" applyFont="1" applyFill="1" applyBorder="1" applyAlignment="1" applyProtection="1">
      <alignment horizontal="left" vertical="center" indent="1" shrinkToFit="1"/>
      <protection locked="0"/>
    </xf>
    <xf numFmtId="0" fontId="10" fillId="0" borderId="0" xfId="0" applyFont="1" applyFill="1" applyBorder="1" applyAlignment="1" applyProtection="1">
      <alignment horizontal="left" vertical="center" indent="1" shrinkToFit="1"/>
      <protection locked="0"/>
    </xf>
    <xf numFmtId="0" fontId="10" fillId="0" borderId="5" xfId="0" applyFont="1" applyFill="1" applyBorder="1" applyAlignment="1" applyProtection="1">
      <alignment horizontal="left" vertical="center" indent="1" shrinkToFit="1"/>
      <protection locked="0"/>
    </xf>
    <xf numFmtId="0" fontId="24" fillId="18" borderId="0" xfId="0" applyFont="1" applyFill="1" applyBorder="1" applyAlignment="1" applyProtection="1">
      <alignment horizontal="center"/>
    </xf>
    <xf numFmtId="0" fontId="23" fillId="18" borderId="0" xfId="0" applyFont="1" applyFill="1" applyBorder="1" applyAlignment="1" applyProtection="1">
      <alignment horizontal="center"/>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shrinkToFit="1"/>
    </xf>
    <xf numFmtId="0" fontId="4" fillId="2" borderId="5" xfId="0" applyFont="1" applyFill="1" applyBorder="1" applyAlignment="1" applyProtection="1">
      <alignment horizontal="left" vertical="center" indent="1" shrinkToFit="1"/>
      <protection locked="0"/>
    </xf>
    <xf numFmtId="0" fontId="4" fillId="5" borderId="0" xfId="0" applyFont="1" applyFill="1" applyBorder="1" applyAlignment="1" applyProtection="1">
      <alignment horizontal="right"/>
    </xf>
    <xf numFmtId="1" fontId="10" fillId="0" borderId="0" xfId="0" applyNumberFormat="1" applyFont="1" applyFill="1" applyBorder="1" applyAlignment="1" applyProtection="1">
      <alignment horizontal="left" vertical="center" shrinkToFit="1"/>
      <protection locked="0"/>
    </xf>
    <xf numFmtId="0" fontId="10" fillId="0" borderId="0" xfId="0" applyFont="1" applyFill="1" applyBorder="1" applyAlignment="1" applyProtection="1">
      <alignment horizontal="center" vertical="center" shrinkToFit="1"/>
      <protection locked="0"/>
    </xf>
    <xf numFmtId="0" fontId="10" fillId="0" borderId="5" xfId="0" applyFont="1" applyFill="1" applyBorder="1" applyAlignment="1" applyProtection="1">
      <alignment horizontal="center" vertical="center" shrinkToFit="1"/>
      <protection locked="0"/>
    </xf>
    <xf numFmtId="0" fontId="25" fillId="2" borderId="0" xfId="0" applyFont="1" applyFill="1" applyBorder="1" applyAlignment="1" applyProtection="1">
      <alignment horizontal="left" vertical="top" wrapText="1" shrinkToFit="1"/>
      <protection locked="0"/>
    </xf>
    <xf numFmtId="0" fontId="24" fillId="18"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shrinkToFit="1"/>
      <protection locked="0"/>
    </xf>
    <xf numFmtId="0" fontId="4" fillId="2" borderId="5" xfId="0" applyFont="1" applyFill="1" applyBorder="1" applyAlignment="1" applyProtection="1">
      <alignment horizontal="center" vertical="center" shrinkToFit="1"/>
      <protection locked="0"/>
    </xf>
  </cellXfs>
  <cellStyles count="2">
    <cellStyle name="Hipervínculo" xfId="1" builtinId="8"/>
    <cellStyle name="Normal" xfId="0" builtinId="0"/>
  </cellStyles>
  <dxfs count="107">
    <dxf>
      <font>
        <color theme="0" tint="-0.14996795556505021"/>
      </font>
      <fill>
        <patternFill>
          <fgColor theme="0"/>
          <bgColor theme="0" tint="-0.14996795556505021"/>
        </patternFill>
      </fill>
    </dxf>
    <dxf>
      <font>
        <color theme="0" tint="-0.14996795556505021"/>
      </font>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rgb="FFFFFF00"/>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bgColor rgb="FFFF0000"/>
        </patternFill>
      </fill>
    </dxf>
    <dxf>
      <font>
        <b/>
        <i val="0"/>
        <color rgb="FF9C0006"/>
      </font>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Spin" dx="22" fmlaLink="$K$25" max="30000" min="1" page="10"/>
</file>

<file path=xl/ctrlProps/ctrlProp2.xml><?xml version="1.0" encoding="utf-8"?>
<formControlPr xmlns="http://schemas.microsoft.com/office/spreadsheetml/2009/9/main" objectType="Spin" dx="22" fmlaLink="$K$27" max="30000" min="1" page="10"/>
</file>

<file path=xl/ctrlProps/ctrlProp3.xml><?xml version="1.0" encoding="utf-8"?>
<formControlPr xmlns="http://schemas.microsoft.com/office/spreadsheetml/2009/9/main" objectType="Drop" dropStyle="combo" dx="37" fmlaLink="$B$45" fmlaRange="$J$38:$J$44" sel="1" val="0"/>
</file>

<file path=xl/ctrlProps/ctrlProp4.xml><?xml version="1.0" encoding="utf-8"?>
<formControlPr xmlns="http://schemas.microsoft.com/office/spreadsheetml/2009/9/main" objectType="Spin" dx="22" fmlaLink="$L$5" max="30000" min="1" page="10"/>
</file>

<file path=xl/ctrlProps/ctrlProp5.xml><?xml version="1.0" encoding="utf-8"?>
<formControlPr xmlns="http://schemas.microsoft.com/office/spreadsheetml/2009/9/main" objectType="Spin" dx="22" fmlaLink="'Datos OM'!$A$7" inc="10" max="30000" min="1" page="10"/>
</file>

<file path=xl/ctrlProps/ctrlProp6.xml><?xml version="1.0" encoding="utf-8"?>
<formControlPr xmlns="http://schemas.microsoft.com/office/spreadsheetml/2009/9/main" objectType="Spin" dx="22" fmlaLink="'Datos OM'!$A$7" inc="100" max="30000" min="1" page="1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L$5" max="30000" min="1" page="10" val="11"/>
</file>

<file path=xl/ctrlProps/ctrlProp15.xml><?xml version="1.0" encoding="utf-8"?>
<formControlPr xmlns="http://schemas.microsoft.com/office/spreadsheetml/2009/9/main" objectType="Spin" dx="22" fmlaLink="'Datos O2'!$A$7" inc="10" max="30000" min="1" page="10" val="11"/>
</file>

<file path=xl/ctrlProps/ctrlProp16.xml><?xml version="1.0" encoding="utf-8"?>
<formControlPr xmlns="http://schemas.microsoft.com/office/spreadsheetml/2009/9/main" objectType="Spin" dx="22" fmlaLink="$P$7" max="6" min="1" page="10"/>
</file>

<file path=xl/ctrlProps/ctrlProp17.xml><?xml version="1.0" encoding="utf-8"?>
<formControlPr xmlns="http://schemas.microsoft.com/office/spreadsheetml/2009/9/main" objectType="Spin" dx="22" fmlaLink="'Datos O2'!$A$7" inc="100" max="30000" min="1" page="10" val="11"/>
</file>

<file path=xl/ctrlProps/ctrlProp18.xml><?xml version="1.0" encoding="utf-8"?>
<formControlPr xmlns="http://schemas.microsoft.com/office/spreadsheetml/2009/9/main" objectType="Spin" dx="22" fmlaLink="$L$5" max="30000" min="1" page="10" val="22"/>
</file>

<file path=xl/ctrlProps/ctrlProp19.xml><?xml version="1.0" encoding="utf-8"?>
<formControlPr xmlns="http://schemas.microsoft.com/office/spreadsheetml/2009/9/main" objectType="Spin" dx="22" fmlaLink="'Datos VF'!$A$7" inc="10" max="30000" min="1" page="10" val="21"/>
</file>

<file path=xl/ctrlProps/ctrlProp20.xml><?xml version="1.0" encoding="utf-8"?>
<formControlPr xmlns="http://schemas.microsoft.com/office/spreadsheetml/2009/9/main" objectType="Spin" dx="22" fmlaLink="'Datos VF'!$A$7" inc="100" max="30000" min="1" page="10" val="21"/>
</file>

<file path=xl/ctrlProps/ctrlProp21.xml><?xml version="1.0" encoding="utf-8"?>
<formControlPr xmlns="http://schemas.microsoft.com/office/spreadsheetml/2009/9/main" objectType="Spin" dx="22" fmlaLink="$L$5" max="30000" min="1" page="10" val="30"/>
</file>

<file path=xl/ctrlProps/ctrlProp22.xml><?xml version="1.0" encoding="utf-8"?>
<formControlPr xmlns="http://schemas.microsoft.com/office/spreadsheetml/2009/9/main" objectType="Spin" dx="22" fmlaLink="'Datos E'!$A$7" inc="10" max="30000" min="1" page="10" val="31"/>
</file>

<file path=xl/ctrlProps/ctrlProp23.xml><?xml version="1.0" encoding="utf-8"?>
<formControlPr xmlns="http://schemas.microsoft.com/office/spreadsheetml/2009/9/main" objectType="Spin" dx="22" fmlaLink="'Datos E'!$A$7" inc="100" max="30000" min="1" page="10" val="31"/>
</file>

<file path=xl/ctrlProps/ctrlProp24.xml><?xml version="1.0" encoding="utf-8"?>
<formControlPr xmlns="http://schemas.microsoft.com/office/spreadsheetml/2009/9/main" objectType="Spin" dx="22" fmlaLink="$L$5" max="30000" min="1" page="10" val="42"/>
</file>

<file path=xl/ctrlProps/ctrlProp25.xml><?xml version="1.0" encoding="utf-8"?>
<formControlPr xmlns="http://schemas.microsoft.com/office/spreadsheetml/2009/9/main" objectType="Spin" dx="22" fmlaLink="'Datos RC'!$A$7" inc="10" max="30000" min="1" page="10" val="41"/>
</file>

<file path=xl/ctrlProps/ctrlProp26.xml><?xml version="1.0" encoding="utf-8"?>
<formControlPr xmlns="http://schemas.microsoft.com/office/spreadsheetml/2009/9/main" objectType="Spin" dx="22" fmlaLink="'Datos RC'!$A$7" inc="100" max="30000" min="1" page="10" val="41"/>
</file>

<file path=xl/ctrlProps/ctrlProp27.xml><?xml version="1.0" encoding="utf-8"?>
<formControlPr xmlns="http://schemas.microsoft.com/office/spreadsheetml/2009/9/main" objectType="Spin" dx="22" fmlaLink="$L$5" max="30000" min="1" page="10" val="52"/>
</file>

<file path=xl/ctrlProps/ctrlProp28.xml><?xml version="1.0" encoding="utf-8"?>
<formControlPr xmlns="http://schemas.microsoft.com/office/spreadsheetml/2009/9/main" objectType="Spin" dx="22" fmlaLink="'Datos PP'!$A$7" inc="10" max="30000" min="1" page="10" val="51"/>
</file>

<file path=xl/ctrlProps/ctrlProp29.xml><?xml version="1.0" encoding="utf-8"?>
<formControlPr xmlns="http://schemas.microsoft.com/office/spreadsheetml/2009/9/main" objectType="Spin" dx="22" fmlaLink="'Datos PP'!$A$7" inc="100" max="30000" min="1" page="10" val="51"/>
</file>

<file path=xl/drawings/_rels/drawing1.xml.rels><?xml version="1.0" encoding="UTF-8" standalone="yes"?>
<Relationships xmlns="http://schemas.openxmlformats.org/package/2006/relationships"><Relationship Id="rId8" Type="http://schemas.openxmlformats.org/officeDocument/2006/relationships/hyperlink" Target="https://youtu.be/lsvDzn_vG3E" TargetMode="External"/><Relationship Id="rId3" Type="http://schemas.openxmlformats.org/officeDocument/2006/relationships/hyperlink" Target="https://udinnovacion.uca.es/" TargetMode="External"/><Relationship Id="rId7" Type="http://schemas.openxmlformats.org/officeDocument/2006/relationships/hyperlink" Target="https://youtu.be/pgz4hhJDj44" TargetMode="External"/><Relationship Id="rId12" Type="http://schemas.openxmlformats.org/officeDocument/2006/relationships/hyperlink" Target="https://www.youtube.com/channel/UCTkOmf2IiTvxn1ch9hYjYQQ" TargetMode="External"/><Relationship Id="rId2" Type="http://schemas.openxmlformats.org/officeDocument/2006/relationships/image" Target="../media/image1.jpeg"/><Relationship Id="rId1" Type="http://schemas.openxmlformats.org/officeDocument/2006/relationships/hyperlink" Target="https://www.uca.es" TargetMode="External"/><Relationship Id="rId6" Type="http://schemas.openxmlformats.org/officeDocument/2006/relationships/hyperlink" Target="https://youtu.be/9o9E9SlOcYs" TargetMode="External"/><Relationship Id="rId11" Type="http://schemas.openxmlformats.org/officeDocument/2006/relationships/hyperlink" Target="https://github.com/MilagrosHuerta/FastTest-PlugIn" TargetMode="External"/><Relationship Id="rId5" Type="http://schemas.openxmlformats.org/officeDocument/2006/relationships/hyperlink" Target="https://youtu.be/Bfm8cErhNT4" TargetMode="External"/><Relationship Id="rId10" Type="http://schemas.openxmlformats.org/officeDocument/2006/relationships/hyperlink" Target="https://youtu.be/pAdM2sz2OFA" TargetMode="External"/><Relationship Id="rId4" Type="http://schemas.openxmlformats.org/officeDocument/2006/relationships/hyperlink" Target="https://udinnovacion.uca.es/guia-de-creacion-de-cuestionarios-de-evaluacion-en-el-campus-virtual-de-la-universidad-de-cadiz/" TargetMode="External"/><Relationship Id="rId9" Type="http://schemas.openxmlformats.org/officeDocument/2006/relationships/hyperlink" Target="https://youtu.be/UCYCh8PvHe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playlist?app=desktop&amp;list=PLBy0dKFd_LuIN21tTezMcUen28a--ebab"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http://www.uca.e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www.uca.e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18</xdr:col>
      <xdr:colOff>39342</xdr:colOff>
      <xdr:row>30</xdr:row>
      <xdr:rowOff>18047</xdr:rowOff>
    </xdr:from>
    <xdr:to>
      <xdr:col>23</xdr:col>
      <xdr:colOff>25886</xdr:colOff>
      <xdr:row>35</xdr:row>
      <xdr:rowOff>27326</xdr:rowOff>
    </xdr:to>
    <xdr:pic>
      <xdr:nvPicPr>
        <xdr:cNvPr id="4" name="Imagen 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30692" y="3970922"/>
          <a:ext cx="1891544" cy="733179"/>
        </a:xfrm>
        <a:prstGeom prst="rect">
          <a:avLst/>
        </a:prstGeom>
        <a:ln w="25400">
          <a:solidFill>
            <a:srgbClr val="E87B00"/>
          </a:solidFill>
        </a:ln>
      </xdr:spPr>
    </xdr:pic>
    <xdr:clientData/>
  </xdr:twoCellAnchor>
  <xdr:twoCellAnchor>
    <xdr:from>
      <xdr:col>2</xdr:col>
      <xdr:colOff>542299</xdr:colOff>
      <xdr:row>12</xdr:row>
      <xdr:rowOff>0</xdr:rowOff>
    </xdr:from>
    <xdr:to>
      <xdr:col>23</xdr:col>
      <xdr:colOff>55621</xdr:colOff>
      <xdr:row>14</xdr:row>
      <xdr:rowOff>132098</xdr:rowOff>
    </xdr:to>
    <xdr:sp macro="" textlink="">
      <xdr:nvSpPr>
        <xdr:cNvPr id="5" name="Rectángulo 4">
          <a:hlinkClick xmlns:r="http://schemas.openxmlformats.org/officeDocument/2006/relationships" r:id="rId3"/>
        </xdr:cNvPr>
        <xdr:cNvSpPr/>
      </xdr:nvSpPr>
      <xdr:spPr>
        <a:xfrm>
          <a:off x="1439179" y="159213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21</xdr:row>
      <xdr:rowOff>69527</xdr:rowOff>
    </xdr:from>
    <xdr:to>
      <xdr:col>22</xdr:col>
      <xdr:colOff>472774</xdr:colOff>
      <xdr:row>24</xdr:row>
      <xdr:rowOff>111240</xdr:rowOff>
    </xdr:to>
    <xdr:sp macro="" textlink="">
      <xdr:nvSpPr>
        <xdr:cNvPr id="6" name="Rectángulo 5">
          <a:hlinkClick xmlns:r="http://schemas.openxmlformats.org/officeDocument/2006/relationships" r:id="rId4"/>
        </xdr:cNvPr>
        <xdr:cNvSpPr/>
      </xdr:nvSpPr>
      <xdr:spPr>
        <a:xfrm>
          <a:off x="1425274" y="2906169"/>
          <a:ext cx="7793814" cy="3823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26</xdr:row>
      <xdr:rowOff>104288</xdr:rowOff>
    </xdr:from>
    <xdr:to>
      <xdr:col>15</xdr:col>
      <xdr:colOff>76478</xdr:colOff>
      <xdr:row>28</xdr:row>
      <xdr:rowOff>41713</xdr:rowOff>
    </xdr:to>
    <xdr:sp macro="" textlink="">
      <xdr:nvSpPr>
        <xdr:cNvPr id="8" name="Rectángulo 7">
          <a:hlinkClick xmlns:r="http://schemas.openxmlformats.org/officeDocument/2006/relationships" r:id="rId5"/>
        </xdr:cNvPr>
        <xdr:cNvSpPr/>
      </xdr:nvSpPr>
      <xdr:spPr>
        <a:xfrm>
          <a:off x="1480894" y="3545803"/>
          <a:ext cx="4665164"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111241</xdr:colOff>
      <xdr:row>28</xdr:row>
      <xdr:rowOff>48667</xdr:rowOff>
    </xdr:from>
    <xdr:to>
      <xdr:col>8</xdr:col>
      <xdr:colOff>90383</xdr:colOff>
      <xdr:row>29</xdr:row>
      <xdr:rowOff>62570</xdr:rowOff>
    </xdr:to>
    <xdr:sp macro="" textlink="">
      <xdr:nvSpPr>
        <xdr:cNvPr id="10" name="Rectángulo 9">
          <a:hlinkClick xmlns:r="http://schemas.openxmlformats.org/officeDocument/2006/relationships" r:id="rId6"/>
        </xdr:cNvPr>
        <xdr:cNvSpPr/>
      </xdr:nvSpPr>
      <xdr:spPr>
        <a:xfrm>
          <a:off x="159213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76478</xdr:colOff>
      <xdr:row>28</xdr:row>
      <xdr:rowOff>48667</xdr:rowOff>
    </xdr:from>
    <xdr:to>
      <xdr:col>14</xdr:col>
      <xdr:colOff>55620</xdr:colOff>
      <xdr:row>29</xdr:row>
      <xdr:rowOff>62570</xdr:rowOff>
    </xdr:to>
    <xdr:sp macro="" textlink="">
      <xdr:nvSpPr>
        <xdr:cNvPr id="11" name="Rectángulo 10">
          <a:hlinkClick xmlns:r="http://schemas.openxmlformats.org/officeDocument/2006/relationships" r:id="rId7"/>
        </xdr:cNvPr>
        <xdr:cNvSpPr/>
      </xdr:nvSpPr>
      <xdr:spPr>
        <a:xfrm>
          <a:off x="385171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110685</xdr:colOff>
      <xdr:row>29</xdr:row>
      <xdr:rowOff>34206</xdr:rowOff>
    </xdr:from>
    <xdr:to>
      <xdr:col>8</xdr:col>
      <xdr:colOff>89827</xdr:colOff>
      <xdr:row>30</xdr:row>
      <xdr:rowOff>159350</xdr:rowOff>
    </xdr:to>
    <xdr:sp macro="" textlink="">
      <xdr:nvSpPr>
        <xdr:cNvPr id="12" name="Rectángulo 11">
          <a:hlinkClick xmlns:r="http://schemas.openxmlformats.org/officeDocument/2006/relationships" r:id="rId8"/>
        </xdr:cNvPr>
        <xdr:cNvSpPr/>
      </xdr:nvSpPr>
      <xdr:spPr>
        <a:xfrm>
          <a:off x="1591579" y="3927637"/>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82874</xdr:colOff>
      <xdr:row>29</xdr:row>
      <xdr:rowOff>34205</xdr:rowOff>
    </xdr:from>
    <xdr:to>
      <xdr:col>14</xdr:col>
      <xdr:colOff>62016</xdr:colOff>
      <xdr:row>30</xdr:row>
      <xdr:rowOff>159349</xdr:rowOff>
    </xdr:to>
    <xdr:sp macro="" textlink="">
      <xdr:nvSpPr>
        <xdr:cNvPr id="13" name="Rectángulo 12">
          <a:hlinkClick xmlns:r="http://schemas.openxmlformats.org/officeDocument/2006/relationships" r:id="rId9"/>
        </xdr:cNvPr>
        <xdr:cNvSpPr/>
      </xdr:nvSpPr>
      <xdr:spPr>
        <a:xfrm>
          <a:off x="3858111" y="3927636"/>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48668</xdr:colOff>
      <xdr:row>32</xdr:row>
      <xdr:rowOff>90383</xdr:rowOff>
    </xdr:from>
    <xdr:to>
      <xdr:col>16</xdr:col>
      <xdr:colOff>347628</xdr:colOff>
      <xdr:row>35</xdr:row>
      <xdr:rowOff>41715</xdr:rowOff>
    </xdr:to>
    <xdr:sp macro="" textlink="">
      <xdr:nvSpPr>
        <xdr:cNvPr id="14" name="Rectángulo 13">
          <a:hlinkClick xmlns:r="http://schemas.openxmlformats.org/officeDocument/2006/relationships" r:id="rId10"/>
        </xdr:cNvPr>
        <xdr:cNvSpPr/>
      </xdr:nvSpPr>
      <xdr:spPr>
        <a:xfrm>
          <a:off x="1529562" y="4324489"/>
          <a:ext cx="5270037" cy="4032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xdr:colOff>
      <xdr:row>1</xdr:row>
      <xdr:rowOff>0</xdr:rowOff>
    </xdr:from>
    <xdr:to>
      <xdr:col>23</xdr:col>
      <xdr:colOff>14653</xdr:colOff>
      <xdr:row>1</xdr:row>
      <xdr:rowOff>241788</xdr:rowOff>
    </xdr:to>
    <xdr:sp macro="[0]!IR_DATOS_GENERALES" textlink="">
      <xdr:nvSpPr>
        <xdr:cNvPr id="2" name="Rectángulo 1"/>
        <xdr:cNvSpPr/>
      </xdr:nvSpPr>
      <xdr:spPr>
        <a:xfrm>
          <a:off x="7773865" y="124558"/>
          <a:ext cx="1143000" cy="241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7807</xdr:colOff>
      <xdr:row>9</xdr:row>
      <xdr:rowOff>70266</xdr:rowOff>
    </xdr:from>
    <xdr:to>
      <xdr:col>24</xdr:col>
      <xdr:colOff>7806</xdr:colOff>
      <xdr:row>11</xdr:row>
      <xdr:rowOff>7691</xdr:rowOff>
    </xdr:to>
    <xdr:sp macro="" textlink="">
      <xdr:nvSpPr>
        <xdr:cNvPr id="15" name="Rectángulo 14">
          <a:hlinkClick xmlns:r="http://schemas.openxmlformats.org/officeDocument/2006/relationships" r:id="rId11"/>
        </xdr:cNvPr>
        <xdr:cNvSpPr/>
      </xdr:nvSpPr>
      <xdr:spPr>
        <a:xfrm>
          <a:off x="7409200" y="1288217"/>
          <a:ext cx="1709815"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23425</xdr:colOff>
      <xdr:row>7</xdr:row>
      <xdr:rowOff>31230</xdr:rowOff>
    </xdr:from>
    <xdr:to>
      <xdr:col>23</xdr:col>
      <xdr:colOff>109305</xdr:colOff>
      <xdr:row>8</xdr:row>
      <xdr:rowOff>156032</xdr:rowOff>
    </xdr:to>
    <xdr:sp macro="" textlink="">
      <xdr:nvSpPr>
        <xdr:cNvPr id="16" name="Rectángulo 15">
          <a:hlinkClick xmlns:r="http://schemas.openxmlformats.org/officeDocument/2006/relationships" r:id="rId12"/>
        </xdr:cNvPr>
        <xdr:cNvSpPr/>
      </xdr:nvSpPr>
      <xdr:spPr>
        <a:xfrm>
          <a:off x="7424818" y="983730"/>
          <a:ext cx="1616126"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31</xdr:col>
      <xdr:colOff>76478</xdr:colOff>
      <xdr:row>28</xdr:row>
      <xdr:rowOff>48667</xdr:rowOff>
    </xdr:from>
    <xdr:to>
      <xdr:col>36</xdr:col>
      <xdr:colOff>55620</xdr:colOff>
      <xdr:row>29</xdr:row>
      <xdr:rowOff>62570</xdr:rowOff>
    </xdr:to>
    <xdr:sp macro="" textlink="">
      <xdr:nvSpPr>
        <xdr:cNvPr id="21" name="Rectángulo 20">
          <a:hlinkClick xmlns:r="http://schemas.openxmlformats.org/officeDocument/2006/relationships" r:id="rId7"/>
        </xdr:cNvPr>
        <xdr:cNvSpPr/>
      </xdr:nvSpPr>
      <xdr:spPr>
        <a:xfrm>
          <a:off x="3653492" y="3735322"/>
          <a:ext cx="1897847" cy="205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31</xdr:col>
      <xdr:colOff>82874</xdr:colOff>
      <xdr:row>29</xdr:row>
      <xdr:rowOff>34205</xdr:rowOff>
    </xdr:from>
    <xdr:to>
      <xdr:col>36</xdr:col>
      <xdr:colOff>62016</xdr:colOff>
      <xdr:row>30</xdr:row>
      <xdr:rowOff>159349</xdr:rowOff>
    </xdr:to>
    <xdr:sp macro="" textlink="">
      <xdr:nvSpPr>
        <xdr:cNvPr id="23" name="Rectángulo 22">
          <a:hlinkClick xmlns:r="http://schemas.openxmlformats.org/officeDocument/2006/relationships" r:id="rId9"/>
        </xdr:cNvPr>
        <xdr:cNvSpPr/>
      </xdr:nvSpPr>
      <xdr:spPr>
        <a:xfrm>
          <a:off x="3659888" y="3912730"/>
          <a:ext cx="1897847" cy="2005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30480</xdr:colOff>
      <xdr:row>28</xdr:row>
      <xdr:rowOff>7620</xdr:rowOff>
    </xdr:from>
    <xdr:to>
      <xdr:col>15</xdr:col>
      <xdr:colOff>297180</xdr:colOff>
      <xdr:row>30</xdr:row>
      <xdr:rowOff>190500</xdr:rowOff>
    </xdr:to>
    <xdr:sp macro="[0]!Datos_Iniciales_Actualizar" textlink="">
      <xdr:nvSpPr>
        <xdr:cNvPr id="2" name="Rectángulo 1"/>
        <xdr:cNvSpPr/>
      </xdr:nvSpPr>
      <xdr:spPr>
        <a:xfrm>
          <a:off x="4937760" y="3733800"/>
          <a:ext cx="1409700" cy="449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9</xdr:col>
      <xdr:colOff>378234</xdr:colOff>
      <xdr:row>4</xdr:row>
      <xdr:rowOff>1384</xdr:rowOff>
    </xdr:from>
    <xdr:to>
      <xdr:col>15</xdr:col>
      <xdr:colOff>244884</xdr:colOff>
      <xdr:row>5</xdr:row>
      <xdr:rowOff>10909</xdr:rowOff>
    </xdr:to>
    <xdr:sp macro="" textlink="">
      <xdr:nvSpPr>
        <xdr:cNvPr id="5127" name="Drop Down 7" hidden="1">
          <a:extLst>
            <a:ext uri="{63B3BB69-23CF-44E3-9099-C40C66FF867C}">
              <a14:compatExt xmlns:a14="http://schemas.microsoft.com/office/drawing/2010/main" spid="_x0000_s51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xdr:from>
      <xdr:col>19</xdr:col>
      <xdr:colOff>382628</xdr:colOff>
      <xdr:row>1</xdr:row>
      <xdr:rowOff>0</xdr:rowOff>
    </xdr:from>
    <xdr:to>
      <xdr:col>23</xdr:col>
      <xdr:colOff>8140</xdr:colOff>
      <xdr:row>1</xdr:row>
      <xdr:rowOff>219808</xdr:rowOff>
    </xdr:to>
    <xdr:sp macro="[0]!IR_INICIO" textlink="">
      <xdr:nvSpPr>
        <xdr:cNvPr id="22" name="Rectángulo 21"/>
        <xdr:cNvSpPr/>
      </xdr:nvSpPr>
      <xdr:spPr>
        <a:xfrm>
          <a:off x="7782820" y="73269"/>
          <a:ext cx="1156025" cy="2198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8282</xdr:colOff>
      <xdr:row>0</xdr:row>
      <xdr:rowOff>0</xdr:rowOff>
    </xdr:from>
    <xdr:to>
      <xdr:col>1</xdr:col>
      <xdr:colOff>31549</xdr:colOff>
      <xdr:row>12</xdr:row>
      <xdr:rowOff>177407</xdr:rowOff>
    </xdr:to>
    <xdr:grpSp>
      <xdr:nvGrpSpPr>
        <xdr:cNvPr id="31" name="Grupo 30"/>
        <xdr:cNvGrpSpPr/>
      </xdr:nvGrpSpPr>
      <xdr:grpSpPr>
        <a:xfrm>
          <a:off x="8282" y="0"/>
          <a:ext cx="735929" cy="1719224"/>
          <a:chOff x="0" y="24423"/>
          <a:chExt cx="735571" cy="1709690"/>
        </a:xfrm>
      </xdr:grpSpPr>
      <xdr:sp macro="[0]!Copia_Formula" textlink="">
        <xdr:nvSpPr>
          <xdr:cNvPr id="32" name="Rectángulo 31"/>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3" name="Rectángulo 32"/>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4" name="Rectángulo 33"/>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5" name="Rectángulo 34"/>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6" name="Rectángulo 35"/>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37" name="Rectángulo 36"/>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11</xdr:col>
          <xdr:colOff>0</xdr:colOff>
          <xdr:row>23</xdr:row>
          <xdr:rowOff>66675</xdr:rowOff>
        </xdr:from>
        <xdr:to>
          <xdr:col>11</xdr:col>
          <xdr:colOff>123825</xdr:colOff>
          <xdr:row>24</xdr:row>
          <xdr:rowOff>190500</xdr:rowOff>
        </xdr:to>
        <xdr:sp macro="" textlink="">
          <xdr:nvSpPr>
            <xdr:cNvPr id="5125" name="Spinner 5" descr="Para consultar los datos de cada pregunta."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25</xdr:row>
          <xdr:rowOff>76200</xdr:rowOff>
        </xdr:from>
        <xdr:to>
          <xdr:col>11</xdr:col>
          <xdr:colOff>123825</xdr:colOff>
          <xdr:row>27</xdr:row>
          <xdr:rowOff>0</xdr:rowOff>
        </xdr:to>
        <xdr:sp macro="" textlink="">
          <xdr:nvSpPr>
            <xdr:cNvPr id="5128" name="Spinner 8" descr="Para consultar los datos de cada pregunta."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57150</xdr:rowOff>
        </xdr:from>
        <xdr:to>
          <xdr:col>15</xdr:col>
          <xdr:colOff>247650</xdr:colOff>
          <xdr:row>4</xdr:row>
          <xdr:rowOff>180975</xdr:rowOff>
        </xdr:to>
        <xdr:sp macro="" textlink="">
          <xdr:nvSpPr>
            <xdr:cNvPr id="5144" name="Drop Down 24"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1086</xdr:colOff>
      <xdr:row>29</xdr:row>
      <xdr:rowOff>70262</xdr:rowOff>
    </xdr:from>
    <xdr:to>
      <xdr:col>22</xdr:col>
      <xdr:colOff>367544</xdr:colOff>
      <xdr:row>34</xdr:row>
      <xdr:rowOff>180771</xdr:rowOff>
    </xdr:to>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8832" y="3942721"/>
          <a:ext cx="1897790" cy="739333"/>
        </a:xfrm>
        <a:prstGeom prst="rect">
          <a:avLst/>
        </a:prstGeom>
        <a:ln w="25400">
          <a:solidFill>
            <a:srgbClr val="E87B00"/>
          </a:solidFill>
        </a:ln>
      </xdr:spPr>
    </xdr:pic>
    <xdr:clientData/>
  </xdr:twoCellAnchor>
  <xdr:twoCellAnchor>
    <xdr:from>
      <xdr:col>0</xdr:col>
      <xdr:colOff>0</xdr:colOff>
      <xdr:row>16</xdr:row>
      <xdr:rowOff>2</xdr:rowOff>
    </xdr:from>
    <xdr:to>
      <xdr:col>1</xdr:col>
      <xdr:colOff>26168</xdr:colOff>
      <xdr:row>23</xdr:row>
      <xdr:rowOff>5619</xdr:rowOff>
    </xdr:to>
    <xdr:grpSp>
      <xdr:nvGrpSpPr>
        <xdr:cNvPr id="23" name="Grupo 22"/>
        <xdr:cNvGrpSpPr/>
      </xdr:nvGrpSpPr>
      <xdr:grpSpPr>
        <a:xfrm>
          <a:off x="0" y="2076315"/>
          <a:ext cx="738830" cy="1006085"/>
          <a:chOff x="0" y="2062370"/>
          <a:chExt cx="738472" cy="999529"/>
        </a:xfrm>
      </xdr:grpSpPr>
      <xdr:grpSp>
        <xdr:nvGrpSpPr>
          <xdr:cNvPr id="24" name="Grupo 23"/>
          <xdr:cNvGrpSpPr/>
        </xdr:nvGrpSpPr>
        <xdr:grpSpPr>
          <a:xfrm>
            <a:off x="0" y="2607083"/>
            <a:ext cx="738472" cy="454816"/>
            <a:chOff x="9073374" y="461895"/>
            <a:chExt cx="738470" cy="454815"/>
          </a:xfrm>
        </xdr:grpSpPr>
        <xdr:sp macro="[0]!Celdas_Formulas_Activar" textlink="">
          <xdr:nvSpPr>
            <xdr:cNvPr id="40" name="Rectángulo 39"/>
            <xdr:cNvSpPr/>
          </xdr:nvSpPr>
          <xdr:spPr>
            <a:xfrm>
              <a:off x="9096982"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41" name="Rectángulo 40"/>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39" name="Rectángulo 38"/>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17</xdr:col>
      <xdr:colOff>383741</xdr:colOff>
      <xdr:row>16</xdr:row>
      <xdr:rowOff>0</xdr:rowOff>
    </xdr:from>
    <xdr:to>
      <xdr:col>23</xdr:col>
      <xdr:colOff>8281</xdr:colOff>
      <xdr:row>28</xdr:row>
      <xdr:rowOff>187728</xdr:rowOff>
    </xdr:to>
    <xdr:grpSp>
      <xdr:nvGrpSpPr>
        <xdr:cNvPr id="4" name="Grupo 3"/>
        <xdr:cNvGrpSpPr/>
      </xdr:nvGrpSpPr>
      <xdr:grpSpPr>
        <a:xfrm>
          <a:off x="7030683" y="2076313"/>
          <a:ext cx="1926986" cy="1798070"/>
          <a:chOff x="7030683" y="2076313"/>
          <a:chExt cx="1926986" cy="1798070"/>
        </a:xfrm>
      </xdr:grpSpPr>
      <xdr:sp macro="[0]!IR_FORMULARIO" textlink="">
        <xdr:nvSpPr>
          <xdr:cNvPr id="25" name="Rectángulo 24"/>
          <xdr:cNvSpPr/>
        </xdr:nvSpPr>
        <xdr:spPr>
          <a:xfrm>
            <a:off x="7080507" y="2076313"/>
            <a:ext cx="1877162"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6" name="Rectángulo 25"/>
          <xdr:cNvSpPr/>
        </xdr:nvSpPr>
        <xdr:spPr>
          <a:xfrm>
            <a:off x="7042296" y="2356651"/>
            <a:ext cx="1875529" cy="18437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27" name="Rectángulo 26"/>
          <xdr:cNvSpPr/>
        </xdr:nvSpPr>
        <xdr:spPr>
          <a:xfrm>
            <a:off x="7037312" y="2619922"/>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28" name="Rectángulo 27"/>
          <xdr:cNvSpPr/>
        </xdr:nvSpPr>
        <xdr:spPr>
          <a:xfrm>
            <a:off x="7040634" y="2883194"/>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MAC" textlink="">
        <xdr:nvSpPr>
          <xdr:cNvPr id="29" name="Rectángulo 28"/>
          <xdr:cNvSpPr/>
        </xdr:nvSpPr>
        <xdr:spPr>
          <a:xfrm>
            <a:off x="7035651" y="3147777"/>
            <a:ext cx="1875529" cy="18641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XT_DOC_MAC" textlink="">
        <xdr:nvSpPr>
          <xdr:cNvPr id="30" name="Rectángulo 29"/>
          <xdr:cNvSpPr/>
        </xdr:nvSpPr>
        <xdr:spPr>
          <a:xfrm>
            <a:off x="7038974" y="3426804"/>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Juego_OCA" textlink="">
        <xdr:nvSpPr>
          <xdr:cNvPr id="42" name="Rectángulo 41"/>
          <xdr:cNvSpPr/>
        </xdr:nvSpPr>
        <xdr:spPr>
          <a:xfrm>
            <a:off x="7030683" y="3686655"/>
            <a:ext cx="1875529" cy="18772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8193" name="Spinner 1" descr="Para consultar los datos de cada pregunta."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8194" name="Spinner 2" descr="Para consultar los datos de cada pregun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12" name="Grupo 11"/>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17" name="Grupo 16"/>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821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8234" name="Group 42"/>
            <xdr:cNvGrpSpPr>
              <a:grpSpLocks/>
            </xdr:cNvGrpSpPr>
          </xdr:nvGrpSpPr>
          <xdr:grpSpPr bwMode="auto">
            <a:xfrm>
              <a:off x="6434651" y="132528"/>
              <a:ext cx="2638562" cy="19050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15" name="Grupo 14"/>
            <xdr:cNvGrpSpPr/>
          </xdr:nvGrpSpPr>
          <xdr:grpSpPr>
            <a:xfrm>
              <a:off x="892221" y="50568"/>
              <a:ext cx="0" cy="0"/>
              <a:chOff x="892221" y="50568"/>
              <a:chExt cx="0" cy="0"/>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 name="Grupo 5"/>
        <xdr:cNvGrpSpPr/>
      </xdr:nvGrpSpPr>
      <xdr:grpSpPr>
        <a:xfrm>
          <a:off x="0" y="24423"/>
          <a:ext cx="735929" cy="1720594"/>
          <a:chOff x="0" y="24423"/>
          <a:chExt cx="735571" cy="1709690"/>
        </a:xfrm>
      </xdr:grpSpPr>
      <xdr:sp macro="[0]!Copia_Formula" textlink="">
        <xdr:nvSpPr>
          <xdr:cNvPr id="31" name="Rectángulo 30"/>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2" name="Rectángulo 31"/>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3" name="Rectángulo 32"/>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4" name="Rectángulo 33"/>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5" name="Rectángulo 34"/>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36" name="Rectángulo 35"/>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20</xdr:row>
      <xdr:rowOff>1159</xdr:rowOff>
    </xdr:from>
    <xdr:to>
      <xdr:col>1</xdr:col>
      <xdr:colOff>26168</xdr:colOff>
      <xdr:row>23</xdr:row>
      <xdr:rowOff>5619</xdr:rowOff>
    </xdr:to>
    <xdr:grpSp>
      <xdr:nvGrpSpPr>
        <xdr:cNvPr id="5" name="Grupo 4"/>
        <xdr:cNvGrpSpPr/>
      </xdr:nvGrpSpPr>
      <xdr:grpSpPr>
        <a:xfrm>
          <a:off x="0" y="2618821"/>
          <a:ext cx="738830" cy="463579"/>
          <a:chOff x="9073374" y="461895"/>
          <a:chExt cx="738472" cy="454815"/>
        </a:xfrm>
      </xdr:grpSpPr>
      <xdr:sp macro="[0]!Celdas_Formulas_Activar" textlink="">
        <xdr:nvSpPr>
          <xdr:cNvPr id="37" name="Rectángulo 3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38" name="Rectángulo 3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7386</xdr:colOff>
      <xdr:row>16</xdr:row>
      <xdr:rowOff>0</xdr:rowOff>
    </xdr:from>
    <xdr:to>
      <xdr:col>1</xdr:col>
      <xdr:colOff>9753</xdr:colOff>
      <xdr:row>18</xdr:row>
      <xdr:rowOff>160858</xdr:rowOff>
    </xdr:to>
    <xdr:sp macro="[0]!Celdas_Formulas_INFORMACION" textlink="">
      <xdr:nvSpPr>
        <xdr:cNvPr id="40" name="Rectángulo 39"/>
        <xdr:cNvSpPr/>
      </xdr:nvSpPr>
      <xdr:spPr>
        <a:xfrm>
          <a:off x="7386" y="2076762"/>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18</xdr:col>
      <xdr:colOff>1179</xdr:colOff>
      <xdr:row>29</xdr:row>
      <xdr:rowOff>0</xdr:rowOff>
    </xdr:from>
    <xdr:to>
      <xdr:col>22</xdr:col>
      <xdr:colOff>367544</xdr:colOff>
      <xdr:row>34</xdr:row>
      <xdr:rowOff>130358</xdr:rowOff>
    </xdr:to>
    <xdr:pic>
      <xdr:nvPicPr>
        <xdr:cNvPr id="44" name="Imagen 4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11</xdr:col>
      <xdr:colOff>0</xdr:colOff>
      <xdr:row>0</xdr:row>
      <xdr:rowOff>54672</xdr:rowOff>
    </xdr:from>
    <xdr:to>
      <xdr:col>22</xdr:col>
      <xdr:colOff>375283</xdr:colOff>
      <xdr:row>2</xdr:row>
      <xdr:rowOff>8282</xdr:rowOff>
    </xdr:to>
    <xdr:grpSp>
      <xdr:nvGrpSpPr>
        <xdr:cNvPr id="2" name="Grupo 1"/>
        <xdr:cNvGrpSpPr/>
      </xdr:nvGrpSpPr>
      <xdr:grpSpPr>
        <a:xfrm>
          <a:off x="4344496" y="54672"/>
          <a:ext cx="4596434" cy="275678"/>
          <a:chOff x="4324350" y="54672"/>
          <a:chExt cx="4566283" cy="277460"/>
        </a:xfrm>
      </xdr:grpSpPr>
      <xdr:sp macro="[0]!IR_DATOS_GENERALES" textlink="">
        <xdr:nvSpPr>
          <xdr:cNvPr id="45" name="Rectángulo 44"/>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47" name="Rectángulo 46"/>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48" name="Rectángulo 47"/>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49" name="Rectángulo 48"/>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0" name="Rectángulo 49"/>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1" name="Rectángulo 50"/>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5</xdr:row>
          <xdr:rowOff>0</xdr:rowOff>
        </xdr:to>
        <xdr:sp macro="" textlink="">
          <xdr:nvSpPr>
            <xdr:cNvPr id="8347" name="Spinner 155" descr="Para consultar los datos de cada pregunta." hidden="1">
              <a:extLst>
                <a:ext uri="{63B3BB69-23CF-44E3-9099-C40C66FF867C}">
                  <a14:compatExt spid="_x0000_s83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52" name="Rectángulo 51"/>
        <xdr:cNvSpPr/>
      </xdr:nvSpPr>
      <xdr:spPr>
        <a:xfrm>
          <a:off x="0" y="3154180"/>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9237" name="Button 21" descr="BANCO DE PREGUNTAS"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26566</xdr:colOff>
          <xdr:row>2</xdr:row>
          <xdr:rowOff>14852</xdr:rowOff>
        </xdr:from>
        <xdr:to>
          <xdr:col>7</xdr:col>
          <xdr:colOff>2930518</xdr:colOff>
          <xdr:row>2</xdr:row>
          <xdr:rowOff>286489</xdr:rowOff>
        </xdr:to>
        <xdr:grpSp>
          <xdr:nvGrpSpPr>
            <xdr:cNvPr id="13" name="Grupo 12"/>
            <xdr:cNvGrpSpPr/>
          </xdr:nvGrpSpPr>
          <xdr:grpSpPr>
            <a:xfrm>
              <a:off x="1241825" y="14852"/>
              <a:ext cx="4316279" cy="271637"/>
              <a:chOff x="1533143" y="31131"/>
              <a:chExt cx="4231799" cy="245782"/>
            </a:xfrm>
          </xdr:grpSpPr>
          <xdr:grpSp>
            <xdr:nvGrpSpPr>
              <xdr:cNvPr id="14" name="Grupo 13"/>
              <xdr:cNvGrpSpPr/>
            </xdr:nvGrpSpPr>
            <xdr:grpSpPr>
              <a:xfrm>
                <a:off x="1533143" y="31766"/>
                <a:ext cx="1821763" cy="245147"/>
                <a:chOff x="16906" y="27449"/>
                <a:chExt cx="1812988" cy="178855"/>
              </a:xfrm>
            </xdr:grpSpPr>
            <xdr:sp macro="" textlink="">
              <xdr:nvSpPr>
                <xdr:cNvPr id="9238" name="Button 22" hidden="1">
                  <a:extLst>
                    <a:ext uri="{63B3BB69-23CF-44E3-9099-C40C66FF867C}">
                      <a14:compatExt spid="_x0000_s9238"/>
                    </a:ext>
                  </a:extLst>
                </xdr:cNvPr>
                <xdr:cNvSpPr/>
              </xdr:nvSpPr>
              <xdr:spPr bwMode="auto">
                <a:xfrm>
                  <a:off x="16906" y="27449"/>
                  <a:ext cx="1004111"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DATOS GENERALES</a:t>
                  </a:r>
                </a:p>
              </xdr:txBody>
            </xdr:sp>
            <xdr:sp macro="" textlink="">
              <xdr:nvSpPr>
                <xdr:cNvPr id="9239" name="Button 23" hidden="1">
                  <a:extLst>
                    <a:ext uri="{63B3BB69-23CF-44E3-9099-C40C66FF867C}">
                      <a14:compatExt spid="_x0000_s9239"/>
                    </a:ext>
                  </a:extLst>
                </xdr:cNvPr>
                <xdr:cNvSpPr/>
              </xdr:nvSpPr>
              <xdr:spPr bwMode="auto">
                <a:xfrm>
                  <a:off x="1039617" y="27449"/>
                  <a:ext cx="790277"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Dar FORMATO</a:t>
                  </a:r>
                </a:p>
              </xdr:txBody>
            </xdr:sp>
          </xdr:grpSp>
          <xdr:grpSp>
            <xdr:nvGrpSpPr>
              <xdr:cNvPr id="15" name="Grupo 14"/>
              <xdr:cNvGrpSpPr/>
            </xdr:nvGrpSpPr>
            <xdr:grpSpPr>
              <a:xfrm>
                <a:off x="3373141" y="31131"/>
                <a:ext cx="2391801" cy="245149"/>
                <a:chOff x="9418156" y="627140"/>
                <a:chExt cx="2389426" cy="123083"/>
              </a:xfrm>
            </xdr:grpSpPr>
            <xdr:sp macro="" textlink="">
              <xdr:nvSpPr>
                <xdr:cNvPr id="9240" name="Button 24" hidden="1">
                  <a:extLst>
                    <a:ext uri="{63B3BB69-23CF-44E3-9099-C40C66FF867C}">
                      <a14:compatExt spid="_x0000_s9240"/>
                    </a:ext>
                  </a:extLst>
                </xdr:cNvPr>
                <xdr:cNvSpPr/>
              </xdr:nvSpPr>
              <xdr:spPr bwMode="auto">
                <a:xfrm>
                  <a:off x="9418156" y="627140"/>
                  <a:ext cx="671986"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Superíndice</a:t>
                  </a:r>
                </a:p>
              </xdr:txBody>
            </xdr:sp>
            <xdr:sp macro="" textlink="">
              <xdr:nvSpPr>
                <xdr:cNvPr id="9241" name="Button 25" hidden="1">
                  <a:extLst>
                    <a:ext uri="{63B3BB69-23CF-44E3-9099-C40C66FF867C}">
                      <a14:compatExt spid="_x0000_s9241"/>
                    </a:ext>
                  </a:extLst>
                </xdr:cNvPr>
                <xdr:cNvSpPr/>
              </xdr:nvSpPr>
              <xdr:spPr bwMode="auto">
                <a:xfrm>
                  <a:off x="10099915" y="627140"/>
                  <a:ext cx="550655"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Subíndice</a:t>
                  </a:r>
                </a:p>
              </xdr:txBody>
            </xdr:sp>
            <xdr:sp macro="" textlink="">
              <xdr:nvSpPr>
                <xdr:cNvPr id="9242" name="Button 26" hidden="1">
                  <a:extLst>
                    <a:ext uri="{63B3BB69-23CF-44E3-9099-C40C66FF867C}">
                      <a14:compatExt spid="_x0000_s9242"/>
                    </a:ext>
                  </a:extLst>
                </xdr:cNvPr>
                <xdr:cNvSpPr/>
              </xdr:nvSpPr>
              <xdr:spPr bwMode="auto">
                <a:xfrm>
                  <a:off x="10659904" y="627140"/>
                  <a:ext cx="559989"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Salto línea</a:t>
                  </a:r>
                </a:p>
              </xdr:txBody>
            </xdr:sp>
            <xdr:sp macro="" textlink="">
              <xdr:nvSpPr>
                <xdr:cNvPr id="9243" name="Button 27" hidden="1">
                  <a:extLst>
                    <a:ext uri="{63B3BB69-23CF-44E3-9099-C40C66FF867C}">
                      <a14:compatExt spid="_x0000_s9243"/>
                    </a:ext>
                  </a:extLst>
                </xdr:cNvPr>
                <xdr:cNvSpPr/>
              </xdr:nvSpPr>
              <xdr:spPr bwMode="auto">
                <a:xfrm>
                  <a:off x="11228927" y="627140"/>
                  <a:ext cx="578655"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Fórmula</a:t>
                  </a:r>
                </a:p>
              </xdr:txBody>
            </xdr:sp>
          </xdr:grpSp>
        </xdr:grpSp>
        <xdr:clientData/>
      </xdr:twoCellAnchor>
    </mc:Choice>
    <mc:Fallback/>
  </mc:AlternateContent>
  <xdr:twoCellAnchor>
    <xdr:from>
      <xdr:col>1</xdr:col>
      <xdr:colOff>26276</xdr:colOff>
      <xdr:row>2</xdr:row>
      <xdr:rowOff>26276</xdr:rowOff>
    </xdr:from>
    <xdr:to>
      <xdr:col>7</xdr:col>
      <xdr:colOff>2956035</xdr:colOff>
      <xdr:row>3</xdr:row>
      <xdr:rowOff>185246</xdr:rowOff>
    </xdr:to>
    <xdr:grpSp>
      <xdr:nvGrpSpPr>
        <xdr:cNvPr id="4" name="Grupo 3"/>
        <xdr:cNvGrpSpPr/>
      </xdr:nvGrpSpPr>
      <xdr:grpSpPr>
        <a:xfrm>
          <a:off x="26276" y="26276"/>
          <a:ext cx="5557345" cy="461142"/>
          <a:chOff x="26276" y="26276"/>
          <a:chExt cx="5557345" cy="461142"/>
        </a:xfrm>
      </xdr:grpSpPr>
      <xdr:pic>
        <xdr:nvPicPr>
          <xdr:cNvPr id="27" name="Imagen 2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 name="Grupo 2"/>
          <xdr:cNvGrpSpPr/>
        </xdr:nvGrpSpPr>
        <xdr:grpSpPr>
          <a:xfrm>
            <a:off x="2634155" y="297287"/>
            <a:ext cx="2949466" cy="190131"/>
            <a:chOff x="2634155" y="297287"/>
            <a:chExt cx="2949466" cy="190131"/>
          </a:xfrm>
        </xdr:grpSpPr>
        <xdr:sp macro="[0]!IR_FORMULARIO" textlink="">
          <xdr:nvSpPr>
            <xdr:cNvPr id="24" name="Rectángulo 23"/>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30" name="Rectángulo 2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34" name="Rectángulo 33"/>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32769" name="Spinner 1" descr="Para consultar los datos de cada pregunta."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32770" name="Spinner 2" descr="Para consultar los datos de cada pregunta."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295275</xdr:colOff>
          <xdr:row>5</xdr:row>
          <xdr:rowOff>57150</xdr:rowOff>
        </xdr:from>
        <xdr:to>
          <xdr:col>16</xdr:col>
          <xdr:colOff>38100</xdr:colOff>
          <xdr:row>7</xdr:row>
          <xdr:rowOff>9525</xdr:rowOff>
        </xdr:to>
        <xdr:sp macro="" textlink="">
          <xdr:nvSpPr>
            <xdr:cNvPr id="32771" name="Spinner 3" descr="Para consultar los datos de cada pregunta."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6" name="Grupo 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14" name="Group 42"/>
            <xdr:cNvGrpSpPr>
              <a:grpSpLocks/>
            </xdr:cNvGrpSpPr>
          </xdr:nvGrpSpPr>
          <xdr:grpSpPr bwMode="auto">
            <a:xfrm>
              <a:off x="6434651" y="132528"/>
              <a:ext cx="2638562" cy="19050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26" name="Grupo 2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2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30" name="Grupo 29"/>
            <xdr:cNvGrpSpPr/>
          </xdr:nvGrpSpPr>
          <xdr:grpSpPr>
            <a:xfrm>
              <a:off x="892221" y="50568"/>
              <a:ext cx="0" cy="0"/>
              <a:chOff x="892221" y="5056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8"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39" name="Grupo 38"/>
        <xdr:cNvGrpSpPr/>
      </xdr:nvGrpSpPr>
      <xdr:grpSpPr>
        <a:xfrm>
          <a:off x="0" y="24423"/>
          <a:ext cx="735929" cy="1720594"/>
          <a:chOff x="0" y="24423"/>
          <a:chExt cx="735571" cy="1709690"/>
        </a:xfrm>
      </xdr:grpSpPr>
      <xdr:sp macro="[0]!Copia_Formula" textlink="">
        <xdr:nvSpPr>
          <xdr:cNvPr id="40" name="Rectángulo 39"/>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41" name="Rectángulo 40"/>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42" name="Rectángulo 41"/>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43" name="Rectángulo 42"/>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4" name="Rectángulo 43"/>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45" name="Rectángulo 44"/>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46" name="Grupo 45"/>
        <xdr:cNvGrpSpPr/>
      </xdr:nvGrpSpPr>
      <xdr:grpSpPr>
        <a:xfrm>
          <a:off x="0" y="2076313"/>
          <a:ext cx="738830" cy="1006087"/>
          <a:chOff x="0" y="2062370"/>
          <a:chExt cx="738472" cy="999532"/>
        </a:xfrm>
      </xdr:grpSpPr>
      <xdr:grpSp>
        <xdr:nvGrpSpPr>
          <xdr:cNvPr id="47" name="Grupo 46"/>
          <xdr:cNvGrpSpPr/>
        </xdr:nvGrpSpPr>
        <xdr:grpSpPr>
          <a:xfrm>
            <a:off x="0" y="2607086"/>
            <a:ext cx="738472" cy="454816"/>
            <a:chOff x="9073374" y="461895"/>
            <a:chExt cx="738472" cy="454815"/>
          </a:xfrm>
        </xdr:grpSpPr>
        <xdr:sp macro="[0]!Celdas_Formulas_Activar" textlink="">
          <xdr:nvSpPr>
            <xdr:cNvPr id="49" name="Rectángulo 4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50" name="Rectángulo 4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48" name="Rectángulo 47"/>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absolute">
    <xdr:from>
      <xdr:col>18</xdr:col>
      <xdr:colOff>1179</xdr:colOff>
      <xdr:row>29</xdr:row>
      <xdr:rowOff>0</xdr:rowOff>
    </xdr:from>
    <xdr:to>
      <xdr:col>22</xdr:col>
      <xdr:colOff>367544</xdr:colOff>
      <xdr:row>34</xdr:row>
      <xdr:rowOff>130358</xdr:rowOff>
    </xdr:to>
    <xdr:pic>
      <xdr:nvPicPr>
        <xdr:cNvPr id="51" name="Imagen 5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10</xdr:col>
      <xdr:colOff>383741</xdr:colOff>
      <xdr:row>0</xdr:row>
      <xdr:rowOff>57150</xdr:rowOff>
    </xdr:from>
    <xdr:to>
      <xdr:col>22</xdr:col>
      <xdr:colOff>375283</xdr:colOff>
      <xdr:row>2</xdr:row>
      <xdr:rowOff>10760</xdr:rowOff>
    </xdr:to>
    <xdr:grpSp>
      <xdr:nvGrpSpPr>
        <xdr:cNvPr id="27" name="Grupo 26"/>
        <xdr:cNvGrpSpPr/>
      </xdr:nvGrpSpPr>
      <xdr:grpSpPr>
        <a:xfrm>
          <a:off x="4344496" y="57150"/>
          <a:ext cx="4596434" cy="275678"/>
          <a:chOff x="4324350" y="54672"/>
          <a:chExt cx="4566283" cy="277460"/>
        </a:xfrm>
      </xdr:grpSpPr>
      <xdr:sp macro="[0]!IR_DATOS_GENERALES" textlink="">
        <xdr:nvSpPr>
          <xdr:cNvPr id="28" name="Rectángulo 2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1" name="Rectángulo 30"/>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2" name="Rectángulo 31"/>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33" name="Rectángulo 3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34" name="Rectángulo 3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35" name="Rectángulo 3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32804" name="Spinner 36" descr="Para consultar los datos de cada pregunta." hidden="1">
              <a:extLst>
                <a:ext uri="{63B3BB69-23CF-44E3-9099-C40C66FF867C}">
                  <a14:compatExt spid="_x0000_s3280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36" name="Rectángulo 35"/>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14654</xdr:colOff>
      <xdr:row>2</xdr:row>
      <xdr:rowOff>20465</xdr:rowOff>
    </xdr:from>
    <xdr:to>
      <xdr:col>7</xdr:col>
      <xdr:colOff>2950982</xdr:colOff>
      <xdr:row>3</xdr:row>
      <xdr:rowOff>179435</xdr:rowOff>
    </xdr:to>
    <xdr:grpSp>
      <xdr:nvGrpSpPr>
        <xdr:cNvPr id="14" name="Grupo 13"/>
        <xdr:cNvGrpSpPr/>
      </xdr:nvGrpSpPr>
      <xdr:grpSpPr>
        <a:xfrm>
          <a:off x="14654" y="20465"/>
          <a:ext cx="5563914" cy="461142"/>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3</xdr:row>
          <xdr:rowOff>47625</xdr:rowOff>
        </xdr:from>
        <xdr:to>
          <xdr:col>12</xdr:col>
          <xdr:colOff>133350</xdr:colOff>
          <xdr:row>5</xdr:row>
          <xdr:rowOff>9525</xdr:rowOff>
        </xdr:to>
        <xdr:sp macro="" textlink="">
          <xdr:nvSpPr>
            <xdr:cNvPr id="10241" name="Spinner 1" descr="Para consultar los datos de cada pregunta."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0242" name="Spinner 2" descr="Para consultar los datos de cada pregunta."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18" name="Grupo 1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1</xdr:row>
          <xdr:rowOff>409575</xdr:rowOff>
        </xdr:to>
        <xdr:grpSp>
          <xdr:nvGrpSpPr>
            <xdr:cNvPr id="10257" name="Grupo 17"/>
            <xdr:cNvGrpSpPr>
              <a:grpSpLocks/>
            </xdr:cNvGrpSpPr>
          </xdr:nvGrpSpPr>
          <xdr:grpSpPr bwMode="auto">
            <a:xfrm>
              <a:off x="6291776" y="142053"/>
              <a:ext cx="2810012" cy="18097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36" name="Grupo 35"/>
        <xdr:cNvGrpSpPr/>
      </xdr:nvGrpSpPr>
      <xdr:grpSpPr>
        <a:xfrm>
          <a:off x="0" y="24423"/>
          <a:ext cx="735929" cy="1720594"/>
          <a:chOff x="0" y="24423"/>
          <a:chExt cx="735571" cy="1709690"/>
        </a:xfrm>
      </xdr:grpSpPr>
      <xdr:sp macro="[0]!Copia_Formula" textlink="">
        <xdr:nvSpPr>
          <xdr:cNvPr id="37" name="Rectángulo 36"/>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8" name="Rectángulo 37"/>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9" name="Rectángulo 38"/>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40" name="Rectángulo 39"/>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1" name="Rectángulo 40"/>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42" name="Rectángulo 41"/>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43" name="Grupo 42"/>
        <xdr:cNvGrpSpPr/>
      </xdr:nvGrpSpPr>
      <xdr:grpSpPr>
        <a:xfrm>
          <a:off x="0" y="2076313"/>
          <a:ext cx="738830" cy="1006087"/>
          <a:chOff x="0" y="2062370"/>
          <a:chExt cx="738472" cy="999532"/>
        </a:xfrm>
      </xdr:grpSpPr>
      <xdr:grpSp>
        <xdr:nvGrpSpPr>
          <xdr:cNvPr id="44" name="Grupo 43"/>
          <xdr:cNvGrpSpPr/>
        </xdr:nvGrpSpPr>
        <xdr:grpSpPr>
          <a:xfrm>
            <a:off x="0" y="2607086"/>
            <a:ext cx="738472" cy="454816"/>
            <a:chOff x="9073374" y="461895"/>
            <a:chExt cx="738472" cy="454815"/>
          </a:xfrm>
        </xdr:grpSpPr>
        <xdr:sp macro="[0]!Celdas_Formulas_Activar" textlink="">
          <xdr:nvSpPr>
            <xdr:cNvPr id="46" name="Rectángulo 45"/>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47" name="Rectángulo 46"/>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45" name="Rectángulo 44"/>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8" name="Grupo 47"/>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50" name="Grupo 49"/>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2" name="Grupo 51"/>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53" name="Imagen 5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77" name="Grupo 76"/>
        <xdr:cNvGrpSpPr/>
      </xdr:nvGrpSpPr>
      <xdr:grpSpPr>
        <a:xfrm>
          <a:off x="4344496" y="75378"/>
          <a:ext cx="4596434" cy="276500"/>
          <a:chOff x="4324350" y="54672"/>
          <a:chExt cx="4566283" cy="277460"/>
        </a:xfrm>
      </xdr:grpSpPr>
      <xdr:sp macro="[0]!IR_DATOS_GENERALES" textlink="">
        <xdr:nvSpPr>
          <xdr:cNvPr id="78" name="Rectángulo 7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9" name="Rectángulo 78"/>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80" name="Rectángulo 79"/>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81" name="Rectángulo 80"/>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82" name="Rectángulo 81"/>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83" name="Rectángulo 82"/>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10243" name="Spinner 3" descr="Para consultar los datos de cada pregunta."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24</xdr:row>
      <xdr:rowOff>0</xdr:rowOff>
    </xdr:from>
    <xdr:to>
      <xdr:col>1</xdr:col>
      <xdr:colOff>2367</xdr:colOff>
      <xdr:row>26</xdr:row>
      <xdr:rowOff>160858</xdr:rowOff>
    </xdr:to>
    <xdr:sp macro="[0]!Copia_Imagen" textlink="">
      <xdr:nvSpPr>
        <xdr:cNvPr id="54" name="Rectángulo 53"/>
        <xdr:cNvSpPr/>
      </xdr:nvSpPr>
      <xdr:spPr>
        <a:xfrm>
          <a:off x="0" y="3152158"/>
          <a:ext cx="715029" cy="4281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4230414</xdr:colOff>
      <xdr:row>3</xdr:row>
      <xdr:rowOff>172108</xdr:rowOff>
    </xdr:to>
    <xdr:grpSp>
      <xdr:nvGrpSpPr>
        <xdr:cNvPr id="15" name="Grupo 14"/>
        <xdr:cNvGrpSpPr/>
      </xdr:nvGrpSpPr>
      <xdr:grpSpPr>
        <a:xfrm>
          <a:off x="0" y="13138"/>
          <a:ext cx="5563914" cy="461142"/>
          <a:chOff x="26276" y="26276"/>
          <a:chExt cx="5557345" cy="461142"/>
        </a:xfrm>
      </xdr:grpSpPr>
      <xdr:pic>
        <xdr:nvPicPr>
          <xdr:cNvPr id="19" name="Imagen 1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20" name="Grupo 19"/>
          <xdr:cNvGrpSpPr/>
        </xdr:nvGrpSpPr>
        <xdr:grpSpPr>
          <a:xfrm>
            <a:off x="2634155" y="297287"/>
            <a:ext cx="2949466" cy="190131"/>
            <a:chOff x="2634155" y="297287"/>
            <a:chExt cx="2949466" cy="190131"/>
          </a:xfrm>
        </xdr:grpSpPr>
        <xdr:sp macro="[0]!IR_FORMULARIO" textlink="">
          <xdr:nvSpPr>
            <xdr:cNvPr id="21" name="Rectángulo 20"/>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2" name="Rectángulo 21"/>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3" name="Rectángulo 22"/>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47625</xdr:rowOff>
        </xdr:from>
        <xdr:to>
          <xdr:col>12</xdr:col>
          <xdr:colOff>133350</xdr:colOff>
          <xdr:row>5</xdr:row>
          <xdr:rowOff>9525</xdr:rowOff>
        </xdr:to>
        <xdr:sp macro="" textlink="">
          <xdr:nvSpPr>
            <xdr:cNvPr id="13313" name="Spinner 1" descr="Para consultar los datos de cada pregunta."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3314" name="Spinner 2" descr="Para consultar los datos de cada pregunta."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45" name="Grupo 44"/>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46"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7" name="Grupo 46"/>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8"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9" name="Grupo 48"/>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1" name="Grupo 50"/>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52" name="Imagen 5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xdr:twoCellAnchor>
    <xdr:from>
      <xdr:col>10</xdr:col>
      <xdr:colOff>383741</xdr:colOff>
      <xdr:row>1</xdr:row>
      <xdr:rowOff>0</xdr:rowOff>
    </xdr:from>
    <xdr:to>
      <xdr:col>22</xdr:col>
      <xdr:colOff>375283</xdr:colOff>
      <xdr:row>2</xdr:row>
      <xdr:rowOff>29810</xdr:rowOff>
    </xdr:to>
    <xdr:grpSp>
      <xdr:nvGrpSpPr>
        <xdr:cNvPr id="28" name="Grupo 27"/>
        <xdr:cNvGrpSpPr/>
      </xdr:nvGrpSpPr>
      <xdr:grpSpPr>
        <a:xfrm>
          <a:off x="4344496" y="75378"/>
          <a:ext cx="4596434" cy="276500"/>
          <a:chOff x="4324350" y="54672"/>
          <a:chExt cx="4566283" cy="277460"/>
        </a:xfrm>
      </xdr:grpSpPr>
      <xdr:sp macro="[0]!IR_DATOS_GENERALES" textlink="">
        <xdr:nvSpPr>
          <xdr:cNvPr id="29" name="Rectángulo 28"/>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0" name="Rectángulo 29"/>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1" name="Rectángulo 30"/>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3" name="Rectángulo 5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4" name="Rectángulo 5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5" name="Rectángulo 5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4</xdr:row>
          <xdr:rowOff>0</xdr:rowOff>
        </xdr:from>
        <xdr:to>
          <xdr:col>8</xdr:col>
          <xdr:colOff>200025</xdr:colOff>
          <xdr:row>5</xdr:row>
          <xdr:rowOff>0</xdr:rowOff>
        </xdr:to>
        <xdr:sp macro="" textlink="">
          <xdr:nvSpPr>
            <xdr:cNvPr id="13315" name="Spinner 3" descr="Para consultar los datos de cada pregunta."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7"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8"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7"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8"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9" name="Grupo 68"/>
        <xdr:cNvGrpSpPr/>
      </xdr:nvGrpSpPr>
      <xdr:grpSpPr>
        <a:xfrm>
          <a:off x="0" y="24423"/>
          <a:ext cx="735929" cy="1720594"/>
          <a:chOff x="0" y="24423"/>
          <a:chExt cx="735571" cy="1709690"/>
        </a:xfrm>
      </xdr:grpSpPr>
      <xdr:sp macro="[0]!Copia_Formula" textlink="">
        <xdr:nvSpPr>
          <xdr:cNvPr id="70" name="Rectángulo 69"/>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71" name="Rectángulo 70"/>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2" name="Rectángulo 71"/>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73" name="Rectángulo 72"/>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74" name="Rectángulo 73"/>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5" name="Rectángulo 74"/>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76" name="Grupo 75"/>
        <xdr:cNvGrpSpPr/>
      </xdr:nvGrpSpPr>
      <xdr:grpSpPr>
        <a:xfrm>
          <a:off x="0" y="2076313"/>
          <a:ext cx="738830" cy="1006087"/>
          <a:chOff x="0" y="2062370"/>
          <a:chExt cx="738472" cy="999532"/>
        </a:xfrm>
      </xdr:grpSpPr>
      <xdr:grpSp>
        <xdr:nvGrpSpPr>
          <xdr:cNvPr id="77" name="Grupo 76"/>
          <xdr:cNvGrpSpPr/>
        </xdr:nvGrpSpPr>
        <xdr:grpSpPr>
          <a:xfrm>
            <a:off x="0" y="2607086"/>
            <a:ext cx="738472" cy="454816"/>
            <a:chOff x="9073374" y="461895"/>
            <a:chExt cx="738472" cy="454815"/>
          </a:xfrm>
        </xdr:grpSpPr>
        <xdr:sp macro="[0]!Celdas_Formulas_Activar" textlink="">
          <xdr:nvSpPr>
            <xdr:cNvPr id="79" name="Rectángulo 7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80" name="Rectángulo 7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8" name="Rectángulo 77"/>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81" name="Rectángulo 80"/>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3954517</xdr:colOff>
      <xdr:row>3</xdr:row>
      <xdr:rowOff>172108</xdr:rowOff>
    </xdr:to>
    <xdr:grpSp>
      <xdr:nvGrpSpPr>
        <xdr:cNvPr id="37" name="Grupo 36"/>
        <xdr:cNvGrpSpPr/>
      </xdr:nvGrpSpPr>
      <xdr:grpSpPr>
        <a:xfrm>
          <a:off x="0" y="13138"/>
          <a:ext cx="5563914" cy="461142"/>
          <a:chOff x="26276" y="26276"/>
          <a:chExt cx="5557345" cy="461142"/>
        </a:xfrm>
      </xdr:grpSpPr>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9" name="Grupo 38"/>
          <xdr:cNvGrpSpPr/>
        </xdr:nvGrpSpPr>
        <xdr:grpSpPr>
          <a:xfrm>
            <a:off x="2634155" y="297287"/>
            <a:ext cx="2949466" cy="190131"/>
            <a:chOff x="2634155" y="297287"/>
            <a:chExt cx="2949466" cy="190131"/>
          </a:xfrm>
        </xdr:grpSpPr>
        <xdr:sp macro="[0]!IR_FORMULARIO" textlink="">
          <xdr:nvSpPr>
            <xdr:cNvPr id="40" name="Rectángulo 3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41" name="Rectángulo 4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42" name="Rectángulo 4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47625</xdr:rowOff>
        </xdr:from>
        <xdr:to>
          <xdr:col>12</xdr:col>
          <xdr:colOff>142875</xdr:colOff>
          <xdr:row>5</xdr:row>
          <xdr:rowOff>9525</xdr:rowOff>
        </xdr:to>
        <xdr:sp macro="" textlink="">
          <xdr:nvSpPr>
            <xdr:cNvPr id="26625" name="Spinner 1" descr="Para consultar los datos de cada pregunta."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6626" name="Spinner 2" descr="Para consultar los datos de cada pregunta."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4" name="Grupo 33"/>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5"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6" name="Grupo 35"/>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7"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8" name="Grupo 37"/>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9"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0" name="Grupo 39"/>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41" name="Imagen 4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4</xdr:row>
          <xdr:rowOff>190500</xdr:rowOff>
        </xdr:to>
        <xdr:sp macro="" textlink="">
          <xdr:nvSpPr>
            <xdr:cNvPr id="26627" name="Spinner 3" descr="Para consultar los datos de cada pregunta."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2" name="Grupo 51"/>
        <xdr:cNvGrpSpPr/>
      </xdr:nvGrpSpPr>
      <xdr:grpSpPr>
        <a:xfrm>
          <a:off x="4347237" y="57150"/>
          <a:ext cx="4593693" cy="275678"/>
          <a:chOff x="4324350" y="54672"/>
          <a:chExt cx="4566283" cy="277460"/>
        </a:xfrm>
      </xdr:grpSpPr>
      <xdr:sp macro="[0]!IR_DATOS_GENERALES" textlink="">
        <xdr:nvSpPr>
          <xdr:cNvPr id="53" name="Rectángulo 52"/>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4" name="Rectángulo 53"/>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5" name="Rectángulo 54"/>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6" name="Rectángulo 55"/>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7" name="Rectángulo 56"/>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8" name="Rectángulo 57"/>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2" name="Grupo 61"/>
        <xdr:cNvGrpSpPr/>
      </xdr:nvGrpSpPr>
      <xdr:grpSpPr>
        <a:xfrm>
          <a:off x="0" y="24423"/>
          <a:ext cx="735929" cy="1720594"/>
          <a:chOff x="0" y="24423"/>
          <a:chExt cx="735571" cy="1709690"/>
        </a:xfrm>
      </xdr:grpSpPr>
      <xdr:sp macro="[0]!Copia_Formula" textlink="">
        <xdr:nvSpPr>
          <xdr:cNvPr id="63" name="Rectángulo 62"/>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4" name="Rectángulo 63"/>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5" name="Rectángulo 64"/>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6" name="Rectángulo 65"/>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7" name="Rectángulo 66"/>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8" name="Rectángulo 67"/>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69" name="Grupo 68"/>
        <xdr:cNvGrpSpPr/>
      </xdr:nvGrpSpPr>
      <xdr:grpSpPr>
        <a:xfrm>
          <a:off x="0" y="2076313"/>
          <a:ext cx="738830" cy="1006087"/>
          <a:chOff x="0" y="2062370"/>
          <a:chExt cx="738472" cy="999532"/>
        </a:xfrm>
      </xdr:grpSpPr>
      <xdr:grpSp>
        <xdr:nvGrpSpPr>
          <xdr:cNvPr id="70" name="Grupo 69"/>
          <xdr:cNvGrpSpPr/>
        </xdr:nvGrpSpPr>
        <xdr:grpSpPr>
          <a:xfrm>
            <a:off x="0" y="2607086"/>
            <a:ext cx="738472" cy="454816"/>
            <a:chOff x="9073374" y="461895"/>
            <a:chExt cx="738472" cy="454815"/>
          </a:xfrm>
        </xdr:grpSpPr>
        <xdr:sp macro="[0]!Celdas_Formulas_Activar" textlink="">
          <xdr:nvSpPr>
            <xdr:cNvPr id="72" name="Rectángulo 71"/>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3" name="Rectángulo 72"/>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1" name="Rectángulo 70"/>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74" name="Rectángulo 73"/>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29308</xdr:rowOff>
    </xdr:from>
    <xdr:to>
      <xdr:col>8</xdr:col>
      <xdr:colOff>10106</xdr:colOff>
      <xdr:row>3</xdr:row>
      <xdr:rowOff>175392</xdr:rowOff>
    </xdr:to>
    <xdr:grpSp>
      <xdr:nvGrpSpPr>
        <xdr:cNvPr id="16" name="Grupo 15"/>
        <xdr:cNvGrpSpPr/>
      </xdr:nvGrpSpPr>
      <xdr:grpSpPr>
        <a:xfrm>
          <a:off x="0" y="29308"/>
          <a:ext cx="5560882" cy="461394"/>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66675</xdr:rowOff>
        </xdr:from>
        <xdr:to>
          <xdr:col>12</xdr:col>
          <xdr:colOff>142875</xdr:colOff>
          <xdr:row>5</xdr:row>
          <xdr:rowOff>28575</xdr:rowOff>
        </xdr:to>
        <xdr:sp macro="" textlink="">
          <xdr:nvSpPr>
            <xdr:cNvPr id="23553" name="Spinner 1" descr="Para consultar los datos de cada pregunta."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3554" name="Spinner 2" descr="Para consultar los datos de cada pregunta."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20196"/>
              <a:ext cx="0" cy="0"/>
              <a:chOff x="-8128221" y="32019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37120</xdr:colOff>
          <xdr:row>3</xdr:row>
          <xdr:rowOff>31865</xdr:rowOff>
        </xdr:from>
        <xdr:to>
          <xdr:col>0</xdr:col>
          <xdr:colOff>37120</xdr:colOff>
          <xdr:row>3</xdr:row>
          <xdr:rowOff>31865</xdr:rowOff>
        </xdr:to>
        <xdr:grpSp>
          <xdr:nvGrpSpPr>
            <xdr:cNvPr id="2" name="Grupo 1"/>
            <xdr:cNvGrpSpPr/>
          </xdr:nvGrpSpPr>
          <xdr:grpSpPr>
            <a:xfrm>
              <a:off x="37120" y="429311"/>
              <a:ext cx="0" cy="0"/>
              <a:chOff x="37120" y="429311"/>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28575</xdr:colOff>
          <xdr:row>4</xdr:row>
          <xdr:rowOff>9525</xdr:rowOff>
        </xdr:from>
        <xdr:to>
          <xdr:col>25</xdr:col>
          <xdr:colOff>0</xdr:colOff>
          <xdr:row>6</xdr:row>
          <xdr:rowOff>171450</xdr:rowOff>
        </xdr:to>
        <xdr:grpSp>
          <xdr:nvGrpSpPr>
            <xdr:cNvPr id="23573" name="Group 21"/>
            <xdr:cNvGrpSpPr>
              <a:grpSpLocks/>
            </xdr:cNvGrpSpPr>
          </xdr:nvGrpSpPr>
          <xdr:grpSpPr bwMode="auto">
            <a:xfrm>
              <a:off x="9156129" y="482349"/>
              <a:ext cx="684087" cy="429173"/>
              <a:chOff x="94949" y="542"/>
              <a:chExt cx="6894" cy="422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37120</xdr:colOff>
          <xdr:row>0</xdr:row>
          <xdr:rowOff>31865</xdr:rowOff>
        </xdr:from>
        <xdr:to>
          <xdr:col>0</xdr:col>
          <xdr:colOff>37120</xdr:colOff>
          <xdr:row>0</xdr:row>
          <xdr:rowOff>31865</xdr:rowOff>
        </xdr:to>
        <xdr:grpSp>
          <xdr:nvGrpSpPr>
            <xdr:cNvPr id="26" name="Grupo 25"/>
            <xdr:cNvGrpSpPr/>
          </xdr:nvGrpSpPr>
          <xdr:grpSpPr>
            <a:xfrm>
              <a:off x="37120" y="31865"/>
              <a:ext cx="0" cy="0"/>
              <a:chOff x="37120" y="31865"/>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9"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8" name="Grupo 3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9" name="Grupo 17"/>
            <xdr:cNvGrpSpPr>
              <a:grpSpLocks/>
            </xdr:cNvGrpSpPr>
          </xdr:nvGrpSpPr>
          <xdr:grpSpPr bwMode="auto">
            <a:xfrm>
              <a:off x="6291776" y="142053"/>
              <a:ext cx="2810012" cy="180015"/>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0" name="Grupo 39"/>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1"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2" name="Grupo 41"/>
            <xdr:cNvGrpSpPr/>
          </xdr:nvGrpSpPr>
          <xdr:grpSpPr>
            <a:xfrm>
              <a:off x="1222786" y="125946"/>
              <a:ext cx="0" cy="0"/>
              <a:chOff x="1222786" y="12594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3"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4" name="Grupo 43"/>
            <xdr:cNvGrpSpPr/>
          </xdr:nvGrpSpPr>
          <xdr:grpSpPr>
            <a:xfrm>
              <a:off x="892221" y="50568"/>
              <a:ext cx="0" cy="0"/>
              <a:chOff x="892221" y="50568"/>
              <a:chExt cx="0" cy="0"/>
            </a:xfrm>
          </xdr:grpSpPr>
        </xdr:grpSp>
        <xdr:clientData fPrintsWithSheet="0"/>
      </xdr:twoCellAnchor>
    </mc:Choice>
    <mc:Fallback/>
  </mc:AlternateContent>
  <xdr:twoCellAnchor editAs="absolute">
    <xdr:from>
      <xdr:col>18</xdr:col>
      <xdr:colOff>1179</xdr:colOff>
      <xdr:row>29</xdr:row>
      <xdr:rowOff>0</xdr:rowOff>
    </xdr:from>
    <xdr:to>
      <xdr:col>22</xdr:col>
      <xdr:colOff>367544</xdr:colOff>
      <xdr:row>34</xdr:row>
      <xdr:rowOff>130358</xdr:rowOff>
    </xdr:to>
    <xdr:pic>
      <xdr:nvPicPr>
        <xdr:cNvPr id="45" name="Imagen 4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851413"/>
          <a:ext cx="1891544" cy="734988"/>
        </a:xfrm>
        <a:prstGeom prst="rect">
          <a:avLst/>
        </a:prstGeom>
        <a:ln w="25400">
          <a:solidFill>
            <a:srgbClr val="E87B00"/>
          </a:solidFill>
        </a:ln>
      </xdr:spPr>
    </xdr:pic>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23555" name="Spinner 3" descr="Para consultar los datos de cada pregunta."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4"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5" name="Group 42"/>
            <xdr:cNvGrpSpPr>
              <a:grpSpLocks/>
            </xdr:cNvGrpSpPr>
          </xdr:nvGrpSpPr>
          <xdr:grpSpPr bwMode="auto">
            <a:xfrm>
              <a:off x="6434651" y="132528"/>
              <a:ext cx="2638562" cy="189540"/>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6" name="Grupo 55"/>
        <xdr:cNvGrpSpPr/>
      </xdr:nvGrpSpPr>
      <xdr:grpSpPr>
        <a:xfrm>
          <a:off x="4347237" y="57150"/>
          <a:ext cx="4593693" cy="275678"/>
          <a:chOff x="4324350" y="54672"/>
          <a:chExt cx="4566283" cy="277460"/>
        </a:xfrm>
      </xdr:grpSpPr>
      <xdr:sp macro="[0]!IR_DATOS_GENERALES" textlink="">
        <xdr:nvSpPr>
          <xdr:cNvPr id="57" name="Rectángulo 56"/>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8" name="Rectángulo 57"/>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9" name="Rectángulo 58"/>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60" name="Rectángulo 59"/>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61" name="Rectángulo 60"/>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62" name="Rectángulo 61"/>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5" name="Group 23"/>
            <xdr:cNvGrpSpPr>
              <a:grpSpLocks/>
            </xdr:cNvGrpSpPr>
          </xdr:nvGrpSpPr>
          <xdr:grpSpPr bwMode="auto">
            <a:xfrm>
              <a:off x="0" y="1541817"/>
              <a:ext cx="676275" cy="811269"/>
              <a:chOff x="91901" y="12414"/>
              <a:chExt cx="7665" cy="8284"/>
            </a:xfrm>
          </xdr:grpSpPr>
        </xdr:grpSp>
        <xdr:clientData fPrintsWithSheet="0"/>
      </xdr:twoCellAnchor>
    </mc:Choice>
    <mc:Fallback/>
  </mc:AlternateContent>
  <xdr:twoCellAnchor>
    <xdr:from>
      <xdr:col>0</xdr:col>
      <xdr:colOff>0</xdr:colOff>
      <xdr:row>0</xdr:row>
      <xdr:rowOff>24423</xdr:rowOff>
    </xdr:from>
    <xdr:to>
      <xdr:col>1</xdr:col>
      <xdr:colOff>23267</xdr:colOff>
      <xdr:row>13</xdr:row>
      <xdr:rowOff>11330</xdr:rowOff>
    </xdr:to>
    <xdr:grpSp>
      <xdr:nvGrpSpPr>
        <xdr:cNvPr id="66" name="Grupo 65"/>
        <xdr:cNvGrpSpPr/>
      </xdr:nvGrpSpPr>
      <xdr:grpSpPr>
        <a:xfrm>
          <a:off x="0" y="24423"/>
          <a:ext cx="735929" cy="1720594"/>
          <a:chOff x="0" y="24423"/>
          <a:chExt cx="735571" cy="1709690"/>
        </a:xfrm>
      </xdr:grpSpPr>
      <xdr:sp macro="[0]!Copia_Formula" textlink="">
        <xdr:nvSpPr>
          <xdr:cNvPr id="67" name="Rectángulo 66"/>
          <xdr:cNvSpPr/>
        </xdr:nvSpPr>
        <xdr:spPr>
          <a:xfrm>
            <a:off x="24212" y="474757"/>
            <a:ext cx="711359" cy="1844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8" name="Rectángulo 67"/>
          <xdr:cNvSpPr/>
        </xdr:nvSpPr>
        <xdr:spPr>
          <a:xfrm>
            <a:off x="0" y="741060"/>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9" name="Rectángulo 68"/>
          <xdr:cNvSpPr/>
        </xdr:nvSpPr>
        <xdr:spPr>
          <a:xfrm>
            <a:off x="0" y="1013398"/>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70" name="Rectángulo 69"/>
          <xdr:cNvSpPr/>
        </xdr:nvSpPr>
        <xdr:spPr>
          <a:xfrm>
            <a:off x="0" y="1277353"/>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71" name="Rectángulo 70"/>
          <xdr:cNvSpPr/>
        </xdr:nvSpPr>
        <xdr:spPr>
          <a:xfrm>
            <a:off x="0" y="1541307"/>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2" name="Rectángulo 71"/>
          <xdr:cNvSpPr/>
        </xdr:nvSpPr>
        <xdr:spPr>
          <a:xfrm>
            <a:off x="5812" y="24423"/>
            <a:ext cx="711359" cy="34525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1</xdr:col>
      <xdr:colOff>26168</xdr:colOff>
      <xdr:row>23</xdr:row>
      <xdr:rowOff>5619</xdr:rowOff>
    </xdr:to>
    <xdr:grpSp>
      <xdr:nvGrpSpPr>
        <xdr:cNvPr id="73" name="Grupo 72"/>
        <xdr:cNvGrpSpPr/>
      </xdr:nvGrpSpPr>
      <xdr:grpSpPr>
        <a:xfrm>
          <a:off x="0" y="2076313"/>
          <a:ext cx="738830" cy="1006087"/>
          <a:chOff x="0" y="2062370"/>
          <a:chExt cx="738472" cy="999532"/>
        </a:xfrm>
      </xdr:grpSpPr>
      <xdr:grpSp>
        <xdr:nvGrpSpPr>
          <xdr:cNvPr id="74" name="Grupo 73"/>
          <xdr:cNvGrpSpPr/>
        </xdr:nvGrpSpPr>
        <xdr:grpSpPr>
          <a:xfrm>
            <a:off x="0" y="2607086"/>
            <a:ext cx="738472" cy="454816"/>
            <a:chOff x="9073374" y="461895"/>
            <a:chExt cx="738472" cy="454815"/>
          </a:xfrm>
        </xdr:grpSpPr>
        <xdr:sp macro="[0]!Celdas_Formulas_Activar" textlink="">
          <xdr:nvSpPr>
            <xdr:cNvPr id="76" name="Rectángulo 75"/>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7" name="Rectángulo 76"/>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27" y="2062370"/>
            <a:ext cx="714862" cy="4240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24</xdr:row>
      <xdr:rowOff>0</xdr:rowOff>
    </xdr:from>
    <xdr:to>
      <xdr:col>1</xdr:col>
      <xdr:colOff>2367</xdr:colOff>
      <xdr:row>26</xdr:row>
      <xdr:rowOff>160858</xdr:rowOff>
    </xdr:to>
    <xdr:sp macro="[0]!Copia_Imagen" textlink="">
      <xdr:nvSpPr>
        <xdr:cNvPr id="78" name="Rectángulo 77"/>
        <xdr:cNvSpPr/>
      </xdr:nvSpPr>
      <xdr:spPr>
        <a:xfrm>
          <a:off x="0" y="3152775"/>
          <a:ext cx="716742" cy="4275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4138448</xdr:colOff>
      <xdr:row>3</xdr:row>
      <xdr:rowOff>172108</xdr:rowOff>
    </xdr:to>
    <xdr:grpSp>
      <xdr:nvGrpSpPr>
        <xdr:cNvPr id="14" name="Grupo 13"/>
        <xdr:cNvGrpSpPr/>
      </xdr:nvGrpSpPr>
      <xdr:grpSpPr>
        <a:xfrm>
          <a:off x="0" y="13138"/>
          <a:ext cx="5563914" cy="461142"/>
          <a:chOff x="26276" y="26276"/>
          <a:chExt cx="5557345" cy="461142"/>
        </a:xfrm>
      </xdr:grpSpPr>
      <xdr:pic>
        <xdr:nvPicPr>
          <xdr:cNvPr id="18" name="Imagen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9" name="Grupo 18"/>
          <xdr:cNvGrpSpPr/>
        </xdr:nvGrpSpPr>
        <xdr:grpSpPr>
          <a:xfrm>
            <a:off x="2634155" y="297287"/>
            <a:ext cx="2949466" cy="190131"/>
            <a:chOff x="2634155" y="297287"/>
            <a:chExt cx="2949466" cy="190131"/>
          </a:xfrm>
        </xdr:grpSpPr>
        <xdr:sp macro="[0]!IR_FORMULARIO" textlink="">
          <xdr:nvSpPr>
            <xdr:cNvPr id="20" name="Rectángulo 1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1" name="Rectángulo 2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2" name="Rectángulo 2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channel/UC8O0Q5YfdpcmcZKuFeYvsow" TargetMode="External"/><Relationship Id="rId1" Type="http://schemas.openxmlformats.org/officeDocument/2006/relationships/hyperlink" Target="mailto:fasttestplugin@gmail.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hyperlink" Target="https://youtu.be/NzXpCw_tBZ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youtu.be/pIMsBcuHDdo" TargetMode="Externa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4.bin"/><Relationship Id="rId1" Type="http://schemas.openxmlformats.org/officeDocument/2006/relationships/hyperlink" Target="https://youtu.be/pIMsBcuHDdo" TargetMode="External"/><Relationship Id="rId6" Type="http://schemas.openxmlformats.org/officeDocument/2006/relationships/ctrlProp" Target="../ctrlProps/ctrlProp14.xml"/><Relationship Id="rId5" Type="http://schemas.openxmlformats.org/officeDocument/2006/relationships/vmlDrawing" Target="../drawings/vmlDrawing6.vml"/><Relationship Id="rId4" Type="http://schemas.openxmlformats.org/officeDocument/2006/relationships/vmlDrawing" Target="../drawings/vmlDrawing5.vml"/><Relationship Id="rId9"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7.xml"/><Relationship Id="rId7" Type="http://schemas.openxmlformats.org/officeDocument/2006/relationships/ctrlProp" Target="../ctrlProps/ctrlProp19.xml"/><Relationship Id="rId2" Type="http://schemas.openxmlformats.org/officeDocument/2006/relationships/printerSettings" Target="../printerSettings/printerSettings6.bin"/><Relationship Id="rId1" Type="http://schemas.openxmlformats.org/officeDocument/2006/relationships/hyperlink" Target="https://youtu.be/82WmbR3vKeQ" TargetMode="External"/><Relationship Id="rId6" Type="http://schemas.openxmlformats.org/officeDocument/2006/relationships/ctrlProp" Target="../ctrlProps/ctrlProp18.xml"/><Relationship Id="rId5" Type="http://schemas.openxmlformats.org/officeDocument/2006/relationships/vmlDrawing" Target="../drawings/vmlDrawing8.v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9.xml"/><Relationship Id="rId7" Type="http://schemas.openxmlformats.org/officeDocument/2006/relationships/ctrlProp" Target="../ctrlProps/ctrlProp22.xml"/><Relationship Id="rId2" Type="http://schemas.openxmlformats.org/officeDocument/2006/relationships/printerSettings" Target="../printerSettings/printerSettings8.bin"/><Relationship Id="rId1" Type="http://schemas.openxmlformats.org/officeDocument/2006/relationships/hyperlink" Target="https://youtu.be/m2onfU04kJ4"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11.xml"/><Relationship Id="rId7" Type="http://schemas.openxmlformats.org/officeDocument/2006/relationships/ctrlProp" Target="../ctrlProps/ctrlProp25.xml"/><Relationship Id="rId2" Type="http://schemas.openxmlformats.org/officeDocument/2006/relationships/printerSettings" Target="../printerSettings/printerSettings10.bin"/><Relationship Id="rId1" Type="http://schemas.openxmlformats.org/officeDocument/2006/relationships/hyperlink" Target="https://youtu.be/Q3P3f5q4tdA" TargetMode="External"/><Relationship Id="rId6" Type="http://schemas.openxmlformats.org/officeDocument/2006/relationships/ctrlProp" Target="../ctrlProps/ctrlProp24.xml"/><Relationship Id="rId5" Type="http://schemas.openxmlformats.org/officeDocument/2006/relationships/vmlDrawing" Target="../drawings/vmlDrawing14.vml"/><Relationship Id="rId4"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drawing" Target="../drawings/drawing13.xml"/><Relationship Id="rId7" Type="http://schemas.openxmlformats.org/officeDocument/2006/relationships/ctrlProp" Target="../ctrlProps/ctrlProp28.xml"/><Relationship Id="rId2" Type="http://schemas.openxmlformats.org/officeDocument/2006/relationships/printerSettings" Target="../printerSettings/printerSettings12.bin"/><Relationship Id="rId1" Type="http://schemas.openxmlformats.org/officeDocument/2006/relationships/hyperlink" Target="https://youtu.be/MgyMpsneDbE" TargetMode="External"/><Relationship Id="rId6" Type="http://schemas.openxmlformats.org/officeDocument/2006/relationships/ctrlProp" Target="../ctrlProps/ctrlProp27.xml"/><Relationship Id="rId5" Type="http://schemas.openxmlformats.org/officeDocument/2006/relationships/vmlDrawing" Target="../drawings/vmlDrawing17.vml"/><Relationship Id="rId4"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X46"/>
  <sheetViews>
    <sheetView showGridLines="0" showRowColHeaders="0" tabSelected="1" zoomScale="139" zoomScaleNormal="139" workbookViewId="0">
      <pane xSplit="38" ySplit="73" topLeftCell="AM74" activePane="bottomRight" state="frozen"/>
      <selection pane="topRight" activeCell="AM1" sqref="AM1"/>
      <selection pane="bottomLeft" activeCell="A74" sqref="A74"/>
      <selection pane="bottomRight" activeCell="J7" sqref="J7:P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6" customHeight="1" thickTop="1" x14ac:dyDescent="0.25">
      <c r="A1" s="426" t="s">
        <v>340</v>
      </c>
      <c r="B1" s="299"/>
      <c r="C1" s="375"/>
      <c r="D1" s="375"/>
      <c r="E1" s="375"/>
      <c r="F1" s="375"/>
      <c r="G1" s="429" t="s">
        <v>321</v>
      </c>
      <c r="H1" s="429"/>
      <c r="I1" s="429"/>
      <c r="J1" s="429"/>
      <c r="K1" s="429"/>
      <c r="L1" s="429"/>
      <c r="M1" s="429"/>
      <c r="N1" s="429"/>
      <c r="O1" s="429"/>
      <c r="P1" s="429"/>
      <c r="Q1" s="429"/>
      <c r="R1" s="429"/>
      <c r="S1" s="429"/>
      <c r="T1" s="300"/>
      <c r="U1" s="300"/>
      <c r="V1" s="300"/>
      <c r="W1" s="300"/>
      <c r="X1" s="301"/>
    </row>
    <row r="2" spans="1:24" ht="20.100000000000001" customHeight="1" x14ac:dyDescent="0.25">
      <c r="A2" s="427"/>
      <c r="B2" s="302"/>
      <c r="C2" s="411"/>
      <c r="D2" s="376"/>
      <c r="E2" s="376"/>
      <c r="F2" s="376"/>
      <c r="G2" s="430"/>
      <c r="H2" s="430"/>
      <c r="I2" s="430"/>
      <c r="J2" s="430"/>
      <c r="K2" s="430"/>
      <c r="L2" s="430"/>
      <c r="M2" s="430"/>
      <c r="N2" s="430"/>
      <c r="O2" s="430"/>
      <c r="P2" s="430"/>
      <c r="Q2" s="430"/>
      <c r="R2" s="430"/>
      <c r="S2" s="430"/>
      <c r="T2" s="431" t="s">
        <v>292</v>
      </c>
      <c r="U2" s="431"/>
      <c r="V2" s="431"/>
      <c r="W2" s="431"/>
      <c r="X2" s="413" t="s">
        <v>372</v>
      </c>
    </row>
    <row r="3" spans="1:24" ht="6" customHeight="1" thickBot="1" x14ac:dyDescent="0.3">
      <c r="A3" s="428"/>
      <c r="B3" s="303"/>
      <c r="C3" s="376"/>
      <c r="D3" s="376"/>
      <c r="E3" s="376"/>
      <c r="F3" s="376"/>
      <c r="G3" s="430"/>
      <c r="H3" s="430"/>
      <c r="I3" s="430"/>
      <c r="J3" s="430"/>
      <c r="K3" s="430"/>
      <c r="L3" s="430"/>
      <c r="M3" s="430"/>
      <c r="N3" s="430"/>
      <c r="O3" s="430"/>
      <c r="P3" s="430"/>
      <c r="Q3" s="430"/>
      <c r="R3" s="430"/>
      <c r="S3" s="430"/>
      <c r="T3" s="304"/>
      <c r="U3" s="304"/>
      <c r="V3" s="304"/>
      <c r="W3" s="304"/>
      <c r="X3" s="305"/>
    </row>
    <row r="4" spans="1:24" ht="6" customHeight="1" x14ac:dyDescent="0.25">
      <c r="B4" s="113"/>
      <c r="C4" s="114"/>
      <c r="D4" s="114"/>
      <c r="E4" s="114"/>
      <c r="F4" s="114"/>
      <c r="G4" s="114"/>
      <c r="H4" s="114"/>
      <c r="I4" s="114"/>
      <c r="J4" s="114"/>
      <c r="K4" s="114"/>
      <c r="L4" s="114"/>
      <c r="M4" s="114"/>
      <c r="N4" s="114"/>
      <c r="O4" s="114"/>
      <c r="P4" s="114"/>
      <c r="Q4" s="114"/>
      <c r="R4" s="114"/>
      <c r="S4" s="114"/>
      <c r="T4" s="114"/>
      <c r="U4" s="114"/>
      <c r="V4" s="114"/>
      <c r="W4" s="114"/>
      <c r="X4" s="115"/>
    </row>
    <row r="5" spans="1:24" ht="15" customHeight="1" x14ac:dyDescent="0.25">
      <c r="A5" s="389" t="s">
        <v>341</v>
      </c>
      <c r="B5" s="113"/>
      <c r="C5" s="425" t="s">
        <v>291</v>
      </c>
      <c r="D5" s="425"/>
      <c r="E5" s="425"/>
      <c r="F5" s="425"/>
      <c r="G5" s="114"/>
      <c r="H5" s="415" t="s">
        <v>274</v>
      </c>
      <c r="I5" s="415"/>
      <c r="J5" s="415"/>
      <c r="K5" s="415"/>
      <c r="L5" s="415"/>
      <c r="M5" s="415"/>
      <c r="N5" s="415"/>
      <c r="O5" s="415"/>
      <c r="P5" s="415"/>
      <c r="Q5" s="415"/>
      <c r="R5" s="415"/>
      <c r="S5" s="114"/>
      <c r="T5" s="423" t="s">
        <v>282</v>
      </c>
      <c r="U5" s="423"/>
      <c r="V5" s="423"/>
      <c r="W5" s="423"/>
      <c r="X5" s="115"/>
    </row>
    <row r="6" spans="1:24" ht="6" customHeight="1" x14ac:dyDescent="0.25">
      <c r="B6" s="113"/>
      <c r="C6" s="425"/>
      <c r="D6" s="425"/>
      <c r="E6" s="425"/>
      <c r="F6" s="425"/>
      <c r="G6" s="114"/>
      <c r="H6" s="114"/>
      <c r="I6" s="114"/>
      <c r="J6" s="114"/>
      <c r="K6" s="114"/>
      <c r="L6" s="114"/>
      <c r="M6" s="114"/>
      <c r="N6" s="114"/>
      <c r="O6" s="114"/>
      <c r="P6" s="114"/>
      <c r="Q6" s="114"/>
      <c r="R6" s="114"/>
      <c r="S6" s="114"/>
      <c r="T6" s="423"/>
      <c r="U6" s="423"/>
      <c r="V6" s="423"/>
      <c r="W6" s="423"/>
      <c r="X6" s="115"/>
    </row>
    <row r="7" spans="1:24" ht="15.75" customHeight="1" x14ac:dyDescent="0.25">
      <c r="B7" s="113"/>
      <c r="C7" s="425"/>
      <c r="D7" s="425"/>
      <c r="E7" s="425"/>
      <c r="F7" s="425"/>
      <c r="G7" s="114"/>
      <c r="H7" s="116"/>
      <c r="I7" s="116"/>
      <c r="J7" s="416" t="s">
        <v>0</v>
      </c>
      <c r="K7" s="416"/>
      <c r="L7" s="416"/>
      <c r="M7" s="416"/>
      <c r="N7" s="416"/>
      <c r="O7" s="416"/>
      <c r="P7" s="416"/>
      <c r="Q7" s="114"/>
      <c r="R7" s="114"/>
      <c r="S7" s="114"/>
      <c r="T7" s="114"/>
      <c r="U7" s="114"/>
      <c r="V7" s="114"/>
      <c r="W7" s="114"/>
      <c r="X7" s="115"/>
    </row>
    <row r="8" spans="1:24" ht="6" customHeight="1" x14ac:dyDescent="0.25">
      <c r="B8" s="113"/>
      <c r="C8" s="114"/>
      <c r="D8" s="114"/>
      <c r="E8" s="114"/>
      <c r="F8" s="114"/>
      <c r="G8" s="114"/>
      <c r="H8" s="114"/>
      <c r="I8" s="114"/>
      <c r="J8" s="114"/>
      <c r="K8" s="114"/>
      <c r="L8" s="114"/>
      <c r="M8" s="114"/>
      <c r="N8" s="114"/>
      <c r="O8" s="114"/>
      <c r="P8" s="114"/>
      <c r="Q8" s="114"/>
      <c r="R8" s="114"/>
      <c r="S8" s="114"/>
      <c r="T8" s="422" t="s">
        <v>277</v>
      </c>
      <c r="U8" s="422"/>
      <c r="V8" s="422"/>
      <c r="W8" s="422"/>
      <c r="X8" s="115"/>
    </row>
    <row r="9" spans="1:24" x14ac:dyDescent="0.25">
      <c r="B9" s="113"/>
      <c r="C9" s="114"/>
      <c r="D9" s="114"/>
      <c r="E9" s="114"/>
      <c r="F9" s="114"/>
      <c r="G9" s="114"/>
      <c r="H9" s="114"/>
      <c r="I9" s="114"/>
      <c r="J9" s="114"/>
      <c r="K9" s="415" t="s">
        <v>1</v>
      </c>
      <c r="L9" s="415"/>
      <c r="M9" s="415"/>
      <c r="N9" s="415"/>
      <c r="O9" s="415"/>
      <c r="P9" s="114"/>
      <c r="Q9" s="114"/>
      <c r="R9" s="114"/>
      <c r="S9" s="114"/>
      <c r="T9" s="422"/>
      <c r="U9" s="422"/>
      <c r="V9" s="422"/>
      <c r="W9" s="422"/>
      <c r="X9" s="115"/>
    </row>
    <row r="10" spans="1:24" ht="6" customHeight="1" x14ac:dyDescent="0.25">
      <c r="B10" s="113"/>
      <c r="C10" s="114"/>
      <c r="D10" s="114"/>
      <c r="E10" s="114"/>
      <c r="F10" s="114"/>
      <c r="G10" s="114"/>
      <c r="H10" s="114"/>
      <c r="I10" s="114"/>
      <c r="J10" s="114"/>
      <c r="K10" s="114"/>
      <c r="L10" s="114"/>
      <c r="M10" s="114"/>
      <c r="N10" s="114"/>
      <c r="O10" s="114"/>
      <c r="P10" s="114"/>
      <c r="Q10" s="114"/>
      <c r="R10" s="114"/>
      <c r="S10" s="114"/>
      <c r="T10" s="114"/>
      <c r="U10" s="114"/>
      <c r="V10" s="114"/>
      <c r="W10" s="114"/>
      <c r="X10" s="115"/>
    </row>
    <row r="11" spans="1:24" x14ac:dyDescent="0.25">
      <c r="B11" s="113"/>
      <c r="C11" s="424" t="s">
        <v>2</v>
      </c>
      <c r="D11" s="424"/>
      <c r="E11" s="424"/>
      <c r="F11" s="424"/>
      <c r="G11" s="114"/>
      <c r="H11" s="114"/>
      <c r="I11" s="114"/>
      <c r="J11" s="114"/>
      <c r="K11" s="417" t="s">
        <v>339</v>
      </c>
      <c r="L11" s="417"/>
      <c r="M11" s="417"/>
      <c r="N11" s="417"/>
      <c r="O11" s="417"/>
      <c r="P11" s="117"/>
      <c r="Q11" s="114"/>
      <c r="R11" s="114"/>
      <c r="S11" s="114"/>
      <c r="T11" s="432" t="s">
        <v>332</v>
      </c>
      <c r="U11" s="432"/>
      <c r="V11" s="432"/>
      <c r="W11" s="432"/>
      <c r="X11" s="115"/>
    </row>
    <row r="12" spans="1:24" ht="6" customHeight="1" x14ac:dyDescent="0.25">
      <c r="B12" s="113"/>
      <c r="C12" s="114"/>
      <c r="D12" s="114"/>
      <c r="E12" s="114"/>
      <c r="F12" s="114"/>
      <c r="G12" s="114"/>
      <c r="H12" s="114"/>
      <c r="I12" s="114"/>
      <c r="J12" s="114"/>
      <c r="K12" s="114"/>
      <c r="L12" s="114"/>
      <c r="M12" s="114"/>
      <c r="N12" s="114"/>
      <c r="O12" s="114"/>
      <c r="P12" s="114"/>
      <c r="Q12" s="114"/>
      <c r="R12" s="114"/>
      <c r="S12" s="114"/>
      <c r="T12" s="114"/>
      <c r="U12" s="114"/>
      <c r="V12" s="114"/>
      <c r="W12" s="114"/>
      <c r="X12" s="115"/>
    </row>
    <row r="13" spans="1:24" ht="15" customHeight="1" x14ac:dyDescent="0.25">
      <c r="B13" s="113"/>
      <c r="C13" s="114"/>
      <c r="D13" s="433" t="s">
        <v>322</v>
      </c>
      <c r="E13" s="433"/>
      <c r="F13" s="433"/>
      <c r="G13" s="433"/>
      <c r="H13" s="433"/>
      <c r="I13" s="433"/>
      <c r="J13" s="433"/>
      <c r="K13" s="433"/>
      <c r="L13" s="433"/>
      <c r="M13" s="433"/>
      <c r="N13" s="433"/>
      <c r="O13" s="433"/>
      <c r="P13" s="433"/>
      <c r="Q13" s="433"/>
      <c r="R13" s="433"/>
      <c r="S13" s="433"/>
      <c r="T13" s="433"/>
      <c r="U13" s="433"/>
      <c r="V13" s="433"/>
      <c r="W13" s="433"/>
      <c r="X13" s="115"/>
    </row>
    <row r="14" spans="1:24" ht="6" customHeight="1" x14ac:dyDescent="0.25">
      <c r="B14" s="113"/>
      <c r="C14" s="114"/>
      <c r="D14" s="433"/>
      <c r="E14" s="433"/>
      <c r="F14" s="433"/>
      <c r="G14" s="433"/>
      <c r="H14" s="433"/>
      <c r="I14" s="433"/>
      <c r="J14" s="433"/>
      <c r="K14" s="433"/>
      <c r="L14" s="433"/>
      <c r="M14" s="433"/>
      <c r="N14" s="433"/>
      <c r="O14" s="433"/>
      <c r="P14" s="433"/>
      <c r="Q14" s="433"/>
      <c r="R14" s="433"/>
      <c r="S14" s="433"/>
      <c r="T14" s="433"/>
      <c r="U14" s="433"/>
      <c r="V14" s="433"/>
      <c r="W14" s="433"/>
      <c r="X14" s="115"/>
    </row>
    <row r="15" spans="1:24" x14ac:dyDescent="0.25">
      <c r="B15" s="113"/>
      <c r="C15" s="114"/>
      <c r="D15" s="433"/>
      <c r="E15" s="433"/>
      <c r="F15" s="433"/>
      <c r="G15" s="433"/>
      <c r="H15" s="433"/>
      <c r="I15" s="433"/>
      <c r="J15" s="433"/>
      <c r="K15" s="433"/>
      <c r="L15" s="433"/>
      <c r="M15" s="433"/>
      <c r="N15" s="433"/>
      <c r="O15" s="433"/>
      <c r="P15" s="433"/>
      <c r="Q15" s="433"/>
      <c r="R15" s="433"/>
      <c r="S15" s="433"/>
      <c r="T15" s="433"/>
      <c r="U15" s="433"/>
      <c r="V15" s="433"/>
      <c r="W15" s="433"/>
      <c r="X15" s="115"/>
    </row>
    <row r="16" spans="1:24" ht="6" customHeight="1" x14ac:dyDescent="0.25">
      <c r="B16" s="113"/>
      <c r="C16" s="114"/>
      <c r="D16" s="433"/>
      <c r="E16" s="433"/>
      <c r="F16" s="433"/>
      <c r="G16" s="433"/>
      <c r="H16" s="433"/>
      <c r="I16" s="433"/>
      <c r="J16" s="433"/>
      <c r="K16" s="433"/>
      <c r="L16" s="433"/>
      <c r="M16" s="433"/>
      <c r="N16" s="433"/>
      <c r="O16" s="433"/>
      <c r="P16" s="433"/>
      <c r="Q16" s="433"/>
      <c r="R16" s="433"/>
      <c r="S16" s="433"/>
      <c r="T16" s="433"/>
      <c r="U16" s="433"/>
      <c r="V16" s="433"/>
      <c r="W16" s="433"/>
      <c r="X16" s="115"/>
    </row>
    <row r="17" spans="2:24" x14ac:dyDescent="0.25">
      <c r="B17" s="113"/>
      <c r="C17" s="114"/>
      <c r="D17" s="433"/>
      <c r="E17" s="433"/>
      <c r="F17" s="433"/>
      <c r="G17" s="433"/>
      <c r="H17" s="433"/>
      <c r="I17" s="433"/>
      <c r="J17" s="433"/>
      <c r="K17" s="433"/>
      <c r="L17" s="433"/>
      <c r="M17" s="433"/>
      <c r="N17" s="433"/>
      <c r="O17" s="433"/>
      <c r="P17" s="433"/>
      <c r="Q17" s="433"/>
      <c r="R17" s="433"/>
      <c r="S17" s="433"/>
      <c r="T17" s="433"/>
      <c r="U17" s="433"/>
      <c r="V17" s="433"/>
      <c r="W17" s="433"/>
      <c r="X17" s="115"/>
    </row>
    <row r="18" spans="2:24" ht="6" customHeight="1" x14ac:dyDescent="0.25">
      <c r="B18" s="113"/>
      <c r="C18" s="114"/>
      <c r="D18" s="433"/>
      <c r="E18" s="433"/>
      <c r="F18" s="433"/>
      <c r="G18" s="433"/>
      <c r="H18" s="433"/>
      <c r="I18" s="433"/>
      <c r="J18" s="433"/>
      <c r="K18" s="433"/>
      <c r="L18" s="433"/>
      <c r="M18" s="433"/>
      <c r="N18" s="433"/>
      <c r="O18" s="433"/>
      <c r="P18" s="433"/>
      <c r="Q18" s="433"/>
      <c r="R18" s="433"/>
      <c r="S18" s="433"/>
      <c r="T18" s="433"/>
      <c r="U18" s="433"/>
      <c r="V18" s="433"/>
      <c r="W18" s="433"/>
      <c r="X18" s="115"/>
    </row>
    <row r="19" spans="2:24" x14ac:dyDescent="0.25">
      <c r="B19" s="113"/>
      <c r="C19" s="114"/>
      <c r="D19" s="433"/>
      <c r="E19" s="433"/>
      <c r="F19" s="433"/>
      <c r="G19" s="433"/>
      <c r="H19" s="433"/>
      <c r="I19" s="433"/>
      <c r="J19" s="433"/>
      <c r="K19" s="433"/>
      <c r="L19" s="433"/>
      <c r="M19" s="433"/>
      <c r="N19" s="433"/>
      <c r="O19" s="433"/>
      <c r="P19" s="433"/>
      <c r="Q19" s="433"/>
      <c r="R19" s="433"/>
      <c r="S19" s="433"/>
      <c r="T19" s="433"/>
      <c r="U19" s="433"/>
      <c r="V19" s="433"/>
      <c r="W19" s="433"/>
      <c r="X19" s="115"/>
    </row>
    <row r="20" spans="2:24" ht="6" customHeight="1" x14ac:dyDescent="0.25">
      <c r="B20" s="113"/>
      <c r="C20" s="114"/>
      <c r="D20" s="433"/>
      <c r="E20" s="433"/>
      <c r="F20" s="433"/>
      <c r="G20" s="433"/>
      <c r="H20" s="433"/>
      <c r="I20" s="433"/>
      <c r="J20" s="433"/>
      <c r="K20" s="433"/>
      <c r="L20" s="433"/>
      <c r="M20" s="433"/>
      <c r="N20" s="433"/>
      <c r="O20" s="433"/>
      <c r="P20" s="433"/>
      <c r="Q20" s="433"/>
      <c r="R20" s="433"/>
      <c r="S20" s="433"/>
      <c r="T20" s="433"/>
      <c r="U20" s="433"/>
      <c r="V20" s="433"/>
      <c r="W20" s="433"/>
      <c r="X20" s="115"/>
    </row>
    <row r="21" spans="2:24" x14ac:dyDescent="0.25">
      <c r="B21" s="113"/>
      <c r="C21" s="114"/>
      <c r="D21" s="433"/>
      <c r="E21" s="433"/>
      <c r="F21" s="433"/>
      <c r="G21" s="433"/>
      <c r="H21" s="433"/>
      <c r="I21" s="433"/>
      <c r="J21" s="433"/>
      <c r="K21" s="433"/>
      <c r="L21" s="433"/>
      <c r="M21" s="433"/>
      <c r="N21" s="433"/>
      <c r="O21" s="433"/>
      <c r="P21" s="433"/>
      <c r="Q21" s="433"/>
      <c r="R21" s="433"/>
      <c r="S21" s="433"/>
      <c r="T21" s="433"/>
      <c r="U21" s="433"/>
      <c r="V21" s="433"/>
      <c r="W21" s="433"/>
      <c r="X21" s="115"/>
    </row>
    <row r="22" spans="2:24" ht="6" customHeight="1" x14ac:dyDescent="0.25">
      <c r="B22" s="113"/>
      <c r="C22" s="114"/>
      <c r="D22" s="433"/>
      <c r="E22" s="433"/>
      <c r="F22" s="433"/>
      <c r="G22" s="433"/>
      <c r="H22" s="433"/>
      <c r="I22" s="433"/>
      <c r="J22" s="433"/>
      <c r="K22" s="433"/>
      <c r="L22" s="433"/>
      <c r="M22" s="433"/>
      <c r="N22" s="433"/>
      <c r="O22" s="433"/>
      <c r="P22" s="433"/>
      <c r="Q22" s="433"/>
      <c r="R22" s="433"/>
      <c r="S22" s="433"/>
      <c r="T22" s="433"/>
      <c r="U22" s="433"/>
      <c r="V22" s="433"/>
      <c r="W22" s="433"/>
      <c r="X22" s="115"/>
    </row>
    <row r="23" spans="2:24" x14ac:dyDescent="0.25">
      <c r="B23" s="113"/>
      <c r="C23" s="114"/>
      <c r="D23" s="433"/>
      <c r="E23" s="433"/>
      <c r="F23" s="433"/>
      <c r="G23" s="433"/>
      <c r="H23" s="433"/>
      <c r="I23" s="433"/>
      <c r="J23" s="433"/>
      <c r="K23" s="433"/>
      <c r="L23" s="433"/>
      <c r="M23" s="433"/>
      <c r="N23" s="433"/>
      <c r="O23" s="433"/>
      <c r="P23" s="433"/>
      <c r="Q23" s="433"/>
      <c r="R23" s="433"/>
      <c r="S23" s="433"/>
      <c r="T23" s="433"/>
      <c r="U23" s="433"/>
      <c r="V23" s="433"/>
      <c r="W23" s="433"/>
      <c r="X23" s="115"/>
    </row>
    <row r="24" spans="2:24" ht="6" customHeight="1" x14ac:dyDescent="0.25">
      <c r="B24" s="113"/>
      <c r="C24" s="114"/>
      <c r="D24" s="433"/>
      <c r="E24" s="433"/>
      <c r="F24" s="433"/>
      <c r="G24" s="433"/>
      <c r="H24" s="433"/>
      <c r="I24" s="433"/>
      <c r="J24" s="433"/>
      <c r="K24" s="433"/>
      <c r="L24" s="433"/>
      <c r="M24" s="433"/>
      <c r="N24" s="433"/>
      <c r="O24" s="433"/>
      <c r="P24" s="433"/>
      <c r="Q24" s="433"/>
      <c r="R24" s="433"/>
      <c r="S24" s="433"/>
      <c r="T24" s="433"/>
      <c r="U24" s="433"/>
      <c r="V24" s="433"/>
      <c r="W24" s="433"/>
      <c r="X24" s="115"/>
    </row>
    <row r="25" spans="2:24" x14ac:dyDescent="0.25">
      <c r="B25" s="113"/>
      <c r="C25" s="114"/>
      <c r="D25" s="433"/>
      <c r="E25" s="433"/>
      <c r="F25" s="433"/>
      <c r="G25" s="433"/>
      <c r="H25" s="433"/>
      <c r="I25" s="433"/>
      <c r="J25" s="433"/>
      <c r="K25" s="433"/>
      <c r="L25" s="433"/>
      <c r="M25" s="433"/>
      <c r="N25" s="433"/>
      <c r="O25" s="433"/>
      <c r="P25" s="433"/>
      <c r="Q25" s="433"/>
      <c r="R25" s="433"/>
      <c r="S25" s="433"/>
      <c r="T25" s="433"/>
      <c r="U25" s="433"/>
      <c r="V25" s="433"/>
      <c r="W25" s="433"/>
      <c r="X25" s="115"/>
    </row>
    <row r="26" spans="2:24" ht="6" customHeight="1" x14ac:dyDescent="0.25">
      <c r="B26" s="113"/>
      <c r="C26" s="114"/>
      <c r="D26" s="414" t="s">
        <v>284</v>
      </c>
      <c r="E26" s="414"/>
      <c r="F26" s="414"/>
      <c r="G26" s="414"/>
      <c r="H26" s="414"/>
      <c r="I26" s="414"/>
      <c r="J26" s="414"/>
      <c r="K26" s="414"/>
      <c r="L26" s="414"/>
      <c r="M26" s="414"/>
      <c r="N26" s="414"/>
      <c r="O26" s="414"/>
      <c r="P26" s="414"/>
      <c r="Q26" s="414"/>
      <c r="R26" s="118"/>
      <c r="S26" s="118"/>
      <c r="T26" s="118"/>
      <c r="U26" s="118"/>
      <c r="V26" s="118"/>
      <c r="W26" s="118"/>
      <c r="X26" s="115"/>
    </row>
    <row r="27" spans="2:24" ht="15" customHeight="1" x14ac:dyDescent="0.25">
      <c r="B27" s="113"/>
      <c r="C27" s="114"/>
      <c r="D27" s="414"/>
      <c r="E27" s="414"/>
      <c r="F27" s="414"/>
      <c r="G27" s="414"/>
      <c r="H27" s="414"/>
      <c r="I27" s="414"/>
      <c r="J27" s="414"/>
      <c r="K27" s="414"/>
      <c r="L27" s="414"/>
      <c r="M27" s="414"/>
      <c r="N27" s="414"/>
      <c r="O27" s="414"/>
      <c r="P27" s="414"/>
      <c r="Q27" s="414"/>
      <c r="R27" s="118"/>
      <c r="S27" s="118"/>
      <c r="T27" s="118"/>
      <c r="U27" s="118"/>
      <c r="V27" s="118"/>
      <c r="W27" s="118"/>
      <c r="X27" s="115"/>
    </row>
    <row r="28" spans="2:24" ht="6" customHeight="1" x14ac:dyDescent="0.25">
      <c r="B28" s="113"/>
      <c r="C28" s="114"/>
      <c r="D28" s="414"/>
      <c r="E28" s="414"/>
      <c r="F28" s="414"/>
      <c r="G28" s="414"/>
      <c r="H28" s="414"/>
      <c r="I28" s="414"/>
      <c r="J28" s="414"/>
      <c r="K28" s="414"/>
      <c r="L28" s="414"/>
      <c r="M28" s="414"/>
      <c r="N28" s="414"/>
      <c r="O28" s="414"/>
      <c r="P28" s="414"/>
      <c r="Q28" s="414"/>
      <c r="R28" s="118"/>
      <c r="S28" s="118"/>
      <c r="T28" s="118"/>
      <c r="U28" s="118"/>
      <c r="V28" s="118"/>
      <c r="W28" s="118"/>
      <c r="X28" s="115"/>
    </row>
    <row r="29" spans="2:24" ht="15" customHeight="1" x14ac:dyDescent="0.25">
      <c r="B29" s="113"/>
      <c r="C29" s="114"/>
      <c r="D29" s="414"/>
      <c r="E29" s="414"/>
      <c r="F29" s="414"/>
      <c r="G29" s="414"/>
      <c r="H29" s="414"/>
      <c r="I29" s="414"/>
      <c r="J29" s="414"/>
      <c r="K29" s="414"/>
      <c r="L29" s="414"/>
      <c r="M29" s="414"/>
      <c r="N29" s="414"/>
      <c r="O29" s="414"/>
      <c r="P29" s="414"/>
      <c r="Q29" s="414"/>
      <c r="R29" s="418"/>
      <c r="S29" s="418"/>
      <c r="T29" s="418"/>
      <c r="U29" s="418"/>
      <c r="V29" s="418"/>
      <c r="W29" s="418"/>
      <c r="X29" s="419"/>
    </row>
    <row r="30" spans="2:24" ht="6" customHeight="1" x14ac:dyDescent="0.25">
      <c r="B30" s="113"/>
      <c r="C30" s="114"/>
      <c r="D30" s="414"/>
      <c r="E30" s="414"/>
      <c r="F30" s="414"/>
      <c r="G30" s="414"/>
      <c r="H30" s="414"/>
      <c r="I30" s="414"/>
      <c r="J30" s="414"/>
      <c r="K30" s="414"/>
      <c r="L30" s="414"/>
      <c r="M30" s="414"/>
      <c r="N30" s="414"/>
      <c r="O30" s="414"/>
      <c r="P30" s="414"/>
      <c r="Q30" s="414"/>
      <c r="R30" s="418"/>
      <c r="S30" s="418"/>
      <c r="T30" s="418"/>
      <c r="U30" s="418"/>
      <c r="V30" s="418"/>
      <c r="W30" s="418"/>
      <c r="X30" s="419"/>
    </row>
    <row r="31" spans="2:24" x14ac:dyDescent="0.25">
      <c r="B31" s="113"/>
      <c r="C31" s="114"/>
      <c r="D31" s="414"/>
      <c r="E31" s="414"/>
      <c r="F31" s="414"/>
      <c r="G31" s="414"/>
      <c r="H31" s="414"/>
      <c r="I31" s="414"/>
      <c r="J31" s="414"/>
      <c r="K31" s="414"/>
      <c r="L31" s="414"/>
      <c r="M31" s="414"/>
      <c r="N31" s="414"/>
      <c r="O31" s="414"/>
      <c r="P31" s="414"/>
      <c r="Q31" s="414"/>
      <c r="R31" s="418"/>
      <c r="S31" s="418"/>
      <c r="T31" s="418"/>
      <c r="U31" s="418"/>
      <c r="V31" s="418"/>
      <c r="W31" s="418"/>
      <c r="X31" s="419"/>
    </row>
    <row r="32" spans="2:24" ht="6" customHeight="1" x14ac:dyDescent="0.25">
      <c r="B32" s="113"/>
      <c r="C32" s="114"/>
      <c r="D32" s="414"/>
      <c r="E32" s="414"/>
      <c r="F32" s="414"/>
      <c r="G32" s="414"/>
      <c r="H32" s="414"/>
      <c r="I32" s="414"/>
      <c r="J32" s="414"/>
      <c r="K32" s="414"/>
      <c r="L32" s="414"/>
      <c r="M32" s="414"/>
      <c r="N32" s="414"/>
      <c r="O32" s="414"/>
      <c r="P32" s="414"/>
      <c r="Q32" s="414"/>
      <c r="R32" s="418"/>
      <c r="S32" s="418"/>
      <c r="T32" s="418"/>
      <c r="U32" s="418"/>
      <c r="V32" s="418"/>
      <c r="W32" s="418"/>
      <c r="X32" s="419"/>
    </row>
    <row r="33" spans="1:24" x14ac:dyDescent="0.25">
      <c r="B33" s="113"/>
      <c r="C33" s="114"/>
      <c r="D33" s="414"/>
      <c r="E33" s="414"/>
      <c r="F33" s="414"/>
      <c r="G33" s="414"/>
      <c r="H33" s="414"/>
      <c r="I33" s="414"/>
      <c r="J33" s="414"/>
      <c r="K33" s="414"/>
      <c r="L33" s="414"/>
      <c r="M33" s="414"/>
      <c r="N33" s="414"/>
      <c r="O33" s="414"/>
      <c r="P33" s="414"/>
      <c r="Q33" s="414"/>
      <c r="R33" s="418"/>
      <c r="S33" s="418"/>
      <c r="T33" s="418"/>
      <c r="U33" s="418"/>
      <c r="V33" s="418"/>
      <c r="W33" s="418"/>
      <c r="X33" s="419"/>
    </row>
    <row r="34" spans="1:24" ht="6" customHeight="1" x14ac:dyDescent="0.25">
      <c r="B34" s="113"/>
      <c r="C34" s="114"/>
      <c r="D34" s="414"/>
      <c r="E34" s="414"/>
      <c r="F34" s="414"/>
      <c r="G34" s="414"/>
      <c r="H34" s="414"/>
      <c r="I34" s="414"/>
      <c r="J34" s="414"/>
      <c r="K34" s="414"/>
      <c r="L34" s="414"/>
      <c r="M34" s="414"/>
      <c r="N34" s="414"/>
      <c r="O34" s="414"/>
      <c r="P34" s="414"/>
      <c r="Q34" s="414"/>
      <c r="R34" s="418"/>
      <c r="S34" s="418"/>
      <c r="T34" s="418"/>
      <c r="U34" s="418"/>
      <c r="V34" s="418"/>
      <c r="W34" s="418"/>
      <c r="X34" s="419"/>
    </row>
    <row r="35" spans="1:24" x14ac:dyDescent="0.25">
      <c r="B35" s="113"/>
      <c r="C35" s="114"/>
      <c r="D35" s="414"/>
      <c r="E35" s="414"/>
      <c r="F35" s="414"/>
      <c r="G35" s="414"/>
      <c r="H35" s="414"/>
      <c r="I35" s="414"/>
      <c r="J35" s="414"/>
      <c r="K35" s="414"/>
      <c r="L35" s="414"/>
      <c r="M35" s="414"/>
      <c r="N35" s="414"/>
      <c r="O35" s="414"/>
      <c r="P35" s="414"/>
      <c r="Q35" s="414"/>
      <c r="R35" s="418"/>
      <c r="S35" s="418"/>
      <c r="T35" s="418"/>
      <c r="U35" s="418"/>
      <c r="V35" s="418"/>
      <c r="W35" s="418"/>
      <c r="X35" s="419"/>
    </row>
    <row r="36" spans="1:24" ht="9.9499999999999993" customHeight="1" thickBot="1" x14ac:dyDescent="0.3">
      <c r="B36" s="410"/>
      <c r="C36" s="119"/>
      <c r="D36" s="119"/>
      <c r="E36" s="119"/>
      <c r="F36" s="119"/>
      <c r="G36" s="119"/>
      <c r="H36" s="119"/>
      <c r="I36" s="119"/>
      <c r="J36" s="119"/>
      <c r="K36" s="119"/>
      <c r="L36" s="119"/>
      <c r="M36" s="119"/>
      <c r="N36" s="119"/>
      <c r="O36" s="119"/>
      <c r="P36" s="119"/>
      <c r="Q36" s="119"/>
      <c r="R36" s="420"/>
      <c r="S36" s="420"/>
      <c r="T36" s="420"/>
      <c r="U36" s="420"/>
      <c r="V36" s="420"/>
      <c r="W36" s="420"/>
      <c r="X36" s="421"/>
    </row>
    <row r="37" spans="1:24" ht="16.5" hidden="1" thickTop="1" thickBot="1" x14ac:dyDescent="0.3">
      <c r="A37" s="382" t="str">
        <f>VLOOKUP(A5,A38:B45,2,0)</f>
        <v>S</v>
      </c>
      <c r="B37" s="1" t="s">
        <v>363</v>
      </c>
      <c r="C37" s="1" t="s">
        <v>3</v>
      </c>
      <c r="D37" s="1" t="b">
        <v>1</v>
      </c>
    </row>
    <row r="38" spans="1:24" hidden="1" x14ac:dyDescent="0.25">
      <c r="A38" s="383" t="s">
        <v>341</v>
      </c>
      <c r="B38" s="384" t="s">
        <v>349</v>
      </c>
    </row>
    <row r="39" spans="1:24" hidden="1" x14ac:dyDescent="0.25">
      <c r="A39" s="385" t="s">
        <v>342</v>
      </c>
      <c r="B39" s="386" t="s">
        <v>24</v>
      </c>
    </row>
    <row r="40" spans="1:24" hidden="1" x14ac:dyDescent="0.25">
      <c r="A40" s="385" t="s">
        <v>343</v>
      </c>
      <c r="B40" s="386" t="s">
        <v>347</v>
      </c>
    </row>
    <row r="41" spans="1:24" hidden="1" x14ac:dyDescent="0.25">
      <c r="A41" s="385" t="s">
        <v>344</v>
      </c>
      <c r="B41" s="386" t="s">
        <v>348</v>
      </c>
    </row>
    <row r="42" spans="1:24" hidden="1" x14ac:dyDescent="0.25">
      <c r="A42" s="385" t="s">
        <v>345</v>
      </c>
      <c r="B42" s="386" t="s">
        <v>346</v>
      </c>
    </row>
    <row r="43" spans="1:24" hidden="1" x14ac:dyDescent="0.25">
      <c r="A43" s="385"/>
      <c r="B43" s="386"/>
    </row>
    <row r="44" spans="1:24" hidden="1" x14ac:dyDescent="0.25">
      <c r="A44" s="385"/>
      <c r="B44" s="386"/>
    </row>
    <row r="45" spans="1:24" ht="15.75" hidden="1" thickBot="1" x14ac:dyDescent="0.3">
      <c r="A45" s="387"/>
      <c r="B45" s="388"/>
    </row>
    <row r="46" spans="1:24" ht="15.75" thickTop="1" x14ac:dyDescent="0.25"/>
  </sheetData>
  <sheetProtection algorithmName="SHA-512" hashValue="RwOj9kZYZfwV6CvztW/oAb2y9B1umgYCxkxMsrQwoxqURBA04Hi/JnhJJSxqtnP9pciR0C2L0K+J9w0U6Lwc5w==" saltValue="TjfPPQB12yqsOLoriTzXAA==" spinCount="100000" sheet="1" objects="1" scenarios="1" selectLockedCells="1"/>
  <mergeCells count="15">
    <mergeCell ref="A1:A3"/>
    <mergeCell ref="G1:S3"/>
    <mergeCell ref="T2:W2"/>
    <mergeCell ref="T11:W11"/>
    <mergeCell ref="D13:W25"/>
    <mergeCell ref="D26:Q35"/>
    <mergeCell ref="H5:R5"/>
    <mergeCell ref="J7:P7"/>
    <mergeCell ref="K9:O9"/>
    <mergeCell ref="K11:O11"/>
    <mergeCell ref="R29:X36"/>
    <mergeCell ref="T8:W9"/>
    <mergeCell ref="T5:W6"/>
    <mergeCell ref="C11:F11"/>
    <mergeCell ref="C5:F7"/>
  </mergeCells>
  <dataValidations disablePrompts="1" count="1">
    <dataValidation type="list" allowBlank="1" showInputMessage="1" showErrorMessage="1" sqref="A5">
      <formula1>$A$38:$A$42</formula1>
    </dataValidation>
  </dataValidations>
  <hyperlinks>
    <hyperlink ref="K11" r:id="rId1"/>
    <hyperlink ref="J7:P7" r:id="rId2" display="MILAGROS HUERTA GÓMEZ DE MERODIO"/>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dimension ref="A1:AM47"/>
  <sheetViews>
    <sheetView showGridLines="0" showRowColHeaders="0" zoomScale="139" zoomScaleNormal="139" workbookViewId="0">
      <pane xSplit="38" ySplit="73" topLeftCell="AM74" activePane="bottomRight" state="frozen"/>
      <selection pane="topRight" activeCell="AM1" sqref="AM1"/>
      <selection pane="bottomLeft" activeCell="A74" sqref="A74"/>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11.85546875" bestFit="1" customWidth="1"/>
  </cols>
  <sheetData>
    <row r="1" spans="1:26" ht="6" customHeight="1" thickTop="1" x14ac:dyDescent="0.25">
      <c r="A1" s="426" t="str">
        <f>'Formulario OM'!A1</f>
        <v>CÓDIGOS ESPECIALES</v>
      </c>
      <c r="B1" s="443" t="str">
        <f>APP&amp;" - "&amp;DG_0_S</f>
        <v>FastTest PlugIn - DATOS GENERALES</v>
      </c>
      <c r="C1" s="444"/>
      <c r="D1" s="444"/>
      <c r="E1" s="444"/>
      <c r="F1" s="444"/>
      <c r="G1" s="444"/>
      <c r="H1" s="444"/>
      <c r="I1" s="444"/>
      <c r="J1" s="444"/>
      <c r="K1" s="444"/>
      <c r="L1" s="444"/>
      <c r="M1" s="444"/>
      <c r="N1" s="444"/>
      <c r="O1" s="444"/>
      <c r="P1" s="444"/>
      <c r="Q1" s="444"/>
      <c r="R1" s="444"/>
      <c r="S1" s="444"/>
      <c r="T1" s="444"/>
      <c r="U1" s="300"/>
      <c r="V1" s="300"/>
      <c r="W1" s="300"/>
      <c r="X1" s="301"/>
      <c r="Y1" s="447" t="s">
        <v>283</v>
      </c>
    </row>
    <row r="2" spans="1:26" ht="20.100000000000001" customHeight="1" x14ac:dyDescent="0.25">
      <c r="A2" s="427"/>
      <c r="B2" s="445"/>
      <c r="C2" s="446"/>
      <c r="D2" s="446"/>
      <c r="E2" s="446"/>
      <c r="F2" s="446"/>
      <c r="G2" s="446"/>
      <c r="H2" s="446"/>
      <c r="I2" s="446"/>
      <c r="J2" s="446"/>
      <c r="K2" s="446"/>
      <c r="L2" s="446"/>
      <c r="M2" s="446"/>
      <c r="N2" s="446"/>
      <c r="O2" s="446"/>
      <c r="P2" s="446"/>
      <c r="Q2" s="446"/>
      <c r="R2" s="446"/>
      <c r="S2" s="446"/>
      <c r="T2" s="446"/>
      <c r="U2" s="431" t="s">
        <v>293</v>
      </c>
      <c r="V2" s="431"/>
      <c r="W2" s="431"/>
      <c r="X2" s="413" t="s">
        <v>372</v>
      </c>
      <c r="Y2" s="448"/>
      <c r="Z2" s="374"/>
    </row>
    <row r="3" spans="1:26" ht="6" customHeight="1" thickBot="1" x14ac:dyDescent="0.3">
      <c r="A3" s="428"/>
      <c r="B3" s="445"/>
      <c r="C3" s="446"/>
      <c r="D3" s="446"/>
      <c r="E3" s="446"/>
      <c r="F3" s="446"/>
      <c r="G3" s="446"/>
      <c r="H3" s="446"/>
      <c r="I3" s="446"/>
      <c r="J3" s="446"/>
      <c r="K3" s="446"/>
      <c r="L3" s="446"/>
      <c r="M3" s="446"/>
      <c r="N3" s="446"/>
      <c r="O3" s="446"/>
      <c r="P3" s="446"/>
      <c r="Q3" s="446"/>
      <c r="R3" s="446"/>
      <c r="S3" s="446"/>
      <c r="T3" s="446"/>
      <c r="U3" s="304"/>
      <c r="V3" s="304"/>
      <c r="W3" s="304"/>
      <c r="X3" s="305"/>
      <c r="Y3" s="449"/>
      <c r="Z3" s="374"/>
    </row>
    <row r="4" spans="1:26" ht="6" customHeight="1" thickBot="1" x14ac:dyDescent="0.3">
      <c r="A4" s="321"/>
      <c r="B4" s="310"/>
      <c r="C4" s="311"/>
      <c r="D4" s="311"/>
      <c r="E4" s="311"/>
      <c r="F4" s="311"/>
      <c r="G4" s="311"/>
      <c r="H4" s="311"/>
      <c r="I4" s="311"/>
      <c r="J4" s="311"/>
      <c r="K4" s="461">
        <v>1</v>
      </c>
      <c r="L4" s="461"/>
      <c r="M4" s="312"/>
      <c r="N4" s="312"/>
      <c r="O4" s="312"/>
      <c r="P4" s="312"/>
      <c r="Q4" s="312"/>
      <c r="R4" s="312"/>
      <c r="S4" s="312"/>
      <c r="T4" s="312"/>
      <c r="U4" s="312"/>
      <c r="V4" s="312"/>
      <c r="W4" s="312"/>
      <c r="X4" s="313"/>
      <c r="Z4" s="374"/>
    </row>
    <row r="5" spans="1:26" ht="15" customHeight="1" x14ac:dyDescent="0.25">
      <c r="A5" s="324" t="str">
        <f>'Formulario OM'!A5</f>
        <v>FÓRMULA</v>
      </c>
      <c r="B5" s="120"/>
      <c r="C5" s="121"/>
      <c r="D5" s="122"/>
      <c r="E5" s="122"/>
      <c r="F5" s="122"/>
      <c r="G5" s="122"/>
      <c r="H5" s="122"/>
      <c r="I5" s="123"/>
      <c r="J5" s="124" t="s">
        <v>338</v>
      </c>
      <c r="K5" s="437">
        <f>Tipo_Cuestionario_Num</f>
        <v>1</v>
      </c>
      <c r="L5" s="437"/>
      <c r="M5" s="437"/>
      <c r="N5" s="437"/>
      <c r="O5" s="437"/>
      <c r="P5" s="118"/>
      <c r="Q5" s="118"/>
      <c r="R5" s="439" t="str">
        <f ca="1">IF(Tipo_Cuestionario_Cod="Q","","Rango de preguntas almacenadas de la "&amp;P_Min&amp;" a la "&amp;P_Max)</f>
        <v>Rango de preguntas almacenadas de la 0 a la 0</v>
      </c>
      <c r="S5" s="439"/>
      <c r="T5" s="439"/>
      <c r="U5" s="439"/>
      <c r="V5" s="439"/>
      <c r="W5" s="439"/>
      <c r="X5" s="115"/>
      <c r="Y5" s="378" t="s">
        <v>307</v>
      </c>
      <c r="Z5" s="373" t="str">
        <f>Categ_01</f>
        <v>TEMA 01</v>
      </c>
    </row>
    <row r="6" spans="1:26" ht="6" customHeight="1" x14ac:dyDescent="0.25">
      <c r="A6" s="35"/>
      <c r="B6" s="120"/>
      <c r="C6" s="121"/>
      <c r="D6" s="122"/>
      <c r="E6" s="122"/>
      <c r="F6" s="122"/>
      <c r="G6" s="122"/>
      <c r="H6" s="122"/>
      <c r="I6" s="122"/>
      <c r="J6" s="122"/>
      <c r="K6" s="314">
        <v>1</v>
      </c>
      <c r="L6" s="118"/>
      <c r="M6" s="118"/>
      <c r="N6" s="118"/>
      <c r="O6" s="118"/>
      <c r="P6" s="118"/>
      <c r="Q6" s="118"/>
      <c r="R6" s="118"/>
      <c r="S6" s="118"/>
      <c r="T6" s="118"/>
      <c r="U6" s="118"/>
      <c r="V6" s="118"/>
      <c r="W6" s="118"/>
      <c r="X6" s="115"/>
      <c r="Z6" s="373" t="str">
        <f>Categ_02</f>
        <v>TEMA 02</v>
      </c>
    </row>
    <row r="7" spans="1:26" ht="15" customHeight="1" x14ac:dyDescent="0.25">
      <c r="A7" s="324" t="str">
        <f>'Formulario OM'!A7</f>
        <v>SUPERÍNDICE</v>
      </c>
      <c r="B7" s="120"/>
      <c r="C7" s="121"/>
      <c r="D7" s="122"/>
      <c r="E7" s="122"/>
      <c r="F7" s="122"/>
      <c r="G7" s="122"/>
      <c r="H7" s="122"/>
      <c r="I7" s="122"/>
      <c r="J7" s="124" t="s">
        <v>301</v>
      </c>
      <c r="K7" s="434" t="s">
        <v>307</v>
      </c>
      <c r="L7" s="434"/>
      <c r="M7" s="434"/>
      <c r="N7" s="434"/>
      <c r="O7" s="434"/>
      <c r="P7" s="118"/>
      <c r="Q7" s="118"/>
      <c r="R7" s="125" t="s">
        <v>37</v>
      </c>
      <c r="S7" s="438"/>
      <c r="T7" s="438"/>
      <c r="U7" s="438"/>
      <c r="V7" s="438"/>
      <c r="W7" s="438"/>
      <c r="X7" s="115"/>
      <c r="Y7" s="378" t="s">
        <v>308</v>
      </c>
      <c r="Z7" s="373" t="str">
        <f>Categ_03</f>
        <v>TEMA 03</v>
      </c>
    </row>
    <row r="8" spans="1:26" ht="6" customHeight="1" x14ac:dyDescent="0.25">
      <c r="A8" s="36"/>
      <c r="B8" s="120"/>
      <c r="C8" s="121"/>
      <c r="D8" s="122"/>
      <c r="E8" s="122"/>
      <c r="F8" s="122"/>
      <c r="G8" s="122"/>
      <c r="H8" s="122"/>
      <c r="I8" s="122"/>
      <c r="J8" s="122"/>
      <c r="K8" s="118"/>
      <c r="L8" s="118"/>
      <c r="M8" s="118"/>
      <c r="N8" s="118"/>
      <c r="O8" s="118"/>
      <c r="P8" s="118"/>
      <c r="Q8" s="118"/>
      <c r="R8" s="126"/>
      <c r="S8" s="118"/>
      <c r="T8" s="118"/>
      <c r="U8" s="118"/>
      <c r="V8" s="118"/>
      <c r="W8" s="118"/>
      <c r="X8" s="115"/>
      <c r="Z8" s="373" t="str">
        <f>Categ_04</f>
        <v>TEMA 04</v>
      </c>
    </row>
    <row r="9" spans="1:26" x14ac:dyDescent="0.25">
      <c r="A9" s="324" t="str">
        <f>'Formulario OM'!A9</f>
        <v>SUBÍNDICE</v>
      </c>
      <c r="B9" s="120"/>
      <c r="C9" s="121"/>
      <c r="D9" s="122"/>
      <c r="E9" s="122"/>
      <c r="F9" s="122"/>
      <c r="G9" s="122"/>
      <c r="H9" s="122"/>
      <c r="I9" s="122"/>
      <c r="J9" s="124" t="s">
        <v>302</v>
      </c>
      <c r="K9" s="434" t="s">
        <v>330</v>
      </c>
      <c r="L9" s="434"/>
      <c r="M9" s="434"/>
      <c r="N9" s="434"/>
      <c r="O9" s="434"/>
      <c r="P9" s="118"/>
      <c r="Q9" s="118"/>
      <c r="R9" s="125" t="s">
        <v>37</v>
      </c>
      <c r="S9" s="436" t="s">
        <v>259</v>
      </c>
      <c r="T9" s="436"/>
      <c r="U9" s="436"/>
      <c r="V9" s="436"/>
      <c r="W9" s="436"/>
      <c r="X9" s="115"/>
      <c r="Y9" s="378" t="s">
        <v>309</v>
      </c>
      <c r="Z9" s="373" t="str">
        <f>Categ_05</f>
        <v>TEMA 05</v>
      </c>
    </row>
    <row r="10" spans="1:26" ht="6" customHeight="1" x14ac:dyDescent="0.25">
      <c r="A10" s="35"/>
      <c r="B10" s="120"/>
      <c r="C10" s="121"/>
      <c r="D10" s="122"/>
      <c r="E10" s="122"/>
      <c r="F10" s="122"/>
      <c r="G10" s="122"/>
      <c r="H10" s="122"/>
      <c r="I10" s="122"/>
      <c r="J10" s="122"/>
      <c r="K10" s="118"/>
      <c r="L10" s="118"/>
      <c r="M10" s="118"/>
      <c r="N10" s="118"/>
      <c r="O10" s="118"/>
      <c r="P10" s="118"/>
      <c r="Q10" s="118"/>
      <c r="R10" s="126"/>
      <c r="S10" s="118"/>
      <c r="T10" s="118"/>
      <c r="U10" s="118"/>
      <c r="V10" s="118"/>
      <c r="W10" s="118"/>
      <c r="X10" s="115"/>
      <c r="Z10" s="373" t="str">
        <f>Categ_06</f>
        <v>TEMA 06</v>
      </c>
    </row>
    <row r="11" spans="1:26" x14ac:dyDescent="0.25">
      <c r="A11" s="324" t="str">
        <f>'Formulario OM'!A11</f>
        <v xml:space="preserve">SALTO LÍNEA </v>
      </c>
      <c r="B11" s="120"/>
      <c r="C11" s="121"/>
      <c r="D11" s="122"/>
      <c r="E11" s="122"/>
      <c r="F11" s="122"/>
      <c r="G11" s="122"/>
      <c r="H11" s="122"/>
      <c r="I11" s="122"/>
      <c r="J11" s="124" t="s">
        <v>4</v>
      </c>
      <c r="K11" s="434" t="s">
        <v>365</v>
      </c>
      <c r="L11" s="434"/>
      <c r="M11" s="434"/>
      <c r="N11" s="434"/>
      <c r="O11" s="434"/>
      <c r="P11" s="118"/>
      <c r="Q11" s="118"/>
      <c r="R11" s="125" t="s">
        <v>38</v>
      </c>
      <c r="S11" s="6">
        <v>1</v>
      </c>
      <c r="T11" s="118"/>
      <c r="U11" s="118"/>
      <c r="V11" s="118"/>
      <c r="W11" s="118"/>
      <c r="X11" s="115"/>
      <c r="Y11" s="378" t="s">
        <v>310</v>
      </c>
      <c r="Z11" s="373" t="str">
        <f>Categ_07</f>
        <v>TEMA 07</v>
      </c>
    </row>
    <row r="12" spans="1:26" ht="6" customHeight="1" thickBot="1" x14ac:dyDescent="0.3">
      <c r="A12" s="2"/>
      <c r="B12" s="120"/>
      <c r="C12" s="121"/>
      <c r="D12" s="122"/>
      <c r="E12" s="122"/>
      <c r="F12" s="122"/>
      <c r="G12" s="122"/>
      <c r="H12" s="122"/>
      <c r="I12" s="122"/>
      <c r="J12" s="122"/>
      <c r="K12" s="118"/>
      <c r="L12" s="118"/>
      <c r="M12" s="118"/>
      <c r="N12" s="118"/>
      <c r="O12" s="118"/>
      <c r="P12" s="118"/>
      <c r="Q12" s="118"/>
      <c r="R12" s="126"/>
      <c r="S12" s="118"/>
      <c r="T12" s="118"/>
      <c r="U12" s="118"/>
      <c r="V12" s="118"/>
      <c r="W12" s="118"/>
      <c r="X12" s="115"/>
      <c r="Z12" s="373" t="str">
        <f>Categ_08</f>
        <v>TEMA 08</v>
      </c>
    </row>
    <row r="13" spans="1:26" x14ac:dyDescent="0.25">
      <c r="A13" s="324" t="str">
        <f>'Formulario OM'!A13</f>
        <v>CONCATENAR</v>
      </c>
      <c r="B13" s="120"/>
      <c r="C13" s="121"/>
      <c r="D13" s="122"/>
      <c r="E13" s="122"/>
      <c r="F13" s="122"/>
      <c r="G13" s="122"/>
      <c r="H13" s="122"/>
      <c r="I13" s="122"/>
      <c r="J13" s="122"/>
      <c r="K13" s="118"/>
      <c r="L13" s="118"/>
      <c r="M13" s="118"/>
      <c r="N13" s="118"/>
      <c r="O13" s="118"/>
      <c r="P13" s="118"/>
      <c r="Q13" s="118"/>
      <c r="R13" s="125" t="s">
        <v>39</v>
      </c>
      <c r="S13" s="323">
        <f>1/3</f>
        <v>0.33333333333333331</v>
      </c>
      <c r="T13" s="118"/>
      <c r="U13" s="118"/>
      <c r="V13" s="118"/>
      <c r="W13" s="118"/>
      <c r="X13" s="115"/>
      <c r="Y13" s="378" t="s">
        <v>311</v>
      </c>
      <c r="Z13" s="373" t="str">
        <f>Categ_09</f>
        <v>TEMA 09</v>
      </c>
    </row>
    <row r="14" spans="1:26" ht="6" customHeight="1" x14ac:dyDescent="0.25">
      <c r="B14" s="120"/>
      <c r="C14" s="121"/>
      <c r="D14" s="122"/>
      <c r="E14" s="122"/>
      <c r="F14" s="122"/>
      <c r="G14" s="122"/>
      <c r="H14" s="122"/>
      <c r="I14" s="122"/>
      <c r="J14" s="122"/>
      <c r="K14" s="118"/>
      <c r="L14" s="118"/>
      <c r="M14" s="118"/>
      <c r="N14" s="118"/>
      <c r="O14" s="118"/>
      <c r="P14" s="118"/>
      <c r="Q14" s="118"/>
      <c r="R14" s="126"/>
      <c r="S14" s="118"/>
      <c r="T14" s="118"/>
      <c r="U14" s="118"/>
      <c r="V14" s="118"/>
      <c r="W14" s="118"/>
      <c r="X14" s="115"/>
      <c r="Z14" s="373" t="str">
        <f>Categ_10</f>
        <v>TEMA 10</v>
      </c>
    </row>
    <row r="15" spans="1:26" x14ac:dyDescent="0.25">
      <c r="A15" s="412"/>
      <c r="B15" s="120"/>
      <c r="C15" s="121"/>
      <c r="D15" s="122"/>
      <c r="E15" s="122"/>
      <c r="F15" s="122"/>
      <c r="G15" s="122"/>
      <c r="H15" s="122"/>
      <c r="I15" s="122"/>
      <c r="J15" s="127" t="s">
        <v>5</v>
      </c>
      <c r="K15" s="322"/>
      <c r="L15" s="118"/>
      <c r="M15" s="118"/>
      <c r="N15" s="118"/>
      <c r="O15" s="118"/>
      <c r="P15" s="118"/>
      <c r="Q15" s="118"/>
      <c r="R15" s="125" t="s">
        <v>40</v>
      </c>
      <c r="S15" s="6">
        <v>0</v>
      </c>
      <c r="T15" s="118"/>
      <c r="U15" s="118"/>
      <c r="V15" s="118"/>
      <c r="W15" s="118"/>
      <c r="X15" s="115"/>
      <c r="Y15" s="378" t="s">
        <v>312</v>
      </c>
      <c r="Z15" s="373" t="str">
        <f>SubCat_01</f>
        <v>01_OM_1RESP</v>
      </c>
    </row>
    <row r="16" spans="1:26" ht="6" customHeight="1" thickBot="1" x14ac:dyDescent="0.3">
      <c r="B16" s="120"/>
      <c r="C16" s="121"/>
      <c r="D16" s="122"/>
      <c r="E16" s="122"/>
      <c r="F16" s="122"/>
      <c r="G16" s="122"/>
      <c r="H16" s="122"/>
      <c r="I16" s="122"/>
      <c r="J16" s="122"/>
      <c r="K16" s="118"/>
      <c r="L16" s="118"/>
      <c r="M16" s="118"/>
      <c r="N16" s="118"/>
      <c r="O16" s="118"/>
      <c r="P16" s="118"/>
      <c r="Q16" s="118"/>
      <c r="R16" s="118"/>
      <c r="S16" s="122"/>
      <c r="T16" s="118"/>
      <c r="U16" s="118"/>
      <c r="V16" s="118"/>
      <c r="W16" s="118"/>
      <c r="X16" s="115"/>
      <c r="Z16" s="373" t="str">
        <f>SubCat_02</f>
        <v>02_OM_VRESP</v>
      </c>
    </row>
    <row r="17" spans="1:39" ht="15" customHeight="1" x14ac:dyDescent="0.25">
      <c r="A17" s="440" t="s">
        <v>306</v>
      </c>
      <c r="B17" s="120"/>
      <c r="C17" s="121"/>
      <c r="D17" s="122"/>
      <c r="E17" s="122"/>
      <c r="F17" s="122"/>
      <c r="G17" s="122"/>
      <c r="H17" s="122"/>
      <c r="I17" s="122"/>
      <c r="J17" s="127" t="s">
        <v>6</v>
      </c>
      <c r="K17" s="435" t="s">
        <v>366</v>
      </c>
      <c r="L17" s="435"/>
      <c r="M17" s="435"/>
      <c r="N17" s="435"/>
      <c r="O17" s="435"/>
      <c r="P17" s="435"/>
      <c r="Q17" s="435"/>
      <c r="R17" s="170"/>
      <c r="S17" s="450" t="s">
        <v>327</v>
      </c>
      <c r="T17" s="450"/>
      <c r="U17" s="450"/>
      <c r="V17" s="450"/>
      <c r="W17" s="450"/>
      <c r="X17" s="115"/>
      <c r="Y17" s="378" t="s">
        <v>313</v>
      </c>
      <c r="Z17" s="373" t="str">
        <f>SubCat_03</f>
        <v>03_VERD_FALSO</v>
      </c>
    </row>
    <row r="18" spans="1:39" ht="6" customHeight="1" x14ac:dyDescent="0.25">
      <c r="A18" s="441"/>
      <c r="B18" s="120"/>
      <c r="C18" s="121"/>
      <c r="D18" s="122"/>
      <c r="E18" s="122"/>
      <c r="F18" s="122"/>
      <c r="G18" s="122"/>
      <c r="H18" s="122"/>
      <c r="I18" s="122"/>
      <c r="J18" s="122"/>
      <c r="K18" s="118"/>
      <c r="L18" s="118"/>
      <c r="M18" s="118"/>
      <c r="N18" s="118"/>
      <c r="O18" s="118"/>
      <c r="P18" s="118"/>
      <c r="Q18" s="118"/>
      <c r="R18" s="170"/>
      <c r="S18" s="306"/>
      <c r="T18" s="298"/>
      <c r="U18" s="298"/>
      <c r="V18" s="298"/>
      <c r="W18" s="298"/>
      <c r="X18" s="115"/>
      <c r="Z18" s="373" t="str">
        <f>SubCat_04</f>
        <v>04_EMPAREJAR</v>
      </c>
    </row>
    <row r="19" spans="1:39" ht="15.75" thickBot="1" x14ac:dyDescent="0.3">
      <c r="A19" s="442"/>
      <c r="B19" s="120"/>
      <c r="C19" s="121"/>
      <c r="D19" s="122"/>
      <c r="E19" s="122"/>
      <c r="F19" s="122"/>
      <c r="G19" s="122"/>
      <c r="H19" s="122"/>
      <c r="I19" s="122"/>
      <c r="J19" s="127" t="s">
        <v>303</v>
      </c>
      <c r="K19" s="435" t="s">
        <v>367</v>
      </c>
      <c r="L19" s="435"/>
      <c r="M19" s="435"/>
      <c r="N19" s="435"/>
      <c r="O19" s="435"/>
      <c r="P19" s="435"/>
      <c r="Q19" s="435"/>
      <c r="R19" s="170"/>
      <c r="S19" s="450" t="s">
        <v>326</v>
      </c>
      <c r="T19" s="450"/>
      <c r="U19" s="450"/>
      <c r="V19" s="450"/>
      <c r="W19" s="450"/>
      <c r="X19" s="115"/>
      <c r="Y19" s="378" t="s">
        <v>314</v>
      </c>
      <c r="Z19" s="373" t="str">
        <f>SubCat_05</f>
        <v>05_R_CORTA</v>
      </c>
    </row>
    <row r="20" spans="1:39" ht="6" customHeight="1" x14ac:dyDescent="0.25">
      <c r="A20" s="326"/>
      <c r="B20" s="120"/>
      <c r="C20" s="121"/>
      <c r="D20" s="122"/>
      <c r="E20" s="122"/>
      <c r="F20" s="122"/>
      <c r="G20" s="122"/>
      <c r="H20" s="122"/>
      <c r="I20" s="122"/>
      <c r="J20" s="122"/>
      <c r="K20" s="118"/>
      <c r="L20" s="118"/>
      <c r="M20" s="118"/>
      <c r="N20" s="118"/>
      <c r="O20" s="118"/>
      <c r="P20" s="118"/>
      <c r="Q20" s="118"/>
      <c r="R20" s="118"/>
      <c r="S20" s="298"/>
      <c r="T20" s="298"/>
      <c r="U20" s="298"/>
      <c r="V20" s="298"/>
      <c r="W20" s="298"/>
      <c r="X20" s="115"/>
      <c r="Z20" s="373" t="str">
        <f>SubCat_06</f>
        <v>06_P_PERDIDA</v>
      </c>
    </row>
    <row r="21" spans="1:39" x14ac:dyDescent="0.25">
      <c r="A21" s="324" t="str">
        <f>'Formulario OM'!A21</f>
        <v>ACTIVAR</v>
      </c>
      <c r="B21" s="120"/>
      <c r="C21" s="121"/>
      <c r="D21" s="122"/>
      <c r="E21" s="122"/>
      <c r="F21" s="122"/>
      <c r="G21" s="122"/>
      <c r="H21" s="122"/>
      <c r="I21" s="122"/>
      <c r="J21" s="127" t="s">
        <v>7</v>
      </c>
      <c r="K21" s="435" t="s">
        <v>368</v>
      </c>
      <c r="L21" s="435"/>
      <c r="M21" s="435"/>
      <c r="N21" s="435"/>
      <c r="O21" s="435"/>
      <c r="P21" s="435"/>
      <c r="Q21" s="435"/>
      <c r="R21" s="118"/>
      <c r="S21" s="450" t="s">
        <v>335</v>
      </c>
      <c r="T21" s="450"/>
      <c r="U21" s="450"/>
      <c r="V21" s="450"/>
      <c r="W21" s="450"/>
      <c r="X21" s="115"/>
      <c r="Y21" s="378" t="s">
        <v>315</v>
      </c>
      <c r="Z21" s="374"/>
    </row>
    <row r="22" spans="1:39" ht="6" customHeight="1" thickBot="1" x14ac:dyDescent="0.3">
      <c r="A22" s="2"/>
      <c r="B22" s="120"/>
      <c r="C22" s="121"/>
      <c r="D22" s="122"/>
      <c r="E22" s="122"/>
      <c r="F22" s="122"/>
      <c r="G22" s="122"/>
      <c r="H22" s="122"/>
      <c r="I22" s="122"/>
      <c r="J22" s="122"/>
      <c r="K22" s="118"/>
      <c r="L22" s="118"/>
      <c r="M22" s="118"/>
      <c r="N22" s="118"/>
      <c r="O22" s="118"/>
      <c r="P22" s="118"/>
      <c r="Q22" s="118"/>
      <c r="R22" s="118"/>
      <c r="S22" s="298"/>
      <c r="T22" s="298"/>
      <c r="U22" s="298"/>
      <c r="V22" s="298"/>
      <c r="W22" s="298"/>
      <c r="X22" s="115"/>
      <c r="Z22" s="374"/>
    </row>
    <row r="23" spans="1:39" x14ac:dyDescent="0.25">
      <c r="A23" s="324" t="str">
        <f>'Formulario OM'!A23</f>
        <v>DESACTIVAR</v>
      </c>
      <c r="B23" s="120"/>
      <c r="C23" s="121"/>
      <c r="D23" s="122"/>
      <c r="E23" s="122"/>
      <c r="F23" s="122"/>
      <c r="G23" s="122"/>
      <c r="H23" s="122"/>
      <c r="I23" s="122"/>
      <c r="J23" s="127" t="s">
        <v>8</v>
      </c>
      <c r="K23" s="435" t="s">
        <v>364</v>
      </c>
      <c r="L23" s="435"/>
      <c r="M23" s="435"/>
      <c r="N23" s="435"/>
      <c r="O23" s="435"/>
      <c r="P23" s="435"/>
      <c r="Q23" s="435"/>
      <c r="R23" s="118"/>
      <c r="S23" s="450" t="s">
        <v>336</v>
      </c>
      <c r="T23" s="450"/>
      <c r="U23" s="450"/>
      <c r="V23" s="450"/>
      <c r="W23" s="450"/>
      <c r="X23" s="115"/>
      <c r="Y23" s="378" t="s">
        <v>316</v>
      </c>
      <c r="Z23" s="374"/>
    </row>
    <row r="24" spans="1:39" ht="6" customHeight="1" x14ac:dyDescent="0.25">
      <c r="B24" s="120"/>
      <c r="C24" s="121"/>
      <c r="D24" s="122"/>
      <c r="E24" s="122"/>
      <c r="F24" s="122"/>
      <c r="G24" s="122"/>
      <c r="H24" s="122"/>
      <c r="I24" s="122"/>
      <c r="J24" s="122"/>
      <c r="K24" s="118"/>
      <c r="L24" s="118"/>
      <c r="M24" s="118"/>
      <c r="N24" s="118"/>
      <c r="O24" s="118"/>
      <c r="P24" s="118"/>
      <c r="Q24" s="118"/>
      <c r="R24" s="118"/>
      <c r="S24" s="298"/>
      <c r="T24" s="298"/>
      <c r="U24" s="298"/>
      <c r="V24" s="298"/>
      <c r="W24" s="298"/>
      <c r="X24" s="115"/>
      <c r="Y24" s="379"/>
      <c r="Z24" s="374"/>
    </row>
    <row r="25" spans="1:39" x14ac:dyDescent="0.25">
      <c r="B25" s="120"/>
      <c r="C25" s="121"/>
      <c r="D25" s="122"/>
      <c r="E25" s="122"/>
      <c r="F25" s="122"/>
      <c r="G25" s="122"/>
      <c r="H25" s="122"/>
      <c r="I25" s="122"/>
      <c r="J25" s="127" t="s">
        <v>9</v>
      </c>
      <c r="K25" s="6">
        <v>0</v>
      </c>
      <c r="L25" s="118"/>
      <c r="M25" s="460" t="str">
        <f ca="1">IF(OR(N_FINAL&gt;P_Max,N_INICIAL&lt;P_Min),"El rango de preguntas a exportar es diferente al rango de preguntas almacenadas",
  IF(OR(P_Min&lt;N_INICIAL,P_Max&gt;N_FINAL),"El rango de preguntas a exportar no coincide con el Nº total de preguntas.",""))</f>
        <v/>
      </c>
      <c r="N25" s="460"/>
      <c r="O25" s="460"/>
      <c r="P25" s="460"/>
      <c r="Q25" s="118"/>
      <c r="R25" s="118"/>
      <c r="S25" s="450" t="s">
        <v>323</v>
      </c>
      <c r="T25" s="450"/>
      <c r="U25" s="450"/>
      <c r="V25" s="450"/>
      <c r="W25" s="450"/>
      <c r="X25" s="115"/>
      <c r="Y25" s="378" t="s">
        <v>330</v>
      </c>
      <c r="Z25" s="374"/>
    </row>
    <row r="26" spans="1:39" ht="6" customHeight="1" x14ac:dyDescent="0.25">
      <c r="B26" s="120"/>
      <c r="C26" s="121"/>
      <c r="D26" s="122"/>
      <c r="E26" s="122"/>
      <c r="F26" s="122"/>
      <c r="G26" s="122"/>
      <c r="H26" s="122"/>
      <c r="I26" s="122"/>
      <c r="J26" s="122"/>
      <c r="K26" s="118"/>
      <c r="L26" s="118"/>
      <c r="M26" s="460"/>
      <c r="N26" s="460"/>
      <c r="O26" s="460"/>
      <c r="P26" s="460"/>
      <c r="Q26" s="118"/>
      <c r="R26" s="118"/>
      <c r="S26" s="298"/>
      <c r="T26" s="298"/>
      <c r="U26" s="298"/>
      <c r="V26" s="298"/>
      <c r="W26" s="298"/>
      <c r="X26" s="115"/>
      <c r="Z26" s="374"/>
    </row>
    <row r="27" spans="1:39" ht="15" customHeight="1" x14ac:dyDescent="0.25">
      <c r="B27" s="120"/>
      <c r="C27" s="121"/>
      <c r="D27" s="122"/>
      <c r="E27" s="122"/>
      <c r="F27" s="122"/>
      <c r="G27" s="122"/>
      <c r="H27" s="122"/>
      <c r="I27" s="122"/>
      <c r="J27" s="127" t="s">
        <v>10</v>
      </c>
      <c r="K27" s="112">
        <v>0</v>
      </c>
      <c r="L27" s="128"/>
      <c r="M27" s="460"/>
      <c r="N27" s="460"/>
      <c r="O27" s="460"/>
      <c r="P27" s="460"/>
      <c r="Q27" s="118"/>
      <c r="R27" s="118"/>
      <c r="S27" s="450" t="s">
        <v>324</v>
      </c>
      <c r="T27" s="450"/>
      <c r="U27" s="450"/>
      <c r="V27" s="450"/>
      <c r="W27" s="450"/>
      <c r="X27" s="115"/>
      <c r="Y27" s="378" t="s">
        <v>331</v>
      </c>
      <c r="Z27" s="374"/>
      <c r="AM27" t="s">
        <v>325</v>
      </c>
    </row>
    <row r="28" spans="1:39" ht="6" customHeight="1" thickBot="1" x14ac:dyDescent="0.3">
      <c r="B28" s="120"/>
      <c r="C28" s="121"/>
      <c r="D28" s="122"/>
      <c r="E28" s="122"/>
      <c r="F28" s="122"/>
      <c r="G28" s="122"/>
      <c r="H28" s="122"/>
      <c r="I28" s="122"/>
      <c r="J28" s="122"/>
      <c r="K28" s="118"/>
      <c r="L28" s="118"/>
      <c r="M28" s="118"/>
      <c r="N28" s="118"/>
      <c r="O28" s="118"/>
      <c r="P28" s="118"/>
      <c r="Q28" s="118"/>
      <c r="R28" s="118"/>
      <c r="S28" s="118"/>
      <c r="T28" s="118"/>
      <c r="U28" s="118"/>
      <c r="V28" s="118"/>
      <c r="W28" s="118"/>
      <c r="X28" s="115"/>
      <c r="Z28" s="374"/>
    </row>
    <row r="29" spans="1:39" ht="15" customHeight="1" x14ac:dyDescent="0.25">
      <c r="B29" s="120"/>
      <c r="C29" s="121"/>
      <c r="D29" s="122"/>
      <c r="E29" s="122"/>
      <c r="F29" s="122"/>
      <c r="G29" s="122"/>
      <c r="H29" s="122"/>
      <c r="I29" s="122"/>
      <c r="J29" s="127" t="s">
        <v>12</v>
      </c>
      <c r="K29" s="6" t="s">
        <v>25</v>
      </c>
      <c r="L29" s="118"/>
      <c r="M29" s="451" t="s">
        <v>265</v>
      </c>
      <c r="N29" s="452"/>
      <c r="O29" s="452"/>
      <c r="P29" s="453"/>
      <c r="Q29" s="118"/>
      <c r="R29" s="307"/>
      <c r="S29" s="450" t="s">
        <v>328</v>
      </c>
      <c r="T29" s="450"/>
      <c r="U29" s="450"/>
      <c r="V29" s="450"/>
      <c r="W29" s="450"/>
      <c r="X29" s="308"/>
      <c r="Y29" s="378" t="s">
        <v>329</v>
      </c>
      <c r="Z29" s="374"/>
    </row>
    <row r="30" spans="1:39" ht="6" customHeight="1" x14ac:dyDescent="0.25">
      <c r="A30" s="380"/>
      <c r="B30" s="120"/>
      <c r="C30" s="121"/>
      <c r="D30" s="122"/>
      <c r="E30" s="122"/>
      <c r="F30" s="122"/>
      <c r="G30" s="122"/>
      <c r="H30" s="122"/>
      <c r="I30" s="122"/>
      <c r="J30" s="122"/>
      <c r="K30" s="118"/>
      <c r="L30" s="118"/>
      <c r="M30" s="454"/>
      <c r="N30" s="455"/>
      <c r="O30" s="455"/>
      <c r="P30" s="456"/>
      <c r="Q30" s="118"/>
      <c r="R30" s="307"/>
      <c r="S30" s="418"/>
      <c r="T30" s="418"/>
      <c r="U30" s="418"/>
      <c r="V30" s="418"/>
      <c r="W30" s="418"/>
      <c r="X30" s="419"/>
      <c r="Z30" s="374"/>
    </row>
    <row r="31" spans="1:39" ht="15.75" thickBot="1" x14ac:dyDescent="0.3">
      <c r="B31" s="120"/>
      <c r="C31" s="121"/>
      <c r="D31" s="122"/>
      <c r="E31" s="122"/>
      <c r="F31" s="122"/>
      <c r="G31" s="122"/>
      <c r="H31" s="122"/>
      <c r="I31" s="122"/>
      <c r="J31" s="127" t="s">
        <v>11</v>
      </c>
      <c r="K31" s="6" t="s">
        <v>19</v>
      </c>
      <c r="L31" s="118"/>
      <c r="M31" s="457"/>
      <c r="N31" s="458"/>
      <c r="O31" s="458"/>
      <c r="P31" s="459"/>
      <c r="Q31" s="118"/>
      <c r="R31" s="307"/>
      <c r="S31" s="418"/>
      <c r="T31" s="418"/>
      <c r="U31" s="418"/>
      <c r="V31" s="418"/>
      <c r="W31" s="418"/>
      <c r="X31" s="419"/>
      <c r="Y31" s="378" t="s">
        <v>319</v>
      </c>
      <c r="Z31" s="374"/>
    </row>
    <row r="32" spans="1:39" ht="6" customHeight="1" x14ac:dyDescent="0.25">
      <c r="B32" s="120"/>
      <c r="C32" s="121"/>
      <c r="D32" s="122"/>
      <c r="E32" s="122"/>
      <c r="F32" s="122"/>
      <c r="G32" s="122"/>
      <c r="H32" s="122"/>
      <c r="I32" s="122"/>
      <c r="J32" s="122"/>
      <c r="K32" s="118"/>
      <c r="L32" s="118"/>
      <c r="M32" s="118"/>
      <c r="N32" s="118"/>
      <c r="O32" s="118"/>
      <c r="P32" s="118"/>
      <c r="Q32" s="118"/>
      <c r="R32" s="307"/>
      <c r="S32" s="418"/>
      <c r="T32" s="418"/>
      <c r="U32" s="418"/>
      <c r="V32" s="418"/>
      <c r="W32" s="418"/>
      <c r="X32" s="419"/>
    </row>
    <row r="33" spans="1:25" x14ac:dyDescent="0.25">
      <c r="B33" s="120"/>
      <c r="C33" s="121"/>
      <c r="D33" s="122"/>
      <c r="E33" s="122"/>
      <c r="F33" s="122"/>
      <c r="G33" s="122"/>
      <c r="H33" s="122"/>
      <c r="I33" s="122"/>
      <c r="J33" s="127" t="s">
        <v>14</v>
      </c>
      <c r="K33" s="179" t="s">
        <v>25</v>
      </c>
      <c r="L33" s="118"/>
      <c r="M33" s="118"/>
      <c r="N33" s="118"/>
      <c r="O33" s="118"/>
      <c r="P33" s="118"/>
      <c r="Q33" s="118"/>
      <c r="R33" s="307"/>
      <c r="S33" s="418"/>
      <c r="T33" s="418"/>
      <c r="U33" s="418"/>
      <c r="V33" s="418"/>
      <c r="W33" s="418"/>
      <c r="X33" s="419"/>
      <c r="Y33" s="378" t="s">
        <v>318</v>
      </c>
    </row>
    <row r="34" spans="1:25" ht="6" customHeight="1" x14ac:dyDescent="0.25">
      <c r="B34" s="120"/>
      <c r="C34" s="121"/>
      <c r="D34" s="122"/>
      <c r="E34" s="122"/>
      <c r="F34" s="122"/>
      <c r="G34" s="122"/>
      <c r="H34" s="122"/>
      <c r="I34" s="122"/>
      <c r="J34" s="122"/>
      <c r="K34" s="118"/>
      <c r="L34" s="118"/>
      <c r="M34" s="118"/>
      <c r="N34" s="118"/>
      <c r="O34" s="118"/>
      <c r="P34" s="118"/>
      <c r="Q34" s="118"/>
      <c r="R34" s="307"/>
      <c r="S34" s="418"/>
      <c r="T34" s="418"/>
      <c r="U34" s="418"/>
      <c r="V34" s="418"/>
      <c r="W34" s="418"/>
      <c r="X34" s="419"/>
    </row>
    <row r="35" spans="1:25" x14ac:dyDescent="0.25">
      <c r="B35" s="120"/>
      <c r="C35" s="121"/>
      <c r="D35" s="122"/>
      <c r="E35" s="122"/>
      <c r="F35" s="122"/>
      <c r="G35" s="122"/>
      <c r="H35" s="122"/>
      <c r="I35" s="122"/>
      <c r="J35" s="122"/>
      <c r="K35" s="122"/>
      <c r="L35" s="118"/>
      <c r="M35" s="118"/>
      <c r="N35" s="118"/>
      <c r="O35" s="118"/>
      <c r="P35" s="118"/>
      <c r="Q35" s="118"/>
      <c r="R35" s="307"/>
      <c r="S35" s="418"/>
      <c r="T35" s="418"/>
      <c r="U35" s="418"/>
      <c r="V35" s="418"/>
      <c r="W35" s="418"/>
      <c r="X35" s="419"/>
      <c r="Y35" s="378" t="s">
        <v>320</v>
      </c>
    </row>
    <row r="36" spans="1:25" ht="9.9499999999999993" customHeight="1" thickBot="1" x14ac:dyDescent="0.3">
      <c r="B36" s="129"/>
      <c r="C36" s="130"/>
      <c r="D36" s="130"/>
      <c r="E36" s="130"/>
      <c r="F36" s="130"/>
      <c r="G36" s="130"/>
      <c r="H36" s="130"/>
      <c r="I36" s="130"/>
      <c r="J36" s="130"/>
      <c r="K36" s="119"/>
      <c r="L36" s="119"/>
      <c r="M36" s="119"/>
      <c r="N36" s="119"/>
      <c r="O36" s="119"/>
      <c r="P36" s="119"/>
      <c r="Q36" s="119"/>
      <c r="R36" s="309"/>
      <c r="S36" s="420"/>
      <c r="T36" s="420"/>
      <c r="U36" s="420"/>
      <c r="V36" s="420"/>
      <c r="W36" s="420"/>
      <c r="X36" s="421"/>
    </row>
    <row r="37" spans="1:25" s="3" customFormat="1" ht="30" hidden="1" customHeight="1" thickTop="1" thickBot="1" x14ac:dyDescent="0.3">
      <c r="B37" s="217">
        <v>3</v>
      </c>
      <c r="C37" s="218">
        <v>4</v>
      </c>
      <c r="D37" s="219" t="s">
        <v>266</v>
      </c>
      <c r="E37" s="219"/>
      <c r="F37" s="219"/>
      <c r="G37" s="219"/>
      <c r="H37" s="219"/>
      <c r="I37" s="219"/>
      <c r="J37" s="220" t="s">
        <v>272</v>
      </c>
      <c r="K37" s="221" t="s">
        <v>16</v>
      </c>
      <c r="L37" s="227"/>
      <c r="M37" s="224" t="s">
        <v>260</v>
      </c>
      <c r="N37" s="224" t="s">
        <v>261</v>
      </c>
      <c r="O37" s="225" t="s">
        <v>263</v>
      </c>
      <c r="P37" s="226" t="s">
        <v>262</v>
      </c>
      <c r="Q37" s="223" t="s">
        <v>17</v>
      </c>
      <c r="R37" s="219"/>
      <c r="S37" s="219"/>
      <c r="T37" s="219"/>
      <c r="U37" s="219"/>
      <c r="V37" s="219"/>
      <c r="W37" s="219"/>
      <c r="X37" s="222"/>
    </row>
    <row r="38" spans="1:25" s="3" customFormat="1" hidden="1" x14ac:dyDescent="0.25">
      <c r="A38" s="7"/>
      <c r="B38" s="180">
        <v>1</v>
      </c>
      <c r="C38" s="181"/>
      <c r="D38" s="181"/>
      <c r="E38" s="181"/>
      <c r="F38" s="181"/>
      <c r="G38" s="181"/>
      <c r="H38" s="181"/>
      <c r="I38" s="181"/>
      <c r="J38" s="182" t="s">
        <v>267</v>
      </c>
      <c r="K38" s="212" t="s">
        <v>18</v>
      </c>
      <c r="L38" s="295"/>
      <c r="M38" s="207">
        <f t="shared" ref="M38:M43" ca="1" si="0">IF(OR(INDIRECT("'Datos "&amp;K38&amp;"'!H7")="",INDIRECT("'Datos "&amp;K38&amp;"'!H7")=0),0,INDIRECT("'Datos "&amp;K38&amp;"'!A7"))</f>
        <v>0</v>
      </c>
      <c r="N38" s="208">
        <f t="shared" ref="N38" ca="1" si="1">IF(OR(INDIRECT("'Datos "&amp;K38&amp;"'!H7")="",INDIRECT("'Datos "&amp;K38&amp;"'!H7")=0),0,MAX(INDIRECT("'Datos "&amp;K38&amp;"'!A7:A156")))</f>
        <v>0</v>
      </c>
      <c r="O38" s="202">
        <v>0</v>
      </c>
      <c r="P38" s="203">
        <v>1</v>
      </c>
      <c r="Q38" s="196" t="s">
        <v>19</v>
      </c>
      <c r="R38" s="181"/>
      <c r="S38" s="181"/>
      <c r="T38" s="181"/>
      <c r="U38" s="183" t="str">
        <f>IF(OR(NUMERAR_R="",NUMERAR_R="none"),"Las respuestas no tendrán numeración.",NUMERAR_R)</f>
        <v>abc</v>
      </c>
      <c r="V38" s="181"/>
      <c r="W38" s="181"/>
      <c r="X38" s="184">
        <v>6</v>
      </c>
    </row>
    <row r="39" spans="1:25" s="3" customFormat="1" hidden="1" x14ac:dyDescent="0.25">
      <c r="A39" s="7"/>
      <c r="B39" s="185">
        <v>2</v>
      </c>
      <c r="C39" s="7"/>
      <c r="D39" s="7"/>
      <c r="E39" s="7"/>
      <c r="F39" s="7"/>
      <c r="G39" s="7"/>
      <c r="H39" s="7"/>
      <c r="I39" s="7"/>
      <c r="J39" s="8" t="s">
        <v>268</v>
      </c>
      <c r="K39" s="213" t="s">
        <v>269</v>
      </c>
      <c r="L39" s="296"/>
      <c r="M39" s="209">
        <f ca="1">IF(OR(INDIRECT("'Datos "&amp;K39&amp;"'!H7")="",INDIRECT("'Datos "&amp;K39&amp;"'!H7")=0),0,INDIRECT("'Datos "&amp;K39&amp;"'!A7"))</f>
        <v>0</v>
      </c>
      <c r="N39" s="210">
        <f ca="1">IF(OR(INDIRECT("'Datos "&amp;K39&amp;"'!H7")="",INDIRECT("'Datos "&amp;K39&amp;"'!H7")=0),0,MAX(INDIRECT("'Datos "&amp;K39&amp;"'!A7:A156")))</f>
        <v>0</v>
      </c>
      <c r="O39" s="204">
        <v>0</v>
      </c>
      <c r="P39" s="205">
        <v>1</v>
      </c>
      <c r="Q39" s="197" t="s">
        <v>34</v>
      </c>
      <c r="R39" s="7"/>
      <c r="S39" s="7"/>
      <c r="T39" s="7"/>
      <c r="U39" s="11"/>
      <c r="V39" s="10"/>
      <c r="W39" s="7"/>
      <c r="X39" s="186">
        <v>6</v>
      </c>
    </row>
    <row r="40" spans="1:25" s="3" customFormat="1" hidden="1" x14ac:dyDescent="0.25">
      <c r="A40" s="7"/>
      <c r="B40" s="185">
        <v>3</v>
      </c>
      <c r="C40" s="7"/>
      <c r="D40" s="7"/>
      <c r="E40" s="7"/>
      <c r="F40" s="7"/>
      <c r="G40" s="7"/>
      <c r="H40" s="7"/>
      <c r="I40" s="7"/>
      <c r="J40" s="8" t="s">
        <v>20</v>
      </c>
      <c r="K40" s="213" t="s">
        <v>21</v>
      </c>
      <c r="L40" s="296"/>
      <c r="M40" s="209">
        <f t="shared" ca="1" si="0"/>
        <v>0</v>
      </c>
      <c r="N40" s="210">
        <f ca="1">IF(OR(INDIRECT("'Datos "&amp;K40&amp;"'!H7")="",INDIRECT("'Datos "&amp;K40&amp;"'!H7")=0),0,MAX(INDIRECT("'Datos "&amp;K40&amp;"'!A7:A156")))</f>
        <v>0</v>
      </c>
      <c r="O40" s="204">
        <v>10</v>
      </c>
      <c r="P40" s="205">
        <v>21</v>
      </c>
      <c r="Q40" s="197" t="s">
        <v>22</v>
      </c>
      <c r="R40" s="7"/>
      <c r="S40" s="7"/>
      <c r="T40" s="7"/>
      <c r="U40" s="11" t="str">
        <f>IF(BARAJAR_R="true","Las respuestas se barajarán.","Las respuestas NO se barajarán.")</f>
        <v>Las respuestas se barajarán.</v>
      </c>
      <c r="V40" s="7"/>
      <c r="W40" s="7"/>
      <c r="X40" s="186">
        <v>2</v>
      </c>
    </row>
    <row r="41" spans="1:25" s="3" customFormat="1" ht="15.75" hidden="1" x14ac:dyDescent="0.25">
      <c r="A41" s="333"/>
      <c r="B41" s="185">
        <v>4</v>
      </c>
      <c r="C41" s="7"/>
      <c r="D41" s="7"/>
      <c r="E41" s="7"/>
      <c r="F41" s="7"/>
      <c r="G41" s="7"/>
      <c r="H41" s="7"/>
      <c r="I41" s="7"/>
      <c r="J41" s="8" t="s">
        <v>23</v>
      </c>
      <c r="K41" s="213" t="s">
        <v>24</v>
      </c>
      <c r="L41" s="296"/>
      <c r="M41" s="209">
        <f t="shared" ca="1" si="0"/>
        <v>0</v>
      </c>
      <c r="N41" s="210">
        <f t="shared" ref="N41:N43" ca="1" si="2">IF(OR(INDIRECT("'Datos "&amp;K41&amp;"'!H7")="",INDIRECT("'Datos "&amp;K41&amp;"'!H7")=0),0,MAX(INDIRECT("'Datos "&amp;K41&amp;"'!A7:A156")))</f>
        <v>0</v>
      </c>
      <c r="O41" s="204">
        <v>-100</v>
      </c>
      <c r="P41" s="205">
        <v>31</v>
      </c>
      <c r="Q41" s="197">
        <v>123</v>
      </c>
      <c r="R41" s="7"/>
      <c r="S41" s="7"/>
      <c r="T41" s="7"/>
      <c r="U41" s="9" t="s">
        <v>25</v>
      </c>
      <c r="V41" s="7"/>
      <c r="W41" s="7"/>
      <c r="X41" s="186">
        <v>24</v>
      </c>
    </row>
    <row r="42" spans="1:25" s="3" customFormat="1" hidden="1" x14ac:dyDescent="0.25">
      <c r="A42" s="7"/>
      <c r="B42" s="185">
        <v>5</v>
      </c>
      <c r="C42" s="7"/>
      <c r="D42" s="7"/>
      <c r="E42" s="7"/>
      <c r="F42" s="7"/>
      <c r="G42" s="7"/>
      <c r="H42" s="7"/>
      <c r="I42" s="7"/>
      <c r="J42" s="8" t="s">
        <v>26</v>
      </c>
      <c r="K42" s="213" t="s">
        <v>27</v>
      </c>
      <c r="L42" s="296"/>
      <c r="M42" s="209">
        <f t="shared" ca="1" si="0"/>
        <v>0</v>
      </c>
      <c r="N42" s="210">
        <f t="shared" ca="1" si="2"/>
        <v>0</v>
      </c>
      <c r="O42" s="204">
        <v>10</v>
      </c>
      <c r="P42" s="205">
        <v>41</v>
      </c>
      <c r="Q42" s="197" t="s">
        <v>28</v>
      </c>
      <c r="R42" s="7"/>
      <c r="S42" s="7"/>
      <c r="T42" s="7"/>
      <c r="U42" s="9" t="s">
        <v>29</v>
      </c>
      <c r="V42" s="7"/>
      <c r="W42" s="7"/>
      <c r="X42" s="186">
        <v>24</v>
      </c>
    </row>
    <row r="43" spans="1:25" s="3" customFormat="1" hidden="1" x14ac:dyDescent="0.25">
      <c r="A43" s="7"/>
      <c r="B43" s="185">
        <v>6</v>
      </c>
      <c r="C43" s="7"/>
      <c r="D43" s="7"/>
      <c r="E43" s="7"/>
      <c r="F43" s="7"/>
      <c r="G43" s="7"/>
      <c r="H43" s="7"/>
      <c r="I43" s="7"/>
      <c r="J43" s="8" t="s">
        <v>30</v>
      </c>
      <c r="K43" s="213" t="s">
        <v>31</v>
      </c>
      <c r="L43" s="296"/>
      <c r="M43" s="209">
        <f t="shared" ca="1" si="0"/>
        <v>0</v>
      </c>
      <c r="N43" s="210">
        <f t="shared" ca="1" si="2"/>
        <v>0</v>
      </c>
      <c r="O43" s="204">
        <v>10</v>
      </c>
      <c r="P43" s="205">
        <v>51</v>
      </c>
      <c r="Q43" s="197" t="s">
        <v>32</v>
      </c>
      <c r="R43" s="7"/>
      <c r="S43" s="7"/>
      <c r="T43" s="7"/>
      <c r="U43" s="11" t="s">
        <v>270</v>
      </c>
      <c r="V43" s="10"/>
      <c r="W43" s="7"/>
      <c r="X43" s="186">
        <v>24</v>
      </c>
    </row>
    <row r="44" spans="1:25" s="3" customFormat="1" ht="15.75" hidden="1" thickBot="1" x14ac:dyDescent="0.3">
      <c r="A44" s="7"/>
      <c r="B44" s="214">
        <v>7</v>
      </c>
      <c r="C44" s="199"/>
      <c r="D44" s="199"/>
      <c r="E44" s="199"/>
      <c r="F44" s="199"/>
      <c r="G44" s="199"/>
      <c r="H44" s="199"/>
      <c r="I44" s="199"/>
      <c r="J44" s="215" t="s">
        <v>334</v>
      </c>
      <c r="K44" s="216" t="s">
        <v>33</v>
      </c>
      <c r="L44" s="297"/>
      <c r="M44" s="206"/>
      <c r="N44" s="211" t="str">
        <f t="shared" ref="N44" si="3">"'Datos "&amp;K44&amp;"'!A7:A156"</f>
        <v>'Datos Q'!A7:A156</v>
      </c>
      <c r="O44" s="206"/>
      <c r="P44" s="201"/>
      <c r="Q44" s="198"/>
      <c r="R44" s="199"/>
      <c r="S44" s="199"/>
      <c r="T44" s="199"/>
      <c r="U44" s="228" t="s">
        <v>271</v>
      </c>
      <c r="V44" s="200"/>
      <c r="W44" s="199"/>
      <c r="X44" s="201"/>
    </row>
    <row r="45" spans="1:25" s="3" customFormat="1" ht="15.75" hidden="1" thickBot="1" x14ac:dyDescent="0.3">
      <c r="A45" s="7"/>
      <c r="B45" s="187">
        <v>1</v>
      </c>
      <c r="C45" s="188"/>
      <c r="D45" s="188"/>
      <c r="E45" s="188"/>
      <c r="F45" s="188"/>
      <c r="G45" s="189" t="str">
        <f>UPPER(Tipo_Cuestionario_Nom)</f>
        <v>OPCIÓN MÚLTIPLE 1R</v>
      </c>
      <c r="H45" s="188"/>
      <c r="I45" s="188"/>
      <c r="J45" s="190" t="str">
        <f>VLOOKUP($B$45,$B$38:$O$44,9,0)</f>
        <v>Opción Múltiple 1R</v>
      </c>
      <c r="K45" s="191" t="str">
        <f>VLOOKUP($B$45,$B$38:$O$44,10,0)</f>
        <v>OM</v>
      </c>
      <c r="L45" s="188"/>
      <c r="M45" s="191">
        <f ca="1">VLOOKUP($B$45,$B$38:$N$44,12,0)</f>
        <v>0</v>
      </c>
      <c r="N45" s="191">
        <f ca="1">VLOOKUP($B$45,$B$38:$O$44,13,0)</f>
        <v>0</v>
      </c>
      <c r="O45" s="192">
        <f>N_FINAL-N_INICIAL+1</f>
        <v>1</v>
      </c>
      <c r="P45" s="193">
        <v>1</v>
      </c>
      <c r="Q45" s="194" t="s">
        <v>35</v>
      </c>
      <c r="R45" s="188"/>
      <c r="S45" s="188"/>
      <c r="T45" s="188"/>
      <c r="U45" s="188"/>
      <c r="V45" s="188"/>
      <c r="W45" s="188"/>
      <c r="X45" s="195">
        <f>VLOOKUP($B$45,$B$38:$X$44,23,0)</f>
        <v>6</v>
      </c>
    </row>
    <row r="46" spans="1:25" s="3" customFormat="1" hidden="1" x14ac:dyDescent="0.25">
      <c r="B46" s="3">
        <v>1</v>
      </c>
      <c r="O46" s="5" t="s">
        <v>36</v>
      </c>
    </row>
    <row r="47" spans="1:25" ht="15.75" thickTop="1" x14ac:dyDescent="0.25"/>
  </sheetData>
  <sheetProtection algorithmName="SHA-512" hashValue="xRRXq6p0CGNY62p9JRGy9kxLHzH+Re7G1YLQ5xak7+KrIh1IMZoXZC/cZ428Vj5UZHzfK4GbnRHGFTV08MIcyw==" saltValue="h9YGNCnpG6IbYqRJhHoxhg==" spinCount="100000" sheet="1" objects="1" scenarios="1" selectLockedCells="1"/>
  <mergeCells count="27">
    <mergeCell ref="Y1:Y3"/>
    <mergeCell ref="K19:Q19"/>
    <mergeCell ref="S27:W27"/>
    <mergeCell ref="S30:X36"/>
    <mergeCell ref="U2:W2"/>
    <mergeCell ref="M29:P31"/>
    <mergeCell ref="M25:P27"/>
    <mergeCell ref="S17:W17"/>
    <mergeCell ref="S19:W19"/>
    <mergeCell ref="S21:W21"/>
    <mergeCell ref="S23:W23"/>
    <mergeCell ref="S25:W25"/>
    <mergeCell ref="K4:L4"/>
    <mergeCell ref="K21:Q21"/>
    <mergeCell ref="K23:Q23"/>
    <mergeCell ref="S29:W29"/>
    <mergeCell ref="K11:O11"/>
    <mergeCell ref="K17:Q17"/>
    <mergeCell ref="A1:A3"/>
    <mergeCell ref="S9:W9"/>
    <mergeCell ref="K5:O5"/>
    <mergeCell ref="K7:O7"/>
    <mergeCell ref="K9:O9"/>
    <mergeCell ref="S7:W7"/>
    <mergeCell ref="R5:W5"/>
    <mergeCell ref="A17:A19"/>
    <mergeCell ref="B1:T3"/>
  </mergeCells>
  <conditionalFormatting sqref="K33">
    <cfRule type="cellIs" dxfId="106" priority="51" operator="equal">
      <formula>""</formula>
    </cfRule>
  </conditionalFormatting>
  <conditionalFormatting sqref="K31">
    <cfRule type="cellIs" dxfId="105" priority="10" operator="equal">
      <formula>""</formula>
    </cfRule>
  </conditionalFormatting>
  <conditionalFormatting sqref="K29">
    <cfRule type="cellIs" dxfId="104" priority="54" operator="equal">
      <formula>""</formula>
    </cfRule>
  </conditionalFormatting>
  <conditionalFormatting sqref="R5">
    <cfRule type="expression" dxfId="103" priority="2">
      <formula>OR(P_Min&lt;N_INICIAL,P_Max&gt;N_FINAL)</formula>
    </cfRule>
  </conditionalFormatting>
  <conditionalFormatting sqref="K27">
    <cfRule type="cellIs" dxfId="102" priority="120" operator="lessThan">
      <formula>$M$45</formula>
    </cfRule>
    <cfRule type="cellIs" dxfId="101" priority="121" operator="greaterThan">
      <formula>$N$45</formula>
    </cfRule>
  </conditionalFormatting>
  <conditionalFormatting sqref="K25">
    <cfRule type="cellIs" dxfId="100" priority="118" operator="greaterThan">
      <formula>$N$45</formula>
    </cfRule>
    <cfRule type="cellIs" dxfId="99" priority="119" operator="lessThan">
      <formula>M45</formula>
    </cfRule>
  </conditionalFormatting>
  <conditionalFormatting sqref="M25">
    <cfRule type="cellIs" dxfId="98" priority="117" stopIfTrue="1" operator="notEqual">
      <formula>""</formula>
    </cfRule>
  </conditionalFormatting>
  <conditionalFormatting sqref="M29:P31">
    <cfRule type="expression" dxfId="97" priority="1">
      <formula>$M$25=""</formula>
    </cfRule>
  </conditionalFormatting>
  <conditionalFormatting sqref="J33:K33 J31:K31">
    <cfRule type="expression" dxfId="96" priority="154" stopIfTrue="1">
      <formula>AND($B$45&lt;&gt;$B$38,$B$45&lt;&gt;$B$39)</formula>
    </cfRule>
  </conditionalFormatting>
  <conditionalFormatting sqref="J29:K29">
    <cfRule type="expression" dxfId="95" priority="156" stopIfTrue="1">
      <formula>AND($B$45&lt;&gt;$B$38,$B$45&lt;&gt;$B$41,$B$45&lt;&gt;$B$43,$B$45&lt;&gt;$B$39)</formula>
    </cfRule>
  </conditionalFormatting>
  <dataValidations xWindow="108" yWindow="171" count="18">
    <dataValidation type="whole" allowBlank="1" showInputMessage="1" showErrorMessage="1" promptTitle="Puntuación" prompt="Puntos que va a tener cada pregunta. Por defecto MOODLE pone uno, pues este valor se puede cambiar cuando se crea el CUESTIONARIO." sqref="S11">
      <formula1>1</formula1>
      <formula2>100</formula2>
    </dataValidation>
    <dataValidation type="whole" allowBlank="1" showInputMessage="1" showErrorMessage="1" errorTitle="Error_Oculto" error="Solo vale 0 o 1" promptTitle="OCULTO" prompt="Valor para visible y oculto, por defecto hay que poner 0." sqref="S15">
      <formula1>0</formula1>
      <formula2>1</formula2>
    </dataValidation>
    <dataValidation allowBlank="1" showInputMessage="1" showErrorMessage="1" promptTitle="Contraseña" prompt="Si introduces una contraseña o código, debes comunicarlo a los alumnos que van a rellenar el cuestionario." sqref="K15"/>
    <dataValidation type="list" showInputMessage="1" showErrorMessage="1" errorTitle="Error_cuestionario" error="Debes escribir TRUE o FALSE" promptTitle="Barajar respuesta" prompt="Si quieres barajar las respuestas, selecciona true." sqref="K29">
      <formula1>$U$41:$U$42</formula1>
    </dataValidation>
    <dataValidation type="list" showInputMessage="1" showErrorMessage="1" errorTitle="Error_cuestionario" error="Debes escribir TRUE o FALSE" promptTitle="Cuestionario 1 respuesta" prompt="Si el cuestionario solo admite una respuesta, selecciona true." sqref="K33">
      <formula1>$U$41:$U$42</formula1>
    </dataValidation>
    <dataValidation type="whole"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K25">
      <formula1>P_Min</formula1>
      <formula2>P_Max</formula2>
    </dataValidation>
    <dataValidation type="whole" allowBlank="1" showInputMessage="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7">
      <formula1>K25</formula1>
      <formula2>P_Max</formula2>
    </dataValidation>
    <dataValidation type="list" errorStyle="information" allowBlank="1" showInputMessage="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$Z$15:$Z$20</formula1>
    </dataValidation>
    <dataValidation allowBlank="1" showInputMessage="1" showErrorMessage="1" promptTitle="RETROALIMENTACIÓN" prompt="Escribe la respuesta genérica que quieres que se muestre al terminar el cuestionario." sqref="K11:O11"/>
    <dataValidation allowBlank="1" showInputMessage="1" showErrorMessage="1" promptTitle="Respuesta Correcta" prompt="Escribe lo que quieres que se muestre al responder correctamente. Si no quieres poner nada, déjalo en blanco." sqref="K17"/>
    <dataValidation allowBlank="1" showInputMessage="1" showErrorMessage="1" promptTitle="Respuesta no del todo correcta" prompt="Escribe lo que quieres que se muestre al responder de forma parcialmente correcta. Si no quieres poner nada, déjalo en blanco." sqref="K19"/>
    <dataValidation allowBlank="1" showInputMessage="1" showErrorMessage="1" promptTitle="Respuesta Incorrecta" prompt="Escribe lo que quieres que se muestre al responder de manera incorrecta. Si no quieres poner nada, déjalo en blanco." sqref="K21"/>
    <dataValidation allowBlank="1" showInputMessage="1" showErrorMessage="1" promptTitle="Descripción de la CATEGORÏA" prompt="Si quieres escribir algo sobre la categoría, sólo es un comentario. Si no quieres escribir nada, lo puedes dejar en blanco." sqref="S7:W7"/>
    <dataValidation allowBlank="1" showInputMessage="1" showErrorMessage="1" promptTitle="Descripción de la SUBCATEGORÍA" prompt="Si quieres escribir algo sobre la categoría, sólo es un comentario. Si no quieres escribir nada, lo puedes dejar en blanco." sqref="S9:W9"/>
    <dataValidation type="textLength" allowBlank="1" showInputMessage="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3">
      <formula1>1</formula1>
      <formula2>15</formula2>
    </dataValidation>
    <dataValidation allowBlank="1" showInputMessage="1" showErrorMessage="1" promptTitle="Penalización del INTENTO" prompt="Penalización para sucesivos intentos. Si no quieres penalizar las respuestas incorrectas, lo puedes configurar en el cuestionario." sqref="S13"/>
    <dataValidation type="list" showInputMessage="1"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31">
      <formula1>$Q$38:$Q$43</formula1>
    </dataValidation>
    <dataValidation type="list" errorStyle="information" allowBlank="1" showInputMessage="1" promptTitle="Título de la CATEGORÍA" prompt="Si quieres crear una CATEGORÍA para las preguntas. Si no, lo dejas en blanco y las preg. _x000a_Puedes crear tu lista desplegable o escribir el nombre que quieras." sqref="K7:O7">
      <formula1>$Z$5:$Z$14</formula1>
    </dataValidation>
  </dataValidations>
  <hyperlinks>
    <hyperlink ref="B1:T3" r:id="rId1" display="https://youtu.be/NzXpCw_tBZg"/>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print="0" autoPict="0" altText="Para consultar los datos de cada pregunta.">
                <anchor moveWithCells="1" sizeWithCells="1">
                  <from>
                    <xdr:col>11</xdr:col>
                    <xdr:colOff>0</xdr:colOff>
                    <xdr:row>23</xdr:row>
                    <xdr:rowOff>66675</xdr:rowOff>
                  </from>
                  <to>
                    <xdr:col>11</xdr:col>
                    <xdr:colOff>123825</xdr:colOff>
                    <xdr:row>24</xdr:row>
                    <xdr:rowOff>190500</xdr:rowOff>
                  </to>
                </anchor>
              </controlPr>
            </control>
          </mc:Choice>
        </mc:AlternateContent>
        <mc:AlternateContent xmlns:mc="http://schemas.openxmlformats.org/markup-compatibility/2006">
          <mc:Choice Requires="x14">
            <control shapeId="5128" r:id="rId5" name="Spinner 8">
              <controlPr defaultSize="0" print="0" autoPict="0" altText="Para consultar los datos de cada pregunta.">
                <anchor moveWithCells="1" sizeWithCells="1">
                  <from>
                    <xdr:col>10</xdr:col>
                    <xdr:colOff>371475</xdr:colOff>
                    <xdr:row>25</xdr:row>
                    <xdr:rowOff>76200</xdr:rowOff>
                  </from>
                  <to>
                    <xdr:col>11</xdr:col>
                    <xdr:colOff>123825</xdr:colOff>
                    <xdr:row>27</xdr:row>
                    <xdr:rowOff>0</xdr:rowOff>
                  </to>
                </anchor>
              </controlPr>
            </control>
          </mc:Choice>
        </mc:AlternateContent>
        <mc:AlternateContent xmlns:mc="http://schemas.openxmlformats.org/markup-compatibility/2006">
          <mc:Choice Requires="x14">
            <control shapeId="5144" r:id="rId6" name="Drop Down 24">
              <controlPr defaultSize="0" autoLine="0" autoPict="0" macro="[0]!Desbloquea_Bloquea">
                <anchor moveWithCells="1">
                  <from>
                    <xdr:col>10</xdr:col>
                    <xdr:colOff>0</xdr:colOff>
                    <xdr:row>3</xdr:row>
                    <xdr:rowOff>57150</xdr:rowOff>
                  </from>
                  <to>
                    <xdr:col>15</xdr:col>
                    <xdr:colOff>247650</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Z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6" t="s">
        <v>15</v>
      </c>
      <c r="B1" s="443" t="str">
        <f>APP&amp;" - " &amp;Tipo_1</f>
        <v>FastTest PlugIn - Opción Múltiple 1R</v>
      </c>
      <c r="C1" s="444"/>
      <c r="D1" s="444"/>
      <c r="E1" s="444"/>
      <c r="F1" s="444"/>
      <c r="G1" s="444"/>
      <c r="H1" s="444"/>
      <c r="I1" s="444"/>
      <c r="J1" s="444"/>
      <c r="K1" s="444"/>
      <c r="L1" s="300"/>
      <c r="M1" s="300"/>
      <c r="N1" s="300"/>
      <c r="O1" s="300"/>
      <c r="P1" s="300"/>
      <c r="Q1" s="300"/>
      <c r="R1" s="300"/>
      <c r="S1" s="300"/>
      <c r="T1" s="300"/>
      <c r="U1" s="300"/>
      <c r="V1" s="300"/>
      <c r="W1" s="300"/>
      <c r="X1" s="301"/>
      <c r="Y1" s="447" t="s">
        <v>283</v>
      </c>
    </row>
    <row r="2" spans="1:25" ht="20.100000000000001" customHeight="1" x14ac:dyDescent="0.25">
      <c r="A2" s="427"/>
      <c r="B2" s="445"/>
      <c r="C2" s="446"/>
      <c r="D2" s="446"/>
      <c r="E2" s="446"/>
      <c r="F2" s="446"/>
      <c r="G2" s="446"/>
      <c r="H2" s="446"/>
      <c r="I2" s="446"/>
      <c r="J2" s="446"/>
      <c r="K2" s="446"/>
      <c r="L2" s="467" t="s">
        <v>285</v>
      </c>
      <c r="M2" s="468"/>
      <c r="N2" s="466" t="s">
        <v>286</v>
      </c>
      <c r="O2" s="465"/>
      <c r="P2" s="464" t="s">
        <v>287</v>
      </c>
      <c r="Q2" s="465"/>
      <c r="R2" s="464" t="s">
        <v>288</v>
      </c>
      <c r="S2" s="465"/>
      <c r="T2" s="464" t="s">
        <v>289</v>
      </c>
      <c r="U2" s="465"/>
      <c r="V2" s="464" t="s">
        <v>290</v>
      </c>
      <c r="W2" s="472"/>
      <c r="X2" s="413" t="s">
        <v>372</v>
      </c>
      <c r="Y2" s="448"/>
    </row>
    <row r="3" spans="1:25"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ht="6" customHeight="1" thickBot="1" x14ac:dyDescent="0.3">
      <c r="A4" s="321"/>
      <c r="B4" s="150"/>
      <c r="C4" s="152"/>
      <c r="D4" s="152"/>
      <c r="E4" s="152"/>
      <c r="F4" s="152"/>
      <c r="G4" s="152"/>
      <c r="H4" s="153"/>
      <c r="I4" s="154"/>
      <c r="J4" s="154"/>
      <c r="K4" s="154"/>
      <c r="L4" s="154"/>
      <c r="M4" s="154"/>
      <c r="N4" s="154"/>
      <c r="O4" s="154"/>
      <c r="P4" s="154">
        <f>'Datos OM'!C3</f>
        <v>3</v>
      </c>
      <c r="Q4" s="154"/>
      <c r="R4" s="154"/>
      <c r="S4" s="154"/>
      <c r="T4" s="153"/>
      <c r="U4" s="153"/>
      <c r="V4" s="153"/>
      <c r="W4" s="153"/>
      <c r="X4" s="155"/>
      <c r="Y4" s="327"/>
    </row>
    <row r="5" spans="1:25" x14ac:dyDescent="0.25">
      <c r="A5" s="324" t="s">
        <v>298</v>
      </c>
      <c r="B5" s="136"/>
      <c r="C5" s="137"/>
      <c r="D5" s="137"/>
      <c r="E5" s="137"/>
      <c r="F5" s="137"/>
      <c r="G5" s="137" t="s">
        <v>59</v>
      </c>
      <c r="H5" s="31">
        <f>'Datos OM'!$A$7</f>
        <v>1</v>
      </c>
      <c r="I5" s="137"/>
      <c r="J5" s="141"/>
      <c r="K5" s="137" t="s">
        <v>60</v>
      </c>
      <c r="L5" s="291">
        <v>1</v>
      </c>
      <c r="M5" s="141"/>
      <c r="N5" s="141"/>
      <c r="O5" s="137" t="s">
        <v>304</v>
      </c>
      <c r="P5" s="31" t="str">
        <f>NUMERAR_R</f>
        <v>abc</v>
      </c>
      <c r="Q5" s="138"/>
      <c r="R5" s="439" t="str">
        <f ca="1">'DATOS GENERALES'!R5</f>
        <v>Rango de preguntas almacenadas de la 0 a la 0</v>
      </c>
      <c r="S5" s="439"/>
      <c r="T5" s="439"/>
      <c r="U5" s="439"/>
      <c r="V5" s="439"/>
      <c r="W5" s="439"/>
      <c r="X5" s="139"/>
      <c r="Y5" s="329"/>
    </row>
    <row r="6" spans="1:25" ht="6" customHeight="1" x14ac:dyDescent="0.25">
      <c r="A6" s="35"/>
      <c r="B6" s="131"/>
      <c r="C6" s="132"/>
      <c r="D6" s="132"/>
      <c r="E6" s="132"/>
      <c r="F6" s="132"/>
      <c r="G6" s="132"/>
      <c r="H6" s="133">
        <f>'Datos OM'!B3</f>
        <v>2</v>
      </c>
      <c r="I6" s="134"/>
      <c r="J6" s="134"/>
      <c r="K6" s="134"/>
      <c r="L6" s="134">
        <f>N_OM</f>
        <v>1</v>
      </c>
      <c r="M6" s="134"/>
      <c r="N6" s="134"/>
      <c r="O6" s="133"/>
      <c r="P6" s="134">
        <f>'Datos OM'!D3</f>
        <v>4</v>
      </c>
      <c r="Q6" s="134"/>
      <c r="R6" s="134"/>
      <c r="S6" s="147"/>
      <c r="T6" s="147"/>
      <c r="U6" s="147"/>
      <c r="V6" s="133"/>
      <c r="W6" s="133">
        <f>'Datos OM'!E3</f>
        <v>5</v>
      </c>
      <c r="X6" s="135"/>
      <c r="Y6" s="328"/>
    </row>
    <row r="7" spans="1:25" x14ac:dyDescent="0.25">
      <c r="A7" s="324" t="s">
        <v>296</v>
      </c>
      <c r="B7" s="136"/>
      <c r="C7" s="137"/>
      <c r="D7" s="137"/>
      <c r="E7" s="137"/>
      <c r="F7" s="137"/>
      <c r="G7" s="137" t="s">
        <v>61</v>
      </c>
      <c r="H7" s="471" t="str">
        <f>IFERROR(VLOOKUP($L$5,'Datos OM'!$A$7:$AJ$506,2,1),"")</f>
        <v>T01 - 01</v>
      </c>
      <c r="I7" s="471"/>
      <c r="J7" s="471"/>
      <c r="K7" s="471"/>
      <c r="L7" s="471"/>
      <c r="M7" s="471"/>
      <c r="N7" s="471"/>
      <c r="O7" s="133"/>
      <c r="P7" s="315">
        <v>1</v>
      </c>
      <c r="Q7" s="137"/>
      <c r="R7" s="137"/>
      <c r="S7" s="147"/>
      <c r="T7" s="147"/>
      <c r="U7" s="147"/>
      <c r="V7" s="137" t="s">
        <v>71</v>
      </c>
      <c r="W7" s="409"/>
      <c r="X7" s="139"/>
      <c r="Y7" s="329"/>
    </row>
    <row r="8" spans="1:25" ht="6" customHeight="1" x14ac:dyDescent="0.25">
      <c r="A8" s="36"/>
      <c r="B8" s="131"/>
      <c r="C8" s="132"/>
      <c r="D8" s="132"/>
      <c r="E8" s="132"/>
      <c r="F8" s="132"/>
      <c r="G8" s="134"/>
      <c r="H8" s="134">
        <f>'Datos OM'!G3</f>
        <v>7</v>
      </c>
      <c r="I8" s="133"/>
      <c r="J8" s="133"/>
      <c r="K8" s="133"/>
      <c r="L8" s="133"/>
      <c r="M8" s="134"/>
      <c r="N8" s="134"/>
      <c r="O8" s="147"/>
      <c r="P8" s="148">
        <f>COUNTA(H13,H15,H17,H19,H21,H23)</f>
        <v>0</v>
      </c>
      <c r="Q8" s="134"/>
      <c r="R8" s="147"/>
      <c r="S8" s="147"/>
      <c r="T8" s="147"/>
      <c r="U8" s="147"/>
      <c r="V8" s="147"/>
      <c r="W8" s="148">
        <f>'Datos OM'!F3</f>
        <v>6</v>
      </c>
      <c r="X8" s="135"/>
      <c r="Y8" s="173"/>
    </row>
    <row r="9" spans="1:25" x14ac:dyDescent="0.25">
      <c r="A9" s="324" t="s">
        <v>297</v>
      </c>
      <c r="B9" s="136"/>
      <c r="C9" s="137"/>
      <c r="D9" s="137"/>
      <c r="E9" s="137"/>
      <c r="F9" s="137"/>
      <c r="G9" s="137" t="s">
        <v>62</v>
      </c>
      <c r="H9" s="462"/>
      <c r="I9" s="462"/>
      <c r="J9" s="462"/>
      <c r="K9" s="462"/>
      <c r="L9" s="462"/>
      <c r="M9" s="462"/>
      <c r="N9" s="147"/>
      <c r="O9" s="149" t="s">
        <v>69</v>
      </c>
      <c r="P9" s="31">
        <f>IFERROR(MAX(0,COUNTA(H13,H15,H17,H19,H21,H23)-P7),"")</f>
        <v>0</v>
      </c>
      <c r="Q9" s="138"/>
      <c r="R9" s="147"/>
      <c r="S9" s="147"/>
      <c r="T9" s="147"/>
      <c r="U9" s="147"/>
      <c r="V9" s="137" t="s">
        <v>72</v>
      </c>
      <c r="W9" s="292"/>
      <c r="X9" s="139"/>
      <c r="Y9" s="330"/>
    </row>
    <row r="10" spans="1:25" ht="6" customHeight="1" x14ac:dyDescent="0.25">
      <c r="A10" s="35"/>
      <c r="B10" s="131"/>
      <c r="C10" s="132"/>
      <c r="D10" s="132"/>
      <c r="E10" s="132"/>
      <c r="F10" s="132"/>
      <c r="G10" s="132"/>
      <c r="H10" s="133">
        <f>'Datos OM'!H3</f>
        <v>8</v>
      </c>
      <c r="I10" s="134"/>
      <c r="J10" s="134"/>
      <c r="K10" s="134"/>
      <c r="L10" s="134"/>
      <c r="M10" s="134"/>
      <c r="N10" s="134"/>
      <c r="O10" s="134"/>
      <c r="P10" s="134"/>
      <c r="Q10" s="134"/>
      <c r="R10" s="134"/>
      <c r="S10" s="134"/>
      <c r="T10" s="133"/>
      <c r="U10" s="133"/>
      <c r="V10" s="133"/>
      <c r="W10" s="133"/>
      <c r="X10" s="135"/>
      <c r="Y10" s="173"/>
    </row>
    <row r="11" spans="1:25" x14ac:dyDescent="0.25">
      <c r="A11" s="325" t="s">
        <v>317</v>
      </c>
      <c r="B11" s="136"/>
      <c r="C11" s="137"/>
      <c r="D11" s="137"/>
      <c r="E11" s="137"/>
      <c r="F11" s="137"/>
      <c r="G11" s="137" t="s">
        <v>63</v>
      </c>
      <c r="H11" s="469"/>
      <c r="I11" s="469"/>
      <c r="J11" s="469"/>
      <c r="K11" s="469"/>
      <c r="L11" s="469"/>
      <c r="M11" s="469"/>
      <c r="N11" s="469"/>
      <c r="O11" s="469"/>
      <c r="P11" s="469"/>
      <c r="Q11" s="469"/>
      <c r="R11" s="469"/>
      <c r="S11" s="469"/>
      <c r="T11" s="469"/>
      <c r="U11" s="469"/>
      <c r="V11" s="469"/>
      <c r="W11" s="469"/>
      <c r="X11" s="139"/>
      <c r="Y11" s="330"/>
    </row>
    <row r="12" spans="1:25"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H22+1</f>
        <v>15</v>
      </c>
      <c r="U12" s="133"/>
      <c r="V12" s="133"/>
      <c r="W12" s="133"/>
      <c r="X12" s="135"/>
      <c r="Y12" s="173"/>
    </row>
    <row r="13" spans="1:25" x14ac:dyDescent="0.25">
      <c r="A13" s="324" t="s">
        <v>295</v>
      </c>
      <c r="B13" s="136"/>
      <c r="C13" s="137"/>
      <c r="D13" s="137"/>
      <c r="E13" s="137"/>
      <c r="F13" s="137"/>
      <c r="G13" s="137" t="str">
        <f>IF(P7&gt;1,"1ª ","")&amp;"Respuesta correcta: "</f>
        <v xml:space="preserve">Respuesta correcta: </v>
      </c>
      <c r="H13" s="470"/>
      <c r="I13" s="470"/>
      <c r="J13" s="470"/>
      <c r="K13" s="470"/>
      <c r="L13" s="470"/>
      <c r="M13" s="470"/>
      <c r="N13" s="470"/>
      <c r="O13" s="470"/>
      <c r="P13" s="138"/>
      <c r="Q13" s="138"/>
      <c r="R13" s="137"/>
      <c r="S13" s="137" t="s">
        <v>64</v>
      </c>
      <c r="T13" s="462"/>
      <c r="U13" s="462"/>
      <c r="V13" s="462"/>
      <c r="W13" s="462"/>
      <c r="X13" s="139"/>
      <c r="Y13" s="177"/>
    </row>
    <row r="14" spans="1:25" ht="6" customHeight="1" x14ac:dyDescent="0.25">
      <c r="B14" s="131"/>
      <c r="C14" s="132"/>
      <c r="D14" s="132"/>
      <c r="E14" s="132"/>
      <c r="F14" s="132"/>
      <c r="G14" s="132"/>
      <c r="H14" s="133">
        <f>H12+1</f>
        <v>10</v>
      </c>
      <c r="I14" s="134"/>
      <c r="J14" s="134"/>
      <c r="K14" s="134"/>
      <c r="L14" s="134"/>
      <c r="M14" s="134"/>
      <c r="N14" s="134"/>
      <c r="O14" s="134"/>
      <c r="P14" s="134"/>
      <c r="Q14" s="134"/>
      <c r="R14" s="134"/>
      <c r="S14" s="134"/>
      <c r="T14" s="133">
        <f>T12+1</f>
        <v>16</v>
      </c>
      <c r="U14" s="133"/>
      <c r="V14" s="133"/>
      <c r="W14" s="133"/>
      <c r="X14" s="135"/>
      <c r="Y14" s="173"/>
    </row>
    <row r="15" spans="1:25" x14ac:dyDescent="0.25">
      <c r="B15" s="136"/>
      <c r="C15" s="137"/>
      <c r="D15" s="137"/>
      <c r="E15" s="137"/>
      <c r="F15" s="137"/>
      <c r="G15" s="137" t="str">
        <f>IF($P$7&gt;1,"2ª Respuesta correcta: ",(2-P7)&amp;"ª Respuesta incorrecta: ")</f>
        <v xml:space="preserve">1ª Respuesta incorrecta: </v>
      </c>
      <c r="H15" s="470"/>
      <c r="I15" s="470"/>
      <c r="J15" s="470"/>
      <c r="K15" s="470"/>
      <c r="L15" s="470"/>
      <c r="M15" s="470"/>
      <c r="N15" s="470"/>
      <c r="O15" s="470"/>
      <c r="P15" s="138"/>
      <c r="Q15" s="138"/>
      <c r="R15" s="137"/>
      <c r="S15" s="137" t="s">
        <v>64</v>
      </c>
      <c r="T15" s="462"/>
      <c r="U15" s="462"/>
      <c r="V15" s="462"/>
      <c r="W15" s="462"/>
      <c r="X15" s="139"/>
      <c r="Y15" s="330"/>
    </row>
    <row r="16" spans="1:25" ht="6" customHeight="1" thickBot="1" x14ac:dyDescent="0.3">
      <c r="B16" s="131"/>
      <c r="C16" s="132"/>
      <c r="D16" s="132"/>
      <c r="E16" s="132"/>
      <c r="F16" s="132"/>
      <c r="G16" s="132"/>
      <c r="H16" s="133">
        <f>H14+1</f>
        <v>11</v>
      </c>
      <c r="I16" s="134"/>
      <c r="J16" s="134"/>
      <c r="K16" s="134"/>
      <c r="L16" s="134"/>
      <c r="M16" s="134"/>
      <c r="N16" s="134"/>
      <c r="O16" s="134"/>
      <c r="P16" s="134"/>
      <c r="Q16" s="134"/>
      <c r="R16" s="134"/>
      <c r="S16" s="134"/>
      <c r="T16" s="133">
        <f>T14+1</f>
        <v>17</v>
      </c>
      <c r="U16" s="133"/>
      <c r="V16" s="133"/>
      <c r="W16" s="133"/>
      <c r="X16" s="135"/>
      <c r="Y16" s="173"/>
    </row>
    <row r="17" spans="1:26" ht="15" customHeight="1" x14ac:dyDescent="0.25">
      <c r="A17" s="440" t="s">
        <v>294</v>
      </c>
      <c r="B17" s="136"/>
      <c r="C17" s="137"/>
      <c r="D17" s="137"/>
      <c r="E17" s="137"/>
      <c r="F17" s="137"/>
      <c r="G17" s="137" t="str">
        <f>IF($P$7&gt;2,"3ª Respuesta correcta: ",(3-P7)&amp;"ª Respuesta incorrecta: ")</f>
        <v xml:space="preserve">2ª Respuesta incorrecta: </v>
      </c>
      <c r="H17" s="463"/>
      <c r="I17" s="463"/>
      <c r="J17" s="463"/>
      <c r="K17" s="463"/>
      <c r="L17" s="463"/>
      <c r="M17" s="463"/>
      <c r="N17" s="463"/>
      <c r="O17" s="463"/>
      <c r="P17" s="138"/>
      <c r="Q17" s="138"/>
      <c r="R17" s="137"/>
      <c r="S17" s="137" t="s">
        <v>64</v>
      </c>
      <c r="T17" s="462"/>
      <c r="U17" s="462"/>
      <c r="V17" s="462"/>
      <c r="W17" s="462"/>
      <c r="X17" s="139"/>
      <c r="Y17" s="330"/>
    </row>
    <row r="18" spans="1:26" ht="6" customHeight="1" x14ac:dyDescent="0.25">
      <c r="A18" s="441"/>
      <c r="B18" s="131"/>
      <c r="C18" s="132"/>
      <c r="D18" s="132"/>
      <c r="E18" s="132"/>
      <c r="F18" s="132"/>
      <c r="G18" s="132"/>
      <c r="H18" s="133">
        <f>H16+1</f>
        <v>12</v>
      </c>
      <c r="I18" s="134"/>
      <c r="J18" s="134"/>
      <c r="K18" s="134"/>
      <c r="L18" s="134"/>
      <c r="M18" s="134"/>
      <c r="N18" s="134"/>
      <c r="O18" s="134"/>
      <c r="P18" s="134"/>
      <c r="Q18" s="134"/>
      <c r="R18" s="134"/>
      <c r="S18" s="134"/>
      <c r="T18" s="133">
        <f>T16+1</f>
        <v>18</v>
      </c>
      <c r="U18" s="133"/>
      <c r="V18" s="133"/>
      <c r="W18" s="133"/>
      <c r="X18" s="135"/>
      <c r="Y18" s="173"/>
    </row>
    <row r="19" spans="1:26" ht="15.75" thickBot="1" x14ac:dyDescent="0.3">
      <c r="A19" s="442"/>
      <c r="B19" s="136"/>
      <c r="C19" s="137"/>
      <c r="D19" s="137"/>
      <c r="E19" s="137"/>
      <c r="F19" s="137"/>
      <c r="G19" s="137" t="str">
        <f>IF($P$7&gt;3,"4ª Respuesta correcta: ",(4-P7)&amp;"ª Respuesta incorrecta: ")</f>
        <v xml:space="preserve">3ª Respuesta incorrecta: </v>
      </c>
      <c r="H19" s="463"/>
      <c r="I19" s="463"/>
      <c r="J19" s="463"/>
      <c r="K19" s="463"/>
      <c r="L19" s="463"/>
      <c r="M19" s="463"/>
      <c r="N19" s="463"/>
      <c r="O19" s="463"/>
      <c r="P19" s="138"/>
      <c r="Q19" s="138"/>
      <c r="R19" s="137"/>
      <c r="S19" s="137" t="s">
        <v>64</v>
      </c>
      <c r="T19" s="462"/>
      <c r="U19" s="462"/>
      <c r="V19" s="462"/>
      <c r="W19" s="462"/>
      <c r="X19" s="139"/>
      <c r="Y19" s="330"/>
    </row>
    <row r="20" spans="1:26" ht="6" customHeight="1" x14ac:dyDescent="0.25">
      <c r="A20" s="326"/>
      <c r="B20" s="131"/>
      <c r="C20" s="132"/>
      <c r="D20" s="132"/>
      <c r="E20" s="132"/>
      <c r="F20" s="132"/>
      <c r="G20" s="132"/>
      <c r="H20" s="133">
        <f>H18+1</f>
        <v>13</v>
      </c>
      <c r="I20" s="134"/>
      <c r="J20" s="134"/>
      <c r="K20" s="134"/>
      <c r="L20" s="134"/>
      <c r="M20" s="134"/>
      <c r="N20" s="134"/>
      <c r="O20" s="134"/>
      <c r="P20" s="134"/>
      <c r="Q20" s="134"/>
      <c r="R20" s="134"/>
      <c r="S20" s="134"/>
      <c r="T20" s="133">
        <f>T18+1</f>
        <v>19</v>
      </c>
      <c r="U20" s="133"/>
      <c r="V20" s="133"/>
      <c r="W20" s="133"/>
      <c r="X20" s="135"/>
      <c r="Y20" s="173"/>
    </row>
    <row r="21" spans="1:26" x14ac:dyDescent="0.25">
      <c r="A21" s="324" t="s">
        <v>299</v>
      </c>
      <c r="B21" s="136"/>
      <c r="C21" s="137"/>
      <c r="D21" s="137"/>
      <c r="E21" s="137"/>
      <c r="F21" s="137"/>
      <c r="G21" s="137" t="str">
        <f>IF($P$7&gt;4,"5ª Respuesta correcta: ",(5-P7)&amp;"ª Respuesta incorrecta: ")</f>
        <v xml:space="preserve">4ª Respuesta incorrecta: </v>
      </c>
      <c r="H21" s="463"/>
      <c r="I21" s="463"/>
      <c r="J21" s="463"/>
      <c r="K21" s="463"/>
      <c r="L21" s="463"/>
      <c r="M21" s="463"/>
      <c r="N21" s="463"/>
      <c r="O21" s="463"/>
      <c r="P21" s="138"/>
      <c r="Q21" s="138"/>
      <c r="R21" s="137"/>
      <c r="S21" s="137" t="s">
        <v>64</v>
      </c>
      <c r="T21" s="462"/>
      <c r="U21" s="462"/>
      <c r="V21" s="462"/>
      <c r="W21" s="462"/>
      <c r="X21" s="139"/>
      <c r="Y21" s="330"/>
    </row>
    <row r="22" spans="1:26" ht="6" customHeight="1" thickBot="1" x14ac:dyDescent="0.3">
      <c r="A22" s="2"/>
      <c r="B22" s="131"/>
      <c r="C22" s="132"/>
      <c r="D22" s="132"/>
      <c r="E22" s="132"/>
      <c r="F22" s="132"/>
      <c r="G22" s="132"/>
      <c r="H22" s="133">
        <f>H20+1</f>
        <v>14</v>
      </c>
      <c r="I22" s="134"/>
      <c r="J22" s="134"/>
      <c r="K22" s="134"/>
      <c r="L22" s="134"/>
      <c r="M22" s="134"/>
      <c r="N22" s="134"/>
      <c r="O22" s="134"/>
      <c r="P22" s="134"/>
      <c r="Q22" s="134"/>
      <c r="R22" s="134"/>
      <c r="S22" s="134"/>
      <c r="T22" s="133">
        <f>T20+1</f>
        <v>20</v>
      </c>
      <c r="U22" s="133"/>
      <c r="V22" s="133"/>
      <c r="W22" s="133"/>
      <c r="X22" s="135"/>
      <c r="Y22" s="173"/>
      <c r="Z22" s="32"/>
    </row>
    <row r="23" spans="1:26" x14ac:dyDescent="0.25">
      <c r="A23" s="324" t="s">
        <v>300</v>
      </c>
      <c r="B23" s="136"/>
      <c r="C23" s="137"/>
      <c r="D23" s="137"/>
      <c r="E23" s="137"/>
      <c r="F23" s="137"/>
      <c r="G23" s="137" t="str">
        <f>IF($P$7&gt;5,"6ª Respuesta correcta: ",(6-P7)&amp;"ª Respuesta incorrecta: ")</f>
        <v xml:space="preserve">5ª Respuesta incorrecta: </v>
      </c>
      <c r="H23" s="462"/>
      <c r="I23" s="462"/>
      <c r="J23" s="462"/>
      <c r="K23" s="462"/>
      <c r="L23" s="462"/>
      <c r="M23" s="462"/>
      <c r="N23" s="462"/>
      <c r="O23" s="462"/>
      <c r="P23" s="138"/>
      <c r="Q23" s="138"/>
      <c r="R23" s="137"/>
      <c r="S23" s="137" t="s">
        <v>64</v>
      </c>
      <c r="T23" s="462"/>
      <c r="U23" s="462"/>
      <c r="V23" s="462"/>
      <c r="W23" s="462"/>
      <c r="X23" s="139"/>
      <c r="Y23" s="330"/>
      <c r="Z23" s="32"/>
    </row>
    <row r="24" spans="1:26" ht="6" customHeight="1" thickBot="1" x14ac:dyDescent="0.3">
      <c r="B24" s="136"/>
      <c r="C24" s="137"/>
      <c r="D24" s="137"/>
      <c r="E24" s="137"/>
      <c r="F24" s="137"/>
      <c r="G24" s="137"/>
      <c r="H24" s="137"/>
      <c r="I24" s="137"/>
      <c r="J24" s="137"/>
      <c r="K24" s="137"/>
      <c r="L24" s="137"/>
      <c r="M24" s="137"/>
      <c r="N24" s="137"/>
      <c r="O24" s="137"/>
      <c r="P24" s="137"/>
      <c r="Q24" s="137"/>
      <c r="R24" s="137"/>
      <c r="S24" s="137"/>
      <c r="T24" s="137"/>
      <c r="U24" s="137"/>
      <c r="V24" s="137"/>
      <c r="W24" s="137"/>
      <c r="X24" s="139"/>
      <c r="Y24" s="177"/>
      <c r="Z24" s="32"/>
    </row>
    <row r="25" spans="1:26" x14ac:dyDescent="0.25">
      <c r="A25" s="440" t="s">
        <v>333</v>
      </c>
      <c r="B25" s="136"/>
      <c r="C25" s="137"/>
      <c r="D25" s="137"/>
      <c r="E25" s="137"/>
      <c r="F25" s="137" t="str">
        <f>IFERROR(IF(VLOOKUP($L$5,'Datos PP'!$A$7:$AJ$508,F24)="","",VLOOKUP($L$5,'Datos PP'!$A$7:$AJ$508,F24,0)),"")</f>
        <v/>
      </c>
      <c r="G25" s="137"/>
      <c r="H25" s="137" t="str">
        <f>IFERROR(IF(VLOOKUP($L$5,'Datos PP'!$A$7:$AJ$508,H24)="","",VLOOKUP($L$5,'Datos PP'!$A$7:$AJ$508,H24,0)),"")</f>
        <v/>
      </c>
      <c r="I25" s="137"/>
      <c r="J25" s="137"/>
      <c r="K25" s="137"/>
      <c r="L25" s="137"/>
      <c r="M25" s="137"/>
      <c r="N25" s="137"/>
      <c r="O25" s="137"/>
      <c r="P25" s="137" t="str">
        <f>IFERROR(IF(VLOOKUP($L$5,'Datos PP'!$A$7:$AJ$508,P24)="","",VLOOKUP($L$5,'Datos PP'!$A$7:$AJ$508,P24,0)),"")</f>
        <v/>
      </c>
      <c r="Q25" s="137"/>
      <c r="R25" s="137" t="str">
        <f>IFERROR(IF(VLOOKUP($L$5,'Datos PP'!$A$7:$AJ$508,R24)="","",VLOOKUP($L$5,'Datos PP'!$A$7:$AJ$508,R24,0)),"")</f>
        <v/>
      </c>
      <c r="S25" s="137"/>
      <c r="T25" s="137"/>
      <c r="U25" s="137"/>
      <c r="V25" s="137"/>
      <c r="W25" s="137"/>
      <c r="X25" s="139"/>
      <c r="Y25" s="330"/>
      <c r="Z25" s="32"/>
    </row>
    <row r="26" spans="1:26" ht="6" customHeight="1" x14ac:dyDescent="0.25">
      <c r="A26" s="441"/>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ht="15" customHeight="1" thickBot="1" x14ac:dyDescent="0.3">
      <c r="A27" s="442"/>
      <c r="B27" s="136"/>
      <c r="C27" s="140"/>
      <c r="D27" s="140"/>
      <c r="E27" s="140"/>
      <c r="F27" s="140" t="str">
        <f>IFERROR(IF(VLOOKUP($L$5,'Datos PP'!$A$7:$AJ$508,F26)="","",VLOOKUP($L$5,'Datos PP'!$A$7:$AJ$508,F26,0)),"")</f>
        <v/>
      </c>
      <c r="G27" s="137"/>
      <c r="H27" s="141" t="str">
        <f>IFERROR(IF(VLOOKUP($L$5,'Datos PP'!$A$7:$AJ$508,H26)="","",VLOOKUP($L$5,'Datos PP'!$A$7:$AJ$508,H26,0)),"")</f>
        <v/>
      </c>
      <c r="I27" s="138"/>
      <c r="J27" s="138"/>
      <c r="K27" s="138"/>
      <c r="L27" s="138"/>
      <c r="M27" s="138"/>
      <c r="N27" s="138"/>
      <c r="O27" s="138"/>
      <c r="P27" s="138" t="str">
        <f>IFERROR(IF(VLOOKUP($L$5,'Datos PP'!$A$7:$AJ$508,P26)="","",VLOOKUP($L$5,'Datos PP'!$A$7:$AJ$508,P26,0)),"")</f>
        <v/>
      </c>
      <c r="Q27" s="138"/>
      <c r="R27" s="138"/>
      <c r="S27" s="138"/>
      <c r="T27" s="138"/>
      <c r="U27" s="138"/>
      <c r="V27" s="138"/>
      <c r="W27" s="138"/>
      <c r="X27" s="139"/>
      <c r="Y27" s="177"/>
      <c r="Z27" s="32"/>
    </row>
    <row r="28" spans="1:26" ht="6" customHeight="1" x14ac:dyDescent="0.25">
      <c r="A28" s="326"/>
      <c r="B28" s="136"/>
      <c r="C28" s="140"/>
      <c r="D28" s="140"/>
      <c r="E28" s="140"/>
      <c r="F28" s="140"/>
      <c r="G28" s="137"/>
      <c r="H28" s="133">
        <f>'Datos OM'!AG3</f>
        <v>33</v>
      </c>
      <c r="I28" s="138"/>
      <c r="J28" s="138"/>
      <c r="K28" s="138"/>
      <c r="L28" s="138"/>
      <c r="M28" s="138"/>
      <c r="N28" s="138"/>
      <c r="O28" s="138"/>
      <c r="P28" s="138"/>
      <c r="Q28" s="138"/>
      <c r="R28" s="138"/>
      <c r="S28" s="138"/>
      <c r="T28" s="138"/>
      <c r="U28" s="138"/>
      <c r="V28" s="138"/>
      <c r="W28" s="138"/>
      <c r="X28" s="139"/>
      <c r="Y28" s="173"/>
      <c r="Z28" s="32"/>
    </row>
    <row r="29" spans="1:26" x14ac:dyDescent="0.25">
      <c r="A29" s="381" t="str">
        <f>IFERROR($H$2&amp;MID(#REF!,FIND("id=",#REF!,1)+3,33),"")</f>
        <v/>
      </c>
      <c r="B29" s="136"/>
      <c r="C29" s="137"/>
      <c r="D29" s="137"/>
      <c r="E29" s="137"/>
      <c r="F29" s="137"/>
      <c r="G29" s="137" t="s">
        <v>65</v>
      </c>
      <c r="H29" s="462"/>
      <c r="I29" s="462"/>
      <c r="J29" s="462"/>
      <c r="K29" s="462"/>
      <c r="L29" s="462"/>
      <c r="M29" s="462"/>
      <c r="N29" s="462"/>
      <c r="O29" s="462"/>
      <c r="P29" s="462"/>
      <c r="Q29" s="138"/>
      <c r="R29" s="307"/>
      <c r="S29" s="307"/>
      <c r="T29" s="307"/>
      <c r="U29" s="307"/>
      <c r="V29" s="307"/>
      <c r="W29" s="307"/>
      <c r="X29" s="308"/>
      <c r="Y29" s="177"/>
      <c r="Z29" s="32"/>
    </row>
    <row r="30" spans="1:26" ht="6" customHeight="1" x14ac:dyDescent="0.25">
      <c r="A30" s="381" t="str">
        <f>IFERROR($H$2&amp;MID(#REF!,FIND("id=",#REF!,1)+3,33),"")</f>
        <v/>
      </c>
      <c r="B30" s="136"/>
      <c r="C30" s="140"/>
      <c r="D30" s="140"/>
      <c r="E30" s="140"/>
      <c r="F30" s="140"/>
      <c r="G30" s="137"/>
      <c r="H30" s="142">
        <f>H28+1</f>
        <v>34</v>
      </c>
      <c r="I30" s="143"/>
      <c r="J30" s="143"/>
      <c r="K30" s="143"/>
      <c r="L30" s="143"/>
      <c r="M30" s="143"/>
      <c r="N30" s="143"/>
      <c r="O30" s="143"/>
      <c r="P30" s="143"/>
      <c r="Q30" s="138"/>
      <c r="R30" s="307"/>
      <c r="S30" s="418"/>
      <c r="T30" s="418"/>
      <c r="U30" s="418"/>
      <c r="V30" s="418"/>
      <c r="W30" s="418"/>
      <c r="X30" s="419"/>
      <c r="Y30" s="173"/>
      <c r="Z30" s="32"/>
    </row>
    <row r="31" spans="1:26" x14ac:dyDescent="0.25">
      <c r="A31" s="381" t="str">
        <f>IFERROR($H$2&amp;MID(#REF!,FIND("id=",#REF!,1)+3,33),"")</f>
        <v/>
      </c>
      <c r="B31" s="136"/>
      <c r="C31" s="137"/>
      <c r="D31" s="137"/>
      <c r="E31" s="137"/>
      <c r="F31" s="137"/>
      <c r="G31" s="137" t="s">
        <v>66</v>
      </c>
      <c r="H31" s="462"/>
      <c r="I31" s="462"/>
      <c r="J31" s="462"/>
      <c r="K31" s="462"/>
      <c r="L31" s="462"/>
      <c r="M31" s="462"/>
      <c r="N31" s="462"/>
      <c r="O31" s="462"/>
      <c r="P31" s="462"/>
      <c r="Q31" s="138"/>
      <c r="R31" s="307"/>
      <c r="S31" s="418"/>
      <c r="T31" s="418"/>
      <c r="U31" s="418"/>
      <c r="V31" s="418"/>
      <c r="W31" s="418"/>
      <c r="X31" s="419"/>
      <c r="Y31" s="177"/>
      <c r="Z31" s="32"/>
    </row>
    <row r="32" spans="1:26" ht="6" customHeight="1" x14ac:dyDescent="0.25">
      <c r="A32" s="381" t="str">
        <f>IFERROR($H$2&amp;MID(#REF!,FIND("id=",#REF!,1)+3,33),"")</f>
        <v/>
      </c>
      <c r="B32" s="136"/>
      <c r="C32" s="140"/>
      <c r="D32" s="140"/>
      <c r="E32" s="140"/>
      <c r="F32" s="140"/>
      <c r="G32" s="137"/>
      <c r="H32" s="142">
        <f>H30+1</f>
        <v>35</v>
      </c>
      <c r="I32" s="143"/>
      <c r="J32" s="143"/>
      <c r="K32" s="143"/>
      <c r="L32" s="143"/>
      <c r="M32" s="143"/>
      <c r="N32" s="143"/>
      <c r="O32" s="143"/>
      <c r="P32" s="143"/>
      <c r="Q32" s="138"/>
      <c r="R32" s="307"/>
      <c r="S32" s="418"/>
      <c r="T32" s="418"/>
      <c r="U32" s="418"/>
      <c r="V32" s="418"/>
      <c r="W32" s="418"/>
      <c r="X32" s="419"/>
      <c r="Y32" s="173"/>
    </row>
    <row r="33" spans="1:25" x14ac:dyDescent="0.25">
      <c r="A33" s="381" t="str">
        <f>IFERROR($H$2&amp;MID(#REF!,FIND("id=",#REF!,1)+3,33),"")</f>
        <v/>
      </c>
      <c r="B33" s="136"/>
      <c r="C33" s="137"/>
      <c r="D33" s="137"/>
      <c r="E33" s="137"/>
      <c r="F33" s="137"/>
      <c r="G33" s="137" t="s">
        <v>67</v>
      </c>
      <c r="H33" s="462"/>
      <c r="I33" s="462"/>
      <c r="J33" s="462"/>
      <c r="K33" s="462"/>
      <c r="L33" s="462"/>
      <c r="M33" s="462"/>
      <c r="N33" s="462"/>
      <c r="O33" s="462"/>
      <c r="P33" s="462"/>
      <c r="Q33" s="138"/>
      <c r="R33" s="307"/>
      <c r="S33" s="418"/>
      <c r="T33" s="418"/>
      <c r="U33" s="418"/>
      <c r="V33" s="418"/>
      <c r="W33" s="418"/>
      <c r="X33" s="419"/>
      <c r="Y33" s="177"/>
    </row>
    <row r="34" spans="1:25" ht="6" customHeight="1" x14ac:dyDescent="0.25">
      <c r="A34" s="381" t="str">
        <f t="shared" ref="A34:A35" si="0">IFERROR($H$2&amp;MID(D1,FIND("id=",D1,1)+3,33),"")</f>
        <v/>
      </c>
      <c r="B34" s="136"/>
      <c r="C34" s="140"/>
      <c r="D34" s="140"/>
      <c r="E34" s="140"/>
      <c r="F34" s="140"/>
      <c r="G34" s="137"/>
      <c r="H34" s="142">
        <f>H32+1</f>
        <v>36</v>
      </c>
      <c r="I34" s="143"/>
      <c r="J34" s="143"/>
      <c r="K34" s="143"/>
      <c r="L34" s="143"/>
      <c r="M34" s="143"/>
      <c r="N34" s="144"/>
      <c r="O34" s="144"/>
      <c r="P34" s="144"/>
      <c r="Q34" s="138"/>
      <c r="R34" s="307"/>
      <c r="S34" s="418"/>
      <c r="T34" s="418"/>
      <c r="U34" s="418"/>
      <c r="V34" s="418"/>
      <c r="W34" s="418"/>
      <c r="X34" s="419"/>
      <c r="Y34" s="173"/>
    </row>
    <row r="35" spans="1:25" x14ac:dyDescent="0.25">
      <c r="A35" s="381" t="str">
        <f t="shared" si="0"/>
        <v/>
      </c>
      <c r="B35" s="136"/>
      <c r="C35" s="137"/>
      <c r="D35" s="137"/>
      <c r="E35" s="137"/>
      <c r="F35" s="137"/>
      <c r="G35" s="137" t="s">
        <v>68</v>
      </c>
      <c r="H35" s="462"/>
      <c r="I35" s="462"/>
      <c r="J35" s="462"/>
      <c r="K35" s="462"/>
      <c r="L35" s="462"/>
      <c r="M35" s="462"/>
      <c r="N35" s="462"/>
      <c r="O35" s="462"/>
      <c r="P35" s="462"/>
      <c r="Q35" s="138"/>
      <c r="R35" s="307"/>
      <c r="S35" s="418"/>
      <c r="T35" s="418"/>
      <c r="U35" s="418"/>
      <c r="V35" s="418"/>
      <c r="W35" s="418"/>
      <c r="X35" s="419"/>
      <c r="Y35" s="177"/>
    </row>
    <row r="36" spans="1:25" ht="9.9499999999999993" customHeight="1" thickBot="1" x14ac:dyDescent="0.3">
      <c r="A36" s="381" t="str">
        <f>IFERROR($H$2&amp;MID(D3,FIND("id=",D3,1)+3,33),"")</f>
        <v/>
      </c>
      <c r="B36" s="145"/>
      <c r="C36" s="146"/>
      <c r="D36" s="146"/>
      <c r="E36" s="146"/>
      <c r="F36" s="146"/>
      <c r="G36" s="146"/>
      <c r="H36" s="146"/>
      <c r="I36" s="146"/>
      <c r="J36" s="146"/>
      <c r="K36" s="146"/>
      <c r="L36" s="146"/>
      <c r="M36" s="146"/>
      <c r="N36" s="146"/>
      <c r="O36" s="146"/>
      <c r="P36" s="146"/>
      <c r="Q36" s="146"/>
      <c r="R36" s="309"/>
      <c r="S36" s="420"/>
      <c r="T36" s="420"/>
      <c r="U36" s="420"/>
      <c r="V36" s="420"/>
      <c r="W36" s="420"/>
      <c r="X36" s="421"/>
      <c r="Y36" s="173"/>
    </row>
    <row r="37" spans="1:25" s="3" customFormat="1" ht="15.75" hidden="1" customHeight="1" thickTop="1" x14ac:dyDescent="0.25">
      <c r="H37" s="111">
        <v>1</v>
      </c>
      <c r="I37" s="111">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4" t="str">
        <f>IFERROR(IF(VLOOKUP($L$5,'Datos PP'!$A$7:$AJ$508,R126)="","",VLOOKUP($L$5,'Datos PP'!$A$7:$AJ$508,R126,0)),"")</f>
        <v/>
      </c>
    </row>
  </sheetData>
  <sheetProtection algorithmName="SHA-512" hashValue="EZuQ8LrlNGRg3H/ND0QihpvV2Fu0xjVD0bl4qkH1kAcmU0dOWJDqa9vdUOOPl24D6DMO1RSj90sdLmpp+ofzOg==" saltValue="sJqfp/tt6KMXSwkCS1D1rQ==" spinCount="100000" sheet="1" objects="1" scenarios="1" selectLockedCells="1"/>
  <mergeCells count="32">
    <mergeCell ref="A17:A19"/>
    <mergeCell ref="Y1:Y3"/>
    <mergeCell ref="L2:M2"/>
    <mergeCell ref="H23:O23"/>
    <mergeCell ref="H11:W11"/>
    <mergeCell ref="H13:O13"/>
    <mergeCell ref="T13:W13"/>
    <mergeCell ref="T15:W15"/>
    <mergeCell ref="T17:W17"/>
    <mergeCell ref="R5:W5"/>
    <mergeCell ref="H15:O15"/>
    <mergeCell ref="H7:N7"/>
    <mergeCell ref="V2:W2"/>
    <mergeCell ref="T2:U2"/>
    <mergeCell ref="R2:S2"/>
    <mergeCell ref="B1:K3"/>
    <mergeCell ref="A25:A27"/>
    <mergeCell ref="A1:A3"/>
    <mergeCell ref="H33:P33"/>
    <mergeCell ref="H35:P35"/>
    <mergeCell ref="T19:W19"/>
    <mergeCell ref="T21:W21"/>
    <mergeCell ref="T23:W23"/>
    <mergeCell ref="H19:O19"/>
    <mergeCell ref="H21:O21"/>
    <mergeCell ref="P2:Q2"/>
    <mergeCell ref="N2:O2"/>
    <mergeCell ref="H29:P29"/>
    <mergeCell ref="H31:P31"/>
    <mergeCell ref="H9:M9"/>
    <mergeCell ref="H17:O17"/>
    <mergeCell ref="S30:X36"/>
  </mergeCells>
  <dataValidations xWindow="122" yWindow="631" count="13">
    <dataValidation type="whole" allowBlank="1" showInputMessage="1" showErrorMessage="1" promptTitle="Nº Preguntas Correctas" prompt="Para el caso de Opción Múltiple donde haya más de una respuesta correcta, indicar cuántas respuestas correctas tiene esta pergunta. Puede ser diferente para cada pregunta de un mismo banco de preguntas." sqref="P7">
      <formula1>1</formula1>
      <formula2>6</formula2>
    </dataValidation>
    <dataValidation type="whole" allowBlank="1" showInputMessage="1" showErrorMessage="1" sqref="H5">
      <formula1>1</formula1>
      <formula2>1000</formula2>
    </dataValidation>
    <dataValidation allowBlank="1" showInputMessage="1" showErrorMessage="1" promptTitle="Pista 1" prompt="Comentario que aparecerá si configuras MOODLE para que pueda dar pistas cuando se dejen más de un intento." sqref="H29:P29"/>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Respuestas" prompt="Escribe la respuesta que corresponda según lo que está escrito a la izquierda. Primero hay que poner las respuestas correctas y, a continuación, las incorrctas. " sqref="H13:O13 H15:O15 H17:O17 H19:O19 H23:O23 H21:O21"/>
    <dataValidation allowBlank="1" showInputMessage="1" showErrorMessage="1" promptTitle="Retroalimentación" prompt="Escribe el comentario que quieres que aparezca para cada respuesta." sqref="T13:W13 T15:W15 T17:W17 T19:W19 T21:W21 T23:W23"/>
    <dataValidation type="list" allowBlank="1" showInputMessage="1" showErrorMessage="1" promptTitle="Respuesta Incorrecta" prompt="La puntuación que tendrá cada respuesta incorrecta. Si hay más de una respuesta incorrecta, la suma total debe ser -100 o -1. Si no quieres restar puntos por respuestas incorrectas, déjalo a CERO." sqref="W9">
      <formula1>"0,-100/R_I_OM"</formula1>
    </dataValidation>
    <dataValidation type="list" errorStyle="warning" allowBlank="1" showInputMessage="1" showErrorMessage="1" promptTitle="Puntos Respuesta Correcta" prompt="La puntuación que tendrá cada respuesta correcta. Si hay más de una respuesta correcta, la suma total debe ser 100 o 1." sqref="W7">
      <formula1>"100,+100/R_C_OM"</formula1>
    </dataValidation>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8193"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819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8347" r:id="rId8" name="Spinner 155">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D7" sqref="D7"/>
      <selection pane="topRight" activeCell="D7" sqref="D7"/>
      <selection pane="bottomLeft" activeCell="D7" sqref="D7"/>
      <selection pane="bottomRight" activeCell="D7" sqref="D7:AJ508"/>
    </sheetView>
  </sheetViews>
  <sheetFormatPr baseColWidth="10" defaultColWidth="11.42578125" defaultRowHeight="15" x14ac:dyDescent="0.25"/>
  <cols>
    <col min="1" max="1" width="6.5703125" style="14" hidden="1" customWidth="1"/>
    <col min="2" max="2" width="9.7109375" style="29" customWidth="1"/>
    <col min="3" max="3" width="4.140625" style="14" customWidth="1"/>
    <col min="4" max="4" width="4.28515625" style="14" customWidth="1"/>
    <col min="5" max="5" width="5.28515625" style="30" customWidth="1"/>
    <col min="6" max="6" width="5.7109375" style="30" customWidth="1"/>
    <col min="7" max="7" width="10.140625" style="30" customWidth="1"/>
    <col min="8" max="8" width="44.42578125" style="14" customWidth="1"/>
    <col min="9" max="14" width="12.5703125" style="14" customWidth="1"/>
    <col min="15" max="20" width="14.28515625" style="14" customWidth="1"/>
    <col min="21" max="32" width="14.28515625" style="14" hidden="1" customWidth="1"/>
    <col min="33" max="16384" width="11.42578125" style="14"/>
  </cols>
  <sheetData>
    <row r="1" spans="1:36" hidden="1" x14ac:dyDescent="0.25">
      <c r="A1" s="12">
        <f>MAX(A7:A500)</f>
        <v>1</v>
      </c>
      <c r="B1" s="13" t="str">
        <f>B5</f>
        <v>T01 - 00</v>
      </c>
      <c r="C1" s="13" t="str">
        <f t="shared" ref="C1:K1" si="0">C6</f>
        <v>Mal</v>
      </c>
      <c r="D1" s="13" t="str">
        <f t="shared" si="0"/>
        <v>OK</v>
      </c>
      <c r="E1" s="13" t="str">
        <f t="shared" si="0"/>
        <v>Puntos OK</v>
      </c>
      <c r="F1" s="13" t="str">
        <f t="shared" si="0"/>
        <v>Puntos Mal</v>
      </c>
      <c r="G1" s="13" t="str">
        <f t="shared" si="0"/>
        <v>Descrip.
Pregunta</v>
      </c>
      <c r="H1" s="13" t="str">
        <f t="shared" si="0"/>
        <v>Enunciado  | FastTest PlugIn - Opción Múltiple 1R</v>
      </c>
      <c r="I1" s="13" t="str">
        <f t="shared" si="0"/>
        <v>a</v>
      </c>
      <c r="J1" s="13" t="str">
        <f t="shared" si="0"/>
        <v>b</v>
      </c>
      <c r="K1" s="13" t="str">
        <f t="shared" si="0"/>
        <v>c</v>
      </c>
      <c r="L1" s="13" t="str">
        <f t="shared" ref="L1" si="1">L6</f>
        <v>d</v>
      </c>
      <c r="M1" s="13" t="str">
        <f t="shared" ref="M1:AG1" si="2">M6</f>
        <v>e</v>
      </c>
      <c r="N1" s="13" t="str">
        <f t="shared" si="2"/>
        <v>f</v>
      </c>
      <c r="O1" s="13" t="str">
        <f t="shared" si="2"/>
        <v>Retroal. 1</v>
      </c>
      <c r="P1" s="13" t="str">
        <f t="shared" si="2"/>
        <v>Retroal. 2</v>
      </c>
      <c r="Q1" s="13" t="str">
        <f t="shared" si="2"/>
        <v>Retroal. 3</v>
      </c>
      <c r="R1" s="13" t="str">
        <f t="shared" si="2"/>
        <v>Retroal. 4</v>
      </c>
      <c r="S1" s="13" t="str">
        <f t="shared" si="2"/>
        <v>Retroal. 5</v>
      </c>
      <c r="T1" s="13" t="str">
        <f t="shared" si="2"/>
        <v>Retroal. 6</v>
      </c>
      <c r="U1" s="13">
        <f t="shared" si="2"/>
        <v>0</v>
      </c>
      <c r="V1" s="13">
        <f t="shared" si="2"/>
        <v>0</v>
      </c>
      <c r="W1" s="13">
        <f t="shared" si="2"/>
        <v>0</v>
      </c>
      <c r="X1" s="13">
        <f t="shared" si="2"/>
        <v>0</v>
      </c>
      <c r="Y1" s="13">
        <f t="shared" si="2"/>
        <v>0</v>
      </c>
      <c r="Z1" s="13">
        <f t="shared" si="2"/>
        <v>0</v>
      </c>
      <c r="AA1" s="13">
        <f t="shared" si="2"/>
        <v>0</v>
      </c>
      <c r="AB1" s="13">
        <f t="shared" si="2"/>
        <v>0</v>
      </c>
      <c r="AC1" s="13">
        <f t="shared" si="2"/>
        <v>0</v>
      </c>
      <c r="AD1" s="13">
        <f t="shared" si="2"/>
        <v>0</v>
      </c>
      <c r="AE1" s="13">
        <f t="shared" si="2"/>
        <v>0</v>
      </c>
      <c r="AF1" s="13">
        <f t="shared" si="2"/>
        <v>0</v>
      </c>
      <c r="AG1" s="13" t="str">
        <f t="shared" si="2"/>
        <v>Pista 1</v>
      </c>
      <c r="AH1" s="13" t="str">
        <f t="shared" ref="AH1:AJ1" si="3">AH6</f>
        <v>Pista 2</v>
      </c>
      <c r="AI1" s="13" t="str">
        <f t="shared" si="3"/>
        <v>Pista 3</v>
      </c>
      <c r="AJ1" s="13" t="str">
        <f t="shared" si="3"/>
        <v>Pista 4</v>
      </c>
    </row>
    <row r="2" spans="1:36" s="18" customFormat="1" hidden="1" x14ac:dyDescent="0.25">
      <c r="A2" s="15">
        <f>PREGUNTA_ACTUAL</f>
        <v>1</v>
      </c>
      <c r="B2" s="16" t="str">
        <f>VLOOKUP($A2,$A$7:B$1124,B3,1)</f>
        <v>T01 - 01</v>
      </c>
      <c r="C2" s="17" t="str">
        <f>IF(VLOOKUP($A2,$A$7:D$1124,C3,0)="","",VLOOKUP($A2,$A$7:D$1124,C3,0))</f>
        <v/>
      </c>
      <c r="D2" s="17" t="str">
        <f>IF(VLOOKUP($A2,$A$7:E$1124,D3,0)="","",VLOOKUP($A2,$A$7:E$1124,D3,0))</f>
        <v/>
      </c>
      <c r="E2" s="17" t="str">
        <f>IF(VLOOKUP($A2,$A$7:F$1124,E3,0)="","",VLOOKUP($A2,$A$7:F$1124,E3,0))</f>
        <v/>
      </c>
      <c r="F2" s="17" t="str">
        <f>IF(VLOOKUP($A2,$A$7:G$1124,F3,0)="","",VLOOKUP($A2,$A$7:G$1124,F3,0))</f>
        <v/>
      </c>
      <c r="G2" s="17" t="str">
        <f>IF(VLOOKUP($A2,$A$7:H$1124,G3,0)="","",VLOOKUP($A2,$A$7:H$1124,G3,0))</f>
        <v/>
      </c>
      <c r="H2" s="17" t="str">
        <f>IF(VLOOKUP($A2,$A$7:I$1124,H3,0)="","",VLOOKUP($A2,$A$7:I$1124,H3,0))</f>
        <v/>
      </c>
      <c r="I2" s="17" t="str">
        <f>IF(VLOOKUP($A2,$A$7:J$1124,I3,0)="","",VLOOKUP($A2,$A$7:J$1124,I3,0))</f>
        <v/>
      </c>
      <c r="J2" s="17" t="str">
        <f>IF(VLOOKUP($A2,$A$7:K$1124,J3,0)="","",VLOOKUP($A2,$A$7:K$1124,J3,0))</f>
        <v/>
      </c>
      <c r="K2" s="17" t="str">
        <f>IF(VLOOKUP($A2,$A$7:L$1124,K3,0)="","",VLOOKUP($A2,$A$7:L$1124,K3,0))</f>
        <v/>
      </c>
      <c r="L2" s="17" t="str">
        <f>IF(VLOOKUP($A2,$A$7:N$1124,L3,0)="","",VLOOKUP($A2,$A$7:N$1124,L3,0))</f>
        <v/>
      </c>
      <c r="M2" s="17" t="str">
        <f>IF(VLOOKUP($A2,$A$7:O$1124,M3,0)="","",VLOOKUP($A2,$A$7:O$1124,M3,0))</f>
        <v/>
      </c>
      <c r="N2" s="17" t="str">
        <f>IF(VLOOKUP($A2,$A$7:P$1124,N3,0)="","",VLOOKUP($A2,$A$7:P$1124,N3,0))</f>
        <v/>
      </c>
      <c r="O2" s="17" t="str">
        <f>IF(VLOOKUP($A2,$A$7:Q$1124,O3,0)="","",VLOOKUP($A2,$A$7:Q$1124,O3,0))</f>
        <v/>
      </c>
      <c r="P2" s="17" t="str">
        <f>IF(VLOOKUP($A2,$A$7:R$1124,P3,0)="","",VLOOKUP($A2,$A$7:R$1124,P3,0))</f>
        <v/>
      </c>
      <c r="Q2" s="17" t="str">
        <f>IF(VLOOKUP($A2,$A$7:S$1124,Q3,0)="","",VLOOKUP($A2,$A$7:S$1124,Q3,0))</f>
        <v/>
      </c>
      <c r="R2" s="17" t="str">
        <f>IF(VLOOKUP($A2,$A$7:T$1124,R3,0)="","",VLOOKUP($A2,$A$7:T$1124,R3,0))</f>
        <v/>
      </c>
      <c r="S2" s="17" t="str">
        <f>IF(VLOOKUP($A2,$A$7:AG$1124,S3,0)="","",VLOOKUP($A2,$A$7:AG$1124,S3,0))</f>
        <v/>
      </c>
      <c r="T2" s="17" t="str">
        <f>IF(VLOOKUP($A2,$A$7:AH$1124,T3,0)="","",VLOOKUP($A2,$A$7:AH$1124,T3,0))</f>
        <v/>
      </c>
      <c r="U2" s="17" t="str">
        <f>IF(VLOOKUP($A2,$A$7:AI$1124,U3,0)="","",VLOOKUP($A2,$A$7:AI$1124,U3,0))</f>
        <v/>
      </c>
      <c r="V2" s="17" t="str">
        <f>IF(VLOOKUP($A2,$A$7:AJ$1124,V3,0)="","",VLOOKUP($A2,$A$7:AJ$1124,V3,0))</f>
        <v/>
      </c>
      <c r="W2" s="17" t="str">
        <f>IF(VLOOKUP($A2,$A$7:AK$1124,W3,0)="","",VLOOKUP($A2,$A$7:AK$1124,W3,0))</f>
        <v/>
      </c>
      <c r="X2" s="17" t="str">
        <f>IF(VLOOKUP($A2,$A$7:AL$1124,X3,0)="","",VLOOKUP($A2,$A$7:AL$1124,X3,0))</f>
        <v/>
      </c>
      <c r="Y2" s="17" t="str">
        <f>IF(VLOOKUP($A2,$A$7:AM$1124,Y3,0)="","",VLOOKUP($A2,$A$7:AM$1124,Y3,0))</f>
        <v/>
      </c>
      <c r="Z2" s="17" t="str">
        <f>IF(VLOOKUP($A2,$A$7:AN$1124,Z3,0)="","",VLOOKUP($A2,$A$7:AN$1124,Z3,0))</f>
        <v/>
      </c>
      <c r="AA2" s="17" t="str">
        <f>IF(VLOOKUP($A2,$A$7:AO$1124,AA3,0)="","",VLOOKUP($A2,$A$7:AO$1124,AA3,0))</f>
        <v/>
      </c>
      <c r="AB2" s="17" t="str">
        <f>IF(VLOOKUP($A2,$A$7:AP$1124,AB3,0)="","",VLOOKUP($A2,$A$7:AP$1124,AB3,0))</f>
        <v/>
      </c>
      <c r="AC2" s="17" t="str">
        <f>IF(VLOOKUP($A2,$A$7:AQ$1124,AC3,0)="","",VLOOKUP($A2,$A$7:AQ$1124,AC3,0))</f>
        <v/>
      </c>
      <c r="AD2" s="17" t="str">
        <f>IF(VLOOKUP($A2,$A$7:AR$1124,AD3,0)="","",VLOOKUP($A2,$A$7:AR$1124,AD3,0))</f>
        <v/>
      </c>
      <c r="AE2" s="17" t="str">
        <f>IF(VLOOKUP($A2,$A$7:AS$1124,AE3,0)="","",VLOOKUP($A2,$A$7:AS$1124,AE3,0))</f>
        <v/>
      </c>
      <c r="AF2" s="17" t="str">
        <f>IF(VLOOKUP($A2,$A$7:AT$1124,AF3,0)="","",VLOOKUP($A2,$A$7:AT$1124,AF3,0))</f>
        <v/>
      </c>
      <c r="AG2" s="17" t="str">
        <f>IF(VLOOKUP($A2,$A$7:AU$1124,AG3,0)="","",VLOOKUP($A2,$A$7:AU$1124,AG3,0))</f>
        <v/>
      </c>
      <c r="AH2" s="17" t="str">
        <f>IF(VLOOKUP($A2,$A$7:AV$1124,AH3,0)="","",VLOOKUP($A2,$A$7:AV$1124,AH3,0))</f>
        <v/>
      </c>
      <c r="AI2" s="17" t="str">
        <f>IF(VLOOKUP($A2,$A$7:AW$1124,AI3,0)="","",VLOOKUP($A2,$A$7:AW$1124,AI3,0))</f>
        <v/>
      </c>
      <c r="AJ2" s="17" t="str">
        <f>IF(VLOOKUP($A2,$A$7:AX$1124,AJ3,0)="","",VLOOKUP($A2,$A$7:AX$1124,AJ3,0))</f>
        <v/>
      </c>
    </row>
    <row r="3" spans="1:36" s="22" customFormat="1" ht="24" customHeight="1" x14ac:dyDescent="0.25">
      <c r="A3" s="19">
        <f>N_INICIAL</f>
        <v>0</v>
      </c>
      <c r="B3" s="398">
        <v>2</v>
      </c>
      <c r="C3" s="392">
        <f t="shared" ref="C3:L3" si="4">B3+1</f>
        <v>3</v>
      </c>
      <c r="D3" s="392">
        <f t="shared" si="4"/>
        <v>4</v>
      </c>
      <c r="E3" s="393">
        <f t="shared" si="4"/>
        <v>5</v>
      </c>
      <c r="F3" s="393">
        <f t="shared" si="4"/>
        <v>6</v>
      </c>
      <c r="G3" s="393">
        <f t="shared" si="4"/>
        <v>7</v>
      </c>
      <c r="H3" s="393">
        <f t="shared" si="4"/>
        <v>8</v>
      </c>
      <c r="I3" s="21">
        <f t="shared" si="4"/>
        <v>9</v>
      </c>
      <c r="J3" s="21">
        <f t="shared" si="4"/>
        <v>10</v>
      </c>
      <c r="K3" s="21">
        <f t="shared" si="4"/>
        <v>11</v>
      </c>
      <c r="L3" s="21">
        <f t="shared" si="4"/>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399"/>
      <c r="C4" s="400"/>
      <c r="D4" s="399"/>
      <c r="E4" s="473" t="str">
        <f>DG_0_S&amp;" | "&amp;"Ir A FORMULARIO"&amp;" | "&amp;"Dar FORMATO"</f>
        <v>DATOS GENERALES | Ir A FORMULARIO | Dar FORMATO</v>
      </c>
      <c r="F4" s="473"/>
      <c r="G4" s="473"/>
      <c r="H4" s="473"/>
      <c r="I4" s="229">
        <f>COUNTA(H7:H500)</f>
        <v>0</v>
      </c>
      <c r="J4" s="336" t="str">
        <f>'Datos O2'!J4</f>
        <v>Preguntas almacenadas</v>
      </c>
    </row>
    <row r="5" spans="1:36" s="257" customFormat="1" hidden="1" x14ac:dyDescent="0.25">
      <c r="A5" s="245">
        <v>0</v>
      </c>
      <c r="B5" s="243" t="str">
        <f>IF(A5="","",PREF_PREGUNTA&amp;" - "&amp;IF(MAX(A:A)&gt;99,IF(A5&lt;100,"0",""),"")&amp;IF(A5&lt;10,"0","")&amp;A5&amp;IF(G5&lt;&gt;""," "&amp;G5,""))</f>
        <v>T01 - 00</v>
      </c>
      <c r="C5" s="273">
        <f>IF(COUNTA(I5:N5)-D5=0,"",COUNTA(I5:N5)-D5)</f>
        <v>5</v>
      </c>
      <c r="D5" s="246">
        <f>IF('Formulario OM'!P7="","",'Formulario OM'!P7)</f>
        <v>1</v>
      </c>
      <c r="E5" s="284" t="str">
        <f>IF('Formulario OM'!W7="","",'Formulario OM'!W7)</f>
        <v/>
      </c>
      <c r="F5" s="284" t="str">
        <f>IF('Formulario OM'!W9="","",'Formulario OM'!W9)</f>
        <v/>
      </c>
      <c r="G5" s="248" t="str">
        <f>IF('Formulario OM'!H9="","",'Formulario OM'!H9)</f>
        <v/>
      </c>
      <c r="H5" s="241" t="str">
        <f>IF('Formulario OM'!H11="","",'Formulario OM'!H11)</f>
        <v/>
      </c>
      <c r="I5" s="285" t="str">
        <f>IF('Formulario OM'!H13="","",'Formulario OM'!H13)</f>
        <v/>
      </c>
      <c r="J5" s="286" t="str">
        <f>IF('Formulario OM'!H15="","",'Formulario OM'!H15)</f>
        <v/>
      </c>
      <c r="K5" s="287" t="str">
        <f>IF('Formulario OM'!H17="","",'Formulario OM'!H17)</f>
        <v/>
      </c>
      <c r="L5" s="288" t="str">
        <f>IF('Formulario OM'!H19="","",'Formulario OM'!H19)</f>
        <v/>
      </c>
      <c r="M5" s="289" t="str">
        <f>IF('Formulario OM'!H21="","",'Formulario OM'!H21)</f>
        <v/>
      </c>
      <c r="N5" s="290" t="str">
        <f>IF('Formulario OM'!H23="","",'Formulario OM'!H23)</f>
        <v/>
      </c>
      <c r="O5" s="274" t="str">
        <f>IF('Formulario OM'!T13="","",'Formulario OM'!T13)</f>
        <v/>
      </c>
      <c r="P5" s="275" t="str">
        <f>IF('Formulario OM'!T15="","",'Formulario OM'!T15)</f>
        <v/>
      </c>
      <c r="Q5" s="276" t="str">
        <f>IF('Formulario OM'!T17="","",'Formulario OM'!T17)</f>
        <v/>
      </c>
      <c r="R5" s="277" t="str">
        <f>IF('Formulario OM'!T19="","",'Formulario OM'!T19)</f>
        <v/>
      </c>
      <c r="S5" s="278" t="str">
        <f>IF('Formulario OM'!T21="","",'Formulario OM'!T21)</f>
        <v/>
      </c>
      <c r="T5" s="279" t="str">
        <f>IF('Formulario OM'!T23="","",'Formulario OM'!T23)</f>
        <v/>
      </c>
      <c r="U5" s="279"/>
      <c r="V5" s="279"/>
      <c r="W5" s="279"/>
      <c r="X5" s="279"/>
      <c r="Y5" s="279"/>
      <c r="Z5" s="279"/>
      <c r="AA5" s="279"/>
      <c r="AB5" s="279"/>
      <c r="AC5" s="279"/>
      <c r="AD5" s="279"/>
      <c r="AE5" s="279"/>
      <c r="AF5" s="279"/>
      <c r="AG5" s="280" t="str">
        <f>IF('Formulario OM'!H29="","",'Formulario OM'!H29)</f>
        <v/>
      </c>
      <c r="AH5" s="281" t="str">
        <f>IF('Formulario OM'!H31="","",'Formulario OM'!H31)</f>
        <v/>
      </c>
      <c r="AI5" s="282" t="str">
        <f>IF('Formulario OM'!H33="","",'Formulario OM'!H33)</f>
        <v/>
      </c>
      <c r="AJ5" s="283" t="str">
        <f>IF('Formulario OM'!H35="","",'Formulario OM'!H35)</f>
        <v/>
      </c>
    </row>
    <row r="6" spans="1:36" s="27" customFormat="1" ht="30" x14ac:dyDescent="0.25">
      <c r="A6" s="26">
        <v>0</v>
      </c>
      <c r="B6" s="337" t="s">
        <v>41</v>
      </c>
      <c r="C6" s="369" t="s">
        <v>42</v>
      </c>
      <c r="D6" s="370" t="s">
        <v>44</v>
      </c>
      <c r="E6" s="371" t="s">
        <v>45</v>
      </c>
      <c r="F6" s="371" t="s">
        <v>46</v>
      </c>
      <c r="G6" s="372" t="s">
        <v>43</v>
      </c>
      <c r="H6" s="394" t="str">
        <f>"Enunciado  | "&amp;'Formulario OM'!B1</f>
        <v>Enunciado  | FastTest PlugIn - Opción Múltiple 1R</v>
      </c>
      <c r="I6" s="359" t="str">
        <f>MID(T_R,1,1)</f>
        <v>a</v>
      </c>
      <c r="J6" s="360" t="str">
        <f>CHAR(CODE(I6)+1)</f>
        <v>b</v>
      </c>
      <c r="K6" s="361" t="str">
        <f t="shared" ref="K6:N6" si="29">CHAR(CODE(J6)+1)</f>
        <v>c</v>
      </c>
      <c r="L6" s="362" t="str">
        <f t="shared" si="29"/>
        <v>d</v>
      </c>
      <c r="M6" s="363" t="str">
        <f t="shared" si="29"/>
        <v>e</v>
      </c>
      <c r="N6" s="364" t="str">
        <f t="shared" si="29"/>
        <v>f</v>
      </c>
      <c r="O6" s="359" t="s">
        <v>48</v>
      </c>
      <c r="P6" s="360" t="s">
        <v>49</v>
      </c>
      <c r="Q6" s="361" t="s">
        <v>50</v>
      </c>
      <c r="R6" s="362" t="s">
        <v>51</v>
      </c>
      <c r="S6" s="363" t="s">
        <v>52</v>
      </c>
      <c r="T6" s="364" t="s">
        <v>53</v>
      </c>
      <c r="U6" s="364"/>
      <c r="V6" s="364"/>
      <c r="W6" s="364"/>
      <c r="X6" s="364"/>
      <c r="Y6" s="364"/>
      <c r="Z6" s="364"/>
      <c r="AA6" s="364"/>
      <c r="AB6" s="364"/>
      <c r="AC6" s="364"/>
      <c r="AD6" s="364"/>
      <c r="AE6" s="364"/>
      <c r="AF6" s="364"/>
      <c r="AG6" s="365" t="s">
        <v>54</v>
      </c>
      <c r="AH6" s="366" t="s">
        <v>55</v>
      </c>
      <c r="AI6" s="367" t="s">
        <v>56</v>
      </c>
      <c r="AJ6" s="368" t="s">
        <v>57</v>
      </c>
    </row>
    <row r="7" spans="1:36" s="22" customFormat="1" x14ac:dyDescent="0.25">
      <c r="A7" s="34">
        <v>1</v>
      </c>
      <c r="B7" s="243" t="str">
        <f t="shared" ref="B7:B70" si="30">IF(A7="","",PREF_PREGUNTA&amp;" - "&amp;IF(MAX(A:A)&gt;99,IF(A7&lt;100,"0",""),"")&amp;IF(A7&lt;10,"0","")&amp;A7&amp;IF(G7&lt;&gt;""," "&amp;G7,""))</f>
        <v>T01 - 01</v>
      </c>
      <c r="C7" s="273" t="str">
        <f t="shared" ref="C7:C70" si="31">IF(COUNTA(I7:N7)-D7=0,"",COUNTA(I7:N7)-D7)</f>
        <v/>
      </c>
      <c r="D7" s="246"/>
      <c r="E7" s="284"/>
      <c r="F7" s="284"/>
      <c r="G7" s="248"/>
      <c r="H7" s="241"/>
      <c r="I7" s="285"/>
      <c r="J7" s="286"/>
      <c r="K7" s="287"/>
      <c r="L7" s="288"/>
      <c r="M7" s="289"/>
      <c r="N7" s="290"/>
      <c r="O7" s="274"/>
      <c r="P7" s="275"/>
      <c r="Q7" s="276"/>
      <c r="R7" s="277"/>
      <c r="S7" s="278"/>
      <c r="T7" s="279"/>
      <c r="U7" s="279"/>
      <c r="V7" s="279"/>
      <c r="W7" s="279"/>
      <c r="X7" s="279"/>
      <c r="Y7" s="279"/>
      <c r="Z7" s="279"/>
      <c r="AA7" s="279"/>
      <c r="AB7" s="279"/>
      <c r="AC7" s="279"/>
      <c r="AD7" s="279"/>
      <c r="AE7" s="279"/>
      <c r="AF7" s="279"/>
      <c r="AG7" s="280"/>
      <c r="AH7" s="281"/>
      <c r="AI7" s="282"/>
      <c r="AJ7" s="283"/>
    </row>
    <row r="8" spans="1:36" s="22" customFormat="1" x14ac:dyDescent="0.25">
      <c r="A8" s="28" t="str">
        <f>IF(H8&lt;&gt;"",MAX($A$7:A7)+1,"")</f>
        <v/>
      </c>
      <c r="B8" s="243" t="str">
        <f t="shared" si="30"/>
        <v/>
      </c>
      <c r="C8" s="273" t="str">
        <f t="shared" si="31"/>
        <v/>
      </c>
      <c r="D8" s="246"/>
      <c r="E8" s="284"/>
      <c r="F8" s="284"/>
      <c r="G8" s="248"/>
      <c r="H8" s="241"/>
      <c r="I8" s="285"/>
      <c r="J8" s="286"/>
      <c r="K8" s="287"/>
      <c r="L8" s="288"/>
      <c r="M8" s="289"/>
      <c r="N8" s="290"/>
      <c r="O8" s="274"/>
      <c r="P8" s="275"/>
      <c r="Q8" s="276"/>
      <c r="R8" s="277"/>
      <c r="S8" s="278"/>
      <c r="T8" s="279"/>
      <c r="U8" s="279"/>
      <c r="V8" s="279"/>
      <c r="W8" s="279"/>
      <c r="X8" s="279"/>
      <c r="Y8" s="279"/>
      <c r="Z8" s="279"/>
      <c r="AA8" s="279"/>
      <c r="AB8" s="279"/>
      <c r="AC8" s="279"/>
      <c r="AD8" s="279"/>
      <c r="AE8" s="279"/>
      <c r="AF8" s="279"/>
      <c r="AG8" s="280"/>
      <c r="AH8" s="281"/>
      <c r="AI8" s="282"/>
      <c r="AJ8" s="283"/>
    </row>
    <row r="9" spans="1:36" s="22" customFormat="1" x14ac:dyDescent="0.25">
      <c r="A9" s="28" t="str">
        <f>IF(H9&lt;&gt;"",MAX($A$7:A8)+1,"")</f>
        <v/>
      </c>
      <c r="B9" s="243" t="str">
        <f t="shared" si="30"/>
        <v/>
      </c>
      <c r="C9" s="273" t="str">
        <f t="shared" si="31"/>
        <v/>
      </c>
      <c r="D9" s="246"/>
      <c r="E9" s="284"/>
      <c r="F9" s="284"/>
      <c r="G9" s="248"/>
      <c r="H9" s="241"/>
      <c r="I9" s="285"/>
      <c r="J9" s="286"/>
      <c r="K9" s="287"/>
      <c r="L9" s="288"/>
      <c r="M9" s="289"/>
      <c r="N9" s="290"/>
      <c r="O9" s="274"/>
      <c r="P9" s="275"/>
      <c r="Q9" s="276"/>
      <c r="R9" s="277"/>
      <c r="S9" s="278"/>
      <c r="T9" s="279"/>
      <c r="U9" s="279"/>
      <c r="V9" s="279"/>
      <c r="W9" s="279"/>
      <c r="X9" s="279"/>
      <c r="Y9" s="279"/>
      <c r="Z9" s="279"/>
      <c r="AA9" s="279"/>
      <c r="AB9" s="279"/>
      <c r="AC9" s="279"/>
      <c r="AD9" s="279"/>
      <c r="AE9" s="279"/>
      <c r="AF9" s="279"/>
      <c r="AG9" s="280"/>
      <c r="AH9" s="281"/>
      <c r="AI9" s="282"/>
      <c r="AJ9" s="283"/>
    </row>
    <row r="10" spans="1:36" s="22" customFormat="1" x14ac:dyDescent="0.25">
      <c r="A10" s="28" t="str">
        <f>IF(H10&lt;&gt;"",MAX($A$7:A9)+1,"")</f>
        <v/>
      </c>
      <c r="B10" s="243" t="str">
        <f t="shared" si="30"/>
        <v/>
      </c>
      <c r="C10" s="273" t="str">
        <f t="shared" si="31"/>
        <v/>
      </c>
      <c r="D10" s="246"/>
      <c r="E10" s="284"/>
      <c r="F10" s="284"/>
      <c r="G10" s="248"/>
      <c r="H10" s="241"/>
      <c r="I10" s="285"/>
      <c r="J10" s="286"/>
      <c r="K10" s="287"/>
      <c r="L10" s="288"/>
      <c r="M10" s="289"/>
      <c r="N10" s="290"/>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6" s="22" customFormat="1" x14ac:dyDescent="0.25">
      <c r="A11" s="28" t="str">
        <f>IF(H11&lt;&gt;"",MAX($A$7:A10)+1,"")</f>
        <v/>
      </c>
      <c r="B11" s="243" t="str">
        <f t="shared" si="30"/>
        <v/>
      </c>
      <c r="C11" s="273" t="str">
        <f t="shared" si="31"/>
        <v/>
      </c>
      <c r="D11" s="246"/>
      <c r="E11" s="284"/>
      <c r="F11" s="284"/>
      <c r="G11" s="248"/>
      <c r="H11" s="241"/>
      <c r="I11" s="285"/>
      <c r="J11" s="286"/>
      <c r="K11" s="287"/>
      <c r="L11" s="288"/>
      <c r="M11" s="289"/>
      <c r="N11" s="290"/>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6" s="22" customFormat="1" x14ac:dyDescent="0.25">
      <c r="A12" s="28" t="str">
        <f>IF(H12&lt;&gt;"",MAX($A$7:A11)+1,"")</f>
        <v/>
      </c>
      <c r="B12" s="243" t="str">
        <f t="shared" si="30"/>
        <v/>
      </c>
      <c r="C12" s="273" t="str">
        <f t="shared" si="31"/>
        <v/>
      </c>
      <c r="D12" s="246"/>
      <c r="E12" s="284"/>
      <c r="F12" s="284"/>
      <c r="G12" s="248"/>
      <c r="H12" s="241"/>
      <c r="I12" s="285"/>
      <c r="J12" s="286"/>
      <c r="K12" s="287"/>
      <c r="L12" s="288"/>
      <c r="M12" s="289"/>
      <c r="N12" s="290"/>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6" s="22" customFormat="1" x14ac:dyDescent="0.25">
      <c r="A13" s="28" t="str">
        <f>IF(H13&lt;&gt;"",MAX($A$7:A12)+1,"")</f>
        <v/>
      </c>
      <c r="B13" s="243" t="str">
        <f t="shared" si="30"/>
        <v/>
      </c>
      <c r="C13" s="273" t="str">
        <f t="shared" si="31"/>
        <v/>
      </c>
      <c r="D13" s="246"/>
      <c r="E13" s="284"/>
      <c r="F13" s="284"/>
      <c r="G13" s="248"/>
      <c r="H13" s="241"/>
      <c r="I13" s="285"/>
      <c r="J13" s="286"/>
      <c r="K13" s="287"/>
      <c r="L13" s="288"/>
      <c r="M13" s="289"/>
      <c r="N13" s="290"/>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6" s="22" customFormat="1" x14ac:dyDescent="0.25">
      <c r="A14" s="28" t="str">
        <f>IF(H14&lt;&gt;"",MAX($A$7:A13)+1,"")</f>
        <v/>
      </c>
      <c r="B14" s="243" t="str">
        <f t="shared" si="30"/>
        <v/>
      </c>
      <c r="C14" s="273" t="str">
        <f t="shared" si="31"/>
        <v/>
      </c>
      <c r="D14" s="246"/>
      <c r="E14" s="284"/>
      <c r="F14" s="284"/>
      <c r="G14" s="248"/>
      <c r="H14" s="241"/>
      <c r="I14" s="285"/>
      <c r="J14" s="286"/>
      <c r="K14" s="287"/>
      <c r="L14" s="288"/>
      <c r="M14" s="289"/>
      <c r="N14" s="290"/>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6" s="22" customFormat="1" x14ac:dyDescent="0.25">
      <c r="A15" s="28" t="str">
        <f>IF(H15&lt;&gt;"",MAX($A$7:A14)+1,"")</f>
        <v/>
      </c>
      <c r="B15" s="243" t="str">
        <f t="shared" si="30"/>
        <v/>
      </c>
      <c r="C15" s="273" t="str">
        <f t="shared" si="31"/>
        <v/>
      </c>
      <c r="D15" s="246"/>
      <c r="E15" s="284"/>
      <c r="F15" s="284"/>
      <c r="G15" s="248"/>
      <c r="H15" s="241"/>
      <c r="I15" s="285"/>
      <c r="J15" s="286"/>
      <c r="K15" s="287"/>
      <c r="L15" s="288"/>
      <c r="M15" s="289"/>
      <c r="N15" s="290"/>
      <c r="O15" s="274"/>
      <c r="P15" s="275"/>
      <c r="Q15" s="276"/>
      <c r="R15" s="277"/>
      <c r="S15" s="278"/>
      <c r="T15" s="279"/>
      <c r="U15" s="279"/>
      <c r="V15" s="279"/>
      <c r="W15" s="279"/>
      <c r="X15" s="279"/>
      <c r="Y15" s="279"/>
      <c r="Z15" s="279"/>
      <c r="AA15" s="279"/>
      <c r="AB15" s="279"/>
      <c r="AC15" s="279"/>
      <c r="AD15" s="279"/>
      <c r="AE15" s="279"/>
      <c r="AF15" s="279"/>
      <c r="AG15" s="280"/>
      <c r="AH15" s="281"/>
      <c r="AI15" s="282"/>
      <c r="AJ15" s="283"/>
    </row>
    <row r="16" spans="1:36" s="22" customFormat="1" x14ac:dyDescent="0.25">
      <c r="A16" s="28" t="str">
        <f>IF(H16&lt;&gt;"",MAX($A$7:A15)+1,"")</f>
        <v/>
      </c>
      <c r="B16" s="243" t="str">
        <f t="shared" si="30"/>
        <v/>
      </c>
      <c r="C16" s="273" t="str">
        <f t="shared" si="31"/>
        <v/>
      </c>
      <c r="D16" s="246"/>
      <c r="E16" s="284"/>
      <c r="F16" s="284"/>
      <c r="G16" s="248"/>
      <c r="H16" s="241"/>
      <c r="I16" s="285"/>
      <c r="J16" s="286"/>
      <c r="K16" s="287"/>
      <c r="L16" s="288"/>
      <c r="M16" s="289"/>
      <c r="N16" s="290"/>
      <c r="O16" s="274"/>
      <c r="P16" s="275"/>
      <c r="Q16" s="276"/>
      <c r="R16" s="277"/>
      <c r="S16" s="278"/>
      <c r="T16" s="279"/>
      <c r="U16" s="279"/>
      <c r="V16" s="279"/>
      <c r="W16" s="279"/>
      <c r="X16" s="279"/>
      <c r="Y16" s="279"/>
      <c r="Z16" s="279"/>
      <c r="AA16" s="279"/>
      <c r="AB16" s="279"/>
      <c r="AC16" s="279"/>
      <c r="AD16" s="279"/>
      <c r="AE16" s="279"/>
      <c r="AF16" s="279"/>
      <c r="AG16" s="280"/>
      <c r="AH16" s="281"/>
      <c r="AI16" s="282"/>
      <c r="AJ16" s="283"/>
    </row>
    <row r="17" spans="1:36" s="22" customFormat="1" x14ac:dyDescent="0.25">
      <c r="A17" s="28" t="str">
        <f>IF(H17&lt;&gt;"",MAX($A$7:A16)+1,"")</f>
        <v/>
      </c>
      <c r="B17" s="243" t="str">
        <f t="shared" si="30"/>
        <v/>
      </c>
      <c r="C17" s="273" t="str">
        <f t="shared" si="31"/>
        <v/>
      </c>
      <c r="D17" s="246"/>
      <c r="E17" s="284"/>
      <c r="F17" s="284"/>
      <c r="G17" s="248"/>
      <c r="H17" s="241"/>
      <c r="I17" s="285"/>
      <c r="J17" s="286"/>
      <c r="K17" s="287"/>
      <c r="L17" s="288"/>
      <c r="M17" s="289"/>
      <c r="N17" s="290"/>
      <c r="O17" s="274"/>
      <c r="P17" s="275"/>
      <c r="Q17" s="276"/>
      <c r="R17" s="277"/>
      <c r="S17" s="278"/>
      <c r="T17" s="279"/>
      <c r="U17" s="279"/>
      <c r="V17" s="279"/>
      <c r="W17" s="279"/>
      <c r="X17" s="279"/>
      <c r="Y17" s="279"/>
      <c r="Z17" s="279"/>
      <c r="AA17" s="279"/>
      <c r="AB17" s="279"/>
      <c r="AC17" s="279"/>
      <c r="AD17" s="279"/>
      <c r="AE17" s="279"/>
      <c r="AF17" s="279"/>
      <c r="AG17" s="280"/>
      <c r="AH17" s="281"/>
      <c r="AI17" s="282"/>
      <c r="AJ17" s="283"/>
    </row>
    <row r="18" spans="1:36" s="22" customFormat="1" x14ac:dyDescent="0.25">
      <c r="A18" s="28" t="str">
        <f>IF(H18&lt;&gt;"",MAX($A$7:A17)+1,"")</f>
        <v/>
      </c>
      <c r="B18" s="243" t="str">
        <f t="shared" si="30"/>
        <v/>
      </c>
      <c r="C18" s="273" t="str">
        <f t="shared" si="31"/>
        <v/>
      </c>
      <c r="D18" s="246"/>
      <c r="E18" s="284"/>
      <c r="F18" s="284"/>
      <c r="G18" s="248"/>
      <c r="H18" s="241"/>
      <c r="I18" s="285"/>
      <c r="J18" s="286"/>
      <c r="K18" s="287"/>
      <c r="L18" s="288"/>
      <c r="M18" s="289"/>
      <c r="N18" s="290"/>
      <c r="O18" s="274"/>
      <c r="P18" s="275"/>
      <c r="Q18" s="276"/>
      <c r="R18" s="277"/>
      <c r="S18" s="278"/>
      <c r="T18" s="279"/>
      <c r="U18" s="279"/>
      <c r="V18" s="279"/>
      <c r="W18" s="279"/>
      <c r="X18" s="279"/>
      <c r="Y18" s="279"/>
      <c r="Z18" s="279"/>
      <c r="AA18" s="279"/>
      <c r="AB18" s="279"/>
      <c r="AC18" s="279"/>
      <c r="AD18" s="279"/>
      <c r="AE18" s="279"/>
      <c r="AF18" s="279"/>
      <c r="AG18" s="280"/>
      <c r="AH18" s="281"/>
      <c r="AI18" s="282"/>
      <c r="AJ18" s="283"/>
    </row>
    <row r="19" spans="1:36" s="22" customFormat="1" x14ac:dyDescent="0.25">
      <c r="A19" s="28" t="str">
        <f>IF(H19&lt;&gt;"",MAX($A$7:A18)+1,"")</f>
        <v/>
      </c>
      <c r="B19" s="243" t="str">
        <f t="shared" si="30"/>
        <v/>
      </c>
      <c r="C19" s="273" t="str">
        <f t="shared" si="31"/>
        <v/>
      </c>
      <c r="D19" s="246"/>
      <c r="E19" s="284"/>
      <c r="F19" s="284"/>
      <c r="G19" s="248"/>
      <c r="H19" s="241"/>
      <c r="I19" s="285"/>
      <c r="J19" s="286"/>
      <c r="K19" s="287"/>
      <c r="L19" s="288"/>
      <c r="M19" s="289"/>
      <c r="N19" s="290"/>
      <c r="O19" s="274"/>
      <c r="P19" s="275"/>
      <c r="Q19" s="276"/>
      <c r="R19" s="277"/>
      <c r="S19" s="278"/>
      <c r="T19" s="279"/>
      <c r="U19" s="279"/>
      <c r="V19" s="279"/>
      <c r="W19" s="279"/>
      <c r="X19" s="279"/>
      <c r="Y19" s="279"/>
      <c r="Z19" s="279"/>
      <c r="AA19" s="279"/>
      <c r="AB19" s="279"/>
      <c r="AC19" s="279"/>
      <c r="AD19" s="279"/>
      <c r="AE19" s="279"/>
      <c r="AF19" s="279"/>
      <c r="AG19" s="280"/>
      <c r="AH19" s="281"/>
      <c r="AI19" s="282"/>
      <c r="AJ19" s="283"/>
    </row>
    <row r="20" spans="1:36" s="22" customFormat="1" x14ac:dyDescent="0.25">
      <c r="A20" s="28" t="str">
        <f>IF(H20&lt;&gt;"",MAX($A$7:A19)+1,"")</f>
        <v/>
      </c>
      <c r="B20" s="243" t="str">
        <f t="shared" si="30"/>
        <v/>
      </c>
      <c r="C20" s="273" t="str">
        <f t="shared" si="31"/>
        <v/>
      </c>
      <c r="D20" s="246"/>
      <c r="E20" s="284"/>
      <c r="F20" s="284"/>
      <c r="G20" s="248"/>
      <c r="H20" s="241"/>
      <c r="I20" s="285"/>
      <c r="J20" s="286"/>
      <c r="K20" s="287"/>
      <c r="L20" s="288"/>
      <c r="M20" s="289"/>
      <c r="N20" s="290"/>
      <c r="O20" s="274"/>
      <c r="P20" s="275"/>
      <c r="Q20" s="276"/>
      <c r="R20" s="277"/>
      <c r="S20" s="278"/>
      <c r="T20" s="279"/>
      <c r="U20" s="279"/>
      <c r="V20" s="279"/>
      <c r="W20" s="279"/>
      <c r="X20" s="279"/>
      <c r="Y20" s="279"/>
      <c r="Z20" s="279"/>
      <c r="AA20" s="279"/>
      <c r="AB20" s="279"/>
      <c r="AC20" s="279"/>
      <c r="AD20" s="279"/>
      <c r="AE20" s="279"/>
      <c r="AF20" s="279"/>
      <c r="AG20" s="280"/>
      <c r="AH20" s="281"/>
      <c r="AI20" s="282"/>
      <c r="AJ20" s="283"/>
    </row>
    <row r="21" spans="1:36" s="22" customFormat="1" x14ac:dyDescent="0.25">
      <c r="A21" s="28" t="str">
        <f>IF(H21&lt;&gt;"",MAX($A$7:A20)+1,"")</f>
        <v/>
      </c>
      <c r="B21" s="243" t="str">
        <f t="shared" si="30"/>
        <v/>
      </c>
      <c r="C21" s="273" t="str">
        <f t="shared" si="31"/>
        <v/>
      </c>
      <c r="D21" s="246"/>
      <c r="E21" s="284"/>
      <c r="F21" s="284"/>
      <c r="G21" s="248"/>
      <c r="H21" s="241"/>
      <c r="I21" s="285"/>
      <c r="J21" s="286"/>
      <c r="K21" s="287"/>
      <c r="L21" s="288"/>
      <c r="M21" s="289"/>
      <c r="N21" s="290"/>
      <c r="O21" s="274"/>
      <c r="P21" s="275"/>
      <c r="Q21" s="276"/>
      <c r="R21" s="277"/>
      <c r="S21" s="278"/>
      <c r="T21" s="279"/>
      <c r="U21" s="279"/>
      <c r="V21" s="279"/>
      <c r="W21" s="279"/>
      <c r="X21" s="279"/>
      <c r="Y21" s="279"/>
      <c r="Z21" s="279"/>
      <c r="AA21" s="279"/>
      <c r="AB21" s="279"/>
      <c r="AC21" s="279"/>
      <c r="AD21" s="279"/>
      <c r="AE21" s="279"/>
      <c r="AF21" s="279"/>
      <c r="AG21" s="280"/>
      <c r="AH21" s="281"/>
      <c r="AI21" s="282"/>
      <c r="AJ21" s="283"/>
    </row>
    <row r="22" spans="1:36" s="22" customFormat="1" x14ac:dyDescent="0.25">
      <c r="A22" s="28" t="str">
        <f>IF(H22&lt;&gt;"",MAX($A$7:A21)+1,"")</f>
        <v/>
      </c>
      <c r="B22" s="243" t="str">
        <f t="shared" si="30"/>
        <v/>
      </c>
      <c r="C22" s="273" t="str">
        <f t="shared" si="31"/>
        <v/>
      </c>
      <c r="D22" s="246"/>
      <c r="E22" s="284"/>
      <c r="F22" s="284"/>
      <c r="G22" s="248"/>
      <c r="H22" s="241"/>
      <c r="I22" s="285"/>
      <c r="J22" s="286"/>
      <c r="K22" s="287"/>
      <c r="L22" s="288"/>
      <c r="M22" s="289"/>
      <c r="N22" s="290"/>
      <c r="O22" s="274"/>
      <c r="P22" s="275"/>
      <c r="Q22" s="276"/>
      <c r="R22" s="277"/>
      <c r="S22" s="278"/>
      <c r="T22" s="279"/>
      <c r="U22" s="279"/>
      <c r="V22" s="279"/>
      <c r="W22" s="279"/>
      <c r="X22" s="279"/>
      <c r="Y22" s="279"/>
      <c r="Z22" s="279"/>
      <c r="AA22" s="279"/>
      <c r="AB22" s="279"/>
      <c r="AC22" s="279"/>
      <c r="AD22" s="279"/>
      <c r="AE22" s="279"/>
      <c r="AF22" s="279"/>
      <c r="AG22" s="280"/>
      <c r="AH22" s="281"/>
      <c r="AI22" s="282"/>
      <c r="AJ22" s="283"/>
    </row>
    <row r="23" spans="1:36" s="22" customFormat="1" x14ac:dyDescent="0.25">
      <c r="A23" s="28" t="str">
        <f>IF(H23&lt;&gt;"",MAX($A$7:A22)+1,"")</f>
        <v/>
      </c>
      <c r="B23" s="243" t="str">
        <f t="shared" si="30"/>
        <v/>
      </c>
      <c r="C23" s="273" t="str">
        <f t="shared" si="31"/>
        <v/>
      </c>
      <c r="D23" s="246"/>
      <c r="E23" s="284"/>
      <c r="F23" s="284"/>
      <c r="G23" s="248"/>
      <c r="H23" s="241"/>
      <c r="I23" s="285"/>
      <c r="J23" s="286"/>
      <c r="K23" s="287"/>
      <c r="L23" s="288"/>
      <c r="M23" s="289"/>
      <c r="N23" s="290"/>
      <c r="O23" s="274"/>
      <c r="P23" s="275"/>
      <c r="Q23" s="276"/>
      <c r="R23" s="277"/>
      <c r="S23" s="278"/>
      <c r="T23" s="279"/>
      <c r="U23" s="279"/>
      <c r="V23" s="279"/>
      <c r="W23" s="279"/>
      <c r="X23" s="279"/>
      <c r="Y23" s="279"/>
      <c r="Z23" s="279"/>
      <c r="AA23" s="279"/>
      <c r="AB23" s="279"/>
      <c r="AC23" s="279"/>
      <c r="AD23" s="279"/>
      <c r="AE23" s="279"/>
      <c r="AF23" s="279"/>
      <c r="AG23" s="280"/>
      <c r="AH23" s="281"/>
      <c r="AI23" s="282"/>
      <c r="AJ23" s="283"/>
    </row>
    <row r="24" spans="1:36" s="22" customFormat="1" x14ac:dyDescent="0.25">
      <c r="A24" s="28" t="str">
        <f>IF(H24&lt;&gt;"",MAX($A$7:A23)+1,"")</f>
        <v/>
      </c>
      <c r="B24" s="243" t="str">
        <f t="shared" si="30"/>
        <v/>
      </c>
      <c r="C24" s="273" t="str">
        <f t="shared" si="31"/>
        <v/>
      </c>
      <c r="D24" s="246"/>
      <c r="E24" s="284"/>
      <c r="F24" s="284"/>
      <c r="G24" s="248"/>
      <c r="H24" s="241"/>
      <c r="I24" s="285"/>
      <c r="J24" s="286"/>
      <c r="K24" s="287"/>
      <c r="L24" s="288"/>
      <c r="M24" s="289"/>
      <c r="N24" s="290"/>
      <c r="O24" s="274"/>
      <c r="P24" s="275"/>
      <c r="Q24" s="276"/>
      <c r="R24" s="277"/>
      <c r="S24" s="278"/>
      <c r="T24" s="279"/>
      <c r="U24" s="279"/>
      <c r="V24" s="279"/>
      <c r="W24" s="279"/>
      <c r="X24" s="279"/>
      <c r="Y24" s="279"/>
      <c r="Z24" s="279"/>
      <c r="AA24" s="279"/>
      <c r="AB24" s="279"/>
      <c r="AC24" s="279"/>
      <c r="AD24" s="279"/>
      <c r="AE24" s="279"/>
      <c r="AF24" s="279"/>
      <c r="AG24" s="280"/>
      <c r="AH24" s="281"/>
      <c r="AI24" s="282"/>
      <c r="AJ24" s="283"/>
    </row>
    <row r="25" spans="1:36" s="22" customFormat="1" x14ac:dyDescent="0.25">
      <c r="A25" s="28" t="str">
        <f>IF(H25&lt;&gt;"",MAX($A$7:A24)+1,"")</f>
        <v/>
      </c>
      <c r="B25" s="243" t="str">
        <f t="shared" si="30"/>
        <v/>
      </c>
      <c r="C25" s="273" t="str">
        <f t="shared" si="31"/>
        <v/>
      </c>
      <c r="D25" s="246"/>
      <c r="E25" s="284"/>
      <c r="F25" s="284"/>
      <c r="G25" s="248"/>
      <c r="H25" s="241"/>
      <c r="I25" s="285"/>
      <c r="J25" s="286"/>
      <c r="K25" s="287"/>
      <c r="L25" s="288"/>
      <c r="M25" s="289"/>
      <c r="N25" s="290"/>
      <c r="O25" s="274"/>
      <c r="P25" s="275"/>
      <c r="Q25" s="276"/>
      <c r="R25" s="277"/>
      <c r="S25" s="278"/>
      <c r="T25" s="279"/>
      <c r="U25" s="279"/>
      <c r="V25" s="279"/>
      <c r="W25" s="279"/>
      <c r="X25" s="279"/>
      <c r="Y25" s="279"/>
      <c r="Z25" s="279"/>
      <c r="AA25" s="279"/>
      <c r="AB25" s="279"/>
      <c r="AC25" s="279"/>
      <c r="AD25" s="279"/>
      <c r="AE25" s="279"/>
      <c r="AF25" s="279"/>
      <c r="AG25" s="280"/>
      <c r="AH25" s="281"/>
      <c r="AI25" s="282"/>
      <c r="AJ25" s="283"/>
    </row>
    <row r="26" spans="1:36" s="22" customFormat="1" x14ac:dyDescent="0.25">
      <c r="A26" s="28" t="str">
        <f>IF(H26&lt;&gt;"",MAX($A$7:A25)+1,"")</f>
        <v/>
      </c>
      <c r="B26" s="243" t="str">
        <f t="shared" si="30"/>
        <v/>
      </c>
      <c r="C26" s="273" t="str">
        <f t="shared" si="31"/>
        <v/>
      </c>
      <c r="D26" s="246"/>
      <c r="E26" s="284"/>
      <c r="F26" s="284"/>
      <c r="G26" s="248"/>
      <c r="H26" s="241"/>
      <c r="I26" s="285"/>
      <c r="J26" s="286"/>
      <c r="K26" s="287"/>
      <c r="L26" s="288"/>
      <c r="M26" s="289"/>
      <c r="N26" s="290"/>
      <c r="O26" s="274"/>
      <c r="P26" s="275"/>
      <c r="Q26" s="276"/>
      <c r="R26" s="277"/>
      <c r="S26" s="278"/>
      <c r="T26" s="279"/>
      <c r="U26" s="279"/>
      <c r="V26" s="279"/>
      <c r="W26" s="279"/>
      <c r="X26" s="279"/>
      <c r="Y26" s="279"/>
      <c r="Z26" s="279"/>
      <c r="AA26" s="279"/>
      <c r="AB26" s="279"/>
      <c r="AC26" s="279"/>
      <c r="AD26" s="279"/>
      <c r="AE26" s="279"/>
      <c r="AF26" s="279"/>
      <c r="AG26" s="280"/>
      <c r="AH26" s="281"/>
      <c r="AI26" s="282"/>
      <c r="AJ26" s="283"/>
    </row>
    <row r="27" spans="1:36" s="22" customFormat="1" x14ac:dyDescent="0.25">
      <c r="A27" s="28" t="str">
        <f>IF(H27&lt;&gt;"",MAX($A$7:A26)+1,"")</f>
        <v/>
      </c>
      <c r="B27" s="243" t="str">
        <f t="shared" si="30"/>
        <v/>
      </c>
      <c r="C27" s="273" t="str">
        <f t="shared" si="31"/>
        <v/>
      </c>
      <c r="D27" s="246"/>
      <c r="E27" s="284"/>
      <c r="F27" s="284"/>
      <c r="G27" s="248"/>
      <c r="H27" s="241"/>
      <c r="I27" s="285"/>
      <c r="J27" s="286"/>
      <c r="K27" s="287"/>
      <c r="L27" s="288"/>
      <c r="M27" s="289"/>
      <c r="N27" s="290"/>
      <c r="O27" s="274"/>
      <c r="P27" s="275"/>
      <c r="Q27" s="276"/>
      <c r="R27" s="277"/>
      <c r="S27" s="278"/>
      <c r="T27" s="279"/>
      <c r="U27" s="279"/>
      <c r="V27" s="279"/>
      <c r="W27" s="279"/>
      <c r="X27" s="279"/>
      <c r="Y27" s="279"/>
      <c r="Z27" s="279"/>
      <c r="AA27" s="279"/>
      <c r="AB27" s="279"/>
      <c r="AC27" s="279"/>
      <c r="AD27" s="279"/>
      <c r="AE27" s="279"/>
      <c r="AF27" s="279"/>
      <c r="AG27" s="280"/>
      <c r="AH27" s="281"/>
      <c r="AI27" s="282"/>
      <c r="AJ27" s="283"/>
    </row>
    <row r="28" spans="1:36" s="22" customFormat="1" x14ac:dyDescent="0.25">
      <c r="A28" s="28" t="str">
        <f>IF(H28&lt;&gt;"",MAX($A$7:A27)+1,"")</f>
        <v/>
      </c>
      <c r="B28" s="243" t="str">
        <f t="shared" si="30"/>
        <v/>
      </c>
      <c r="C28" s="273" t="str">
        <f t="shared" si="31"/>
        <v/>
      </c>
      <c r="D28" s="246"/>
      <c r="E28" s="284"/>
      <c r="F28" s="284"/>
      <c r="G28" s="248"/>
      <c r="H28" s="241"/>
      <c r="I28" s="285"/>
      <c r="J28" s="286"/>
      <c r="K28" s="287"/>
      <c r="L28" s="288"/>
      <c r="M28" s="289"/>
      <c r="N28" s="290"/>
      <c r="O28" s="274"/>
      <c r="P28" s="275"/>
      <c r="Q28" s="276"/>
      <c r="R28" s="277"/>
      <c r="S28" s="278"/>
      <c r="T28" s="279"/>
      <c r="U28" s="279"/>
      <c r="V28" s="279"/>
      <c r="W28" s="279"/>
      <c r="X28" s="279"/>
      <c r="Y28" s="279"/>
      <c r="Z28" s="279"/>
      <c r="AA28" s="279"/>
      <c r="AB28" s="279"/>
      <c r="AC28" s="279"/>
      <c r="AD28" s="279"/>
      <c r="AE28" s="279"/>
      <c r="AF28" s="279"/>
      <c r="AG28" s="280"/>
      <c r="AH28" s="281"/>
      <c r="AI28" s="282"/>
      <c r="AJ28" s="283"/>
    </row>
    <row r="29" spans="1:36" s="22" customFormat="1" x14ac:dyDescent="0.25">
      <c r="A29" s="28" t="str">
        <f>IF(H29&lt;&gt;"",MAX($A$7:A28)+1,"")</f>
        <v/>
      </c>
      <c r="B29" s="243" t="str">
        <f t="shared" si="30"/>
        <v/>
      </c>
      <c r="C29" s="273" t="str">
        <f t="shared" si="31"/>
        <v/>
      </c>
      <c r="D29" s="246"/>
      <c r="E29" s="284"/>
      <c r="F29" s="284"/>
      <c r="G29" s="248"/>
      <c r="H29" s="241"/>
      <c r="I29" s="285"/>
      <c r="J29" s="286"/>
      <c r="K29" s="287"/>
      <c r="L29" s="288"/>
      <c r="M29" s="289"/>
      <c r="N29" s="290"/>
      <c r="O29" s="274"/>
      <c r="P29" s="275"/>
      <c r="Q29" s="276"/>
      <c r="R29" s="277"/>
      <c r="S29" s="278"/>
      <c r="T29" s="279"/>
      <c r="U29" s="279"/>
      <c r="V29" s="279"/>
      <c r="W29" s="279"/>
      <c r="X29" s="279"/>
      <c r="Y29" s="279"/>
      <c r="Z29" s="279"/>
      <c r="AA29" s="279"/>
      <c r="AB29" s="279"/>
      <c r="AC29" s="279"/>
      <c r="AD29" s="279"/>
      <c r="AE29" s="279"/>
      <c r="AF29" s="279"/>
      <c r="AG29" s="280"/>
      <c r="AH29" s="281"/>
      <c r="AI29" s="282"/>
      <c r="AJ29" s="283"/>
    </row>
    <row r="30" spans="1:36" s="22" customFormat="1" x14ac:dyDescent="0.25">
      <c r="A30" s="28" t="str">
        <f>IF(H30&lt;&gt;"",MAX($A$7:A29)+1,"")</f>
        <v/>
      </c>
      <c r="B30" s="243" t="str">
        <f t="shared" si="30"/>
        <v/>
      </c>
      <c r="C30" s="273" t="str">
        <f t="shared" si="31"/>
        <v/>
      </c>
      <c r="D30" s="246"/>
      <c r="E30" s="284"/>
      <c r="F30" s="284"/>
      <c r="G30" s="248"/>
      <c r="H30" s="241"/>
      <c r="I30" s="285"/>
      <c r="J30" s="286"/>
      <c r="K30" s="287"/>
      <c r="L30" s="288"/>
      <c r="M30" s="289"/>
      <c r="N30" s="290"/>
      <c r="O30" s="274"/>
      <c r="P30" s="275"/>
      <c r="Q30" s="276"/>
      <c r="R30" s="277"/>
      <c r="S30" s="278"/>
      <c r="T30" s="279"/>
      <c r="U30" s="279"/>
      <c r="V30" s="279"/>
      <c r="W30" s="279"/>
      <c r="X30" s="279"/>
      <c r="Y30" s="279"/>
      <c r="Z30" s="279"/>
      <c r="AA30" s="279"/>
      <c r="AB30" s="279"/>
      <c r="AC30" s="279"/>
      <c r="AD30" s="279"/>
      <c r="AE30" s="279"/>
      <c r="AF30" s="279"/>
      <c r="AG30" s="280"/>
      <c r="AH30" s="281"/>
      <c r="AI30" s="282"/>
      <c r="AJ30" s="283"/>
    </row>
    <row r="31" spans="1:36" s="22" customFormat="1" x14ac:dyDescent="0.25">
      <c r="A31" s="28" t="str">
        <f>IF(H31&lt;&gt;"",MAX($A$7:A30)+1,"")</f>
        <v/>
      </c>
      <c r="B31" s="243" t="str">
        <f t="shared" si="30"/>
        <v/>
      </c>
      <c r="C31" s="273" t="str">
        <f t="shared" si="31"/>
        <v/>
      </c>
      <c r="D31" s="246"/>
      <c r="E31" s="284"/>
      <c r="F31" s="284"/>
      <c r="G31" s="248"/>
      <c r="H31" s="241"/>
      <c r="I31" s="285"/>
      <c r="J31" s="286"/>
      <c r="K31" s="287"/>
      <c r="L31" s="288"/>
      <c r="M31" s="289"/>
      <c r="N31" s="290"/>
      <c r="O31" s="274"/>
      <c r="P31" s="275"/>
      <c r="Q31" s="276"/>
      <c r="R31" s="277"/>
      <c r="S31" s="278"/>
      <c r="T31" s="279"/>
      <c r="U31" s="279"/>
      <c r="V31" s="279"/>
      <c r="W31" s="279"/>
      <c r="X31" s="279"/>
      <c r="Y31" s="279"/>
      <c r="Z31" s="279"/>
      <c r="AA31" s="279"/>
      <c r="AB31" s="279"/>
      <c r="AC31" s="279"/>
      <c r="AD31" s="279"/>
      <c r="AE31" s="279"/>
      <c r="AF31" s="279"/>
      <c r="AG31" s="280"/>
      <c r="AH31" s="281"/>
      <c r="AI31" s="282"/>
      <c r="AJ31" s="283"/>
    </row>
    <row r="32" spans="1:36" s="22" customFormat="1" x14ac:dyDescent="0.25">
      <c r="A32" s="28" t="str">
        <f>IF(H32&lt;&gt;"",MAX($A$7:A31)+1,"")</f>
        <v/>
      </c>
      <c r="B32" s="243" t="str">
        <f t="shared" si="30"/>
        <v/>
      </c>
      <c r="C32" s="273" t="str">
        <f t="shared" si="31"/>
        <v/>
      </c>
      <c r="D32" s="246"/>
      <c r="E32" s="284"/>
      <c r="F32" s="284"/>
      <c r="G32" s="248"/>
      <c r="H32" s="241"/>
      <c r="I32" s="285"/>
      <c r="J32" s="286"/>
      <c r="K32" s="287"/>
      <c r="L32" s="288"/>
      <c r="M32" s="289"/>
      <c r="N32" s="290"/>
      <c r="O32" s="274"/>
      <c r="P32" s="275"/>
      <c r="Q32" s="276"/>
      <c r="R32" s="277"/>
      <c r="S32" s="278"/>
      <c r="T32" s="279"/>
      <c r="U32" s="279"/>
      <c r="V32" s="279"/>
      <c r="W32" s="279"/>
      <c r="X32" s="279"/>
      <c r="Y32" s="279"/>
      <c r="Z32" s="279"/>
      <c r="AA32" s="279"/>
      <c r="AB32" s="279"/>
      <c r="AC32" s="279"/>
      <c r="AD32" s="279"/>
      <c r="AE32" s="279"/>
      <c r="AF32" s="279"/>
      <c r="AG32" s="280"/>
      <c r="AH32" s="281"/>
      <c r="AI32" s="282"/>
      <c r="AJ32" s="283"/>
    </row>
    <row r="33" spans="1:36" s="22" customFormat="1" x14ac:dyDescent="0.25">
      <c r="A33" s="28" t="str">
        <f>IF(H33&lt;&gt;"",MAX($A$7:A32)+1,"")</f>
        <v/>
      </c>
      <c r="B33" s="243" t="str">
        <f t="shared" si="30"/>
        <v/>
      </c>
      <c r="C33" s="273" t="str">
        <f t="shared" si="31"/>
        <v/>
      </c>
      <c r="D33" s="246"/>
      <c r="E33" s="284"/>
      <c r="F33" s="284"/>
      <c r="G33" s="248"/>
      <c r="H33" s="241"/>
      <c r="I33" s="285"/>
      <c r="J33" s="286"/>
      <c r="K33" s="287"/>
      <c r="L33" s="288"/>
      <c r="M33" s="289"/>
      <c r="N33" s="290"/>
      <c r="O33" s="274"/>
      <c r="P33" s="275"/>
      <c r="Q33" s="276"/>
      <c r="R33" s="277"/>
      <c r="S33" s="278"/>
      <c r="T33" s="279"/>
      <c r="U33" s="279"/>
      <c r="V33" s="279"/>
      <c r="W33" s="279"/>
      <c r="X33" s="279"/>
      <c r="Y33" s="279"/>
      <c r="Z33" s="279"/>
      <c r="AA33" s="279"/>
      <c r="AB33" s="279"/>
      <c r="AC33" s="279"/>
      <c r="AD33" s="279"/>
      <c r="AE33" s="279"/>
      <c r="AF33" s="279"/>
      <c r="AG33" s="280"/>
      <c r="AH33" s="281"/>
      <c r="AI33" s="282"/>
      <c r="AJ33" s="283"/>
    </row>
    <row r="34" spans="1:36" s="22" customFormat="1" x14ac:dyDescent="0.25">
      <c r="A34" s="28" t="str">
        <f>IF(H34&lt;&gt;"",MAX($A$7:A33)+1,"")</f>
        <v/>
      </c>
      <c r="B34" s="243" t="str">
        <f t="shared" si="30"/>
        <v/>
      </c>
      <c r="C34" s="273" t="str">
        <f t="shared" si="31"/>
        <v/>
      </c>
      <c r="D34" s="246"/>
      <c r="E34" s="284"/>
      <c r="F34" s="284"/>
      <c r="G34" s="248"/>
      <c r="H34" s="241"/>
      <c r="I34" s="285"/>
      <c r="J34" s="286"/>
      <c r="K34" s="287"/>
      <c r="L34" s="288"/>
      <c r="M34" s="289"/>
      <c r="N34" s="290"/>
      <c r="O34" s="274"/>
      <c r="P34" s="275"/>
      <c r="Q34" s="276"/>
      <c r="R34" s="277"/>
      <c r="S34" s="278"/>
      <c r="T34" s="279"/>
      <c r="U34" s="279"/>
      <c r="V34" s="279"/>
      <c r="W34" s="279"/>
      <c r="X34" s="279"/>
      <c r="Y34" s="279"/>
      <c r="Z34" s="279"/>
      <c r="AA34" s="279"/>
      <c r="AB34" s="279"/>
      <c r="AC34" s="279"/>
      <c r="AD34" s="279"/>
      <c r="AE34" s="279"/>
      <c r="AF34" s="279"/>
      <c r="AG34" s="280"/>
      <c r="AH34" s="281"/>
      <c r="AI34" s="282"/>
      <c r="AJ34" s="283"/>
    </row>
    <row r="35" spans="1:36" s="22" customFormat="1" x14ac:dyDescent="0.25">
      <c r="A35" s="28" t="str">
        <f>IF(H35&lt;&gt;"",MAX($A$7:A34)+1,"")</f>
        <v/>
      </c>
      <c r="B35" s="243" t="str">
        <f t="shared" si="30"/>
        <v/>
      </c>
      <c r="C35" s="273" t="str">
        <f t="shared" si="31"/>
        <v/>
      </c>
      <c r="D35" s="246"/>
      <c r="E35" s="284"/>
      <c r="F35" s="284"/>
      <c r="G35" s="248"/>
      <c r="H35" s="241"/>
      <c r="I35" s="285"/>
      <c r="J35" s="286"/>
      <c r="K35" s="287"/>
      <c r="L35" s="288"/>
      <c r="M35" s="289"/>
      <c r="N35" s="290"/>
      <c r="O35" s="274"/>
      <c r="P35" s="275"/>
      <c r="Q35" s="276"/>
      <c r="R35" s="277"/>
      <c r="S35" s="278"/>
      <c r="T35" s="279"/>
      <c r="U35" s="279"/>
      <c r="V35" s="279"/>
      <c r="W35" s="279"/>
      <c r="X35" s="279"/>
      <c r="Y35" s="279"/>
      <c r="Z35" s="279"/>
      <c r="AA35" s="279"/>
      <c r="AB35" s="279"/>
      <c r="AC35" s="279"/>
      <c r="AD35" s="279"/>
      <c r="AE35" s="279"/>
      <c r="AF35" s="279"/>
      <c r="AG35" s="280"/>
      <c r="AH35" s="281"/>
      <c r="AI35" s="282"/>
      <c r="AJ35" s="283"/>
    </row>
    <row r="36" spans="1:36" s="22" customFormat="1" x14ac:dyDescent="0.25">
      <c r="A36" s="28" t="str">
        <f>IF(H36&lt;&gt;"",MAX($A$7:A35)+1,"")</f>
        <v/>
      </c>
      <c r="B36" s="243" t="str">
        <f t="shared" si="30"/>
        <v/>
      </c>
      <c r="C36" s="273" t="str">
        <f t="shared" si="31"/>
        <v/>
      </c>
      <c r="D36" s="246"/>
      <c r="E36" s="284"/>
      <c r="F36" s="284"/>
      <c r="G36" s="248"/>
      <c r="H36" s="241"/>
      <c r="I36" s="285"/>
      <c r="J36" s="286"/>
      <c r="K36" s="287"/>
      <c r="L36" s="288"/>
      <c r="M36" s="289"/>
      <c r="N36" s="290"/>
      <c r="O36" s="274"/>
      <c r="P36" s="275"/>
      <c r="Q36" s="276"/>
      <c r="R36" s="277"/>
      <c r="S36" s="278"/>
      <c r="T36" s="279"/>
      <c r="U36" s="279"/>
      <c r="V36" s="279"/>
      <c r="W36" s="279"/>
      <c r="X36" s="279"/>
      <c r="Y36" s="279"/>
      <c r="Z36" s="279"/>
      <c r="AA36" s="279"/>
      <c r="AB36" s="279"/>
      <c r="AC36" s="279"/>
      <c r="AD36" s="279"/>
      <c r="AE36" s="279"/>
      <c r="AF36" s="279"/>
      <c r="AG36" s="280"/>
      <c r="AH36" s="281"/>
      <c r="AI36" s="282"/>
      <c r="AJ36" s="283"/>
    </row>
    <row r="37" spans="1:36" s="22" customFormat="1" x14ac:dyDescent="0.25">
      <c r="A37" s="28" t="str">
        <f>IF(H37&lt;&gt;"",MAX($A$7:A36)+1,"")</f>
        <v/>
      </c>
      <c r="B37" s="243" t="str">
        <f t="shared" si="30"/>
        <v/>
      </c>
      <c r="C37" s="273" t="str">
        <f t="shared" si="31"/>
        <v/>
      </c>
      <c r="D37" s="246"/>
      <c r="E37" s="284"/>
      <c r="F37" s="284"/>
      <c r="G37" s="248"/>
      <c r="H37" s="241"/>
      <c r="I37" s="285"/>
      <c r="J37" s="286"/>
      <c r="K37" s="287"/>
      <c r="L37" s="288"/>
      <c r="M37" s="289"/>
      <c r="N37" s="290"/>
      <c r="O37" s="274"/>
      <c r="P37" s="275"/>
      <c r="Q37" s="276"/>
      <c r="R37" s="277"/>
      <c r="S37" s="278"/>
      <c r="T37" s="279"/>
      <c r="U37" s="279"/>
      <c r="V37" s="279"/>
      <c r="W37" s="279"/>
      <c r="X37" s="279"/>
      <c r="Y37" s="279"/>
      <c r="Z37" s="279"/>
      <c r="AA37" s="279"/>
      <c r="AB37" s="279"/>
      <c r="AC37" s="279"/>
      <c r="AD37" s="279"/>
      <c r="AE37" s="279"/>
      <c r="AF37" s="279"/>
      <c r="AG37" s="280"/>
      <c r="AH37" s="281"/>
      <c r="AI37" s="282"/>
      <c r="AJ37" s="283"/>
    </row>
    <row r="38" spans="1:36" s="22" customFormat="1" x14ac:dyDescent="0.25">
      <c r="A38" s="28" t="str">
        <f>IF(H38&lt;&gt;"",MAX($A$7:A37)+1,"")</f>
        <v/>
      </c>
      <c r="B38" s="243" t="str">
        <f t="shared" si="30"/>
        <v/>
      </c>
      <c r="C38" s="273" t="str">
        <f t="shared" si="31"/>
        <v/>
      </c>
      <c r="D38" s="246"/>
      <c r="E38" s="284"/>
      <c r="F38" s="284"/>
      <c r="G38" s="248"/>
      <c r="H38" s="241"/>
      <c r="I38" s="285"/>
      <c r="J38" s="286"/>
      <c r="K38" s="287"/>
      <c r="L38" s="288"/>
      <c r="M38" s="289"/>
      <c r="N38" s="290"/>
      <c r="O38" s="274"/>
      <c r="P38" s="275"/>
      <c r="Q38" s="276"/>
      <c r="R38" s="277"/>
      <c r="S38" s="278"/>
      <c r="T38" s="279"/>
      <c r="U38" s="279"/>
      <c r="V38" s="279"/>
      <c r="W38" s="279"/>
      <c r="X38" s="279"/>
      <c r="Y38" s="279"/>
      <c r="Z38" s="279"/>
      <c r="AA38" s="279"/>
      <c r="AB38" s="279"/>
      <c r="AC38" s="279"/>
      <c r="AD38" s="279"/>
      <c r="AE38" s="279"/>
      <c r="AF38" s="279"/>
      <c r="AG38" s="280"/>
      <c r="AH38" s="281"/>
      <c r="AI38" s="282"/>
      <c r="AJ38" s="283"/>
    </row>
    <row r="39" spans="1:36" s="22" customFormat="1" x14ac:dyDescent="0.25">
      <c r="A39" s="28" t="str">
        <f>IF(H39&lt;&gt;"",MAX($A$7:A38)+1,"")</f>
        <v/>
      </c>
      <c r="B39" s="243" t="str">
        <f t="shared" si="30"/>
        <v/>
      </c>
      <c r="C39" s="273" t="str">
        <f t="shared" si="31"/>
        <v/>
      </c>
      <c r="D39" s="246"/>
      <c r="E39" s="284"/>
      <c r="F39" s="284"/>
      <c r="G39" s="248"/>
      <c r="H39" s="241"/>
      <c r="I39" s="285"/>
      <c r="J39" s="286"/>
      <c r="K39" s="287"/>
      <c r="L39" s="288"/>
      <c r="M39" s="289"/>
      <c r="N39" s="290"/>
      <c r="O39" s="274"/>
      <c r="P39" s="275"/>
      <c r="Q39" s="276"/>
      <c r="R39" s="277"/>
      <c r="S39" s="278"/>
      <c r="T39" s="279"/>
      <c r="U39" s="279"/>
      <c r="V39" s="279"/>
      <c r="W39" s="279"/>
      <c r="X39" s="279"/>
      <c r="Y39" s="279"/>
      <c r="Z39" s="279"/>
      <c r="AA39" s="279"/>
      <c r="AB39" s="279"/>
      <c r="AC39" s="279"/>
      <c r="AD39" s="279"/>
      <c r="AE39" s="279"/>
      <c r="AF39" s="279"/>
      <c r="AG39" s="280"/>
      <c r="AH39" s="281"/>
      <c r="AI39" s="282"/>
      <c r="AJ39" s="283"/>
    </row>
    <row r="40" spans="1:36" s="22" customFormat="1" x14ac:dyDescent="0.25">
      <c r="A40" s="28" t="str">
        <f>IF(H40&lt;&gt;"",MAX($A$7:A39)+1,"")</f>
        <v/>
      </c>
      <c r="B40" s="243" t="str">
        <f t="shared" si="30"/>
        <v/>
      </c>
      <c r="C40" s="273" t="str">
        <f t="shared" si="31"/>
        <v/>
      </c>
      <c r="D40" s="246"/>
      <c r="E40" s="284"/>
      <c r="F40" s="284"/>
      <c r="G40" s="248"/>
      <c r="H40" s="241"/>
      <c r="I40" s="285"/>
      <c r="J40" s="286"/>
      <c r="K40" s="287"/>
      <c r="L40" s="288"/>
      <c r="M40" s="289"/>
      <c r="N40" s="290"/>
      <c r="O40" s="274"/>
      <c r="P40" s="275"/>
      <c r="Q40" s="276"/>
      <c r="R40" s="277"/>
      <c r="S40" s="278"/>
      <c r="T40" s="279"/>
      <c r="U40" s="279"/>
      <c r="V40" s="279"/>
      <c r="W40" s="279"/>
      <c r="X40" s="279"/>
      <c r="Y40" s="279"/>
      <c r="Z40" s="279"/>
      <c r="AA40" s="279"/>
      <c r="AB40" s="279"/>
      <c r="AC40" s="279"/>
      <c r="AD40" s="279"/>
      <c r="AE40" s="279"/>
      <c r="AF40" s="279"/>
      <c r="AG40" s="280"/>
      <c r="AH40" s="281"/>
      <c r="AI40" s="282"/>
      <c r="AJ40" s="283"/>
    </row>
    <row r="41" spans="1:36" s="22" customFormat="1" x14ac:dyDescent="0.25">
      <c r="A41" s="28" t="str">
        <f>IF(H41&lt;&gt;"",MAX($A$7:A40)+1,"")</f>
        <v/>
      </c>
      <c r="B41" s="243" t="str">
        <f t="shared" si="30"/>
        <v/>
      </c>
      <c r="C41" s="273" t="str">
        <f t="shared" si="31"/>
        <v/>
      </c>
      <c r="D41" s="246"/>
      <c r="E41" s="284"/>
      <c r="F41" s="284"/>
      <c r="G41" s="248"/>
      <c r="H41" s="241"/>
      <c r="I41" s="285"/>
      <c r="J41" s="286"/>
      <c r="K41" s="287"/>
      <c r="L41" s="288"/>
      <c r="M41" s="289"/>
      <c r="N41" s="290"/>
      <c r="O41" s="274"/>
      <c r="P41" s="275"/>
      <c r="Q41" s="276"/>
      <c r="R41" s="277"/>
      <c r="S41" s="278"/>
      <c r="T41" s="279"/>
      <c r="U41" s="279"/>
      <c r="V41" s="279"/>
      <c r="W41" s="279"/>
      <c r="X41" s="279"/>
      <c r="Y41" s="279"/>
      <c r="Z41" s="279"/>
      <c r="AA41" s="279"/>
      <c r="AB41" s="279"/>
      <c r="AC41" s="279"/>
      <c r="AD41" s="279"/>
      <c r="AE41" s="279"/>
      <c r="AF41" s="279"/>
      <c r="AG41" s="280"/>
      <c r="AH41" s="281"/>
      <c r="AI41" s="282"/>
      <c r="AJ41" s="283"/>
    </row>
    <row r="42" spans="1:36" s="22" customFormat="1" x14ac:dyDescent="0.25">
      <c r="A42" s="28" t="str">
        <f>IF(H42&lt;&gt;"",MAX($A$7:A41)+1,"")</f>
        <v/>
      </c>
      <c r="B42" s="243" t="str">
        <f t="shared" si="30"/>
        <v/>
      </c>
      <c r="C42" s="273" t="str">
        <f t="shared" si="31"/>
        <v/>
      </c>
      <c r="D42" s="246"/>
      <c r="E42" s="284"/>
      <c r="F42" s="284"/>
      <c r="G42" s="248"/>
      <c r="H42" s="241"/>
      <c r="I42" s="285"/>
      <c r="J42" s="286"/>
      <c r="K42" s="287"/>
      <c r="L42" s="288"/>
      <c r="M42" s="289"/>
      <c r="N42" s="290"/>
      <c r="O42" s="274"/>
      <c r="P42" s="275"/>
      <c r="Q42" s="276"/>
      <c r="R42" s="277"/>
      <c r="S42" s="278"/>
      <c r="T42" s="279"/>
      <c r="U42" s="279"/>
      <c r="V42" s="279"/>
      <c r="W42" s="279"/>
      <c r="X42" s="279"/>
      <c r="Y42" s="279"/>
      <c r="Z42" s="279"/>
      <c r="AA42" s="279"/>
      <c r="AB42" s="279"/>
      <c r="AC42" s="279"/>
      <c r="AD42" s="279"/>
      <c r="AE42" s="279"/>
      <c r="AF42" s="279"/>
      <c r="AG42" s="280"/>
      <c r="AH42" s="281"/>
      <c r="AI42" s="282"/>
      <c r="AJ42" s="283"/>
    </row>
    <row r="43" spans="1:36" s="22" customFormat="1" x14ac:dyDescent="0.25">
      <c r="A43" s="28" t="str">
        <f>IF(H43&lt;&gt;"",MAX($A$7:A42)+1,"")</f>
        <v/>
      </c>
      <c r="B43" s="243" t="str">
        <f t="shared" si="30"/>
        <v/>
      </c>
      <c r="C43" s="273" t="str">
        <f t="shared" si="31"/>
        <v/>
      </c>
      <c r="D43" s="246"/>
      <c r="E43" s="284"/>
      <c r="F43" s="284"/>
      <c r="G43" s="248"/>
      <c r="H43" s="241"/>
      <c r="I43" s="285"/>
      <c r="J43" s="286"/>
      <c r="K43" s="287"/>
      <c r="L43" s="288"/>
      <c r="M43" s="289"/>
      <c r="N43" s="290"/>
      <c r="O43" s="274"/>
      <c r="P43" s="275"/>
      <c r="Q43" s="276"/>
      <c r="R43" s="277"/>
      <c r="S43" s="278"/>
      <c r="T43" s="279"/>
      <c r="U43" s="279"/>
      <c r="V43" s="279"/>
      <c r="W43" s="279"/>
      <c r="X43" s="279"/>
      <c r="Y43" s="279"/>
      <c r="Z43" s="279"/>
      <c r="AA43" s="279"/>
      <c r="AB43" s="279"/>
      <c r="AC43" s="279"/>
      <c r="AD43" s="279"/>
      <c r="AE43" s="279"/>
      <c r="AF43" s="279"/>
      <c r="AG43" s="280"/>
      <c r="AH43" s="281"/>
      <c r="AI43" s="282"/>
      <c r="AJ43" s="283"/>
    </row>
    <row r="44" spans="1:36" s="22" customFormat="1" x14ac:dyDescent="0.25">
      <c r="A44" s="28" t="str">
        <f>IF(H44&lt;&gt;"",MAX($A$7:A43)+1,"")</f>
        <v/>
      </c>
      <c r="B44" s="243" t="str">
        <f t="shared" si="30"/>
        <v/>
      </c>
      <c r="C44" s="273" t="str">
        <f t="shared" si="31"/>
        <v/>
      </c>
      <c r="D44" s="246"/>
      <c r="E44" s="284"/>
      <c r="F44" s="284"/>
      <c r="G44" s="248"/>
      <c r="H44" s="241"/>
      <c r="I44" s="285"/>
      <c r="J44" s="286"/>
      <c r="K44" s="287"/>
      <c r="L44" s="288"/>
      <c r="M44" s="289"/>
      <c r="N44" s="290"/>
      <c r="O44" s="274"/>
      <c r="P44" s="275"/>
      <c r="Q44" s="276"/>
      <c r="R44" s="277"/>
      <c r="S44" s="278"/>
      <c r="T44" s="279"/>
      <c r="U44" s="279"/>
      <c r="V44" s="279"/>
      <c r="W44" s="279"/>
      <c r="X44" s="279"/>
      <c r="Y44" s="279"/>
      <c r="Z44" s="279"/>
      <c r="AA44" s="279"/>
      <c r="AB44" s="279"/>
      <c r="AC44" s="279"/>
      <c r="AD44" s="279"/>
      <c r="AE44" s="279"/>
      <c r="AF44" s="279"/>
      <c r="AG44" s="280"/>
      <c r="AH44" s="281"/>
      <c r="AI44" s="282"/>
      <c r="AJ44" s="283"/>
    </row>
    <row r="45" spans="1:36" s="22" customFormat="1" x14ac:dyDescent="0.25">
      <c r="A45" s="28" t="str">
        <f>IF(H45&lt;&gt;"",MAX($A$7:A44)+1,"")</f>
        <v/>
      </c>
      <c r="B45" s="243" t="str">
        <f t="shared" si="30"/>
        <v/>
      </c>
      <c r="C45" s="273" t="str">
        <f t="shared" si="31"/>
        <v/>
      </c>
      <c r="D45" s="246"/>
      <c r="E45" s="284"/>
      <c r="F45" s="284"/>
      <c r="G45" s="248"/>
      <c r="H45" s="241"/>
      <c r="I45" s="285"/>
      <c r="J45" s="286"/>
      <c r="K45" s="287"/>
      <c r="L45" s="288"/>
      <c r="M45" s="289"/>
      <c r="N45" s="290"/>
      <c r="O45" s="274"/>
      <c r="P45" s="275"/>
      <c r="Q45" s="276"/>
      <c r="R45" s="277"/>
      <c r="S45" s="278"/>
      <c r="T45" s="279"/>
      <c r="U45" s="279"/>
      <c r="V45" s="279"/>
      <c r="W45" s="279"/>
      <c r="X45" s="279"/>
      <c r="Y45" s="279"/>
      <c r="Z45" s="279"/>
      <c r="AA45" s="279"/>
      <c r="AB45" s="279"/>
      <c r="AC45" s="279"/>
      <c r="AD45" s="279"/>
      <c r="AE45" s="279"/>
      <c r="AF45" s="279"/>
      <c r="AG45" s="280"/>
      <c r="AH45" s="281"/>
      <c r="AI45" s="282"/>
      <c r="AJ45" s="283"/>
    </row>
    <row r="46" spans="1:36" s="22" customFormat="1" x14ac:dyDescent="0.25">
      <c r="A46" s="28" t="str">
        <f>IF(H46&lt;&gt;"",MAX($A$7:A45)+1,"")</f>
        <v/>
      </c>
      <c r="B46" s="243" t="str">
        <f t="shared" si="30"/>
        <v/>
      </c>
      <c r="C46" s="273" t="str">
        <f t="shared" si="31"/>
        <v/>
      </c>
      <c r="D46" s="246"/>
      <c r="E46" s="284"/>
      <c r="F46" s="284"/>
      <c r="G46" s="248"/>
      <c r="H46" s="241"/>
      <c r="I46" s="285"/>
      <c r="J46" s="286"/>
      <c r="K46" s="287"/>
      <c r="L46" s="288"/>
      <c r="M46" s="289"/>
      <c r="N46" s="290"/>
      <c r="O46" s="274"/>
      <c r="P46" s="275"/>
      <c r="Q46" s="276"/>
      <c r="R46" s="277"/>
      <c r="S46" s="278"/>
      <c r="T46" s="279"/>
      <c r="U46" s="279"/>
      <c r="V46" s="279"/>
      <c r="W46" s="279"/>
      <c r="X46" s="279"/>
      <c r="Y46" s="279"/>
      <c r="Z46" s="279"/>
      <c r="AA46" s="279"/>
      <c r="AB46" s="279"/>
      <c r="AC46" s="279"/>
      <c r="AD46" s="279"/>
      <c r="AE46" s="279"/>
      <c r="AF46" s="279"/>
      <c r="AG46" s="280"/>
      <c r="AH46" s="281"/>
      <c r="AI46" s="282"/>
      <c r="AJ46" s="283"/>
    </row>
    <row r="47" spans="1:36" s="22" customFormat="1" x14ac:dyDescent="0.25">
      <c r="A47" s="28" t="str">
        <f>IF(H47&lt;&gt;"",MAX($A$7:A46)+1,"")</f>
        <v/>
      </c>
      <c r="B47" s="243" t="str">
        <f t="shared" si="30"/>
        <v/>
      </c>
      <c r="C47" s="273" t="str">
        <f t="shared" si="31"/>
        <v/>
      </c>
      <c r="D47" s="246"/>
      <c r="E47" s="284"/>
      <c r="F47" s="284"/>
      <c r="G47" s="248"/>
      <c r="H47" s="241"/>
      <c r="I47" s="285"/>
      <c r="J47" s="286"/>
      <c r="K47" s="287"/>
      <c r="L47" s="288"/>
      <c r="M47" s="289"/>
      <c r="N47" s="290"/>
      <c r="O47" s="274"/>
      <c r="P47" s="275"/>
      <c r="Q47" s="276"/>
      <c r="R47" s="277"/>
      <c r="S47" s="278"/>
      <c r="T47" s="279"/>
      <c r="U47" s="279"/>
      <c r="V47" s="279"/>
      <c r="W47" s="279"/>
      <c r="X47" s="279"/>
      <c r="Y47" s="279"/>
      <c r="Z47" s="279"/>
      <c r="AA47" s="279"/>
      <c r="AB47" s="279"/>
      <c r="AC47" s="279"/>
      <c r="AD47" s="279"/>
      <c r="AE47" s="279"/>
      <c r="AF47" s="279"/>
      <c r="AG47" s="280"/>
      <c r="AH47" s="281"/>
      <c r="AI47" s="282"/>
      <c r="AJ47" s="283"/>
    </row>
    <row r="48" spans="1:36" s="22" customFormat="1" x14ac:dyDescent="0.25">
      <c r="A48" s="28" t="str">
        <f>IF(H48&lt;&gt;"",MAX($A$7:A47)+1,"")</f>
        <v/>
      </c>
      <c r="B48" s="243" t="str">
        <f t="shared" si="30"/>
        <v/>
      </c>
      <c r="C48" s="273" t="str">
        <f t="shared" si="31"/>
        <v/>
      </c>
      <c r="D48" s="246"/>
      <c r="E48" s="284"/>
      <c r="F48" s="284"/>
      <c r="G48" s="248"/>
      <c r="H48" s="241"/>
      <c r="I48" s="285"/>
      <c r="J48" s="286"/>
      <c r="K48" s="287"/>
      <c r="L48" s="288"/>
      <c r="M48" s="289"/>
      <c r="N48" s="290"/>
      <c r="O48" s="274"/>
      <c r="P48" s="275"/>
      <c r="Q48" s="276"/>
      <c r="R48" s="277"/>
      <c r="S48" s="278"/>
      <c r="T48" s="279"/>
      <c r="U48" s="279"/>
      <c r="V48" s="279"/>
      <c r="W48" s="279"/>
      <c r="X48" s="279"/>
      <c r="Y48" s="279"/>
      <c r="Z48" s="279"/>
      <c r="AA48" s="279"/>
      <c r="AB48" s="279"/>
      <c r="AC48" s="279"/>
      <c r="AD48" s="279"/>
      <c r="AE48" s="279"/>
      <c r="AF48" s="279"/>
      <c r="AG48" s="280"/>
      <c r="AH48" s="281"/>
      <c r="AI48" s="282"/>
      <c r="AJ48" s="283"/>
    </row>
    <row r="49" spans="1:36" s="22" customFormat="1" x14ac:dyDescent="0.25">
      <c r="A49" s="28" t="str">
        <f>IF(H49&lt;&gt;"",MAX($A$7:A48)+1,"")</f>
        <v/>
      </c>
      <c r="B49" s="243" t="str">
        <f t="shared" si="30"/>
        <v/>
      </c>
      <c r="C49" s="273" t="str">
        <f t="shared" si="31"/>
        <v/>
      </c>
      <c r="D49" s="246"/>
      <c r="E49" s="284"/>
      <c r="F49" s="284"/>
      <c r="G49" s="248"/>
      <c r="H49" s="241"/>
      <c r="I49" s="285"/>
      <c r="J49" s="286"/>
      <c r="K49" s="287"/>
      <c r="L49" s="288"/>
      <c r="M49" s="289"/>
      <c r="N49" s="290"/>
      <c r="O49" s="274"/>
      <c r="P49" s="275"/>
      <c r="Q49" s="276"/>
      <c r="R49" s="277"/>
      <c r="S49" s="278"/>
      <c r="T49" s="279"/>
      <c r="U49" s="279"/>
      <c r="V49" s="279"/>
      <c r="W49" s="279"/>
      <c r="X49" s="279"/>
      <c r="Y49" s="279"/>
      <c r="Z49" s="279"/>
      <c r="AA49" s="279"/>
      <c r="AB49" s="279"/>
      <c r="AC49" s="279"/>
      <c r="AD49" s="279"/>
      <c r="AE49" s="279"/>
      <c r="AF49" s="279"/>
      <c r="AG49" s="280"/>
      <c r="AH49" s="281"/>
      <c r="AI49" s="282"/>
      <c r="AJ49" s="283"/>
    </row>
    <row r="50" spans="1:36" s="22" customFormat="1" x14ac:dyDescent="0.25">
      <c r="A50" s="28" t="str">
        <f>IF(H50&lt;&gt;"",MAX($A$7:A49)+1,"")</f>
        <v/>
      </c>
      <c r="B50" s="243" t="str">
        <f t="shared" si="30"/>
        <v/>
      </c>
      <c r="C50" s="273" t="str">
        <f t="shared" si="31"/>
        <v/>
      </c>
      <c r="D50" s="246"/>
      <c r="E50" s="284"/>
      <c r="F50" s="284"/>
      <c r="G50" s="248"/>
      <c r="H50" s="241"/>
      <c r="I50" s="285"/>
      <c r="J50" s="286"/>
      <c r="K50" s="287"/>
      <c r="L50" s="288"/>
      <c r="M50" s="289"/>
      <c r="N50" s="290"/>
      <c r="O50" s="274"/>
      <c r="P50" s="275"/>
      <c r="Q50" s="276"/>
      <c r="R50" s="277"/>
      <c r="S50" s="278"/>
      <c r="T50" s="279"/>
      <c r="U50" s="279"/>
      <c r="V50" s="279"/>
      <c r="W50" s="279"/>
      <c r="X50" s="279"/>
      <c r="Y50" s="279"/>
      <c r="Z50" s="279"/>
      <c r="AA50" s="279"/>
      <c r="AB50" s="279"/>
      <c r="AC50" s="279"/>
      <c r="AD50" s="279"/>
      <c r="AE50" s="279"/>
      <c r="AF50" s="279"/>
      <c r="AG50" s="280"/>
      <c r="AH50" s="281"/>
      <c r="AI50" s="282"/>
      <c r="AJ50" s="283"/>
    </row>
    <row r="51" spans="1:36" s="22" customFormat="1" x14ac:dyDescent="0.25">
      <c r="A51" s="28" t="str">
        <f>IF(H51&lt;&gt;"",MAX($A$7:A50)+1,"")</f>
        <v/>
      </c>
      <c r="B51" s="243" t="str">
        <f t="shared" si="30"/>
        <v/>
      </c>
      <c r="C51" s="273" t="str">
        <f t="shared" si="31"/>
        <v/>
      </c>
      <c r="D51" s="246"/>
      <c r="E51" s="284"/>
      <c r="F51" s="284"/>
      <c r="G51" s="248"/>
      <c r="H51" s="241"/>
      <c r="I51" s="285"/>
      <c r="J51" s="286"/>
      <c r="K51" s="287"/>
      <c r="L51" s="288"/>
      <c r="M51" s="289"/>
      <c r="N51" s="290"/>
      <c r="O51" s="274"/>
      <c r="P51" s="275"/>
      <c r="Q51" s="276"/>
      <c r="R51" s="277"/>
      <c r="S51" s="278"/>
      <c r="T51" s="279"/>
      <c r="U51" s="279"/>
      <c r="V51" s="279"/>
      <c r="W51" s="279"/>
      <c r="X51" s="279"/>
      <c r="Y51" s="279"/>
      <c r="Z51" s="279"/>
      <c r="AA51" s="279"/>
      <c r="AB51" s="279"/>
      <c r="AC51" s="279"/>
      <c r="AD51" s="279"/>
      <c r="AE51" s="279"/>
      <c r="AF51" s="279"/>
      <c r="AG51" s="280"/>
      <c r="AH51" s="281"/>
      <c r="AI51" s="282"/>
      <c r="AJ51" s="283"/>
    </row>
    <row r="52" spans="1:36" s="22" customFormat="1" x14ac:dyDescent="0.25">
      <c r="A52" s="28" t="str">
        <f>IF(H52&lt;&gt;"",MAX($A$7:A51)+1,"")</f>
        <v/>
      </c>
      <c r="B52" s="243" t="str">
        <f t="shared" si="30"/>
        <v/>
      </c>
      <c r="C52" s="273" t="str">
        <f t="shared" si="31"/>
        <v/>
      </c>
      <c r="D52" s="246"/>
      <c r="E52" s="284"/>
      <c r="F52" s="284"/>
      <c r="G52" s="248"/>
      <c r="H52" s="241"/>
      <c r="I52" s="285"/>
      <c r="J52" s="286"/>
      <c r="K52" s="287"/>
      <c r="L52" s="288"/>
      <c r="M52" s="289"/>
      <c r="N52" s="290"/>
      <c r="O52" s="274"/>
      <c r="P52" s="275"/>
      <c r="Q52" s="276"/>
      <c r="R52" s="277"/>
      <c r="S52" s="278"/>
      <c r="T52" s="279"/>
      <c r="U52" s="279"/>
      <c r="V52" s="279"/>
      <c r="W52" s="279"/>
      <c r="X52" s="279"/>
      <c r="Y52" s="279"/>
      <c r="Z52" s="279"/>
      <c r="AA52" s="279"/>
      <c r="AB52" s="279"/>
      <c r="AC52" s="279"/>
      <c r="AD52" s="279"/>
      <c r="AE52" s="279"/>
      <c r="AF52" s="279"/>
      <c r="AG52" s="280"/>
      <c r="AH52" s="281"/>
      <c r="AI52" s="282"/>
      <c r="AJ52" s="283"/>
    </row>
    <row r="53" spans="1:36" s="22" customFormat="1" x14ac:dyDescent="0.25">
      <c r="A53" s="28" t="str">
        <f>IF(H53&lt;&gt;"",MAX($A$7:A52)+1,"")</f>
        <v/>
      </c>
      <c r="B53" s="243" t="str">
        <f t="shared" si="30"/>
        <v/>
      </c>
      <c r="C53" s="273" t="str">
        <f t="shared" si="31"/>
        <v/>
      </c>
      <c r="D53" s="246"/>
      <c r="E53" s="284"/>
      <c r="F53" s="284"/>
      <c r="G53" s="248"/>
      <c r="H53" s="241"/>
      <c r="I53" s="285"/>
      <c r="J53" s="286"/>
      <c r="K53" s="287"/>
      <c r="L53" s="288"/>
      <c r="M53" s="289"/>
      <c r="N53" s="290"/>
      <c r="O53" s="274"/>
      <c r="P53" s="275"/>
      <c r="Q53" s="276"/>
      <c r="R53" s="277"/>
      <c r="S53" s="278"/>
      <c r="T53" s="279"/>
      <c r="U53" s="279"/>
      <c r="V53" s="279"/>
      <c r="W53" s="279"/>
      <c r="X53" s="279"/>
      <c r="Y53" s="279"/>
      <c r="Z53" s="279"/>
      <c r="AA53" s="279"/>
      <c r="AB53" s="279"/>
      <c r="AC53" s="279"/>
      <c r="AD53" s="279"/>
      <c r="AE53" s="279"/>
      <c r="AF53" s="279"/>
      <c r="AG53" s="280"/>
      <c r="AH53" s="281"/>
      <c r="AI53" s="282"/>
      <c r="AJ53" s="283"/>
    </row>
    <row r="54" spans="1:36" s="22" customFormat="1" x14ac:dyDescent="0.25">
      <c r="A54" s="28" t="str">
        <f>IF(H54&lt;&gt;"",MAX($A$7:A53)+1,"")</f>
        <v/>
      </c>
      <c r="B54" s="243" t="str">
        <f t="shared" si="30"/>
        <v/>
      </c>
      <c r="C54" s="273" t="str">
        <f t="shared" si="31"/>
        <v/>
      </c>
      <c r="D54" s="246"/>
      <c r="E54" s="284"/>
      <c r="F54" s="284"/>
      <c r="G54" s="248"/>
      <c r="H54" s="241"/>
      <c r="I54" s="285"/>
      <c r="J54" s="286"/>
      <c r="K54" s="287"/>
      <c r="L54" s="288"/>
      <c r="M54" s="289"/>
      <c r="N54" s="290"/>
      <c r="O54" s="274"/>
      <c r="P54" s="275"/>
      <c r="Q54" s="276"/>
      <c r="R54" s="277"/>
      <c r="S54" s="278"/>
      <c r="T54" s="279"/>
      <c r="U54" s="279"/>
      <c r="V54" s="279"/>
      <c r="W54" s="279"/>
      <c r="X54" s="279"/>
      <c r="Y54" s="279"/>
      <c r="Z54" s="279"/>
      <c r="AA54" s="279"/>
      <c r="AB54" s="279"/>
      <c r="AC54" s="279"/>
      <c r="AD54" s="279"/>
      <c r="AE54" s="279"/>
      <c r="AF54" s="279"/>
      <c r="AG54" s="280"/>
      <c r="AH54" s="281"/>
      <c r="AI54" s="282"/>
      <c r="AJ54" s="283"/>
    </row>
    <row r="55" spans="1:36" s="22" customFormat="1" x14ac:dyDescent="0.25">
      <c r="A55" s="28" t="str">
        <f>IF(H55&lt;&gt;"",MAX($A$7:A54)+1,"")</f>
        <v/>
      </c>
      <c r="B55" s="243" t="str">
        <f t="shared" si="30"/>
        <v/>
      </c>
      <c r="C55" s="273" t="str">
        <f t="shared" si="31"/>
        <v/>
      </c>
      <c r="D55" s="246"/>
      <c r="E55" s="284"/>
      <c r="F55" s="284"/>
      <c r="G55" s="248"/>
      <c r="H55" s="241"/>
      <c r="I55" s="285"/>
      <c r="J55" s="286"/>
      <c r="K55" s="287"/>
      <c r="L55" s="288"/>
      <c r="M55" s="289"/>
      <c r="N55" s="290"/>
      <c r="O55" s="274"/>
      <c r="P55" s="275"/>
      <c r="Q55" s="276"/>
      <c r="R55" s="277"/>
      <c r="S55" s="278"/>
      <c r="T55" s="279"/>
      <c r="U55" s="279"/>
      <c r="V55" s="279"/>
      <c r="W55" s="279"/>
      <c r="X55" s="279"/>
      <c r="Y55" s="279"/>
      <c r="Z55" s="279"/>
      <c r="AA55" s="279"/>
      <c r="AB55" s="279"/>
      <c r="AC55" s="279"/>
      <c r="AD55" s="279"/>
      <c r="AE55" s="279"/>
      <c r="AF55" s="279"/>
      <c r="AG55" s="280"/>
      <c r="AH55" s="281"/>
      <c r="AI55" s="282"/>
      <c r="AJ55" s="283"/>
    </row>
    <row r="56" spans="1:36" s="22" customFormat="1" x14ac:dyDescent="0.25">
      <c r="A56" s="28" t="str">
        <f>IF(H56&lt;&gt;"",MAX($A$7:A55)+1,"")</f>
        <v/>
      </c>
      <c r="B56" s="243" t="str">
        <f t="shared" si="30"/>
        <v/>
      </c>
      <c r="C56" s="273" t="str">
        <f t="shared" si="31"/>
        <v/>
      </c>
      <c r="D56" s="246"/>
      <c r="E56" s="284"/>
      <c r="F56" s="284"/>
      <c r="G56" s="248"/>
      <c r="H56" s="241"/>
      <c r="I56" s="285"/>
      <c r="J56" s="286"/>
      <c r="K56" s="287"/>
      <c r="L56" s="288"/>
      <c r="M56" s="289"/>
      <c r="N56" s="290"/>
      <c r="O56" s="274"/>
      <c r="P56" s="275"/>
      <c r="Q56" s="276"/>
      <c r="R56" s="277"/>
      <c r="S56" s="278"/>
      <c r="T56" s="279"/>
      <c r="U56" s="279"/>
      <c r="V56" s="279"/>
      <c r="W56" s="279"/>
      <c r="X56" s="279"/>
      <c r="Y56" s="279"/>
      <c r="Z56" s="279"/>
      <c r="AA56" s="279"/>
      <c r="AB56" s="279"/>
      <c r="AC56" s="279"/>
      <c r="AD56" s="279"/>
      <c r="AE56" s="279"/>
      <c r="AF56" s="279"/>
      <c r="AG56" s="280"/>
      <c r="AH56" s="281"/>
      <c r="AI56" s="282"/>
      <c r="AJ56" s="283"/>
    </row>
    <row r="57" spans="1:36" s="22" customFormat="1" x14ac:dyDescent="0.25">
      <c r="A57" s="28" t="str">
        <f>IF(H57&lt;&gt;"",MAX($A$7:A56)+1,"")</f>
        <v/>
      </c>
      <c r="B57" s="243" t="str">
        <f t="shared" si="30"/>
        <v/>
      </c>
      <c r="C57" s="273" t="str">
        <f t="shared" si="31"/>
        <v/>
      </c>
      <c r="D57" s="246"/>
      <c r="E57" s="284"/>
      <c r="F57" s="284"/>
      <c r="G57" s="248"/>
      <c r="H57" s="241"/>
      <c r="I57" s="285"/>
      <c r="J57" s="286"/>
      <c r="K57" s="287"/>
      <c r="L57" s="288"/>
      <c r="M57" s="289"/>
      <c r="N57" s="290"/>
      <c r="O57" s="274"/>
      <c r="P57" s="275"/>
      <c r="Q57" s="276"/>
      <c r="R57" s="277"/>
      <c r="S57" s="278"/>
      <c r="T57" s="279"/>
      <c r="U57" s="279"/>
      <c r="V57" s="279"/>
      <c r="W57" s="279"/>
      <c r="X57" s="279"/>
      <c r="Y57" s="279"/>
      <c r="Z57" s="279"/>
      <c r="AA57" s="279"/>
      <c r="AB57" s="279"/>
      <c r="AC57" s="279"/>
      <c r="AD57" s="279"/>
      <c r="AE57" s="279"/>
      <c r="AF57" s="279"/>
      <c r="AG57" s="280"/>
      <c r="AH57" s="281"/>
      <c r="AI57" s="282"/>
      <c r="AJ57" s="283"/>
    </row>
    <row r="58" spans="1:36" s="22" customFormat="1" x14ac:dyDescent="0.25">
      <c r="A58" s="28" t="str">
        <f>IF(H58&lt;&gt;"",MAX($A$7:A57)+1,"")</f>
        <v/>
      </c>
      <c r="B58" s="243" t="str">
        <f t="shared" si="30"/>
        <v/>
      </c>
      <c r="C58" s="273" t="str">
        <f t="shared" si="31"/>
        <v/>
      </c>
      <c r="D58" s="246"/>
      <c r="E58" s="284"/>
      <c r="F58" s="284"/>
      <c r="G58" s="248"/>
      <c r="H58" s="241"/>
      <c r="I58" s="285"/>
      <c r="J58" s="286"/>
      <c r="K58" s="287"/>
      <c r="L58" s="288"/>
      <c r="M58" s="289"/>
      <c r="N58" s="290"/>
      <c r="O58" s="274"/>
      <c r="P58" s="275"/>
      <c r="Q58" s="276"/>
      <c r="R58" s="277"/>
      <c r="S58" s="278"/>
      <c r="T58" s="279"/>
      <c r="U58" s="279"/>
      <c r="V58" s="279"/>
      <c r="W58" s="279"/>
      <c r="X58" s="279"/>
      <c r="Y58" s="279"/>
      <c r="Z58" s="279"/>
      <c r="AA58" s="279"/>
      <c r="AB58" s="279"/>
      <c r="AC58" s="279"/>
      <c r="AD58" s="279"/>
      <c r="AE58" s="279"/>
      <c r="AF58" s="279"/>
      <c r="AG58" s="280"/>
      <c r="AH58" s="281"/>
      <c r="AI58" s="282"/>
      <c r="AJ58" s="283"/>
    </row>
    <row r="59" spans="1:36" s="22" customFormat="1" x14ac:dyDescent="0.25">
      <c r="A59" s="28" t="str">
        <f>IF(H59&lt;&gt;"",MAX($A$7:A58)+1,"")</f>
        <v/>
      </c>
      <c r="B59" s="243" t="str">
        <f t="shared" si="30"/>
        <v/>
      </c>
      <c r="C59" s="273" t="str">
        <f t="shared" si="31"/>
        <v/>
      </c>
      <c r="D59" s="246"/>
      <c r="E59" s="284"/>
      <c r="F59" s="284"/>
      <c r="G59" s="248"/>
      <c r="H59" s="241"/>
      <c r="I59" s="285"/>
      <c r="J59" s="286"/>
      <c r="K59" s="287"/>
      <c r="L59" s="288"/>
      <c r="M59" s="289"/>
      <c r="N59" s="290"/>
      <c r="O59" s="274"/>
      <c r="P59" s="275"/>
      <c r="Q59" s="276"/>
      <c r="R59" s="277"/>
      <c r="S59" s="278"/>
      <c r="T59" s="279"/>
      <c r="U59" s="279"/>
      <c r="V59" s="279"/>
      <c r="W59" s="279"/>
      <c r="X59" s="279"/>
      <c r="Y59" s="279"/>
      <c r="Z59" s="279"/>
      <c r="AA59" s="279"/>
      <c r="AB59" s="279"/>
      <c r="AC59" s="279"/>
      <c r="AD59" s="279"/>
      <c r="AE59" s="279"/>
      <c r="AF59" s="279"/>
      <c r="AG59" s="280"/>
      <c r="AH59" s="281"/>
      <c r="AI59" s="282"/>
      <c r="AJ59" s="283"/>
    </row>
    <row r="60" spans="1:36" s="22" customFormat="1" x14ac:dyDescent="0.25">
      <c r="A60" s="28" t="str">
        <f>IF(H60&lt;&gt;"",MAX($A$7:A59)+1,"")</f>
        <v/>
      </c>
      <c r="B60" s="243" t="str">
        <f t="shared" si="30"/>
        <v/>
      </c>
      <c r="C60" s="273" t="str">
        <f t="shared" si="31"/>
        <v/>
      </c>
      <c r="D60" s="246"/>
      <c r="E60" s="284"/>
      <c r="F60" s="284"/>
      <c r="G60" s="248"/>
      <c r="H60" s="241"/>
      <c r="I60" s="285"/>
      <c r="J60" s="286"/>
      <c r="K60" s="287"/>
      <c r="L60" s="288"/>
      <c r="M60" s="289"/>
      <c r="N60" s="290"/>
      <c r="O60" s="274"/>
      <c r="P60" s="275"/>
      <c r="Q60" s="276"/>
      <c r="R60" s="277"/>
      <c r="S60" s="278"/>
      <c r="T60" s="279"/>
      <c r="U60" s="279"/>
      <c r="V60" s="279"/>
      <c r="W60" s="279"/>
      <c r="X60" s="279"/>
      <c r="Y60" s="279"/>
      <c r="Z60" s="279"/>
      <c r="AA60" s="279"/>
      <c r="AB60" s="279"/>
      <c r="AC60" s="279"/>
      <c r="AD60" s="279"/>
      <c r="AE60" s="279"/>
      <c r="AF60" s="279"/>
      <c r="AG60" s="280"/>
      <c r="AH60" s="281"/>
      <c r="AI60" s="282"/>
      <c r="AJ60" s="283"/>
    </row>
    <row r="61" spans="1:36" s="22" customFormat="1" x14ac:dyDescent="0.25">
      <c r="A61" s="28" t="str">
        <f>IF(H61&lt;&gt;"",MAX($A$7:A60)+1,"")</f>
        <v/>
      </c>
      <c r="B61" s="243" t="str">
        <f t="shared" si="30"/>
        <v/>
      </c>
      <c r="C61" s="273" t="str">
        <f t="shared" si="31"/>
        <v/>
      </c>
      <c r="D61" s="246"/>
      <c r="E61" s="284"/>
      <c r="F61" s="284"/>
      <c r="G61" s="248"/>
      <c r="H61" s="241"/>
      <c r="I61" s="285"/>
      <c r="J61" s="286"/>
      <c r="K61" s="287"/>
      <c r="L61" s="288"/>
      <c r="M61" s="289"/>
      <c r="N61" s="290"/>
      <c r="O61" s="274"/>
      <c r="P61" s="275"/>
      <c r="Q61" s="276"/>
      <c r="R61" s="277"/>
      <c r="S61" s="278"/>
      <c r="T61" s="279"/>
      <c r="U61" s="279"/>
      <c r="V61" s="279"/>
      <c r="W61" s="279"/>
      <c r="X61" s="279"/>
      <c r="Y61" s="279"/>
      <c r="Z61" s="279"/>
      <c r="AA61" s="279"/>
      <c r="AB61" s="279"/>
      <c r="AC61" s="279"/>
      <c r="AD61" s="279"/>
      <c r="AE61" s="279"/>
      <c r="AF61" s="279"/>
      <c r="AG61" s="280"/>
      <c r="AH61" s="281"/>
      <c r="AI61" s="282"/>
      <c r="AJ61" s="283"/>
    </row>
    <row r="62" spans="1:36" s="22" customFormat="1" x14ac:dyDescent="0.25">
      <c r="A62" s="28" t="str">
        <f>IF(H62&lt;&gt;"",MAX($A$7:A61)+1,"")</f>
        <v/>
      </c>
      <c r="B62" s="243" t="str">
        <f t="shared" si="30"/>
        <v/>
      </c>
      <c r="C62" s="273" t="str">
        <f t="shared" si="31"/>
        <v/>
      </c>
      <c r="D62" s="246"/>
      <c r="E62" s="284"/>
      <c r="F62" s="284"/>
      <c r="G62" s="248"/>
      <c r="H62" s="241"/>
      <c r="I62" s="285"/>
      <c r="J62" s="286"/>
      <c r="K62" s="287"/>
      <c r="L62" s="288"/>
      <c r="M62" s="289"/>
      <c r="N62" s="290"/>
      <c r="O62" s="274"/>
      <c r="P62" s="275"/>
      <c r="Q62" s="276"/>
      <c r="R62" s="277"/>
      <c r="S62" s="278"/>
      <c r="T62" s="279"/>
      <c r="U62" s="279"/>
      <c r="V62" s="279"/>
      <c r="W62" s="279"/>
      <c r="X62" s="279"/>
      <c r="Y62" s="279"/>
      <c r="Z62" s="279"/>
      <c r="AA62" s="279"/>
      <c r="AB62" s="279"/>
      <c r="AC62" s="279"/>
      <c r="AD62" s="279"/>
      <c r="AE62" s="279"/>
      <c r="AF62" s="279"/>
      <c r="AG62" s="280"/>
      <c r="AH62" s="281"/>
      <c r="AI62" s="282"/>
      <c r="AJ62" s="283"/>
    </row>
    <row r="63" spans="1:36" s="22" customFormat="1" x14ac:dyDescent="0.25">
      <c r="A63" s="28" t="str">
        <f>IF(H63&lt;&gt;"",MAX($A$7:A62)+1,"")</f>
        <v/>
      </c>
      <c r="B63" s="243" t="str">
        <f t="shared" si="30"/>
        <v/>
      </c>
      <c r="C63" s="273" t="str">
        <f t="shared" si="31"/>
        <v/>
      </c>
      <c r="D63" s="246"/>
      <c r="E63" s="284"/>
      <c r="F63" s="284"/>
      <c r="G63" s="248"/>
      <c r="H63" s="241"/>
      <c r="I63" s="285"/>
      <c r="J63" s="286"/>
      <c r="K63" s="287"/>
      <c r="L63" s="288"/>
      <c r="M63" s="289"/>
      <c r="N63" s="290"/>
      <c r="O63" s="274"/>
      <c r="P63" s="275"/>
      <c r="Q63" s="276"/>
      <c r="R63" s="277"/>
      <c r="S63" s="278"/>
      <c r="T63" s="279"/>
      <c r="U63" s="279"/>
      <c r="V63" s="279"/>
      <c r="W63" s="279"/>
      <c r="X63" s="279"/>
      <c r="Y63" s="279"/>
      <c r="Z63" s="279"/>
      <c r="AA63" s="279"/>
      <c r="AB63" s="279"/>
      <c r="AC63" s="279"/>
      <c r="AD63" s="279"/>
      <c r="AE63" s="279"/>
      <c r="AF63" s="279"/>
      <c r="AG63" s="280"/>
      <c r="AH63" s="281"/>
      <c r="AI63" s="282"/>
      <c r="AJ63" s="283"/>
    </row>
    <row r="64" spans="1:36" s="22" customFormat="1" x14ac:dyDescent="0.25">
      <c r="A64" s="28" t="str">
        <f>IF(H64&lt;&gt;"",MAX($A$7:A63)+1,"")</f>
        <v/>
      </c>
      <c r="B64" s="243" t="str">
        <f t="shared" si="30"/>
        <v/>
      </c>
      <c r="C64" s="273" t="str">
        <f t="shared" si="31"/>
        <v/>
      </c>
      <c r="D64" s="246"/>
      <c r="E64" s="284"/>
      <c r="F64" s="284"/>
      <c r="G64" s="248"/>
      <c r="H64" s="241"/>
      <c r="I64" s="285"/>
      <c r="J64" s="286"/>
      <c r="K64" s="287"/>
      <c r="L64" s="288"/>
      <c r="M64" s="289"/>
      <c r="N64" s="290"/>
      <c r="O64" s="274"/>
      <c r="P64" s="275"/>
      <c r="Q64" s="276"/>
      <c r="R64" s="277"/>
      <c r="S64" s="278"/>
      <c r="T64" s="279"/>
      <c r="U64" s="279"/>
      <c r="V64" s="279"/>
      <c r="W64" s="279"/>
      <c r="X64" s="279"/>
      <c r="Y64" s="279"/>
      <c r="Z64" s="279"/>
      <c r="AA64" s="279"/>
      <c r="AB64" s="279"/>
      <c r="AC64" s="279"/>
      <c r="AD64" s="279"/>
      <c r="AE64" s="279"/>
      <c r="AF64" s="279"/>
      <c r="AG64" s="280"/>
      <c r="AH64" s="281"/>
      <c r="AI64" s="282"/>
      <c r="AJ64" s="283"/>
    </row>
    <row r="65" spans="1:36" s="22" customFormat="1" x14ac:dyDescent="0.25">
      <c r="A65" s="28" t="str">
        <f>IF(H65&lt;&gt;"",MAX($A$7:A64)+1,"")</f>
        <v/>
      </c>
      <c r="B65" s="243" t="str">
        <f t="shared" si="30"/>
        <v/>
      </c>
      <c r="C65" s="273" t="str">
        <f t="shared" si="31"/>
        <v/>
      </c>
      <c r="D65" s="246"/>
      <c r="E65" s="284"/>
      <c r="F65" s="284"/>
      <c r="G65" s="248"/>
      <c r="H65" s="241"/>
      <c r="I65" s="285"/>
      <c r="J65" s="286"/>
      <c r="K65" s="287"/>
      <c r="L65" s="288"/>
      <c r="M65" s="289"/>
      <c r="N65" s="290"/>
      <c r="O65" s="274"/>
      <c r="P65" s="275"/>
      <c r="Q65" s="276"/>
      <c r="R65" s="277"/>
      <c r="S65" s="278"/>
      <c r="T65" s="279"/>
      <c r="U65" s="279"/>
      <c r="V65" s="279"/>
      <c r="W65" s="279"/>
      <c r="X65" s="279"/>
      <c r="Y65" s="279"/>
      <c r="Z65" s="279"/>
      <c r="AA65" s="279"/>
      <c r="AB65" s="279"/>
      <c r="AC65" s="279"/>
      <c r="AD65" s="279"/>
      <c r="AE65" s="279"/>
      <c r="AF65" s="279"/>
      <c r="AG65" s="280"/>
      <c r="AH65" s="281"/>
      <c r="AI65" s="282"/>
      <c r="AJ65" s="283"/>
    </row>
    <row r="66" spans="1:36" s="22" customFormat="1" x14ac:dyDescent="0.25">
      <c r="A66" s="28" t="str">
        <f>IF(H66&lt;&gt;"",MAX($A$7:A65)+1,"")</f>
        <v/>
      </c>
      <c r="B66" s="243" t="str">
        <f t="shared" si="30"/>
        <v/>
      </c>
      <c r="C66" s="273" t="str">
        <f t="shared" si="31"/>
        <v/>
      </c>
      <c r="D66" s="246"/>
      <c r="E66" s="284"/>
      <c r="F66" s="284"/>
      <c r="G66" s="248"/>
      <c r="H66" s="241"/>
      <c r="I66" s="285"/>
      <c r="J66" s="286"/>
      <c r="K66" s="287"/>
      <c r="L66" s="288"/>
      <c r="M66" s="289"/>
      <c r="N66" s="290"/>
      <c r="O66" s="274"/>
      <c r="P66" s="275"/>
      <c r="Q66" s="276"/>
      <c r="R66" s="277"/>
      <c r="S66" s="278"/>
      <c r="T66" s="279"/>
      <c r="U66" s="279"/>
      <c r="V66" s="279"/>
      <c r="W66" s="279"/>
      <c r="X66" s="279"/>
      <c r="Y66" s="279"/>
      <c r="Z66" s="279"/>
      <c r="AA66" s="279"/>
      <c r="AB66" s="279"/>
      <c r="AC66" s="279"/>
      <c r="AD66" s="279"/>
      <c r="AE66" s="279"/>
      <c r="AF66" s="279"/>
      <c r="AG66" s="280"/>
      <c r="AH66" s="281"/>
      <c r="AI66" s="282"/>
      <c r="AJ66" s="283"/>
    </row>
    <row r="67" spans="1:36" s="22" customFormat="1" x14ac:dyDescent="0.25">
      <c r="A67" s="28" t="str">
        <f>IF(H67&lt;&gt;"",MAX($A$7:A66)+1,"")</f>
        <v/>
      </c>
      <c r="B67" s="243" t="str">
        <f t="shared" si="30"/>
        <v/>
      </c>
      <c r="C67" s="273" t="str">
        <f t="shared" si="31"/>
        <v/>
      </c>
      <c r="D67" s="246"/>
      <c r="E67" s="284"/>
      <c r="F67" s="284"/>
      <c r="G67" s="248"/>
      <c r="H67" s="241"/>
      <c r="I67" s="285"/>
      <c r="J67" s="286"/>
      <c r="K67" s="287"/>
      <c r="L67" s="288"/>
      <c r="M67" s="289"/>
      <c r="N67" s="290"/>
      <c r="O67" s="274"/>
      <c r="P67" s="275"/>
      <c r="Q67" s="276"/>
      <c r="R67" s="277"/>
      <c r="S67" s="278"/>
      <c r="T67" s="279"/>
      <c r="U67" s="279"/>
      <c r="V67" s="279"/>
      <c r="W67" s="279"/>
      <c r="X67" s="279"/>
      <c r="Y67" s="279"/>
      <c r="Z67" s="279"/>
      <c r="AA67" s="279"/>
      <c r="AB67" s="279"/>
      <c r="AC67" s="279"/>
      <c r="AD67" s="279"/>
      <c r="AE67" s="279"/>
      <c r="AF67" s="279"/>
      <c r="AG67" s="280"/>
      <c r="AH67" s="281"/>
      <c r="AI67" s="282"/>
      <c r="AJ67" s="283"/>
    </row>
    <row r="68" spans="1:36" s="22" customFormat="1" x14ac:dyDescent="0.25">
      <c r="A68" s="28" t="str">
        <f>IF(H68&lt;&gt;"",MAX($A$7:A67)+1,"")</f>
        <v/>
      </c>
      <c r="B68" s="243" t="str">
        <f t="shared" si="30"/>
        <v/>
      </c>
      <c r="C68" s="273" t="str">
        <f t="shared" si="31"/>
        <v/>
      </c>
      <c r="D68" s="246"/>
      <c r="E68" s="284"/>
      <c r="F68" s="284"/>
      <c r="G68" s="248"/>
      <c r="H68" s="241"/>
      <c r="I68" s="285"/>
      <c r="J68" s="286"/>
      <c r="K68" s="287"/>
      <c r="L68" s="288"/>
      <c r="M68" s="289"/>
      <c r="N68" s="290"/>
      <c r="O68" s="274"/>
      <c r="P68" s="275"/>
      <c r="Q68" s="276"/>
      <c r="R68" s="277"/>
      <c r="S68" s="278"/>
      <c r="T68" s="279"/>
      <c r="U68" s="279"/>
      <c r="V68" s="279"/>
      <c r="W68" s="279"/>
      <c r="X68" s="279"/>
      <c r="Y68" s="279"/>
      <c r="Z68" s="279"/>
      <c r="AA68" s="279"/>
      <c r="AB68" s="279"/>
      <c r="AC68" s="279"/>
      <c r="AD68" s="279"/>
      <c r="AE68" s="279"/>
      <c r="AF68" s="279"/>
      <c r="AG68" s="280"/>
      <c r="AH68" s="281"/>
      <c r="AI68" s="282"/>
      <c r="AJ68" s="283"/>
    </row>
    <row r="69" spans="1:36" s="22" customFormat="1" x14ac:dyDescent="0.25">
      <c r="A69" s="28" t="str">
        <f>IF(H69&lt;&gt;"",MAX($A$7:A68)+1,"")</f>
        <v/>
      </c>
      <c r="B69" s="243" t="str">
        <f t="shared" si="30"/>
        <v/>
      </c>
      <c r="C69" s="273" t="str">
        <f t="shared" si="31"/>
        <v/>
      </c>
      <c r="D69" s="246"/>
      <c r="E69" s="284"/>
      <c r="F69" s="284"/>
      <c r="G69" s="248"/>
      <c r="H69" s="241"/>
      <c r="I69" s="285"/>
      <c r="J69" s="286"/>
      <c r="K69" s="287"/>
      <c r="L69" s="288"/>
      <c r="M69" s="289"/>
      <c r="N69" s="290"/>
      <c r="O69" s="274"/>
      <c r="P69" s="275"/>
      <c r="Q69" s="276"/>
      <c r="R69" s="277"/>
      <c r="S69" s="278"/>
      <c r="T69" s="279"/>
      <c r="U69" s="279"/>
      <c r="V69" s="279"/>
      <c r="W69" s="279"/>
      <c r="X69" s="279"/>
      <c r="Y69" s="279"/>
      <c r="Z69" s="279"/>
      <c r="AA69" s="279"/>
      <c r="AB69" s="279"/>
      <c r="AC69" s="279"/>
      <c r="AD69" s="279"/>
      <c r="AE69" s="279"/>
      <c r="AF69" s="279"/>
      <c r="AG69" s="280"/>
      <c r="AH69" s="281"/>
      <c r="AI69" s="282"/>
      <c r="AJ69" s="283"/>
    </row>
    <row r="70" spans="1:36" s="22" customFormat="1" x14ac:dyDescent="0.25">
      <c r="A70" s="28" t="str">
        <f>IF(H70&lt;&gt;"",MAX($A$7:A69)+1,"")</f>
        <v/>
      </c>
      <c r="B70" s="243" t="str">
        <f t="shared" si="30"/>
        <v/>
      </c>
      <c r="C70" s="273" t="str">
        <f t="shared" si="31"/>
        <v/>
      </c>
      <c r="D70" s="246"/>
      <c r="E70" s="284"/>
      <c r="F70" s="284"/>
      <c r="G70" s="248"/>
      <c r="H70" s="241"/>
      <c r="I70" s="285"/>
      <c r="J70" s="286"/>
      <c r="K70" s="287"/>
      <c r="L70" s="288"/>
      <c r="M70" s="289"/>
      <c r="N70" s="290"/>
      <c r="O70" s="274"/>
      <c r="P70" s="275"/>
      <c r="Q70" s="276"/>
      <c r="R70" s="277"/>
      <c r="S70" s="278"/>
      <c r="T70" s="279"/>
      <c r="U70" s="279"/>
      <c r="V70" s="279"/>
      <c r="W70" s="279"/>
      <c r="X70" s="279"/>
      <c r="Y70" s="279"/>
      <c r="Z70" s="279"/>
      <c r="AA70" s="279"/>
      <c r="AB70" s="279"/>
      <c r="AC70" s="279"/>
      <c r="AD70" s="279"/>
      <c r="AE70" s="279"/>
      <c r="AF70" s="279"/>
      <c r="AG70" s="280"/>
      <c r="AH70" s="281"/>
      <c r="AI70" s="282"/>
      <c r="AJ70" s="283"/>
    </row>
    <row r="71" spans="1:36" s="22" customFormat="1" x14ac:dyDescent="0.25">
      <c r="A71" s="28" t="str">
        <f>IF(H71&lt;&gt;"",MAX($A$7:A70)+1,"")</f>
        <v/>
      </c>
      <c r="B71" s="243" t="str">
        <f t="shared" ref="B71:B134" si="32">IF(A71="","",PREF_PREGUNTA&amp;" - "&amp;IF(MAX(A:A)&gt;99,IF(A71&lt;100,"0",""),"")&amp;IF(A71&lt;10,"0","")&amp;A71&amp;IF(G71&lt;&gt;""," "&amp;G71,""))</f>
        <v/>
      </c>
      <c r="C71" s="273" t="str">
        <f t="shared" ref="C71:C134" si="33">IF(COUNTA(I71:N71)-D71=0,"",COUNTA(I71:N71)-D71)</f>
        <v/>
      </c>
      <c r="D71" s="246"/>
      <c r="E71" s="284"/>
      <c r="F71" s="284"/>
      <c r="G71" s="248"/>
      <c r="H71" s="241"/>
      <c r="I71" s="285"/>
      <c r="J71" s="286"/>
      <c r="K71" s="287"/>
      <c r="L71" s="288"/>
      <c r="M71" s="289"/>
      <c r="N71" s="290"/>
      <c r="O71" s="274"/>
      <c r="P71" s="275"/>
      <c r="Q71" s="276"/>
      <c r="R71" s="277"/>
      <c r="S71" s="278"/>
      <c r="T71" s="279"/>
      <c r="U71" s="279"/>
      <c r="V71" s="279"/>
      <c r="W71" s="279"/>
      <c r="X71" s="279"/>
      <c r="Y71" s="279"/>
      <c r="Z71" s="279"/>
      <c r="AA71" s="279"/>
      <c r="AB71" s="279"/>
      <c r="AC71" s="279"/>
      <c r="AD71" s="279"/>
      <c r="AE71" s="279"/>
      <c r="AF71" s="279"/>
      <c r="AG71" s="280"/>
      <c r="AH71" s="281"/>
      <c r="AI71" s="282"/>
      <c r="AJ71" s="283"/>
    </row>
    <row r="72" spans="1:36" s="22" customFormat="1" x14ac:dyDescent="0.25">
      <c r="A72" s="28" t="str">
        <f>IF(H72&lt;&gt;"",MAX($A$7:A71)+1,"")</f>
        <v/>
      </c>
      <c r="B72" s="243" t="str">
        <f t="shared" si="32"/>
        <v/>
      </c>
      <c r="C72" s="273" t="str">
        <f t="shared" si="33"/>
        <v/>
      </c>
      <c r="D72" s="246"/>
      <c r="E72" s="284"/>
      <c r="F72" s="284"/>
      <c r="G72" s="248"/>
      <c r="H72" s="241"/>
      <c r="I72" s="285"/>
      <c r="J72" s="286"/>
      <c r="K72" s="287"/>
      <c r="L72" s="288"/>
      <c r="M72" s="289"/>
      <c r="N72" s="290"/>
      <c r="O72" s="274"/>
      <c r="P72" s="275"/>
      <c r="Q72" s="276"/>
      <c r="R72" s="277"/>
      <c r="S72" s="278"/>
      <c r="T72" s="279"/>
      <c r="U72" s="279"/>
      <c r="V72" s="279"/>
      <c r="W72" s="279"/>
      <c r="X72" s="279"/>
      <c r="Y72" s="279"/>
      <c r="Z72" s="279"/>
      <c r="AA72" s="279"/>
      <c r="AB72" s="279"/>
      <c r="AC72" s="279"/>
      <c r="AD72" s="279"/>
      <c r="AE72" s="279"/>
      <c r="AF72" s="279"/>
      <c r="AG72" s="280"/>
      <c r="AH72" s="281"/>
      <c r="AI72" s="282"/>
      <c r="AJ72" s="283"/>
    </row>
    <row r="73" spans="1:36" s="22" customFormat="1" x14ac:dyDescent="0.25">
      <c r="A73" s="28" t="str">
        <f>IF(H73&lt;&gt;"",MAX($A$7:A72)+1,"")</f>
        <v/>
      </c>
      <c r="B73" s="243" t="str">
        <f t="shared" si="32"/>
        <v/>
      </c>
      <c r="C73" s="273" t="str">
        <f t="shared" si="33"/>
        <v/>
      </c>
      <c r="D73" s="246"/>
      <c r="E73" s="284"/>
      <c r="F73" s="284"/>
      <c r="G73" s="248"/>
      <c r="H73" s="241"/>
      <c r="I73" s="285"/>
      <c r="J73" s="286"/>
      <c r="K73" s="287"/>
      <c r="L73" s="288"/>
      <c r="M73" s="289"/>
      <c r="N73" s="290"/>
      <c r="O73" s="274"/>
      <c r="P73" s="275"/>
      <c r="Q73" s="276"/>
      <c r="R73" s="277"/>
      <c r="S73" s="278"/>
      <c r="T73" s="279"/>
      <c r="U73" s="279"/>
      <c r="V73" s="279"/>
      <c r="W73" s="279"/>
      <c r="X73" s="279"/>
      <c r="Y73" s="279"/>
      <c r="Z73" s="279"/>
      <c r="AA73" s="279"/>
      <c r="AB73" s="279"/>
      <c r="AC73" s="279"/>
      <c r="AD73" s="279"/>
      <c r="AE73" s="279"/>
      <c r="AF73" s="279"/>
      <c r="AG73" s="280"/>
      <c r="AH73" s="281"/>
      <c r="AI73" s="282"/>
      <c r="AJ73" s="283"/>
    </row>
    <row r="74" spans="1:36" s="22" customFormat="1" x14ac:dyDescent="0.25">
      <c r="A74" s="28" t="str">
        <f>IF(H74&lt;&gt;"",MAX($A$7:A73)+1,"")</f>
        <v/>
      </c>
      <c r="B74" s="243" t="str">
        <f t="shared" si="32"/>
        <v/>
      </c>
      <c r="C74" s="273" t="str">
        <f t="shared" si="33"/>
        <v/>
      </c>
      <c r="D74" s="246"/>
      <c r="E74" s="284"/>
      <c r="F74" s="284"/>
      <c r="G74" s="248"/>
      <c r="H74" s="241"/>
      <c r="I74" s="285"/>
      <c r="J74" s="286"/>
      <c r="K74" s="287"/>
      <c r="L74" s="288"/>
      <c r="M74" s="289"/>
      <c r="N74" s="290"/>
      <c r="O74" s="274"/>
      <c r="P74" s="275"/>
      <c r="Q74" s="276"/>
      <c r="R74" s="277"/>
      <c r="S74" s="278"/>
      <c r="T74" s="279"/>
      <c r="U74" s="279"/>
      <c r="V74" s="279"/>
      <c r="W74" s="279"/>
      <c r="X74" s="279"/>
      <c r="Y74" s="279"/>
      <c r="Z74" s="279"/>
      <c r="AA74" s="279"/>
      <c r="AB74" s="279"/>
      <c r="AC74" s="279"/>
      <c r="AD74" s="279"/>
      <c r="AE74" s="279"/>
      <c r="AF74" s="279"/>
      <c r="AG74" s="280"/>
      <c r="AH74" s="281"/>
      <c r="AI74" s="282"/>
      <c r="AJ74" s="283"/>
    </row>
    <row r="75" spans="1:36" s="22" customFormat="1" x14ac:dyDescent="0.25">
      <c r="A75" s="28" t="str">
        <f>IF(H75&lt;&gt;"",MAX($A$7:A74)+1,"")</f>
        <v/>
      </c>
      <c r="B75" s="243" t="str">
        <f t="shared" si="32"/>
        <v/>
      </c>
      <c r="C75" s="273" t="str">
        <f t="shared" si="33"/>
        <v/>
      </c>
      <c r="D75" s="246"/>
      <c r="E75" s="284"/>
      <c r="F75" s="284"/>
      <c r="G75" s="248"/>
      <c r="H75" s="241"/>
      <c r="I75" s="285"/>
      <c r="J75" s="286"/>
      <c r="K75" s="287"/>
      <c r="L75" s="288"/>
      <c r="M75" s="289"/>
      <c r="N75" s="290"/>
      <c r="O75" s="274"/>
      <c r="P75" s="275"/>
      <c r="Q75" s="276"/>
      <c r="R75" s="277"/>
      <c r="S75" s="278"/>
      <c r="T75" s="279"/>
      <c r="U75" s="279"/>
      <c r="V75" s="279"/>
      <c r="W75" s="279"/>
      <c r="X75" s="279"/>
      <c r="Y75" s="279"/>
      <c r="Z75" s="279"/>
      <c r="AA75" s="279"/>
      <c r="AB75" s="279"/>
      <c r="AC75" s="279"/>
      <c r="AD75" s="279"/>
      <c r="AE75" s="279"/>
      <c r="AF75" s="279"/>
      <c r="AG75" s="280"/>
      <c r="AH75" s="281"/>
      <c r="AI75" s="282"/>
      <c r="AJ75" s="283"/>
    </row>
    <row r="76" spans="1:36" s="22" customFormat="1" x14ac:dyDescent="0.25">
      <c r="A76" s="28" t="str">
        <f>IF(H76&lt;&gt;"",MAX($A$7:A75)+1,"")</f>
        <v/>
      </c>
      <c r="B76" s="243" t="str">
        <f t="shared" si="32"/>
        <v/>
      </c>
      <c r="C76" s="273" t="str">
        <f t="shared" si="33"/>
        <v/>
      </c>
      <c r="D76" s="246"/>
      <c r="E76" s="284"/>
      <c r="F76" s="284"/>
      <c r="G76" s="248"/>
      <c r="H76" s="241"/>
      <c r="I76" s="285"/>
      <c r="J76" s="286"/>
      <c r="K76" s="287"/>
      <c r="L76" s="288"/>
      <c r="M76" s="289"/>
      <c r="N76" s="290"/>
      <c r="O76" s="274"/>
      <c r="P76" s="275"/>
      <c r="Q76" s="276"/>
      <c r="R76" s="277"/>
      <c r="S76" s="278"/>
      <c r="T76" s="279"/>
      <c r="U76" s="279"/>
      <c r="V76" s="279"/>
      <c r="W76" s="279"/>
      <c r="X76" s="279"/>
      <c r="Y76" s="279"/>
      <c r="Z76" s="279"/>
      <c r="AA76" s="279"/>
      <c r="AB76" s="279"/>
      <c r="AC76" s="279"/>
      <c r="AD76" s="279"/>
      <c r="AE76" s="279"/>
      <c r="AF76" s="279"/>
      <c r="AG76" s="280"/>
      <c r="AH76" s="281"/>
      <c r="AI76" s="282"/>
      <c r="AJ76" s="283"/>
    </row>
    <row r="77" spans="1:36" s="22" customFormat="1" x14ac:dyDescent="0.25">
      <c r="A77" s="28" t="str">
        <f>IF(H77&lt;&gt;"",MAX($A$7:A76)+1,"")</f>
        <v/>
      </c>
      <c r="B77" s="243" t="str">
        <f t="shared" si="32"/>
        <v/>
      </c>
      <c r="C77" s="273" t="str">
        <f t="shared" si="33"/>
        <v/>
      </c>
      <c r="D77" s="246"/>
      <c r="E77" s="284"/>
      <c r="F77" s="284"/>
      <c r="G77" s="248"/>
      <c r="H77" s="241"/>
      <c r="I77" s="285"/>
      <c r="J77" s="286"/>
      <c r="K77" s="287"/>
      <c r="L77" s="288"/>
      <c r="M77" s="289"/>
      <c r="N77" s="290"/>
      <c r="O77" s="274"/>
      <c r="P77" s="275"/>
      <c r="Q77" s="276"/>
      <c r="R77" s="277"/>
      <c r="S77" s="278"/>
      <c r="T77" s="279"/>
      <c r="U77" s="279"/>
      <c r="V77" s="279"/>
      <c r="W77" s="279"/>
      <c r="X77" s="279"/>
      <c r="Y77" s="279"/>
      <c r="Z77" s="279"/>
      <c r="AA77" s="279"/>
      <c r="AB77" s="279"/>
      <c r="AC77" s="279"/>
      <c r="AD77" s="279"/>
      <c r="AE77" s="279"/>
      <c r="AF77" s="279"/>
      <c r="AG77" s="280"/>
      <c r="AH77" s="281"/>
      <c r="AI77" s="282"/>
      <c r="AJ77" s="283"/>
    </row>
    <row r="78" spans="1:36" s="22" customFormat="1" x14ac:dyDescent="0.25">
      <c r="A78" s="28" t="str">
        <f>IF(H78&lt;&gt;"",MAX($A$7:A77)+1,"")</f>
        <v/>
      </c>
      <c r="B78" s="243" t="str">
        <f t="shared" si="32"/>
        <v/>
      </c>
      <c r="C78" s="273" t="str">
        <f t="shared" si="33"/>
        <v/>
      </c>
      <c r="D78" s="246"/>
      <c r="E78" s="284"/>
      <c r="F78" s="284"/>
      <c r="G78" s="248"/>
      <c r="H78" s="241"/>
      <c r="I78" s="285"/>
      <c r="J78" s="286"/>
      <c r="K78" s="287"/>
      <c r="L78" s="288"/>
      <c r="M78" s="289"/>
      <c r="N78" s="290"/>
      <c r="O78" s="274"/>
      <c r="P78" s="275"/>
      <c r="Q78" s="276"/>
      <c r="R78" s="277"/>
      <c r="S78" s="278"/>
      <c r="T78" s="279"/>
      <c r="U78" s="279"/>
      <c r="V78" s="279"/>
      <c r="W78" s="279"/>
      <c r="X78" s="279"/>
      <c r="Y78" s="279"/>
      <c r="Z78" s="279"/>
      <c r="AA78" s="279"/>
      <c r="AB78" s="279"/>
      <c r="AC78" s="279"/>
      <c r="AD78" s="279"/>
      <c r="AE78" s="279"/>
      <c r="AF78" s="279"/>
      <c r="AG78" s="280"/>
      <c r="AH78" s="281"/>
      <c r="AI78" s="282"/>
      <c r="AJ78" s="283"/>
    </row>
    <row r="79" spans="1:36" s="22" customFormat="1" x14ac:dyDescent="0.25">
      <c r="A79" s="28" t="str">
        <f>IF(H79&lt;&gt;"",MAX($A$7:A78)+1,"")</f>
        <v/>
      </c>
      <c r="B79" s="243" t="str">
        <f t="shared" si="32"/>
        <v/>
      </c>
      <c r="C79" s="273" t="str">
        <f t="shared" si="33"/>
        <v/>
      </c>
      <c r="D79" s="246"/>
      <c r="E79" s="284"/>
      <c r="F79" s="284"/>
      <c r="G79" s="248"/>
      <c r="H79" s="241"/>
      <c r="I79" s="285"/>
      <c r="J79" s="286"/>
      <c r="K79" s="287"/>
      <c r="L79" s="288"/>
      <c r="M79" s="289"/>
      <c r="N79" s="290"/>
      <c r="O79" s="274"/>
      <c r="P79" s="275"/>
      <c r="Q79" s="276"/>
      <c r="R79" s="277"/>
      <c r="S79" s="278"/>
      <c r="T79" s="279"/>
      <c r="U79" s="279"/>
      <c r="V79" s="279"/>
      <c r="W79" s="279"/>
      <c r="X79" s="279"/>
      <c r="Y79" s="279"/>
      <c r="Z79" s="279"/>
      <c r="AA79" s="279"/>
      <c r="AB79" s="279"/>
      <c r="AC79" s="279"/>
      <c r="AD79" s="279"/>
      <c r="AE79" s="279"/>
      <c r="AF79" s="279"/>
      <c r="AG79" s="280"/>
      <c r="AH79" s="281"/>
      <c r="AI79" s="282"/>
      <c r="AJ79" s="283"/>
    </row>
    <row r="80" spans="1:36" s="22" customFormat="1" x14ac:dyDescent="0.25">
      <c r="A80" s="28" t="str">
        <f>IF(H80&lt;&gt;"",MAX($A$7:A79)+1,"")</f>
        <v/>
      </c>
      <c r="B80" s="243" t="str">
        <f t="shared" si="32"/>
        <v/>
      </c>
      <c r="C80" s="273" t="str">
        <f t="shared" si="33"/>
        <v/>
      </c>
      <c r="D80" s="246"/>
      <c r="E80" s="284"/>
      <c r="F80" s="284"/>
      <c r="G80" s="248"/>
      <c r="H80" s="241"/>
      <c r="I80" s="285"/>
      <c r="J80" s="286"/>
      <c r="K80" s="287"/>
      <c r="L80" s="288"/>
      <c r="M80" s="289"/>
      <c r="N80" s="290"/>
      <c r="O80" s="274"/>
      <c r="P80" s="275"/>
      <c r="Q80" s="276"/>
      <c r="R80" s="277"/>
      <c r="S80" s="278"/>
      <c r="T80" s="279"/>
      <c r="U80" s="279"/>
      <c r="V80" s="279"/>
      <c r="W80" s="279"/>
      <c r="X80" s="279"/>
      <c r="Y80" s="279"/>
      <c r="Z80" s="279"/>
      <c r="AA80" s="279"/>
      <c r="AB80" s="279"/>
      <c r="AC80" s="279"/>
      <c r="AD80" s="279"/>
      <c r="AE80" s="279"/>
      <c r="AF80" s="279"/>
      <c r="AG80" s="280"/>
      <c r="AH80" s="281"/>
      <c r="AI80" s="282"/>
      <c r="AJ80" s="283"/>
    </row>
    <row r="81" spans="1:36" s="22" customFormat="1" x14ac:dyDescent="0.25">
      <c r="A81" s="28" t="str">
        <f>IF(H81&lt;&gt;"",MAX($A$7:A80)+1,"")</f>
        <v/>
      </c>
      <c r="B81" s="243" t="str">
        <f t="shared" si="32"/>
        <v/>
      </c>
      <c r="C81" s="273" t="str">
        <f t="shared" si="33"/>
        <v/>
      </c>
      <c r="D81" s="246"/>
      <c r="E81" s="284"/>
      <c r="F81" s="284"/>
      <c r="G81" s="248"/>
      <c r="H81" s="241"/>
      <c r="I81" s="285"/>
      <c r="J81" s="286"/>
      <c r="K81" s="287"/>
      <c r="L81" s="288"/>
      <c r="M81" s="289"/>
      <c r="N81" s="290"/>
      <c r="O81" s="274"/>
      <c r="P81" s="275"/>
      <c r="Q81" s="276"/>
      <c r="R81" s="277"/>
      <c r="S81" s="278"/>
      <c r="T81" s="279"/>
      <c r="U81" s="279"/>
      <c r="V81" s="279"/>
      <c r="W81" s="279"/>
      <c r="X81" s="279"/>
      <c r="Y81" s="279"/>
      <c r="Z81" s="279"/>
      <c r="AA81" s="279"/>
      <c r="AB81" s="279"/>
      <c r="AC81" s="279"/>
      <c r="AD81" s="279"/>
      <c r="AE81" s="279"/>
      <c r="AF81" s="279"/>
      <c r="AG81" s="280"/>
      <c r="AH81" s="281"/>
      <c r="AI81" s="282"/>
      <c r="AJ81" s="283"/>
    </row>
    <row r="82" spans="1:36" s="22" customFormat="1" x14ac:dyDescent="0.25">
      <c r="A82" s="28" t="str">
        <f>IF(H82&lt;&gt;"",MAX($A$7:A81)+1,"")</f>
        <v/>
      </c>
      <c r="B82" s="243" t="str">
        <f t="shared" si="32"/>
        <v/>
      </c>
      <c r="C82" s="273" t="str">
        <f t="shared" si="33"/>
        <v/>
      </c>
      <c r="D82" s="246"/>
      <c r="E82" s="284"/>
      <c r="F82" s="284"/>
      <c r="G82" s="248"/>
      <c r="H82" s="241"/>
      <c r="I82" s="285"/>
      <c r="J82" s="286"/>
      <c r="K82" s="287"/>
      <c r="L82" s="288"/>
      <c r="M82" s="289"/>
      <c r="N82" s="290"/>
      <c r="O82" s="274"/>
      <c r="P82" s="275"/>
      <c r="Q82" s="276"/>
      <c r="R82" s="277"/>
      <c r="S82" s="278"/>
      <c r="T82" s="279"/>
      <c r="U82" s="279"/>
      <c r="V82" s="279"/>
      <c r="W82" s="279"/>
      <c r="X82" s="279"/>
      <c r="Y82" s="279"/>
      <c r="Z82" s="279"/>
      <c r="AA82" s="279"/>
      <c r="AB82" s="279"/>
      <c r="AC82" s="279"/>
      <c r="AD82" s="279"/>
      <c r="AE82" s="279"/>
      <c r="AF82" s="279"/>
      <c r="AG82" s="280"/>
      <c r="AH82" s="281"/>
      <c r="AI82" s="282"/>
      <c r="AJ82" s="283"/>
    </row>
    <row r="83" spans="1:36" s="22" customFormat="1" x14ac:dyDescent="0.25">
      <c r="A83" s="28" t="str">
        <f>IF(H83&lt;&gt;"",MAX($A$7:A82)+1,"")</f>
        <v/>
      </c>
      <c r="B83" s="243" t="str">
        <f t="shared" si="32"/>
        <v/>
      </c>
      <c r="C83" s="273" t="str">
        <f t="shared" si="33"/>
        <v/>
      </c>
      <c r="D83" s="246"/>
      <c r="E83" s="284"/>
      <c r="F83" s="284"/>
      <c r="G83" s="248"/>
      <c r="H83" s="241"/>
      <c r="I83" s="285"/>
      <c r="J83" s="286"/>
      <c r="K83" s="287"/>
      <c r="L83" s="288"/>
      <c r="M83" s="289"/>
      <c r="N83" s="290"/>
      <c r="O83" s="274"/>
      <c r="P83" s="275"/>
      <c r="Q83" s="276"/>
      <c r="R83" s="277"/>
      <c r="S83" s="278"/>
      <c r="T83" s="279"/>
      <c r="U83" s="279"/>
      <c r="V83" s="279"/>
      <c r="W83" s="279"/>
      <c r="X83" s="279"/>
      <c r="Y83" s="279"/>
      <c r="Z83" s="279"/>
      <c r="AA83" s="279"/>
      <c r="AB83" s="279"/>
      <c r="AC83" s="279"/>
      <c r="AD83" s="279"/>
      <c r="AE83" s="279"/>
      <c r="AF83" s="279"/>
      <c r="AG83" s="280"/>
      <c r="AH83" s="281"/>
      <c r="AI83" s="282"/>
      <c r="AJ83" s="283"/>
    </row>
    <row r="84" spans="1:36" s="22" customFormat="1" x14ac:dyDescent="0.25">
      <c r="A84" s="28" t="str">
        <f>IF(H84&lt;&gt;"",MAX($A$7:A83)+1,"")</f>
        <v/>
      </c>
      <c r="B84" s="243" t="str">
        <f t="shared" si="32"/>
        <v/>
      </c>
      <c r="C84" s="273" t="str">
        <f t="shared" si="33"/>
        <v/>
      </c>
      <c r="D84" s="246"/>
      <c r="E84" s="284"/>
      <c r="F84" s="284"/>
      <c r="G84" s="248"/>
      <c r="H84" s="241"/>
      <c r="I84" s="285"/>
      <c r="J84" s="286"/>
      <c r="K84" s="287"/>
      <c r="L84" s="288"/>
      <c r="M84" s="289"/>
      <c r="N84" s="290"/>
      <c r="O84" s="274"/>
      <c r="P84" s="275"/>
      <c r="Q84" s="276"/>
      <c r="R84" s="277"/>
      <c r="S84" s="278"/>
      <c r="T84" s="279"/>
      <c r="U84" s="279"/>
      <c r="V84" s="279"/>
      <c r="W84" s="279"/>
      <c r="X84" s="279"/>
      <c r="Y84" s="279"/>
      <c r="Z84" s="279"/>
      <c r="AA84" s="279"/>
      <c r="AB84" s="279"/>
      <c r="AC84" s="279"/>
      <c r="AD84" s="279"/>
      <c r="AE84" s="279"/>
      <c r="AF84" s="279"/>
      <c r="AG84" s="280"/>
      <c r="AH84" s="281"/>
      <c r="AI84" s="282"/>
      <c r="AJ84" s="283"/>
    </row>
    <row r="85" spans="1:36" s="22" customFormat="1" x14ac:dyDescent="0.25">
      <c r="A85" s="28" t="str">
        <f>IF(H85&lt;&gt;"",MAX($A$7:A84)+1,"")</f>
        <v/>
      </c>
      <c r="B85" s="243" t="str">
        <f t="shared" si="32"/>
        <v/>
      </c>
      <c r="C85" s="273" t="str">
        <f t="shared" si="33"/>
        <v/>
      </c>
      <c r="D85" s="246"/>
      <c r="E85" s="284"/>
      <c r="F85" s="284"/>
      <c r="G85" s="248"/>
      <c r="H85" s="241"/>
      <c r="I85" s="285"/>
      <c r="J85" s="286"/>
      <c r="K85" s="287"/>
      <c r="L85" s="288"/>
      <c r="M85" s="289"/>
      <c r="N85" s="290"/>
      <c r="O85" s="274"/>
      <c r="P85" s="275"/>
      <c r="Q85" s="276"/>
      <c r="R85" s="277"/>
      <c r="S85" s="278"/>
      <c r="T85" s="279"/>
      <c r="U85" s="279"/>
      <c r="V85" s="279"/>
      <c r="W85" s="279"/>
      <c r="X85" s="279"/>
      <c r="Y85" s="279"/>
      <c r="Z85" s="279"/>
      <c r="AA85" s="279"/>
      <c r="AB85" s="279"/>
      <c r="AC85" s="279"/>
      <c r="AD85" s="279"/>
      <c r="AE85" s="279"/>
      <c r="AF85" s="279"/>
      <c r="AG85" s="280"/>
      <c r="AH85" s="281"/>
      <c r="AI85" s="282"/>
      <c r="AJ85" s="283"/>
    </row>
    <row r="86" spans="1:36" s="22" customFormat="1" x14ac:dyDescent="0.25">
      <c r="A86" s="28" t="str">
        <f>IF(H86&lt;&gt;"",MAX($A$7:A85)+1,"")</f>
        <v/>
      </c>
      <c r="B86" s="243" t="str">
        <f t="shared" si="32"/>
        <v/>
      </c>
      <c r="C86" s="273" t="str">
        <f t="shared" si="33"/>
        <v/>
      </c>
      <c r="D86" s="246"/>
      <c r="E86" s="284"/>
      <c r="F86" s="284"/>
      <c r="G86" s="248"/>
      <c r="H86" s="241"/>
      <c r="I86" s="285"/>
      <c r="J86" s="286"/>
      <c r="K86" s="287"/>
      <c r="L86" s="288"/>
      <c r="M86" s="289"/>
      <c r="N86" s="290"/>
      <c r="O86" s="274"/>
      <c r="P86" s="275"/>
      <c r="Q86" s="276"/>
      <c r="R86" s="277"/>
      <c r="S86" s="278"/>
      <c r="T86" s="279"/>
      <c r="U86" s="279"/>
      <c r="V86" s="279"/>
      <c r="W86" s="279"/>
      <c r="X86" s="279"/>
      <c r="Y86" s="279"/>
      <c r="Z86" s="279"/>
      <c r="AA86" s="279"/>
      <c r="AB86" s="279"/>
      <c r="AC86" s="279"/>
      <c r="AD86" s="279"/>
      <c r="AE86" s="279"/>
      <c r="AF86" s="279"/>
      <c r="AG86" s="280"/>
      <c r="AH86" s="281"/>
      <c r="AI86" s="282"/>
      <c r="AJ86" s="283"/>
    </row>
    <row r="87" spans="1:36" s="22" customFormat="1" x14ac:dyDescent="0.25">
      <c r="A87" s="28" t="str">
        <f>IF(H87&lt;&gt;"",MAX($A$7:A86)+1,"")</f>
        <v/>
      </c>
      <c r="B87" s="243" t="str">
        <f t="shared" si="32"/>
        <v/>
      </c>
      <c r="C87" s="273" t="str">
        <f t="shared" si="33"/>
        <v/>
      </c>
      <c r="D87" s="246"/>
      <c r="E87" s="284"/>
      <c r="F87" s="284"/>
      <c r="G87" s="248"/>
      <c r="H87" s="241"/>
      <c r="I87" s="285"/>
      <c r="J87" s="286"/>
      <c r="K87" s="287"/>
      <c r="L87" s="288"/>
      <c r="M87" s="289"/>
      <c r="N87" s="290"/>
      <c r="O87" s="274"/>
      <c r="P87" s="275"/>
      <c r="Q87" s="276"/>
      <c r="R87" s="277"/>
      <c r="S87" s="278"/>
      <c r="T87" s="279"/>
      <c r="U87" s="279"/>
      <c r="V87" s="279"/>
      <c r="W87" s="279"/>
      <c r="X87" s="279"/>
      <c r="Y87" s="279"/>
      <c r="Z87" s="279"/>
      <c r="AA87" s="279"/>
      <c r="AB87" s="279"/>
      <c r="AC87" s="279"/>
      <c r="AD87" s="279"/>
      <c r="AE87" s="279"/>
      <c r="AF87" s="279"/>
      <c r="AG87" s="280"/>
      <c r="AH87" s="281"/>
      <c r="AI87" s="282"/>
      <c r="AJ87" s="283"/>
    </row>
    <row r="88" spans="1:36" s="22" customFormat="1" x14ac:dyDescent="0.25">
      <c r="A88" s="28" t="str">
        <f>IF(H88&lt;&gt;"",MAX($A$7:A87)+1,"")</f>
        <v/>
      </c>
      <c r="B88" s="243" t="str">
        <f t="shared" si="32"/>
        <v/>
      </c>
      <c r="C88" s="273" t="str">
        <f t="shared" si="33"/>
        <v/>
      </c>
      <c r="D88" s="246"/>
      <c r="E88" s="284"/>
      <c r="F88" s="284"/>
      <c r="G88" s="248"/>
      <c r="H88" s="241"/>
      <c r="I88" s="285"/>
      <c r="J88" s="286"/>
      <c r="K88" s="287"/>
      <c r="L88" s="288"/>
      <c r="M88" s="289"/>
      <c r="N88" s="290"/>
      <c r="O88" s="274"/>
      <c r="P88" s="275"/>
      <c r="Q88" s="276"/>
      <c r="R88" s="277"/>
      <c r="S88" s="278"/>
      <c r="T88" s="279"/>
      <c r="U88" s="279"/>
      <c r="V88" s="279"/>
      <c r="W88" s="279"/>
      <c r="X88" s="279"/>
      <c r="Y88" s="279"/>
      <c r="Z88" s="279"/>
      <c r="AA88" s="279"/>
      <c r="AB88" s="279"/>
      <c r="AC88" s="279"/>
      <c r="AD88" s="279"/>
      <c r="AE88" s="279"/>
      <c r="AF88" s="279"/>
      <c r="AG88" s="280"/>
      <c r="AH88" s="281"/>
      <c r="AI88" s="282"/>
      <c r="AJ88" s="283"/>
    </row>
    <row r="89" spans="1:36" s="22" customFormat="1" x14ac:dyDescent="0.25">
      <c r="A89" s="28" t="str">
        <f>IF(H89&lt;&gt;"",MAX($A$7:A88)+1,"")</f>
        <v/>
      </c>
      <c r="B89" s="243" t="str">
        <f t="shared" si="32"/>
        <v/>
      </c>
      <c r="C89" s="273" t="str">
        <f t="shared" si="33"/>
        <v/>
      </c>
      <c r="D89" s="246"/>
      <c r="E89" s="284"/>
      <c r="F89" s="284"/>
      <c r="G89" s="248"/>
      <c r="H89" s="241"/>
      <c r="I89" s="285"/>
      <c r="J89" s="286"/>
      <c r="K89" s="287"/>
      <c r="L89" s="288"/>
      <c r="M89" s="289"/>
      <c r="N89" s="290"/>
      <c r="O89" s="274"/>
      <c r="P89" s="275"/>
      <c r="Q89" s="276"/>
      <c r="R89" s="277"/>
      <c r="S89" s="278"/>
      <c r="T89" s="279"/>
      <c r="U89" s="279"/>
      <c r="V89" s="279"/>
      <c r="W89" s="279"/>
      <c r="X89" s="279"/>
      <c r="Y89" s="279"/>
      <c r="Z89" s="279"/>
      <c r="AA89" s="279"/>
      <c r="AB89" s="279"/>
      <c r="AC89" s="279"/>
      <c r="AD89" s="279"/>
      <c r="AE89" s="279"/>
      <c r="AF89" s="279"/>
      <c r="AG89" s="280"/>
      <c r="AH89" s="281"/>
      <c r="AI89" s="282"/>
      <c r="AJ89" s="283"/>
    </row>
    <row r="90" spans="1:36" s="22" customFormat="1" x14ac:dyDescent="0.25">
      <c r="A90" s="28" t="str">
        <f>IF(H90&lt;&gt;"",MAX($A$7:A89)+1,"")</f>
        <v/>
      </c>
      <c r="B90" s="243" t="str">
        <f t="shared" si="32"/>
        <v/>
      </c>
      <c r="C90" s="273" t="str">
        <f t="shared" si="33"/>
        <v/>
      </c>
      <c r="D90" s="246"/>
      <c r="E90" s="284"/>
      <c r="F90" s="284"/>
      <c r="G90" s="248"/>
      <c r="H90" s="241"/>
      <c r="I90" s="285"/>
      <c r="J90" s="286"/>
      <c r="K90" s="287"/>
      <c r="L90" s="288"/>
      <c r="M90" s="289"/>
      <c r="N90" s="290"/>
      <c r="O90" s="274"/>
      <c r="P90" s="275"/>
      <c r="Q90" s="276"/>
      <c r="R90" s="277"/>
      <c r="S90" s="278"/>
      <c r="T90" s="279"/>
      <c r="U90" s="279"/>
      <c r="V90" s="279"/>
      <c r="W90" s="279"/>
      <c r="X90" s="279"/>
      <c r="Y90" s="279"/>
      <c r="Z90" s="279"/>
      <c r="AA90" s="279"/>
      <c r="AB90" s="279"/>
      <c r="AC90" s="279"/>
      <c r="AD90" s="279"/>
      <c r="AE90" s="279"/>
      <c r="AF90" s="279"/>
      <c r="AG90" s="280"/>
      <c r="AH90" s="281"/>
      <c r="AI90" s="282"/>
      <c r="AJ90" s="283"/>
    </row>
    <row r="91" spans="1:36" s="22" customFormat="1" x14ac:dyDescent="0.25">
      <c r="A91" s="28" t="str">
        <f>IF(H91&lt;&gt;"",MAX($A$7:A90)+1,"")</f>
        <v/>
      </c>
      <c r="B91" s="243" t="str">
        <f t="shared" si="32"/>
        <v/>
      </c>
      <c r="C91" s="273" t="str">
        <f t="shared" si="33"/>
        <v/>
      </c>
      <c r="D91" s="246"/>
      <c r="E91" s="284"/>
      <c r="F91" s="284"/>
      <c r="G91" s="248"/>
      <c r="H91" s="241"/>
      <c r="I91" s="285"/>
      <c r="J91" s="286"/>
      <c r="K91" s="287"/>
      <c r="L91" s="288"/>
      <c r="M91" s="289"/>
      <c r="N91" s="290"/>
      <c r="O91" s="274"/>
      <c r="P91" s="275"/>
      <c r="Q91" s="276"/>
      <c r="R91" s="277"/>
      <c r="S91" s="278"/>
      <c r="T91" s="279"/>
      <c r="U91" s="279"/>
      <c r="V91" s="279"/>
      <c r="W91" s="279"/>
      <c r="X91" s="279"/>
      <c r="Y91" s="279"/>
      <c r="Z91" s="279"/>
      <c r="AA91" s="279"/>
      <c r="AB91" s="279"/>
      <c r="AC91" s="279"/>
      <c r="AD91" s="279"/>
      <c r="AE91" s="279"/>
      <c r="AF91" s="279"/>
      <c r="AG91" s="280"/>
      <c r="AH91" s="281"/>
      <c r="AI91" s="282"/>
      <c r="AJ91" s="283"/>
    </row>
    <row r="92" spans="1:36" s="22" customFormat="1" x14ac:dyDescent="0.25">
      <c r="A92" s="28" t="str">
        <f>IF(H92&lt;&gt;"",MAX($A$7:A91)+1,"")</f>
        <v/>
      </c>
      <c r="B92" s="243" t="str">
        <f t="shared" si="32"/>
        <v/>
      </c>
      <c r="C92" s="273" t="str">
        <f t="shared" si="33"/>
        <v/>
      </c>
      <c r="D92" s="246"/>
      <c r="E92" s="284"/>
      <c r="F92" s="284"/>
      <c r="G92" s="248"/>
      <c r="H92" s="241"/>
      <c r="I92" s="285"/>
      <c r="J92" s="286"/>
      <c r="K92" s="287"/>
      <c r="L92" s="288"/>
      <c r="M92" s="289"/>
      <c r="N92" s="290"/>
      <c r="O92" s="274"/>
      <c r="P92" s="275"/>
      <c r="Q92" s="276"/>
      <c r="R92" s="277"/>
      <c r="S92" s="278"/>
      <c r="T92" s="279"/>
      <c r="U92" s="279"/>
      <c r="V92" s="279"/>
      <c r="W92" s="279"/>
      <c r="X92" s="279"/>
      <c r="Y92" s="279"/>
      <c r="Z92" s="279"/>
      <c r="AA92" s="279"/>
      <c r="AB92" s="279"/>
      <c r="AC92" s="279"/>
      <c r="AD92" s="279"/>
      <c r="AE92" s="279"/>
      <c r="AF92" s="279"/>
      <c r="AG92" s="280"/>
      <c r="AH92" s="281"/>
      <c r="AI92" s="282"/>
      <c r="AJ92" s="283"/>
    </row>
    <row r="93" spans="1:36" s="22" customFormat="1" x14ac:dyDescent="0.25">
      <c r="A93" s="28" t="str">
        <f>IF(H93&lt;&gt;"",MAX($A$7:A92)+1,"")</f>
        <v/>
      </c>
      <c r="B93" s="243" t="str">
        <f t="shared" si="32"/>
        <v/>
      </c>
      <c r="C93" s="273" t="str">
        <f t="shared" si="33"/>
        <v/>
      </c>
      <c r="D93" s="246"/>
      <c r="E93" s="284"/>
      <c r="F93" s="284"/>
      <c r="G93" s="248"/>
      <c r="H93" s="241"/>
      <c r="I93" s="285"/>
      <c r="J93" s="286"/>
      <c r="K93" s="287"/>
      <c r="L93" s="288"/>
      <c r="M93" s="289"/>
      <c r="N93" s="290"/>
      <c r="O93" s="274"/>
      <c r="P93" s="275"/>
      <c r="Q93" s="276"/>
      <c r="R93" s="277"/>
      <c r="S93" s="278"/>
      <c r="T93" s="279"/>
      <c r="U93" s="279"/>
      <c r="V93" s="279"/>
      <c r="W93" s="279"/>
      <c r="X93" s="279"/>
      <c r="Y93" s="279"/>
      <c r="Z93" s="279"/>
      <c r="AA93" s="279"/>
      <c r="AB93" s="279"/>
      <c r="AC93" s="279"/>
      <c r="AD93" s="279"/>
      <c r="AE93" s="279"/>
      <c r="AF93" s="279"/>
      <c r="AG93" s="280"/>
      <c r="AH93" s="281"/>
      <c r="AI93" s="282"/>
      <c r="AJ93" s="283"/>
    </row>
    <row r="94" spans="1:36" s="22" customFormat="1" x14ac:dyDescent="0.25">
      <c r="A94" s="28" t="str">
        <f>IF(H94&lt;&gt;"",MAX($A$7:A93)+1,"")</f>
        <v/>
      </c>
      <c r="B94" s="243" t="str">
        <f t="shared" si="32"/>
        <v/>
      </c>
      <c r="C94" s="273" t="str">
        <f t="shared" si="33"/>
        <v/>
      </c>
      <c r="D94" s="246"/>
      <c r="E94" s="284"/>
      <c r="F94" s="284"/>
      <c r="G94" s="248"/>
      <c r="H94" s="241"/>
      <c r="I94" s="285"/>
      <c r="J94" s="286"/>
      <c r="K94" s="287"/>
      <c r="L94" s="288"/>
      <c r="M94" s="289"/>
      <c r="N94" s="290"/>
      <c r="O94" s="274"/>
      <c r="P94" s="275"/>
      <c r="Q94" s="276"/>
      <c r="R94" s="277"/>
      <c r="S94" s="278"/>
      <c r="T94" s="279"/>
      <c r="U94" s="279"/>
      <c r="V94" s="279"/>
      <c r="W94" s="279"/>
      <c r="X94" s="279"/>
      <c r="Y94" s="279"/>
      <c r="Z94" s="279"/>
      <c r="AA94" s="279"/>
      <c r="AB94" s="279"/>
      <c r="AC94" s="279"/>
      <c r="AD94" s="279"/>
      <c r="AE94" s="279"/>
      <c r="AF94" s="279"/>
      <c r="AG94" s="280"/>
      <c r="AH94" s="281"/>
      <c r="AI94" s="282"/>
      <c r="AJ94" s="283"/>
    </row>
    <row r="95" spans="1:36" s="22" customFormat="1" x14ac:dyDescent="0.25">
      <c r="A95" s="28" t="str">
        <f>IF(H95&lt;&gt;"",MAX($A$7:A94)+1,"")</f>
        <v/>
      </c>
      <c r="B95" s="243" t="str">
        <f t="shared" si="32"/>
        <v/>
      </c>
      <c r="C95" s="273" t="str">
        <f t="shared" si="33"/>
        <v/>
      </c>
      <c r="D95" s="246"/>
      <c r="E95" s="284"/>
      <c r="F95" s="284"/>
      <c r="G95" s="248"/>
      <c r="H95" s="241"/>
      <c r="I95" s="285"/>
      <c r="J95" s="286"/>
      <c r="K95" s="287"/>
      <c r="L95" s="288"/>
      <c r="M95" s="289"/>
      <c r="N95" s="290"/>
      <c r="O95" s="274"/>
      <c r="P95" s="275"/>
      <c r="Q95" s="276"/>
      <c r="R95" s="277"/>
      <c r="S95" s="278"/>
      <c r="T95" s="279"/>
      <c r="U95" s="279"/>
      <c r="V95" s="279"/>
      <c r="W95" s="279"/>
      <c r="X95" s="279"/>
      <c r="Y95" s="279"/>
      <c r="Z95" s="279"/>
      <c r="AA95" s="279"/>
      <c r="AB95" s="279"/>
      <c r="AC95" s="279"/>
      <c r="AD95" s="279"/>
      <c r="AE95" s="279"/>
      <c r="AF95" s="279"/>
      <c r="AG95" s="280"/>
      <c r="AH95" s="281"/>
      <c r="AI95" s="282"/>
      <c r="AJ95" s="283"/>
    </row>
    <row r="96" spans="1:36" s="22" customFormat="1" x14ac:dyDescent="0.25">
      <c r="A96" s="28" t="str">
        <f>IF(H96&lt;&gt;"",MAX($A$7:A95)+1,"")</f>
        <v/>
      </c>
      <c r="B96" s="243" t="str">
        <f t="shared" si="32"/>
        <v/>
      </c>
      <c r="C96" s="273" t="str">
        <f t="shared" si="33"/>
        <v/>
      </c>
      <c r="D96" s="246"/>
      <c r="E96" s="284"/>
      <c r="F96" s="284"/>
      <c r="G96" s="248"/>
      <c r="H96" s="241"/>
      <c r="I96" s="285"/>
      <c r="J96" s="286"/>
      <c r="K96" s="287"/>
      <c r="L96" s="288"/>
      <c r="M96" s="289"/>
      <c r="N96" s="290"/>
      <c r="O96" s="274"/>
      <c r="P96" s="275"/>
      <c r="Q96" s="276"/>
      <c r="R96" s="277"/>
      <c r="S96" s="278"/>
      <c r="T96" s="279"/>
      <c r="U96" s="279"/>
      <c r="V96" s="279"/>
      <c r="W96" s="279"/>
      <c r="X96" s="279"/>
      <c r="Y96" s="279"/>
      <c r="Z96" s="279"/>
      <c r="AA96" s="279"/>
      <c r="AB96" s="279"/>
      <c r="AC96" s="279"/>
      <c r="AD96" s="279"/>
      <c r="AE96" s="279"/>
      <c r="AF96" s="279"/>
      <c r="AG96" s="280"/>
      <c r="AH96" s="281"/>
      <c r="AI96" s="282"/>
      <c r="AJ96" s="283"/>
    </row>
    <row r="97" spans="1:36" s="22" customFormat="1" x14ac:dyDescent="0.25">
      <c r="A97" s="28" t="str">
        <f>IF(H97&lt;&gt;"",MAX($A$7:A96)+1,"")</f>
        <v/>
      </c>
      <c r="B97" s="243" t="str">
        <f t="shared" si="32"/>
        <v/>
      </c>
      <c r="C97" s="273" t="str">
        <f t="shared" si="33"/>
        <v/>
      </c>
      <c r="D97" s="246"/>
      <c r="E97" s="284"/>
      <c r="F97" s="284"/>
      <c r="G97" s="248"/>
      <c r="H97" s="241"/>
      <c r="I97" s="285"/>
      <c r="J97" s="286"/>
      <c r="K97" s="287"/>
      <c r="L97" s="288"/>
      <c r="M97" s="289"/>
      <c r="N97" s="290"/>
      <c r="O97" s="274"/>
      <c r="P97" s="275"/>
      <c r="Q97" s="276"/>
      <c r="R97" s="277"/>
      <c r="S97" s="278"/>
      <c r="T97" s="279"/>
      <c r="U97" s="279"/>
      <c r="V97" s="279"/>
      <c r="W97" s="279"/>
      <c r="X97" s="279"/>
      <c r="Y97" s="279"/>
      <c r="Z97" s="279"/>
      <c r="AA97" s="279"/>
      <c r="AB97" s="279"/>
      <c r="AC97" s="279"/>
      <c r="AD97" s="279"/>
      <c r="AE97" s="279"/>
      <c r="AF97" s="279"/>
      <c r="AG97" s="280"/>
      <c r="AH97" s="281"/>
      <c r="AI97" s="282"/>
      <c r="AJ97" s="283"/>
    </row>
    <row r="98" spans="1:36" s="22" customFormat="1" x14ac:dyDescent="0.25">
      <c r="A98" s="28" t="str">
        <f>IF(H98&lt;&gt;"",MAX($A$7:A97)+1,"")</f>
        <v/>
      </c>
      <c r="B98" s="243" t="str">
        <f t="shared" si="32"/>
        <v/>
      </c>
      <c r="C98" s="273" t="str">
        <f t="shared" si="33"/>
        <v/>
      </c>
      <c r="D98" s="246"/>
      <c r="E98" s="284"/>
      <c r="F98" s="284"/>
      <c r="G98" s="248"/>
      <c r="H98" s="241"/>
      <c r="I98" s="285"/>
      <c r="J98" s="286"/>
      <c r="K98" s="287"/>
      <c r="L98" s="288"/>
      <c r="M98" s="289"/>
      <c r="N98" s="290"/>
      <c r="O98" s="274"/>
      <c r="P98" s="275"/>
      <c r="Q98" s="276"/>
      <c r="R98" s="277"/>
      <c r="S98" s="278"/>
      <c r="T98" s="279"/>
      <c r="U98" s="279"/>
      <c r="V98" s="279"/>
      <c r="W98" s="279"/>
      <c r="X98" s="279"/>
      <c r="Y98" s="279"/>
      <c r="Z98" s="279"/>
      <c r="AA98" s="279"/>
      <c r="AB98" s="279"/>
      <c r="AC98" s="279"/>
      <c r="AD98" s="279"/>
      <c r="AE98" s="279"/>
      <c r="AF98" s="279"/>
      <c r="AG98" s="280"/>
      <c r="AH98" s="281"/>
      <c r="AI98" s="282"/>
      <c r="AJ98" s="283"/>
    </row>
    <row r="99" spans="1:36" s="22" customFormat="1" x14ac:dyDescent="0.25">
      <c r="A99" s="28" t="str">
        <f>IF(H99&lt;&gt;"",MAX($A$7:A98)+1,"")</f>
        <v/>
      </c>
      <c r="B99" s="243" t="str">
        <f t="shared" si="32"/>
        <v/>
      </c>
      <c r="C99" s="273" t="str">
        <f t="shared" si="33"/>
        <v/>
      </c>
      <c r="D99" s="246"/>
      <c r="E99" s="284"/>
      <c r="F99" s="284"/>
      <c r="G99" s="248"/>
      <c r="H99" s="241"/>
      <c r="I99" s="285"/>
      <c r="J99" s="286"/>
      <c r="K99" s="287"/>
      <c r="L99" s="288"/>
      <c r="M99" s="289"/>
      <c r="N99" s="290"/>
      <c r="O99" s="274"/>
      <c r="P99" s="275"/>
      <c r="Q99" s="276"/>
      <c r="R99" s="277"/>
      <c r="S99" s="278"/>
      <c r="T99" s="279"/>
      <c r="U99" s="279"/>
      <c r="V99" s="279"/>
      <c r="W99" s="279"/>
      <c r="X99" s="279"/>
      <c r="Y99" s="279"/>
      <c r="Z99" s="279"/>
      <c r="AA99" s="279"/>
      <c r="AB99" s="279"/>
      <c r="AC99" s="279"/>
      <c r="AD99" s="279"/>
      <c r="AE99" s="279"/>
      <c r="AF99" s="279"/>
      <c r="AG99" s="280"/>
      <c r="AH99" s="281"/>
      <c r="AI99" s="282"/>
      <c r="AJ99" s="283"/>
    </row>
    <row r="100" spans="1:36" s="22" customFormat="1" x14ac:dyDescent="0.25">
      <c r="A100" s="28" t="str">
        <f>IF(H100&lt;&gt;"",MAX($A$7:A99)+1,"")</f>
        <v/>
      </c>
      <c r="B100" s="243" t="str">
        <f t="shared" si="32"/>
        <v/>
      </c>
      <c r="C100" s="273" t="str">
        <f t="shared" si="33"/>
        <v/>
      </c>
      <c r="D100" s="246"/>
      <c r="E100" s="284"/>
      <c r="F100" s="284"/>
      <c r="G100" s="248"/>
      <c r="H100" s="241"/>
      <c r="I100" s="285"/>
      <c r="J100" s="286"/>
      <c r="K100" s="287"/>
      <c r="L100" s="288"/>
      <c r="M100" s="289"/>
      <c r="N100" s="290"/>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row>
    <row r="101" spans="1:36" s="22" customFormat="1" x14ac:dyDescent="0.25">
      <c r="A101" s="28" t="str">
        <f>IF(H101&lt;&gt;"",MAX($A$7:A100)+1,"")</f>
        <v/>
      </c>
      <c r="B101" s="243" t="str">
        <f t="shared" si="32"/>
        <v/>
      </c>
      <c r="C101" s="273" t="str">
        <f t="shared" si="33"/>
        <v/>
      </c>
      <c r="D101" s="246"/>
      <c r="E101" s="284"/>
      <c r="F101" s="284"/>
      <c r="G101" s="248"/>
      <c r="H101" s="241"/>
      <c r="I101" s="285"/>
      <c r="J101" s="286"/>
      <c r="K101" s="287"/>
      <c r="L101" s="288"/>
      <c r="M101" s="289"/>
      <c r="N101" s="290"/>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row>
    <row r="102" spans="1:36" s="22" customFormat="1" x14ac:dyDescent="0.25">
      <c r="A102" s="28" t="str">
        <f>IF(H102&lt;&gt;"",MAX($A$7:A101)+1,"")</f>
        <v/>
      </c>
      <c r="B102" s="243" t="str">
        <f t="shared" si="32"/>
        <v/>
      </c>
      <c r="C102" s="273" t="str">
        <f t="shared" si="33"/>
        <v/>
      </c>
      <c r="D102" s="246"/>
      <c r="E102" s="284"/>
      <c r="F102" s="284"/>
      <c r="G102" s="248"/>
      <c r="H102" s="241"/>
      <c r="I102" s="285"/>
      <c r="J102" s="286"/>
      <c r="K102" s="287"/>
      <c r="L102" s="288"/>
      <c r="M102" s="289"/>
      <c r="N102" s="290"/>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row>
    <row r="103" spans="1:36" s="22" customFormat="1" x14ac:dyDescent="0.25">
      <c r="A103" s="28" t="str">
        <f>IF(H103&lt;&gt;"",MAX($A$7:A102)+1,"")</f>
        <v/>
      </c>
      <c r="B103" s="243" t="str">
        <f t="shared" si="32"/>
        <v/>
      </c>
      <c r="C103" s="273" t="str">
        <f t="shared" si="33"/>
        <v/>
      </c>
      <c r="D103" s="246"/>
      <c r="E103" s="284"/>
      <c r="F103" s="284"/>
      <c r="G103" s="248"/>
      <c r="H103" s="241"/>
      <c r="I103" s="285"/>
      <c r="J103" s="286"/>
      <c r="K103" s="287"/>
      <c r="L103" s="288"/>
      <c r="M103" s="289"/>
      <c r="N103" s="290"/>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row>
    <row r="104" spans="1:36" s="22" customFormat="1" x14ac:dyDescent="0.25">
      <c r="A104" s="28" t="str">
        <f>IF(H104&lt;&gt;"",MAX($A$7:A103)+1,"")</f>
        <v/>
      </c>
      <c r="B104" s="243" t="str">
        <f t="shared" si="32"/>
        <v/>
      </c>
      <c r="C104" s="273" t="str">
        <f t="shared" si="33"/>
        <v/>
      </c>
      <c r="D104" s="246"/>
      <c r="E104" s="284"/>
      <c r="F104" s="284"/>
      <c r="G104" s="248"/>
      <c r="H104" s="241"/>
      <c r="I104" s="285"/>
      <c r="J104" s="286"/>
      <c r="K104" s="287"/>
      <c r="L104" s="288"/>
      <c r="M104" s="289"/>
      <c r="N104" s="290"/>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row>
    <row r="105" spans="1:36" s="22" customFormat="1" x14ac:dyDescent="0.25">
      <c r="A105" s="28" t="str">
        <f>IF(H105&lt;&gt;"",MAX($A$7:A104)+1,"")</f>
        <v/>
      </c>
      <c r="B105" s="243" t="str">
        <f t="shared" si="32"/>
        <v/>
      </c>
      <c r="C105" s="273" t="str">
        <f t="shared" si="33"/>
        <v/>
      </c>
      <c r="D105" s="246"/>
      <c r="E105" s="284"/>
      <c r="F105" s="284"/>
      <c r="G105" s="248"/>
      <c r="H105" s="241"/>
      <c r="I105" s="285"/>
      <c r="J105" s="286"/>
      <c r="K105" s="287"/>
      <c r="L105" s="288"/>
      <c r="M105" s="289"/>
      <c r="N105" s="290"/>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row>
    <row r="106" spans="1:36" s="22" customFormat="1" x14ac:dyDescent="0.25">
      <c r="A106" s="28" t="str">
        <f>IF(H106&lt;&gt;"",MAX($A$7:A105)+1,"")</f>
        <v/>
      </c>
      <c r="B106" s="243" t="str">
        <f t="shared" si="32"/>
        <v/>
      </c>
      <c r="C106" s="273" t="str">
        <f t="shared" si="33"/>
        <v/>
      </c>
      <c r="D106" s="246"/>
      <c r="E106" s="284"/>
      <c r="F106" s="284"/>
      <c r="G106" s="248"/>
      <c r="H106" s="241"/>
      <c r="I106" s="285"/>
      <c r="J106" s="286"/>
      <c r="K106" s="287"/>
      <c r="L106" s="288"/>
      <c r="M106" s="289"/>
      <c r="N106" s="290"/>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row>
    <row r="107" spans="1:36" s="22" customFormat="1" x14ac:dyDescent="0.25">
      <c r="A107" s="28" t="str">
        <f>IF(H107&lt;&gt;"",MAX($A$7:A106)+1,"")</f>
        <v/>
      </c>
      <c r="B107" s="243" t="str">
        <f t="shared" si="32"/>
        <v/>
      </c>
      <c r="C107" s="273" t="str">
        <f t="shared" si="33"/>
        <v/>
      </c>
      <c r="D107" s="246"/>
      <c r="E107" s="284"/>
      <c r="F107" s="284"/>
      <c r="G107" s="248"/>
      <c r="H107" s="241"/>
      <c r="I107" s="285"/>
      <c r="J107" s="286"/>
      <c r="K107" s="287"/>
      <c r="L107" s="288"/>
      <c r="M107" s="289"/>
      <c r="N107" s="290"/>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row>
    <row r="108" spans="1:36" s="22" customFormat="1" x14ac:dyDescent="0.25">
      <c r="A108" s="28" t="str">
        <f>IF(H108&lt;&gt;"",MAX($A$7:A107)+1,"")</f>
        <v/>
      </c>
      <c r="B108" s="243" t="str">
        <f t="shared" si="32"/>
        <v/>
      </c>
      <c r="C108" s="273" t="str">
        <f t="shared" si="33"/>
        <v/>
      </c>
      <c r="D108" s="246"/>
      <c r="E108" s="284"/>
      <c r="F108" s="284"/>
      <c r="G108" s="248"/>
      <c r="H108" s="241"/>
      <c r="I108" s="285"/>
      <c r="J108" s="286"/>
      <c r="K108" s="287"/>
      <c r="L108" s="288"/>
      <c r="M108" s="289"/>
      <c r="N108" s="290"/>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row>
    <row r="109" spans="1:36" s="22" customFormat="1" x14ac:dyDescent="0.25">
      <c r="A109" s="28" t="str">
        <f>IF(H109&lt;&gt;"",MAX($A$7:A108)+1,"")</f>
        <v/>
      </c>
      <c r="B109" s="243" t="str">
        <f t="shared" si="32"/>
        <v/>
      </c>
      <c r="C109" s="273" t="str">
        <f t="shared" si="33"/>
        <v/>
      </c>
      <c r="D109" s="246"/>
      <c r="E109" s="284"/>
      <c r="F109" s="284"/>
      <c r="G109" s="248"/>
      <c r="H109" s="241"/>
      <c r="I109" s="285"/>
      <c r="J109" s="286"/>
      <c r="K109" s="287"/>
      <c r="L109" s="288"/>
      <c r="M109" s="289"/>
      <c r="N109" s="290"/>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row>
    <row r="110" spans="1:36" s="22" customFormat="1" x14ac:dyDescent="0.25">
      <c r="A110" s="28" t="str">
        <f>IF(H110&lt;&gt;"",MAX($A$7:A109)+1,"")</f>
        <v/>
      </c>
      <c r="B110" s="243" t="str">
        <f t="shared" si="32"/>
        <v/>
      </c>
      <c r="C110" s="273" t="str">
        <f t="shared" si="33"/>
        <v/>
      </c>
      <c r="D110" s="246"/>
      <c r="E110" s="284"/>
      <c r="F110" s="284"/>
      <c r="G110" s="248"/>
      <c r="H110" s="241"/>
      <c r="I110" s="285"/>
      <c r="J110" s="286"/>
      <c r="K110" s="287"/>
      <c r="L110" s="288"/>
      <c r="M110" s="289"/>
      <c r="N110" s="290"/>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row>
    <row r="111" spans="1:36" s="22" customFormat="1" x14ac:dyDescent="0.25">
      <c r="A111" s="28" t="str">
        <f>IF(H111&lt;&gt;"",MAX($A$7:A110)+1,"")</f>
        <v/>
      </c>
      <c r="B111" s="243" t="str">
        <f t="shared" si="32"/>
        <v/>
      </c>
      <c r="C111" s="273" t="str">
        <f t="shared" si="33"/>
        <v/>
      </c>
      <c r="D111" s="246"/>
      <c r="E111" s="284"/>
      <c r="F111" s="284"/>
      <c r="G111" s="248"/>
      <c r="H111" s="241"/>
      <c r="I111" s="285"/>
      <c r="J111" s="286"/>
      <c r="K111" s="287"/>
      <c r="L111" s="288"/>
      <c r="M111" s="289"/>
      <c r="N111" s="290"/>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row>
    <row r="112" spans="1:36" s="22" customFormat="1" x14ac:dyDescent="0.25">
      <c r="A112" s="28" t="str">
        <f>IF(H112&lt;&gt;"",MAX($A$7:A111)+1,"")</f>
        <v/>
      </c>
      <c r="B112" s="243" t="str">
        <f t="shared" si="32"/>
        <v/>
      </c>
      <c r="C112" s="273" t="str">
        <f t="shared" si="33"/>
        <v/>
      </c>
      <c r="D112" s="246"/>
      <c r="E112" s="284"/>
      <c r="F112" s="284"/>
      <c r="G112" s="248"/>
      <c r="H112" s="241"/>
      <c r="I112" s="285"/>
      <c r="J112" s="286"/>
      <c r="K112" s="287"/>
      <c r="L112" s="288"/>
      <c r="M112" s="289"/>
      <c r="N112" s="290"/>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row>
    <row r="113" spans="1:36" s="22" customFormat="1" x14ac:dyDescent="0.25">
      <c r="A113" s="28" t="str">
        <f>IF(H113&lt;&gt;"",MAX($A$7:A112)+1,"")</f>
        <v/>
      </c>
      <c r="B113" s="243" t="str">
        <f t="shared" si="32"/>
        <v/>
      </c>
      <c r="C113" s="273" t="str">
        <f t="shared" si="33"/>
        <v/>
      </c>
      <c r="D113" s="246"/>
      <c r="E113" s="284"/>
      <c r="F113" s="284"/>
      <c r="G113" s="248"/>
      <c r="H113" s="241"/>
      <c r="I113" s="285"/>
      <c r="J113" s="286"/>
      <c r="K113" s="287"/>
      <c r="L113" s="288"/>
      <c r="M113" s="289"/>
      <c r="N113" s="290"/>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row>
    <row r="114" spans="1:36" s="22" customFormat="1" x14ac:dyDescent="0.25">
      <c r="A114" s="28" t="str">
        <f>IF(H114&lt;&gt;"",MAX($A$7:A113)+1,"")</f>
        <v/>
      </c>
      <c r="B114" s="243" t="str">
        <f t="shared" si="32"/>
        <v/>
      </c>
      <c r="C114" s="273" t="str">
        <f t="shared" si="33"/>
        <v/>
      </c>
      <c r="D114" s="246"/>
      <c r="E114" s="284"/>
      <c r="F114" s="284"/>
      <c r="G114" s="248"/>
      <c r="H114" s="241"/>
      <c r="I114" s="285"/>
      <c r="J114" s="286"/>
      <c r="K114" s="287"/>
      <c r="L114" s="288"/>
      <c r="M114" s="289"/>
      <c r="N114" s="290"/>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row>
    <row r="115" spans="1:36" s="22" customFormat="1" x14ac:dyDescent="0.25">
      <c r="A115" s="28" t="str">
        <f>IF(H115&lt;&gt;"",MAX($A$7:A114)+1,"")</f>
        <v/>
      </c>
      <c r="B115" s="243" t="str">
        <f t="shared" si="32"/>
        <v/>
      </c>
      <c r="C115" s="273" t="str">
        <f t="shared" si="33"/>
        <v/>
      </c>
      <c r="D115" s="246"/>
      <c r="E115" s="284"/>
      <c r="F115" s="284"/>
      <c r="G115" s="248"/>
      <c r="H115" s="241"/>
      <c r="I115" s="285"/>
      <c r="J115" s="286"/>
      <c r="K115" s="287"/>
      <c r="L115" s="288"/>
      <c r="M115" s="289"/>
      <c r="N115" s="290"/>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row>
    <row r="116" spans="1:36" s="22" customFormat="1" x14ac:dyDescent="0.25">
      <c r="A116" s="28" t="str">
        <f>IF(H116&lt;&gt;"",MAX($A$7:A115)+1,"")</f>
        <v/>
      </c>
      <c r="B116" s="243" t="str">
        <f t="shared" si="32"/>
        <v/>
      </c>
      <c r="C116" s="273" t="str">
        <f t="shared" si="33"/>
        <v/>
      </c>
      <c r="D116" s="246"/>
      <c r="E116" s="284"/>
      <c r="F116" s="284"/>
      <c r="G116" s="248"/>
      <c r="H116" s="241"/>
      <c r="I116" s="285"/>
      <c r="J116" s="286"/>
      <c r="K116" s="287"/>
      <c r="L116" s="288"/>
      <c r="M116" s="289"/>
      <c r="N116" s="290"/>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row>
    <row r="117" spans="1:36" s="22" customFormat="1" x14ac:dyDescent="0.25">
      <c r="A117" s="28" t="str">
        <f>IF(H117&lt;&gt;"",MAX($A$7:A116)+1,"")</f>
        <v/>
      </c>
      <c r="B117" s="243" t="str">
        <f t="shared" si="32"/>
        <v/>
      </c>
      <c r="C117" s="273" t="str">
        <f t="shared" si="33"/>
        <v/>
      </c>
      <c r="D117" s="246"/>
      <c r="E117" s="284"/>
      <c r="F117" s="284"/>
      <c r="G117" s="248"/>
      <c r="H117" s="241"/>
      <c r="I117" s="285"/>
      <c r="J117" s="286"/>
      <c r="K117" s="287"/>
      <c r="L117" s="288"/>
      <c r="M117" s="289"/>
      <c r="N117" s="290"/>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row>
    <row r="118" spans="1:36" s="22" customFormat="1" x14ac:dyDescent="0.25">
      <c r="A118" s="28" t="str">
        <f>IF(H118&lt;&gt;"",MAX($A$7:A117)+1,"")</f>
        <v/>
      </c>
      <c r="B118" s="243" t="str">
        <f t="shared" si="32"/>
        <v/>
      </c>
      <c r="C118" s="273" t="str">
        <f t="shared" si="33"/>
        <v/>
      </c>
      <c r="D118" s="246"/>
      <c r="E118" s="284"/>
      <c r="F118" s="284"/>
      <c r="G118" s="248"/>
      <c r="H118" s="241"/>
      <c r="I118" s="285"/>
      <c r="J118" s="286"/>
      <c r="K118" s="287"/>
      <c r="L118" s="288"/>
      <c r="M118" s="289"/>
      <c r="N118" s="290"/>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row>
    <row r="119" spans="1:36" s="22" customFormat="1" x14ac:dyDescent="0.25">
      <c r="A119" s="28" t="str">
        <f>IF(H119&lt;&gt;"",MAX($A$7:A118)+1,"")</f>
        <v/>
      </c>
      <c r="B119" s="243" t="str">
        <f t="shared" si="32"/>
        <v/>
      </c>
      <c r="C119" s="273" t="str">
        <f t="shared" si="33"/>
        <v/>
      </c>
      <c r="D119" s="246"/>
      <c r="E119" s="284"/>
      <c r="F119" s="284"/>
      <c r="G119" s="248"/>
      <c r="H119" s="241"/>
      <c r="I119" s="285"/>
      <c r="J119" s="286"/>
      <c r="K119" s="287"/>
      <c r="L119" s="288"/>
      <c r="M119" s="289"/>
      <c r="N119" s="290"/>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row>
    <row r="120" spans="1:36" s="22" customFormat="1" x14ac:dyDescent="0.25">
      <c r="A120" s="28" t="str">
        <f>IF(H120&lt;&gt;"",MAX($A$7:A119)+1,"")</f>
        <v/>
      </c>
      <c r="B120" s="243" t="str">
        <f t="shared" si="32"/>
        <v/>
      </c>
      <c r="C120" s="273" t="str">
        <f t="shared" si="33"/>
        <v/>
      </c>
      <c r="D120" s="246"/>
      <c r="E120" s="284"/>
      <c r="F120" s="284"/>
      <c r="G120" s="248"/>
      <c r="H120" s="241"/>
      <c r="I120" s="285"/>
      <c r="J120" s="286"/>
      <c r="K120" s="287"/>
      <c r="L120" s="288"/>
      <c r="M120" s="289"/>
      <c r="N120" s="290"/>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row>
    <row r="121" spans="1:36" s="22" customFormat="1" x14ac:dyDescent="0.25">
      <c r="A121" s="28" t="str">
        <f>IF(H121&lt;&gt;"",MAX($A$7:A120)+1,"")</f>
        <v/>
      </c>
      <c r="B121" s="243" t="str">
        <f t="shared" si="32"/>
        <v/>
      </c>
      <c r="C121" s="273" t="str">
        <f t="shared" si="33"/>
        <v/>
      </c>
      <c r="D121" s="246"/>
      <c r="E121" s="284"/>
      <c r="F121" s="284"/>
      <c r="G121" s="248"/>
      <c r="H121" s="241"/>
      <c r="I121" s="285"/>
      <c r="J121" s="286"/>
      <c r="K121" s="287"/>
      <c r="L121" s="288"/>
      <c r="M121" s="289"/>
      <c r="N121" s="290"/>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row>
    <row r="122" spans="1:36" s="22" customFormat="1" x14ac:dyDescent="0.25">
      <c r="A122" s="28" t="str">
        <f>IF(H122&lt;&gt;"",MAX($A$7:A121)+1,"")</f>
        <v/>
      </c>
      <c r="B122" s="243" t="str">
        <f t="shared" si="32"/>
        <v/>
      </c>
      <c r="C122" s="273" t="str">
        <f t="shared" si="33"/>
        <v/>
      </c>
      <c r="D122" s="246"/>
      <c r="E122" s="284"/>
      <c r="F122" s="284"/>
      <c r="G122" s="248"/>
      <c r="H122" s="241"/>
      <c r="I122" s="285"/>
      <c r="J122" s="286"/>
      <c r="K122" s="287"/>
      <c r="L122" s="288"/>
      <c r="M122" s="289"/>
      <c r="N122" s="290"/>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row>
    <row r="123" spans="1:36" s="22" customFormat="1" x14ac:dyDescent="0.25">
      <c r="A123" s="28" t="str">
        <f>IF(H123&lt;&gt;"",MAX($A$7:A122)+1,"")</f>
        <v/>
      </c>
      <c r="B123" s="243" t="str">
        <f t="shared" si="32"/>
        <v/>
      </c>
      <c r="C123" s="273" t="str">
        <f t="shared" si="33"/>
        <v/>
      </c>
      <c r="D123" s="246"/>
      <c r="E123" s="284"/>
      <c r="F123" s="284"/>
      <c r="G123" s="248"/>
      <c r="H123" s="241"/>
      <c r="I123" s="285"/>
      <c r="J123" s="286"/>
      <c r="K123" s="287"/>
      <c r="L123" s="288"/>
      <c r="M123" s="289"/>
      <c r="N123" s="290"/>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row>
    <row r="124" spans="1:36" s="22" customFormat="1" x14ac:dyDescent="0.25">
      <c r="A124" s="28" t="str">
        <f>IF(H124&lt;&gt;"",MAX($A$7:A123)+1,"")</f>
        <v/>
      </c>
      <c r="B124" s="243" t="str">
        <f t="shared" si="32"/>
        <v/>
      </c>
      <c r="C124" s="273" t="str">
        <f t="shared" si="33"/>
        <v/>
      </c>
      <c r="D124" s="246"/>
      <c r="E124" s="284"/>
      <c r="F124" s="284"/>
      <c r="G124" s="248"/>
      <c r="H124" s="241"/>
      <c r="I124" s="285"/>
      <c r="J124" s="286"/>
      <c r="K124" s="287"/>
      <c r="L124" s="288"/>
      <c r="M124" s="289"/>
      <c r="N124" s="290"/>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row>
    <row r="125" spans="1:36" s="22" customFormat="1" x14ac:dyDescent="0.25">
      <c r="A125" s="28" t="str">
        <f>IF(H125&lt;&gt;"",MAX($A$7:A124)+1,"")</f>
        <v/>
      </c>
      <c r="B125" s="243" t="str">
        <f t="shared" si="32"/>
        <v/>
      </c>
      <c r="C125" s="273" t="str">
        <f t="shared" si="33"/>
        <v/>
      </c>
      <c r="D125" s="246"/>
      <c r="E125" s="284"/>
      <c r="F125" s="284"/>
      <c r="G125" s="248"/>
      <c r="H125" s="241"/>
      <c r="I125" s="285"/>
      <c r="J125" s="286"/>
      <c r="K125" s="287"/>
      <c r="L125" s="288"/>
      <c r="M125" s="289"/>
      <c r="N125" s="290"/>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row>
    <row r="126" spans="1:36" s="22" customFormat="1" x14ac:dyDescent="0.25">
      <c r="A126" s="28" t="str">
        <f>IF(H126&lt;&gt;"",MAX($A$7:A125)+1,"")</f>
        <v/>
      </c>
      <c r="B126" s="243" t="str">
        <f t="shared" si="32"/>
        <v/>
      </c>
      <c r="C126" s="273" t="str">
        <f t="shared" si="33"/>
        <v/>
      </c>
      <c r="D126" s="246"/>
      <c r="E126" s="284"/>
      <c r="F126" s="284"/>
      <c r="G126" s="248"/>
      <c r="H126" s="241"/>
      <c r="I126" s="285"/>
      <c r="J126" s="286"/>
      <c r="K126" s="287"/>
      <c r="L126" s="288"/>
      <c r="M126" s="289"/>
      <c r="N126" s="290"/>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row>
    <row r="127" spans="1:36" s="22" customFormat="1" x14ac:dyDescent="0.25">
      <c r="A127" s="28" t="str">
        <f>IF(H127&lt;&gt;"",MAX($A$7:A126)+1,"")</f>
        <v/>
      </c>
      <c r="B127" s="243" t="str">
        <f t="shared" si="32"/>
        <v/>
      </c>
      <c r="C127" s="273" t="str">
        <f t="shared" si="33"/>
        <v/>
      </c>
      <c r="D127" s="246"/>
      <c r="E127" s="284"/>
      <c r="F127" s="284"/>
      <c r="G127" s="248"/>
      <c r="H127" s="241"/>
      <c r="I127" s="285"/>
      <c r="J127" s="286"/>
      <c r="K127" s="287"/>
      <c r="L127" s="288"/>
      <c r="M127" s="289"/>
      <c r="N127" s="290"/>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row>
    <row r="128" spans="1:36" s="22" customFormat="1" x14ac:dyDescent="0.25">
      <c r="A128" s="28" t="str">
        <f>IF(H128&lt;&gt;"",MAX($A$7:A127)+1,"")</f>
        <v/>
      </c>
      <c r="B128" s="243" t="str">
        <f t="shared" si="32"/>
        <v/>
      </c>
      <c r="C128" s="273" t="str">
        <f t="shared" si="33"/>
        <v/>
      </c>
      <c r="D128" s="246"/>
      <c r="E128" s="284"/>
      <c r="F128" s="284"/>
      <c r="G128" s="248"/>
      <c r="H128" s="241"/>
      <c r="I128" s="285"/>
      <c r="J128" s="286"/>
      <c r="K128" s="287"/>
      <c r="L128" s="288"/>
      <c r="M128" s="289"/>
      <c r="N128" s="290"/>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row>
    <row r="129" spans="1:36" s="22" customFormat="1" x14ac:dyDescent="0.25">
      <c r="A129" s="28" t="str">
        <f>IF(H129&lt;&gt;"",MAX($A$7:A128)+1,"")</f>
        <v/>
      </c>
      <c r="B129" s="243" t="str">
        <f t="shared" si="32"/>
        <v/>
      </c>
      <c r="C129" s="273" t="str">
        <f t="shared" si="33"/>
        <v/>
      </c>
      <c r="D129" s="246"/>
      <c r="E129" s="284"/>
      <c r="F129" s="284"/>
      <c r="G129" s="248"/>
      <c r="H129" s="241"/>
      <c r="I129" s="285"/>
      <c r="J129" s="286"/>
      <c r="K129" s="287"/>
      <c r="L129" s="288"/>
      <c r="M129" s="289"/>
      <c r="N129" s="290"/>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row>
    <row r="130" spans="1:36" s="22" customFormat="1" x14ac:dyDescent="0.25">
      <c r="A130" s="28" t="str">
        <f>IF(H130&lt;&gt;"",MAX($A$7:A129)+1,"")</f>
        <v/>
      </c>
      <c r="B130" s="243" t="str">
        <f t="shared" si="32"/>
        <v/>
      </c>
      <c r="C130" s="273" t="str">
        <f t="shared" si="33"/>
        <v/>
      </c>
      <c r="D130" s="246"/>
      <c r="E130" s="284"/>
      <c r="F130" s="284"/>
      <c r="G130" s="248"/>
      <c r="H130" s="241"/>
      <c r="I130" s="285"/>
      <c r="J130" s="286"/>
      <c r="K130" s="287"/>
      <c r="L130" s="288"/>
      <c r="M130" s="289"/>
      <c r="N130" s="290"/>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row>
    <row r="131" spans="1:36" s="22" customFormat="1" x14ac:dyDescent="0.25">
      <c r="A131" s="28" t="str">
        <f>IF(H131&lt;&gt;"",MAX($A$7:A130)+1,"")</f>
        <v/>
      </c>
      <c r="B131" s="243" t="str">
        <f t="shared" si="32"/>
        <v/>
      </c>
      <c r="C131" s="273" t="str">
        <f t="shared" si="33"/>
        <v/>
      </c>
      <c r="D131" s="246"/>
      <c r="E131" s="284"/>
      <c r="F131" s="284"/>
      <c r="G131" s="248"/>
      <c r="H131" s="241"/>
      <c r="I131" s="285"/>
      <c r="J131" s="286"/>
      <c r="K131" s="287"/>
      <c r="L131" s="288"/>
      <c r="M131" s="289"/>
      <c r="N131" s="290"/>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row>
    <row r="132" spans="1:36" s="22" customFormat="1" x14ac:dyDescent="0.25">
      <c r="A132" s="28" t="str">
        <f>IF(H132&lt;&gt;"",MAX($A$7:A131)+1,"")</f>
        <v/>
      </c>
      <c r="B132" s="243" t="str">
        <f t="shared" si="32"/>
        <v/>
      </c>
      <c r="C132" s="273" t="str">
        <f t="shared" si="33"/>
        <v/>
      </c>
      <c r="D132" s="246"/>
      <c r="E132" s="284"/>
      <c r="F132" s="284"/>
      <c r="G132" s="248"/>
      <c r="H132" s="241"/>
      <c r="I132" s="285"/>
      <c r="J132" s="286"/>
      <c r="K132" s="287"/>
      <c r="L132" s="288"/>
      <c r="M132" s="289"/>
      <c r="N132" s="290"/>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row>
    <row r="133" spans="1:36" s="22" customFormat="1" x14ac:dyDescent="0.25">
      <c r="A133" s="28" t="str">
        <f>IF(H133&lt;&gt;"",MAX($A$7:A132)+1,"")</f>
        <v/>
      </c>
      <c r="B133" s="243" t="str">
        <f t="shared" si="32"/>
        <v/>
      </c>
      <c r="C133" s="273" t="str">
        <f t="shared" si="33"/>
        <v/>
      </c>
      <c r="D133" s="246"/>
      <c r="E133" s="284"/>
      <c r="F133" s="284"/>
      <c r="G133" s="248"/>
      <c r="H133" s="241"/>
      <c r="I133" s="285"/>
      <c r="J133" s="286"/>
      <c r="K133" s="287"/>
      <c r="L133" s="288"/>
      <c r="M133" s="289"/>
      <c r="N133" s="290"/>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row>
    <row r="134" spans="1:36" s="22" customFormat="1" x14ac:dyDescent="0.25">
      <c r="A134" s="28" t="str">
        <f>IF(H134&lt;&gt;"",MAX($A$7:A133)+1,"")</f>
        <v/>
      </c>
      <c r="B134" s="243" t="str">
        <f t="shared" si="32"/>
        <v/>
      </c>
      <c r="C134" s="273" t="str">
        <f t="shared" si="33"/>
        <v/>
      </c>
      <c r="D134" s="246"/>
      <c r="E134" s="284"/>
      <c r="F134" s="284"/>
      <c r="G134" s="248"/>
      <c r="H134" s="241"/>
      <c r="I134" s="285"/>
      <c r="J134" s="286"/>
      <c r="K134" s="287"/>
      <c r="L134" s="288"/>
      <c r="M134" s="289"/>
      <c r="N134" s="290"/>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row>
    <row r="135" spans="1:36" s="22" customFormat="1" x14ac:dyDescent="0.25">
      <c r="A135" s="28" t="str">
        <f>IF(H135&lt;&gt;"",MAX($A$7:A134)+1,"")</f>
        <v/>
      </c>
      <c r="B135" s="243" t="str">
        <f t="shared" ref="B135:B198" si="34">IF(A135="","",PREF_PREGUNTA&amp;" - "&amp;IF(MAX(A:A)&gt;99,IF(A135&lt;100,"0",""),"")&amp;IF(A135&lt;10,"0","")&amp;A135&amp;IF(G135&lt;&gt;""," "&amp;G135,""))</f>
        <v/>
      </c>
      <c r="C135" s="273" t="str">
        <f t="shared" ref="C135:C198" si="35">IF(COUNTA(I135:N135)-D135=0,"",COUNTA(I135:N135)-D135)</f>
        <v/>
      </c>
      <c r="D135" s="246"/>
      <c r="E135" s="284"/>
      <c r="F135" s="284"/>
      <c r="G135" s="248"/>
      <c r="H135" s="241"/>
      <c r="I135" s="285"/>
      <c r="J135" s="286"/>
      <c r="K135" s="287"/>
      <c r="L135" s="288"/>
      <c r="M135" s="289"/>
      <c r="N135" s="290"/>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row>
    <row r="136" spans="1:36" s="22" customFormat="1" x14ac:dyDescent="0.25">
      <c r="A136" s="28" t="str">
        <f>IF(H136&lt;&gt;"",MAX($A$7:A135)+1,"")</f>
        <v/>
      </c>
      <c r="B136" s="243" t="str">
        <f t="shared" si="34"/>
        <v/>
      </c>
      <c r="C136" s="273" t="str">
        <f t="shared" si="35"/>
        <v/>
      </c>
      <c r="D136" s="246"/>
      <c r="E136" s="284"/>
      <c r="F136" s="284"/>
      <c r="G136" s="248"/>
      <c r="H136" s="241"/>
      <c r="I136" s="285"/>
      <c r="J136" s="286"/>
      <c r="K136" s="287"/>
      <c r="L136" s="288"/>
      <c r="M136" s="289"/>
      <c r="N136" s="290"/>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row>
    <row r="137" spans="1:36" s="22" customFormat="1" x14ac:dyDescent="0.25">
      <c r="A137" s="28" t="str">
        <f>IF(H137&lt;&gt;"",MAX($A$7:A136)+1,"")</f>
        <v/>
      </c>
      <c r="B137" s="243" t="str">
        <f t="shared" si="34"/>
        <v/>
      </c>
      <c r="C137" s="273" t="str">
        <f t="shared" si="35"/>
        <v/>
      </c>
      <c r="D137" s="246"/>
      <c r="E137" s="284"/>
      <c r="F137" s="284"/>
      <c r="G137" s="248"/>
      <c r="H137" s="241"/>
      <c r="I137" s="285"/>
      <c r="J137" s="286"/>
      <c r="K137" s="287"/>
      <c r="L137" s="288"/>
      <c r="M137" s="289"/>
      <c r="N137" s="290"/>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row>
    <row r="138" spans="1:36" s="22" customFormat="1" x14ac:dyDescent="0.25">
      <c r="A138" s="28" t="str">
        <f>IF(H138&lt;&gt;"",MAX($A$7:A137)+1,"")</f>
        <v/>
      </c>
      <c r="B138" s="243" t="str">
        <f t="shared" si="34"/>
        <v/>
      </c>
      <c r="C138" s="273" t="str">
        <f t="shared" si="35"/>
        <v/>
      </c>
      <c r="D138" s="246"/>
      <c r="E138" s="284"/>
      <c r="F138" s="284"/>
      <c r="G138" s="248"/>
      <c r="H138" s="241"/>
      <c r="I138" s="285"/>
      <c r="J138" s="286"/>
      <c r="K138" s="287"/>
      <c r="L138" s="288"/>
      <c r="M138" s="289"/>
      <c r="N138" s="290"/>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row>
    <row r="139" spans="1:36" s="22" customFormat="1" x14ac:dyDescent="0.25">
      <c r="A139" s="28" t="str">
        <f>IF(H139&lt;&gt;"",MAX($A$7:A138)+1,"")</f>
        <v/>
      </c>
      <c r="B139" s="243" t="str">
        <f t="shared" si="34"/>
        <v/>
      </c>
      <c r="C139" s="273" t="str">
        <f t="shared" si="35"/>
        <v/>
      </c>
      <c r="D139" s="246"/>
      <c r="E139" s="284"/>
      <c r="F139" s="284"/>
      <c r="G139" s="248"/>
      <c r="H139" s="241"/>
      <c r="I139" s="285"/>
      <c r="J139" s="286"/>
      <c r="K139" s="287"/>
      <c r="L139" s="288"/>
      <c r="M139" s="289"/>
      <c r="N139" s="290"/>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row>
    <row r="140" spans="1:36" s="22" customFormat="1" x14ac:dyDescent="0.25">
      <c r="A140" s="28" t="str">
        <f>IF(H140&lt;&gt;"",MAX($A$7:A139)+1,"")</f>
        <v/>
      </c>
      <c r="B140" s="243" t="str">
        <f t="shared" si="34"/>
        <v/>
      </c>
      <c r="C140" s="273" t="str">
        <f t="shared" si="35"/>
        <v/>
      </c>
      <c r="D140" s="246"/>
      <c r="E140" s="284"/>
      <c r="F140" s="284"/>
      <c r="G140" s="248"/>
      <c r="H140" s="241"/>
      <c r="I140" s="285"/>
      <c r="J140" s="286"/>
      <c r="K140" s="287"/>
      <c r="L140" s="288"/>
      <c r="M140" s="289"/>
      <c r="N140" s="290"/>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row>
    <row r="141" spans="1:36" s="22" customFormat="1" x14ac:dyDescent="0.25">
      <c r="A141" s="28" t="str">
        <f>IF(H141&lt;&gt;"",MAX($A$7:A140)+1,"")</f>
        <v/>
      </c>
      <c r="B141" s="243" t="str">
        <f t="shared" si="34"/>
        <v/>
      </c>
      <c r="C141" s="273" t="str">
        <f t="shared" si="35"/>
        <v/>
      </c>
      <c r="D141" s="246"/>
      <c r="E141" s="284"/>
      <c r="F141" s="284"/>
      <c r="G141" s="248"/>
      <c r="H141" s="241"/>
      <c r="I141" s="285"/>
      <c r="J141" s="286"/>
      <c r="K141" s="287"/>
      <c r="L141" s="288"/>
      <c r="M141" s="289"/>
      <c r="N141" s="290"/>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row>
    <row r="142" spans="1:36" s="22" customFormat="1" x14ac:dyDescent="0.25">
      <c r="A142" s="28" t="str">
        <f>IF(H142&lt;&gt;"",MAX($A$7:A141)+1,"")</f>
        <v/>
      </c>
      <c r="B142" s="243" t="str">
        <f t="shared" si="34"/>
        <v/>
      </c>
      <c r="C142" s="273" t="str">
        <f t="shared" si="35"/>
        <v/>
      </c>
      <c r="D142" s="246"/>
      <c r="E142" s="284"/>
      <c r="F142" s="284"/>
      <c r="G142" s="248"/>
      <c r="H142" s="241"/>
      <c r="I142" s="285"/>
      <c r="J142" s="286"/>
      <c r="K142" s="287"/>
      <c r="L142" s="288"/>
      <c r="M142" s="289"/>
      <c r="N142" s="290"/>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row>
    <row r="143" spans="1:36" s="22" customFormat="1" x14ac:dyDescent="0.25">
      <c r="A143" s="28" t="str">
        <f>IF(H143&lt;&gt;"",MAX($A$7:A142)+1,"")</f>
        <v/>
      </c>
      <c r="B143" s="243" t="str">
        <f t="shared" si="34"/>
        <v/>
      </c>
      <c r="C143" s="273" t="str">
        <f t="shared" si="35"/>
        <v/>
      </c>
      <c r="D143" s="246"/>
      <c r="E143" s="284"/>
      <c r="F143" s="284"/>
      <c r="G143" s="248"/>
      <c r="H143" s="241"/>
      <c r="I143" s="285"/>
      <c r="J143" s="286"/>
      <c r="K143" s="287"/>
      <c r="L143" s="288"/>
      <c r="M143" s="289"/>
      <c r="N143" s="290"/>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row>
    <row r="144" spans="1:36" s="22" customFormat="1" x14ac:dyDescent="0.25">
      <c r="A144" s="28" t="str">
        <f>IF(H144&lt;&gt;"",MAX($A$7:A143)+1,"")</f>
        <v/>
      </c>
      <c r="B144" s="243" t="str">
        <f t="shared" si="34"/>
        <v/>
      </c>
      <c r="C144" s="273" t="str">
        <f t="shared" si="35"/>
        <v/>
      </c>
      <c r="D144" s="246"/>
      <c r="E144" s="284"/>
      <c r="F144" s="284"/>
      <c r="G144" s="248"/>
      <c r="H144" s="241"/>
      <c r="I144" s="285"/>
      <c r="J144" s="286"/>
      <c r="K144" s="287"/>
      <c r="L144" s="288"/>
      <c r="M144" s="289"/>
      <c r="N144" s="290"/>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row>
    <row r="145" spans="1:36" s="22" customFormat="1" x14ac:dyDescent="0.25">
      <c r="A145" s="28" t="str">
        <f>IF(H145&lt;&gt;"",MAX($A$7:A144)+1,"")</f>
        <v/>
      </c>
      <c r="B145" s="243" t="str">
        <f t="shared" si="34"/>
        <v/>
      </c>
      <c r="C145" s="273" t="str">
        <f t="shared" si="35"/>
        <v/>
      </c>
      <c r="D145" s="246"/>
      <c r="E145" s="284"/>
      <c r="F145" s="284"/>
      <c r="G145" s="248"/>
      <c r="H145" s="241"/>
      <c r="I145" s="285"/>
      <c r="J145" s="286"/>
      <c r="K145" s="287"/>
      <c r="L145" s="288"/>
      <c r="M145" s="289"/>
      <c r="N145" s="290"/>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row>
    <row r="146" spans="1:36" s="22" customFormat="1" x14ac:dyDescent="0.25">
      <c r="A146" s="28" t="str">
        <f>IF(H146&lt;&gt;"",MAX($A$7:A145)+1,"")</f>
        <v/>
      </c>
      <c r="B146" s="243" t="str">
        <f t="shared" si="34"/>
        <v/>
      </c>
      <c r="C146" s="273" t="str">
        <f t="shared" si="35"/>
        <v/>
      </c>
      <c r="D146" s="246"/>
      <c r="E146" s="284"/>
      <c r="F146" s="284"/>
      <c r="G146" s="248"/>
      <c r="H146" s="241"/>
      <c r="I146" s="285"/>
      <c r="J146" s="286"/>
      <c r="K146" s="287"/>
      <c r="L146" s="288"/>
      <c r="M146" s="289"/>
      <c r="N146" s="290"/>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row>
    <row r="147" spans="1:36" s="22" customFormat="1" x14ac:dyDescent="0.25">
      <c r="A147" s="28" t="str">
        <f>IF(H147&lt;&gt;"",MAX($A$7:A146)+1,"")</f>
        <v/>
      </c>
      <c r="B147" s="243" t="str">
        <f t="shared" si="34"/>
        <v/>
      </c>
      <c r="C147" s="273" t="str">
        <f t="shared" si="35"/>
        <v/>
      </c>
      <c r="D147" s="246"/>
      <c r="E147" s="284"/>
      <c r="F147" s="284"/>
      <c r="G147" s="248"/>
      <c r="H147" s="241"/>
      <c r="I147" s="285"/>
      <c r="J147" s="286"/>
      <c r="K147" s="287"/>
      <c r="L147" s="288"/>
      <c r="M147" s="289"/>
      <c r="N147" s="290"/>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row>
    <row r="148" spans="1:36" s="22" customFormat="1" x14ac:dyDescent="0.25">
      <c r="A148" s="28" t="str">
        <f>IF(H148&lt;&gt;"",MAX($A$7:A147)+1,"")</f>
        <v/>
      </c>
      <c r="B148" s="243" t="str">
        <f t="shared" si="34"/>
        <v/>
      </c>
      <c r="C148" s="273" t="str">
        <f t="shared" si="35"/>
        <v/>
      </c>
      <c r="D148" s="246"/>
      <c r="E148" s="284"/>
      <c r="F148" s="284"/>
      <c r="G148" s="248"/>
      <c r="H148" s="241"/>
      <c r="I148" s="285"/>
      <c r="J148" s="286"/>
      <c r="K148" s="287"/>
      <c r="L148" s="288"/>
      <c r="M148" s="289"/>
      <c r="N148" s="290"/>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row>
    <row r="149" spans="1:36" s="22" customFormat="1" x14ac:dyDescent="0.25">
      <c r="A149" s="28" t="str">
        <f>IF(H149&lt;&gt;"",MAX($A$7:A148)+1,"")</f>
        <v/>
      </c>
      <c r="B149" s="243" t="str">
        <f t="shared" si="34"/>
        <v/>
      </c>
      <c r="C149" s="273" t="str">
        <f t="shared" si="35"/>
        <v/>
      </c>
      <c r="D149" s="246"/>
      <c r="E149" s="284"/>
      <c r="F149" s="284"/>
      <c r="G149" s="248"/>
      <c r="H149" s="241"/>
      <c r="I149" s="285"/>
      <c r="J149" s="286"/>
      <c r="K149" s="287"/>
      <c r="L149" s="288"/>
      <c r="M149" s="289"/>
      <c r="N149" s="290"/>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row>
    <row r="150" spans="1:36" s="22" customFormat="1" x14ac:dyDescent="0.25">
      <c r="A150" s="28" t="str">
        <f>IF(H150&lt;&gt;"",MAX($A$7:A149)+1,"")</f>
        <v/>
      </c>
      <c r="B150" s="243" t="str">
        <f t="shared" si="34"/>
        <v/>
      </c>
      <c r="C150" s="273" t="str">
        <f t="shared" si="35"/>
        <v/>
      </c>
      <c r="D150" s="246"/>
      <c r="E150" s="284"/>
      <c r="F150" s="284"/>
      <c r="G150" s="248"/>
      <c r="H150" s="241"/>
      <c r="I150" s="285"/>
      <c r="J150" s="286"/>
      <c r="K150" s="287"/>
      <c r="L150" s="288"/>
      <c r="M150" s="289"/>
      <c r="N150" s="290"/>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row>
    <row r="151" spans="1:36" s="22" customFormat="1" x14ac:dyDescent="0.25">
      <c r="A151" s="28" t="str">
        <f>IF(H151&lt;&gt;"",MAX($A$7:A150)+1,"")</f>
        <v/>
      </c>
      <c r="B151" s="243" t="str">
        <f t="shared" si="34"/>
        <v/>
      </c>
      <c r="C151" s="273" t="str">
        <f t="shared" si="35"/>
        <v/>
      </c>
      <c r="D151" s="246"/>
      <c r="E151" s="284"/>
      <c r="F151" s="284"/>
      <c r="G151" s="248"/>
      <c r="H151" s="241"/>
      <c r="I151" s="285"/>
      <c r="J151" s="286"/>
      <c r="K151" s="287"/>
      <c r="L151" s="288"/>
      <c r="M151" s="289"/>
      <c r="N151" s="290"/>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row>
    <row r="152" spans="1:36" s="22" customFormat="1" x14ac:dyDescent="0.25">
      <c r="A152" s="28" t="str">
        <f>IF(H152&lt;&gt;"",MAX($A$7:A151)+1,"")</f>
        <v/>
      </c>
      <c r="B152" s="243" t="str">
        <f t="shared" si="34"/>
        <v/>
      </c>
      <c r="C152" s="273" t="str">
        <f t="shared" si="35"/>
        <v/>
      </c>
      <c r="D152" s="246"/>
      <c r="E152" s="284"/>
      <c r="F152" s="284"/>
      <c r="G152" s="248"/>
      <c r="H152" s="241"/>
      <c r="I152" s="285"/>
      <c r="J152" s="286"/>
      <c r="K152" s="287"/>
      <c r="L152" s="288"/>
      <c r="M152" s="289"/>
      <c r="N152" s="290"/>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row>
    <row r="153" spans="1:36" s="22" customFormat="1" x14ac:dyDescent="0.25">
      <c r="A153" s="28" t="str">
        <f>IF(H153&lt;&gt;"",MAX($A$7:A152)+1,"")</f>
        <v/>
      </c>
      <c r="B153" s="243" t="str">
        <f t="shared" si="34"/>
        <v/>
      </c>
      <c r="C153" s="273" t="str">
        <f t="shared" si="35"/>
        <v/>
      </c>
      <c r="D153" s="246"/>
      <c r="E153" s="284"/>
      <c r="F153" s="284"/>
      <c r="G153" s="248"/>
      <c r="H153" s="241"/>
      <c r="I153" s="285"/>
      <c r="J153" s="286"/>
      <c r="K153" s="287"/>
      <c r="L153" s="288"/>
      <c r="M153" s="289"/>
      <c r="N153" s="290"/>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row>
    <row r="154" spans="1:36" s="22" customFormat="1" x14ac:dyDescent="0.25">
      <c r="A154" s="28" t="str">
        <f>IF(H154&lt;&gt;"",MAX($A$7:A153)+1,"")</f>
        <v/>
      </c>
      <c r="B154" s="243" t="str">
        <f t="shared" si="34"/>
        <v/>
      </c>
      <c r="C154" s="273" t="str">
        <f t="shared" si="35"/>
        <v/>
      </c>
      <c r="D154" s="246"/>
      <c r="E154" s="284"/>
      <c r="F154" s="284"/>
      <c r="G154" s="248"/>
      <c r="H154" s="241"/>
      <c r="I154" s="285"/>
      <c r="J154" s="286"/>
      <c r="K154" s="287"/>
      <c r="L154" s="288"/>
      <c r="M154" s="289"/>
      <c r="N154" s="290"/>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row>
    <row r="155" spans="1:36" s="22" customFormat="1" x14ac:dyDescent="0.25">
      <c r="A155" s="28" t="str">
        <f>IF(H155&lt;&gt;"",MAX($A$7:A154)+1,"")</f>
        <v/>
      </c>
      <c r="B155" s="243" t="str">
        <f t="shared" si="34"/>
        <v/>
      </c>
      <c r="C155" s="273" t="str">
        <f t="shared" si="35"/>
        <v/>
      </c>
      <c r="D155" s="246"/>
      <c r="E155" s="284"/>
      <c r="F155" s="284"/>
      <c r="G155" s="248"/>
      <c r="H155" s="241"/>
      <c r="I155" s="285"/>
      <c r="J155" s="286"/>
      <c r="K155" s="287"/>
      <c r="L155" s="288"/>
      <c r="M155" s="289"/>
      <c r="N155" s="290"/>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row>
    <row r="156" spans="1:36" s="22" customFormat="1" x14ac:dyDescent="0.25">
      <c r="A156" s="28" t="str">
        <f>IF(H156&lt;&gt;"",MAX($A$7:A155)+1,"")</f>
        <v/>
      </c>
      <c r="B156" s="243" t="str">
        <f t="shared" si="34"/>
        <v/>
      </c>
      <c r="C156" s="273" t="str">
        <f t="shared" si="35"/>
        <v/>
      </c>
      <c r="D156" s="246"/>
      <c r="E156" s="284"/>
      <c r="F156" s="284"/>
      <c r="G156" s="248"/>
      <c r="H156" s="241"/>
      <c r="I156" s="285"/>
      <c r="J156" s="286"/>
      <c r="K156" s="287"/>
      <c r="L156" s="288"/>
      <c r="M156" s="289"/>
      <c r="N156" s="290"/>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row>
    <row r="157" spans="1:36" s="22" customFormat="1" x14ac:dyDescent="0.25">
      <c r="A157" s="28" t="str">
        <f>IF(H157&lt;&gt;"",MAX($A$7:A156)+1,"")</f>
        <v/>
      </c>
      <c r="B157" s="243" t="str">
        <f t="shared" si="34"/>
        <v/>
      </c>
      <c r="C157" s="273" t="str">
        <f t="shared" si="35"/>
        <v/>
      </c>
      <c r="D157" s="246"/>
      <c r="E157" s="284"/>
      <c r="F157" s="284"/>
      <c r="G157" s="248"/>
      <c r="H157" s="241"/>
      <c r="I157" s="285"/>
      <c r="J157" s="286"/>
      <c r="K157" s="287"/>
      <c r="L157" s="288"/>
      <c r="M157" s="289"/>
      <c r="N157" s="290"/>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row>
    <row r="158" spans="1:36" s="22" customFormat="1" x14ac:dyDescent="0.25">
      <c r="A158" s="28" t="str">
        <f>IF(H158&lt;&gt;"",MAX($A$7:A157)+1,"")</f>
        <v/>
      </c>
      <c r="B158" s="243" t="str">
        <f t="shared" si="34"/>
        <v/>
      </c>
      <c r="C158" s="273" t="str">
        <f t="shared" si="35"/>
        <v/>
      </c>
      <c r="D158" s="246"/>
      <c r="E158" s="284"/>
      <c r="F158" s="284"/>
      <c r="G158" s="248"/>
      <c r="H158" s="241"/>
      <c r="I158" s="285"/>
      <c r="J158" s="286"/>
      <c r="K158" s="287"/>
      <c r="L158" s="288"/>
      <c r="M158" s="289"/>
      <c r="N158" s="290"/>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row>
    <row r="159" spans="1:36" s="22" customFormat="1" x14ac:dyDescent="0.25">
      <c r="A159" s="28" t="str">
        <f>IF(H159&lt;&gt;"",MAX($A$7:A158)+1,"")</f>
        <v/>
      </c>
      <c r="B159" s="243" t="str">
        <f t="shared" si="34"/>
        <v/>
      </c>
      <c r="C159" s="273" t="str">
        <f t="shared" si="35"/>
        <v/>
      </c>
      <c r="D159" s="246"/>
      <c r="E159" s="284"/>
      <c r="F159" s="284"/>
      <c r="G159" s="248"/>
      <c r="H159" s="241"/>
      <c r="I159" s="285"/>
      <c r="J159" s="286"/>
      <c r="K159" s="287"/>
      <c r="L159" s="288"/>
      <c r="M159" s="289"/>
      <c r="N159" s="290"/>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row>
    <row r="160" spans="1:36" s="22" customFormat="1" x14ac:dyDescent="0.25">
      <c r="A160" s="28" t="str">
        <f>IF(H160&lt;&gt;"",MAX($A$7:A159)+1,"")</f>
        <v/>
      </c>
      <c r="B160" s="243" t="str">
        <f t="shared" si="34"/>
        <v/>
      </c>
      <c r="C160" s="273" t="str">
        <f t="shared" si="35"/>
        <v/>
      </c>
      <c r="D160" s="246"/>
      <c r="E160" s="284"/>
      <c r="F160" s="284"/>
      <c r="G160" s="248"/>
      <c r="H160" s="241"/>
      <c r="I160" s="285"/>
      <c r="J160" s="286"/>
      <c r="K160" s="287"/>
      <c r="L160" s="288"/>
      <c r="M160" s="289"/>
      <c r="N160" s="290"/>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row>
    <row r="161" spans="1:36" s="22" customFormat="1" x14ac:dyDescent="0.25">
      <c r="A161" s="28" t="str">
        <f>IF(H161&lt;&gt;"",MAX($A$7:A160)+1,"")</f>
        <v/>
      </c>
      <c r="B161" s="243" t="str">
        <f t="shared" si="34"/>
        <v/>
      </c>
      <c r="C161" s="273" t="str">
        <f t="shared" si="35"/>
        <v/>
      </c>
      <c r="D161" s="246"/>
      <c r="E161" s="284"/>
      <c r="F161" s="284"/>
      <c r="G161" s="248"/>
      <c r="H161" s="241"/>
      <c r="I161" s="285"/>
      <c r="J161" s="286"/>
      <c r="K161" s="287"/>
      <c r="L161" s="288"/>
      <c r="M161" s="289"/>
      <c r="N161" s="290"/>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row>
    <row r="162" spans="1:36" s="22" customFormat="1" x14ac:dyDescent="0.25">
      <c r="A162" s="28" t="str">
        <f>IF(H162&lt;&gt;"",MAX($A$7:A161)+1,"")</f>
        <v/>
      </c>
      <c r="B162" s="243" t="str">
        <f t="shared" si="34"/>
        <v/>
      </c>
      <c r="C162" s="273" t="str">
        <f t="shared" si="35"/>
        <v/>
      </c>
      <c r="D162" s="246"/>
      <c r="E162" s="284"/>
      <c r="F162" s="284"/>
      <c r="G162" s="248"/>
      <c r="H162" s="241"/>
      <c r="I162" s="285"/>
      <c r="J162" s="286"/>
      <c r="K162" s="287"/>
      <c r="L162" s="288"/>
      <c r="M162" s="289"/>
      <c r="N162" s="290"/>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row>
    <row r="163" spans="1:36" s="22" customFormat="1" x14ac:dyDescent="0.25">
      <c r="A163" s="28" t="str">
        <f>IF(H163&lt;&gt;"",MAX($A$7:A162)+1,"")</f>
        <v/>
      </c>
      <c r="B163" s="243" t="str">
        <f t="shared" si="34"/>
        <v/>
      </c>
      <c r="C163" s="273" t="str">
        <f t="shared" si="35"/>
        <v/>
      </c>
      <c r="D163" s="246"/>
      <c r="E163" s="284"/>
      <c r="F163" s="284"/>
      <c r="G163" s="248"/>
      <c r="H163" s="241"/>
      <c r="I163" s="285"/>
      <c r="J163" s="286"/>
      <c r="K163" s="287"/>
      <c r="L163" s="288"/>
      <c r="M163" s="289"/>
      <c r="N163" s="290"/>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row>
    <row r="164" spans="1:36" s="22" customFormat="1" x14ac:dyDescent="0.25">
      <c r="A164" s="28" t="str">
        <f>IF(H164&lt;&gt;"",MAX($A$7:A163)+1,"")</f>
        <v/>
      </c>
      <c r="B164" s="243" t="str">
        <f t="shared" si="34"/>
        <v/>
      </c>
      <c r="C164" s="273" t="str">
        <f t="shared" si="35"/>
        <v/>
      </c>
      <c r="D164" s="246"/>
      <c r="E164" s="284"/>
      <c r="F164" s="284"/>
      <c r="G164" s="248"/>
      <c r="H164" s="241"/>
      <c r="I164" s="285"/>
      <c r="J164" s="286"/>
      <c r="K164" s="287"/>
      <c r="L164" s="288"/>
      <c r="M164" s="289"/>
      <c r="N164" s="290"/>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row>
    <row r="165" spans="1:36" s="22" customFormat="1" x14ac:dyDescent="0.25">
      <c r="A165" s="28" t="str">
        <f>IF(H165&lt;&gt;"",MAX($A$7:A164)+1,"")</f>
        <v/>
      </c>
      <c r="B165" s="243" t="str">
        <f t="shared" si="34"/>
        <v/>
      </c>
      <c r="C165" s="273" t="str">
        <f t="shared" si="35"/>
        <v/>
      </c>
      <c r="D165" s="246"/>
      <c r="E165" s="284"/>
      <c r="F165" s="284"/>
      <c r="G165" s="248"/>
      <c r="H165" s="241"/>
      <c r="I165" s="285"/>
      <c r="J165" s="286"/>
      <c r="K165" s="287"/>
      <c r="L165" s="288"/>
      <c r="M165" s="289"/>
      <c r="N165" s="290"/>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row>
    <row r="166" spans="1:36" s="22" customFormat="1" x14ac:dyDescent="0.25">
      <c r="A166" s="28" t="str">
        <f>IF(H166&lt;&gt;"",MAX($A$7:A165)+1,"")</f>
        <v/>
      </c>
      <c r="B166" s="243" t="str">
        <f t="shared" si="34"/>
        <v/>
      </c>
      <c r="C166" s="273" t="str">
        <f t="shared" si="35"/>
        <v/>
      </c>
      <c r="D166" s="246"/>
      <c r="E166" s="284"/>
      <c r="F166" s="284"/>
      <c r="G166" s="248"/>
      <c r="H166" s="241"/>
      <c r="I166" s="285"/>
      <c r="J166" s="286"/>
      <c r="K166" s="287"/>
      <c r="L166" s="288"/>
      <c r="M166" s="289"/>
      <c r="N166" s="290"/>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row>
    <row r="167" spans="1:36" s="22" customFormat="1" x14ac:dyDescent="0.25">
      <c r="A167" s="28" t="str">
        <f>IF(H167&lt;&gt;"",MAX($A$7:A166)+1,"")</f>
        <v/>
      </c>
      <c r="B167" s="243" t="str">
        <f t="shared" si="34"/>
        <v/>
      </c>
      <c r="C167" s="273" t="str">
        <f t="shared" si="35"/>
        <v/>
      </c>
      <c r="D167" s="246"/>
      <c r="E167" s="284"/>
      <c r="F167" s="284"/>
      <c r="G167" s="248"/>
      <c r="H167" s="241"/>
      <c r="I167" s="285"/>
      <c r="J167" s="286"/>
      <c r="K167" s="287"/>
      <c r="L167" s="288"/>
      <c r="M167" s="289"/>
      <c r="N167" s="290"/>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row>
    <row r="168" spans="1:36" s="22" customFormat="1" x14ac:dyDescent="0.25">
      <c r="A168" s="28" t="str">
        <f>IF(H168&lt;&gt;"",MAX($A$7:A167)+1,"")</f>
        <v/>
      </c>
      <c r="B168" s="243" t="str">
        <f t="shared" si="34"/>
        <v/>
      </c>
      <c r="C168" s="273" t="str">
        <f t="shared" si="35"/>
        <v/>
      </c>
      <c r="D168" s="246"/>
      <c r="E168" s="284"/>
      <c r="F168" s="284"/>
      <c r="G168" s="248"/>
      <c r="H168" s="241"/>
      <c r="I168" s="285"/>
      <c r="J168" s="286"/>
      <c r="K168" s="287"/>
      <c r="L168" s="288"/>
      <c r="M168" s="289"/>
      <c r="N168" s="290"/>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row>
    <row r="169" spans="1:36" s="22" customFormat="1" x14ac:dyDescent="0.25">
      <c r="A169" s="28" t="str">
        <f>IF(H169&lt;&gt;"",MAX($A$7:A168)+1,"")</f>
        <v/>
      </c>
      <c r="B169" s="243" t="str">
        <f t="shared" si="34"/>
        <v/>
      </c>
      <c r="C169" s="273" t="str">
        <f t="shared" si="35"/>
        <v/>
      </c>
      <c r="D169" s="246"/>
      <c r="E169" s="284"/>
      <c r="F169" s="284"/>
      <c r="G169" s="248"/>
      <c r="H169" s="241"/>
      <c r="I169" s="285"/>
      <c r="J169" s="286"/>
      <c r="K169" s="287"/>
      <c r="L169" s="288"/>
      <c r="M169" s="289"/>
      <c r="N169" s="290"/>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row>
    <row r="170" spans="1:36" s="22" customFormat="1" x14ac:dyDescent="0.25">
      <c r="A170" s="28" t="str">
        <f>IF(H170&lt;&gt;"",MAX($A$7:A169)+1,"")</f>
        <v/>
      </c>
      <c r="B170" s="243" t="str">
        <f t="shared" si="34"/>
        <v/>
      </c>
      <c r="C170" s="273" t="str">
        <f t="shared" si="35"/>
        <v/>
      </c>
      <c r="D170" s="246"/>
      <c r="E170" s="284"/>
      <c r="F170" s="284"/>
      <c r="G170" s="248"/>
      <c r="H170" s="241"/>
      <c r="I170" s="285"/>
      <c r="J170" s="286"/>
      <c r="K170" s="287"/>
      <c r="L170" s="288"/>
      <c r="M170" s="289"/>
      <c r="N170" s="290"/>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row>
    <row r="171" spans="1:36" s="22" customFormat="1" x14ac:dyDescent="0.25">
      <c r="A171" s="28" t="str">
        <f>IF(H171&lt;&gt;"",MAX($A$7:A170)+1,"")</f>
        <v/>
      </c>
      <c r="B171" s="243" t="str">
        <f t="shared" si="34"/>
        <v/>
      </c>
      <c r="C171" s="273" t="str">
        <f t="shared" si="35"/>
        <v/>
      </c>
      <c r="D171" s="246"/>
      <c r="E171" s="284"/>
      <c r="F171" s="284"/>
      <c r="G171" s="248"/>
      <c r="H171" s="241"/>
      <c r="I171" s="285"/>
      <c r="J171" s="286"/>
      <c r="K171" s="287"/>
      <c r="L171" s="288"/>
      <c r="M171" s="289"/>
      <c r="N171" s="290"/>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row>
    <row r="172" spans="1:36" s="22" customFormat="1" x14ac:dyDescent="0.25">
      <c r="A172" s="28" t="str">
        <f>IF(H172&lt;&gt;"",MAX($A$7:A171)+1,"")</f>
        <v/>
      </c>
      <c r="B172" s="243" t="str">
        <f t="shared" si="34"/>
        <v/>
      </c>
      <c r="C172" s="273" t="str">
        <f t="shared" si="35"/>
        <v/>
      </c>
      <c r="D172" s="246"/>
      <c r="E172" s="284"/>
      <c r="F172" s="284"/>
      <c r="G172" s="248"/>
      <c r="H172" s="241"/>
      <c r="I172" s="285"/>
      <c r="J172" s="286"/>
      <c r="K172" s="287"/>
      <c r="L172" s="288"/>
      <c r="M172" s="289"/>
      <c r="N172" s="290"/>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row>
    <row r="173" spans="1:36" s="22" customFormat="1" x14ac:dyDescent="0.25">
      <c r="A173" s="28" t="str">
        <f>IF(H173&lt;&gt;"",MAX($A$7:A172)+1,"")</f>
        <v/>
      </c>
      <c r="B173" s="243" t="str">
        <f t="shared" si="34"/>
        <v/>
      </c>
      <c r="C173" s="273" t="str">
        <f t="shared" si="35"/>
        <v/>
      </c>
      <c r="D173" s="246"/>
      <c r="E173" s="284"/>
      <c r="F173" s="284"/>
      <c r="G173" s="248"/>
      <c r="H173" s="241"/>
      <c r="I173" s="285"/>
      <c r="J173" s="286"/>
      <c r="K173" s="287"/>
      <c r="L173" s="288"/>
      <c r="M173" s="289"/>
      <c r="N173" s="290"/>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row>
    <row r="174" spans="1:36" s="22" customFormat="1" x14ac:dyDescent="0.25">
      <c r="A174" s="28" t="str">
        <f>IF(H174&lt;&gt;"",MAX($A$7:A173)+1,"")</f>
        <v/>
      </c>
      <c r="B174" s="243" t="str">
        <f t="shared" si="34"/>
        <v/>
      </c>
      <c r="C174" s="273" t="str">
        <f t="shared" si="35"/>
        <v/>
      </c>
      <c r="D174" s="246"/>
      <c r="E174" s="284"/>
      <c r="F174" s="284"/>
      <c r="G174" s="248"/>
      <c r="H174" s="241"/>
      <c r="I174" s="285"/>
      <c r="J174" s="286"/>
      <c r="K174" s="287"/>
      <c r="L174" s="288"/>
      <c r="M174" s="289"/>
      <c r="N174" s="290"/>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row>
    <row r="175" spans="1:36" s="22" customFormat="1" x14ac:dyDescent="0.25">
      <c r="A175" s="28" t="str">
        <f>IF(H175&lt;&gt;"",MAX($A$7:A174)+1,"")</f>
        <v/>
      </c>
      <c r="B175" s="243" t="str">
        <f t="shared" si="34"/>
        <v/>
      </c>
      <c r="C175" s="273" t="str">
        <f t="shared" si="35"/>
        <v/>
      </c>
      <c r="D175" s="246"/>
      <c r="E175" s="284"/>
      <c r="F175" s="284"/>
      <c r="G175" s="248"/>
      <c r="H175" s="241"/>
      <c r="I175" s="285"/>
      <c r="J175" s="286"/>
      <c r="K175" s="287"/>
      <c r="L175" s="288"/>
      <c r="M175" s="289"/>
      <c r="N175" s="290"/>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row>
    <row r="176" spans="1:36" s="22" customFormat="1" x14ac:dyDescent="0.25">
      <c r="A176" s="28" t="str">
        <f>IF(H176&lt;&gt;"",MAX($A$7:A175)+1,"")</f>
        <v/>
      </c>
      <c r="B176" s="243" t="str">
        <f t="shared" si="34"/>
        <v/>
      </c>
      <c r="C176" s="273" t="str">
        <f t="shared" si="35"/>
        <v/>
      </c>
      <c r="D176" s="246"/>
      <c r="E176" s="284"/>
      <c r="F176" s="284"/>
      <c r="G176" s="248"/>
      <c r="H176" s="241"/>
      <c r="I176" s="285"/>
      <c r="J176" s="286"/>
      <c r="K176" s="287"/>
      <c r="L176" s="288"/>
      <c r="M176" s="289"/>
      <c r="N176" s="290"/>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row>
    <row r="177" spans="1:36" s="22" customFormat="1" x14ac:dyDescent="0.25">
      <c r="A177" s="28" t="str">
        <f>IF(H177&lt;&gt;"",MAX($A$7:A176)+1,"")</f>
        <v/>
      </c>
      <c r="B177" s="243" t="str">
        <f t="shared" si="34"/>
        <v/>
      </c>
      <c r="C177" s="273" t="str">
        <f t="shared" si="35"/>
        <v/>
      </c>
      <c r="D177" s="246"/>
      <c r="E177" s="284"/>
      <c r="F177" s="284"/>
      <c r="G177" s="248"/>
      <c r="H177" s="241"/>
      <c r="I177" s="285"/>
      <c r="J177" s="286"/>
      <c r="K177" s="287"/>
      <c r="L177" s="288"/>
      <c r="M177" s="289"/>
      <c r="N177" s="290"/>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row>
    <row r="178" spans="1:36" s="22" customFormat="1" x14ac:dyDescent="0.25">
      <c r="A178" s="28" t="str">
        <f>IF(H178&lt;&gt;"",MAX($A$7:A177)+1,"")</f>
        <v/>
      </c>
      <c r="B178" s="243" t="str">
        <f t="shared" si="34"/>
        <v/>
      </c>
      <c r="C178" s="273" t="str">
        <f t="shared" si="35"/>
        <v/>
      </c>
      <c r="D178" s="246"/>
      <c r="E178" s="284"/>
      <c r="F178" s="284"/>
      <c r="G178" s="248"/>
      <c r="H178" s="241"/>
      <c r="I178" s="285"/>
      <c r="J178" s="286"/>
      <c r="K178" s="287"/>
      <c r="L178" s="288"/>
      <c r="M178" s="289"/>
      <c r="N178" s="290"/>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row>
    <row r="179" spans="1:36" s="22" customFormat="1" x14ac:dyDescent="0.25">
      <c r="A179" s="28" t="str">
        <f>IF(H179&lt;&gt;"",MAX($A$7:A178)+1,"")</f>
        <v/>
      </c>
      <c r="B179" s="243" t="str">
        <f t="shared" si="34"/>
        <v/>
      </c>
      <c r="C179" s="273" t="str">
        <f t="shared" si="35"/>
        <v/>
      </c>
      <c r="D179" s="246"/>
      <c r="E179" s="284"/>
      <c r="F179" s="284"/>
      <c r="G179" s="248"/>
      <c r="H179" s="241"/>
      <c r="I179" s="285"/>
      <c r="J179" s="286"/>
      <c r="K179" s="287"/>
      <c r="L179" s="288"/>
      <c r="M179" s="289"/>
      <c r="N179" s="290"/>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row>
    <row r="180" spans="1:36" s="22" customFormat="1" x14ac:dyDescent="0.25">
      <c r="A180" s="28" t="str">
        <f>IF(H180&lt;&gt;"",MAX($A$7:A179)+1,"")</f>
        <v/>
      </c>
      <c r="B180" s="243" t="str">
        <f t="shared" si="34"/>
        <v/>
      </c>
      <c r="C180" s="273" t="str">
        <f t="shared" si="35"/>
        <v/>
      </c>
      <c r="D180" s="246"/>
      <c r="E180" s="284"/>
      <c r="F180" s="284"/>
      <c r="G180" s="248"/>
      <c r="H180" s="241"/>
      <c r="I180" s="285"/>
      <c r="J180" s="286"/>
      <c r="K180" s="287"/>
      <c r="L180" s="288"/>
      <c r="M180" s="289"/>
      <c r="N180" s="290"/>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row>
    <row r="181" spans="1:36" s="22" customFormat="1" x14ac:dyDescent="0.25">
      <c r="A181" s="28" t="str">
        <f>IF(H181&lt;&gt;"",MAX($A$7:A180)+1,"")</f>
        <v/>
      </c>
      <c r="B181" s="243" t="str">
        <f t="shared" si="34"/>
        <v/>
      </c>
      <c r="C181" s="273" t="str">
        <f t="shared" si="35"/>
        <v/>
      </c>
      <c r="D181" s="246"/>
      <c r="E181" s="284"/>
      <c r="F181" s="284"/>
      <c r="G181" s="248"/>
      <c r="H181" s="241"/>
      <c r="I181" s="285"/>
      <c r="J181" s="286"/>
      <c r="K181" s="287"/>
      <c r="L181" s="288"/>
      <c r="M181" s="289"/>
      <c r="N181" s="290"/>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row>
    <row r="182" spans="1:36" s="22" customFormat="1" x14ac:dyDescent="0.25">
      <c r="A182" s="28" t="str">
        <f>IF(H182&lt;&gt;"",MAX($A$7:A181)+1,"")</f>
        <v/>
      </c>
      <c r="B182" s="243" t="str">
        <f t="shared" si="34"/>
        <v/>
      </c>
      <c r="C182" s="273" t="str">
        <f t="shared" si="35"/>
        <v/>
      </c>
      <c r="D182" s="246"/>
      <c r="E182" s="284"/>
      <c r="F182" s="284"/>
      <c r="G182" s="248"/>
      <c r="H182" s="241"/>
      <c r="I182" s="285"/>
      <c r="J182" s="286"/>
      <c r="K182" s="287"/>
      <c r="L182" s="288"/>
      <c r="M182" s="289"/>
      <c r="N182" s="290"/>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row>
    <row r="183" spans="1:36" s="22" customFormat="1" x14ac:dyDescent="0.25">
      <c r="A183" s="28" t="str">
        <f>IF(H183&lt;&gt;"",MAX($A$7:A182)+1,"")</f>
        <v/>
      </c>
      <c r="B183" s="243" t="str">
        <f t="shared" si="34"/>
        <v/>
      </c>
      <c r="C183" s="273" t="str">
        <f t="shared" si="35"/>
        <v/>
      </c>
      <c r="D183" s="246"/>
      <c r="E183" s="284"/>
      <c r="F183" s="284"/>
      <c r="G183" s="248"/>
      <c r="H183" s="241"/>
      <c r="I183" s="285"/>
      <c r="J183" s="286"/>
      <c r="K183" s="287"/>
      <c r="L183" s="288"/>
      <c r="M183" s="289"/>
      <c r="N183" s="290"/>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row>
    <row r="184" spans="1:36" s="22" customFormat="1" x14ac:dyDescent="0.25">
      <c r="A184" s="28" t="str">
        <f>IF(H184&lt;&gt;"",MAX($A$7:A183)+1,"")</f>
        <v/>
      </c>
      <c r="B184" s="243" t="str">
        <f t="shared" si="34"/>
        <v/>
      </c>
      <c r="C184" s="273" t="str">
        <f t="shared" si="35"/>
        <v/>
      </c>
      <c r="D184" s="246"/>
      <c r="E184" s="284"/>
      <c r="F184" s="284"/>
      <c r="G184" s="248"/>
      <c r="H184" s="241"/>
      <c r="I184" s="285"/>
      <c r="J184" s="286"/>
      <c r="K184" s="287"/>
      <c r="L184" s="288"/>
      <c r="M184" s="289"/>
      <c r="N184" s="290"/>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row>
    <row r="185" spans="1:36" s="22" customFormat="1" x14ac:dyDescent="0.25">
      <c r="A185" s="28" t="str">
        <f>IF(H185&lt;&gt;"",MAX($A$7:A184)+1,"")</f>
        <v/>
      </c>
      <c r="B185" s="243" t="str">
        <f t="shared" si="34"/>
        <v/>
      </c>
      <c r="C185" s="273" t="str">
        <f t="shared" si="35"/>
        <v/>
      </c>
      <c r="D185" s="246"/>
      <c r="E185" s="284"/>
      <c r="F185" s="284"/>
      <c r="G185" s="248"/>
      <c r="H185" s="241"/>
      <c r="I185" s="285"/>
      <c r="J185" s="286"/>
      <c r="K185" s="287"/>
      <c r="L185" s="288"/>
      <c r="M185" s="289"/>
      <c r="N185" s="290"/>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row>
    <row r="186" spans="1:36" s="22" customFormat="1" x14ac:dyDescent="0.25">
      <c r="A186" s="28" t="str">
        <f>IF(H186&lt;&gt;"",MAX($A$7:A185)+1,"")</f>
        <v/>
      </c>
      <c r="B186" s="243" t="str">
        <f t="shared" si="34"/>
        <v/>
      </c>
      <c r="C186" s="273" t="str">
        <f t="shared" si="35"/>
        <v/>
      </c>
      <c r="D186" s="246"/>
      <c r="E186" s="284"/>
      <c r="F186" s="284"/>
      <c r="G186" s="248"/>
      <c r="H186" s="241"/>
      <c r="I186" s="285"/>
      <c r="J186" s="286"/>
      <c r="K186" s="287"/>
      <c r="L186" s="288"/>
      <c r="M186" s="289"/>
      <c r="N186" s="290"/>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row>
    <row r="187" spans="1:36" s="22" customFormat="1" x14ac:dyDescent="0.25">
      <c r="A187" s="28" t="str">
        <f>IF(H187&lt;&gt;"",MAX($A$7:A186)+1,"")</f>
        <v/>
      </c>
      <c r="B187" s="243" t="str">
        <f t="shared" si="34"/>
        <v/>
      </c>
      <c r="C187" s="273" t="str">
        <f t="shared" si="35"/>
        <v/>
      </c>
      <c r="D187" s="246"/>
      <c r="E187" s="284"/>
      <c r="F187" s="284"/>
      <c r="G187" s="248"/>
      <c r="H187" s="241"/>
      <c r="I187" s="285"/>
      <c r="J187" s="286"/>
      <c r="K187" s="287"/>
      <c r="L187" s="288"/>
      <c r="M187" s="289"/>
      <c r="N187" s="290"/>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row>
    <row r="188" spans="1:36" s="22" customFormat="1" x14ac:dyDescent="0.25">
      <c r="A188" s="28" t="str">
        <f>IF(H188&lt;&gt;"",MAX($A$7:A187)+1,"")</f>
        <v/>
      </c>
      <c r="B188" s="243" t="str">
        <f t="shared" si="34"/>
        <v/>
      </c>
      <c r="C188" s="273" t="str">
        <f t="shared" si="35"/>
        <v/>
      </c>
      <c r="D188" s="246"/>
      <c r="E188" s="284"/>
      <c r="F188" s="284"/>
      <c r="G188" s="248"/>
      <c r="H188" s="241"/>
      <c r="I188" s="285"/>
      <c r="J188" s="286"/>
      <c r="K188" s="287"/>
      <c r="L188" s="288"/>
      <c r="M188" s="289"/>
      <c r="N188" s="290"/>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row>
    <row r="189" spans="1:36" s="22" customFormat="1" x14ac:dyDescent="0.25">
      <c r="A189" s="28" t="str">
        <f>IF(H189&lt;&gt;"",MAX($A$7:A188)+1,"")</f>
        <v/>
      </c>
      <c r="B189" s="243" t="str">
        <f t="shared" si="34"/>
        <v/>
      </c>
      <c r="C189" s="273" t="str">
        <f t="shared" si="35"/>
        <v/>
      </c>
      <c r="D189" s="246"/>
      <c r="E189" s="284"/>
      <c r="F189" s="284"/>
      <c r="G189" s="248"/>
      <c r="H189" s="241"/>
      <c r="I189" s="285"/>
      <c r="J189" s="286"/>
      <c r="K189" s="287"/>
      <c r="L189" s="288"/>
      <c r="M189" s="289"/>
      <c r="N189" s="290"/>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row>
    <row r="190" spans="1:36" s="22" customFormat="1" x14ac:dyDescent="0.25">
      <c r="A190" s="28" t="str">
        <f>IF(H190&lt;&gt;"",MAX($A$7:A189)+1,"")</f>
        <v/>
      </c>
      <c r="B190" s="243" t="str">
        <f t="shared" si="34"/>
        <v/>
      </c>
      <c r="C190" s="273" t="str">
        <f t="shared" si="35"/>
        <v/>
      </c>
      <c r="D190" s="246"/>
      <c r="E190" s="284"/>
      <c r="F190" s="284"/>
      <c r="G190" s="248"/>
      <c r="H190" s="241"/>
      <c r="I190" s="285"/>
      <c r="J190" s="286"/>
      <c r="K190" s="287"/>
      <c r="L190" s="288"/>
      <c r="M190" s="289"/>
      <c r="N190" s="290"/>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row>
    <row r="191" spans="1:36" s="22" customFormat="1" x14ac:dyDescent="0.25">
      <c r="A191" s="28" t="str">
        <f>IF(H191&lt;&gt;"",MAX($A$7:A190)+1,"")</f>
        <v/>
      </c>
      <c r="B191" s="243" t="str">
        <f t="shared" si="34"/>
        <v/>
      </c>
      <c r="C191" s="273" t="str">
        <f t="shared" si="35"/>
        <v/>
      </c>
      <c r="D191" s="246"/>
      <c r="E191" s="284"/>
      <c r="F191" s="284"/>
      <c r="G191" s="248"/>
      <c r="H191" s="241"/>
      <c r="I191" s="285"/>
      <c r="J191" s="286"/>
      <c r="K191" s="287"/>
      <c r="L191" s="288"/>
      <c r="M191" s="289"/>
      <c r="N191" s="290"/>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row>
    <row r="192" spans="1:36" s="22" customFormat="1" x14ac:dyDescent="0.25">
      <c r="A192" s="28" t="str">
        <f>IF(H192&lt;&gt;"",MAX($A$7:A191)+1,"")</f>
        <v/>
      </c>
      <c r="B192" s="243" t="str">
        <f t="shared" si="34"/>
        <v/>
      </c>
      <c r="C192" s="273" t="str">
        <f t="shared" si="35"/>
        <v/>
      </c>
      <c r="D192" s="246"/>
      <c r="E192" s="284"/>
      <c r="F192" s="284"/>
      <c r="G192" s="248"/>
      <c r="H192" s="241"/>
      <c r="I192" s="285"/>
      <c r="J192" s="286"/>
      <c r="K192" s="287"/>
      <c r="L192" s="288"/>
      <c r="M192" s="289"/>
      <c r="N192" s="290"/>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row>
    <row r="193" spans="1:36" s="22" customFormat="1" x14ac:dyDescent="0.25">
      <c r="A193" s="28" t="str">
        <f>IF(H193&lt;&gt;"",MAX($A$7:A192)+1,"")</f>
        <v/>
      </c>
      <c r="B193" s="243" t="str">
        <f t="shared" si="34"/>
        <v/>
      </c>
      <c r="C193" s="273" t="str">
        <f t="shared" si="35"/>
        <v/>
      </c>
      <c r="D193" s="246"/>
      <c r="E193" s="284"/>
      <c r="F193" s="284"/>
      <c r="G193" s="248"/>
      <c r="H193" s="241"/>
      <c r="I193" s="285"/>
      <c r="J193" s="286"/>
      <c r="K193" s="287"/>
      <c r="L193" s="288"/>
      <c r="M193" s="289"/>
      <c r="N193" s="290"/>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row>
    <row r="194" spans="1:36" s="22" customFormat="1" x14ac:dyDescent="0.25">
      <c r="A194" s="28" t="str">
        <f>IF(H194&lt;&gt;"",MAX($A$7:A193)+1,"")</f>
        <v/>
      </c>
      <c r="B194" s="243" t="str">
        <f t="shared" si="34"/>
        <v/>
      </c>
      <c r="C194" s="273" t="str">
        <f t="shared" si="35"/>
        <v/>
      </c>
      <c r="D194" s="246"/>
      <c r="E194" s="284"/>
      <c r="F194" s="284"/>
      <c r="G194" s="248"/>
      <c r="H194" s="241"/>
      <c r="I194" s="285"/>
      <c r="J194" s="286"/>
      <c r="K194" s="287"/>
      <c r="L194" s="288"/>
      <c r="M194" s="289"/>
      <c r="N194" s="290"/>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row>
    <row r="195" spans="1:36" s="22" customFormat="1" x14ac:dyDescent="0.25">
      <c r="A195" s="28" t="str">
        <f>IF(H195&lt;&gt;"",MAX($A$7:A194)+1,"")</f>
        <v/>
      </c>
      <c r="B195" s="243" t="str">
        <f t="shared" si="34"/>
        <v/>
      </c>
      <c r="C195" s="273" t="str">
        <f t="shared" si="35"/>
        <v/>
      </c>
      <c r="D195" s="246"/>
      <c r="E195" s="284"/>
      <c r="F195" s="284"/>
      <c r="G195" s="248"/>
      <c r="H195" s="241"/>
      <c r="I195" s="285"/>
      <c r="J195" s="286"/>
      <c r="K195" s="287"/>
      <c r="L195" s="288"/>
      <c r="M195" s="289"/>
      <c r="N195" s="290"/>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row>
    <row r="196" spans="1:36" s="22" customFormat="1" x14ac:dyDescent="0.25">
      <c r="A196" s="28" t="str">
        <f>IF(H196&lt;&gt;"",MAX($A$7:A195)+1,"")</f>
        <v/>
      </c>
      <c r="B196" s="243" t="str">
        <f t="shared" si="34"/>
        <v/>
      </c>
      <c r="C196" s="273" t="str">
        <f t="shared" si="35"/>
        <v/>
      </c>
      <c r="D196" s="246"/>
      <c r="E196" s="284"/>
      <c r="F196" s="284"/>
      <c r="G196" s="248"/>
      <c r="H196" s="241"/>
      <c r="I196" s="285"/>
      <c r="J196" s="286"/>
      <c r="K196" s="287"/>
      <c r="L196" s="288"/>
      <c r="M196" s="289"/>
      <c r="N196" s="290"/>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row>
    <row r="197" spans="1:36" s="22" customFormat="1" x14ac:dyDescent="0.25">
      <c r="A197" s="28" t="str">
        <f>IF(H197&lt;&gt;"",MAX($A$7:A196)+1,"")</f>
        <v/>
      </c>
      <c r="B197" s="243" t="str">
        <f t="shared" si="34"/>
        <v/>
      </c>
      <c r="C197" s="273" t="str">
        <f t="shared" si="35"/>
        <v/>
      </c>
      <c r="D197" s="246"/>
      <c r="E197" s="284"/>
      <c r="F197" s="284"/>
      <c r="G197" s="248"/>
      <c r="H197" s="241"/>
      <c r="I197" s="285"/>
      <c r="J197" s="286"/>
      <c r="K197" s="287"/>
      <c r="L197" s="288"/>
      <c r="M197" s="289"/>
      <c r="N197" s="290"/>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row>
    <row r="198" spans="1:36" s="22" customFormat="1" x14ac:dyDescent="0.25">
      <c r="A198" s="28" t="str">
        <f>IF(H198&lt;&gt;"",MAX($A$7:A197)+1,"")</f>
        <v/>
      </c>
      <c r="B198" s="243" t="str">
        <f t="shared" si="34"/>
        <v/>
      </c>
      <c r="C198" s="273" t="str">
        <f t="shared" si="35"/>
        <v/>
      </c>
      <c r="D198" s="246"/>
      <c r="E198" s="284"/>
      <c r="F198" s="284"/>
      <c r="G198" s="248"/>
      <c r="H198" s="241"/>
      <c r="I198" s="285"/>
      <c r="J198" s="286"/>
      <c r="K198" s="287"/>
      <c r="L198" s="288"/>
      <c r="M198" s="289"/>
      <c r="N198" s="290"/>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row>
    <row r="199" spans="1:36" s="22" customFormat="1" x14ac:dyDescent="0.25">
      <c r="A199" s="28" t="str">
        <f>IF(H199&lt;&gt;"",MAX($A$7:A198)+1,"")</f>
        <v/>
      </c>
      <c r="B199" s="243" t="str">
        <f t="shared" ref="B199:B262" si="36">IF(A199="","",PREF_PREGUNTA&amp;" - "&amp;IF(MAX(A:A)&gt;99,IF(A199&lt;100,"0",""),"")&amp;IF(A199&lt;10,"0","")&amp;A199&amp;IF(G199&lt;&gt;""," "&amp;G199,""))</f>
        <v/>
      </c>
      <c r="C199" s="273" t="str">
        <f t="shared" ref="C199:C262" si="37">IF(COUNTA(I199:N199)-D199=0,"",COUNTA(I199:N199)-D199)</f>
        <v/>
      </c>
      <c r="D199" s="246"/>
      <c r="E199" s="284"/>
      <c r="F199" s="284"/>
      <c r="G199" s="248"/>
      <c r="H199" s="241"/>
      <c r="I199" s="285"/>
      <c r="J199" s="286"/>
      <c r="K199" s="287"/>
      <c r="L199" s="288"/>
      <c r="M199" s="289"/>
      <c r="N199" s="290"/>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row>
    <row r="200" spans="1:36" s="22" customFormat="1" x14ac:dyDescent="0.25">
      <c r="A200" s="28" t="str">
        <f>IF(H200&lt;&gt;"",MAX($A$7:A199)+1,"")</f>
        <v/>
      </c>
      <c r="B200" s="243" t="str">
        <f t="shared" si="36"/>
        <v/>
      </c>
      <c r="C200" s="273" t="str">
        <f t="shared" si="37"/>
        <v/>
      </c>
      <c r="D200" s="246"/>
      <c r="E200" s="284"/>
      <c r="F200" s="284"/>
      <c r="G200" s="248"/>
      <c r="H200" s="241"/>
      <c r="I200" s="285"/>
      <c r="J200" s="286"/>
      <c r="K200" s="287"/>
      <c r="L200" s="288"/>
      <c r="M200" s="289"/>
      <c r="N200" s="290"/>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row>
    <row r="201" spans="1:36" s="22" customFormat="1" x14ac:dyDescent="0.25">
      <c r="A201" s="28" t="str">
        <f>IF(H201&lt;&gt;"",MAX($A$7:A200)+1,"")</f>
        <v/>
      </c>
      <c r="B201" s="243" t="str">
        <f t="shared" si="36"/>
        <v/>
      </c>
      <c r="C201" s="273" t="str">
        <f t="shared" si="37"/>
        <v/>
      </c>
      <c r="D201" s="246"/>
      <c r="E201" s="284"/>
      <c r="F201" s="284"/>
      <c r="G201" s="248"/>
      <c r="H201" s="241"/>
      <c r="I201" s="285"/>
      <c r="J201" s="286"/>
      <c r="K201" s="287"/>
      <c r="L201" s="288"/>
      <c r="M201" s="289"/>
      <c r="N201" s="290"/>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row>
    <row r="202" spans="1:36" s="22" customFormat="1" x14ac:dyDescent="0.25">
      <c r="A202" s="28" t="str">
        <f>IF(H202&lt;&gt;"",MAX($A$7:A201)+1,"")</f>
        <v/>
      </c>
      <c r="B202" s="243" t="str">
        <f t="shared" si="36"/>
        <v/>
      </c>
      <c r="C202" s="273" t="str">
        <f t="shared" si="37"/>
        <v/>
      </c>
      <c r="D202" s="246"/>
      <c r="E202" s="284"/>
      <c r="F202" s="284"/>
      <c r="G202" s="248"/>
      <c r="H202" s="241"/>
      <c r="I202" s="285"/>
      <c r="J202" s="286"/>
      <c r="K202" s="287"/>
      <c r="L202" s="288"/>
      <c r="M202" s="289"/>
      <c r="N202" s="290"/>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row>
    <row r="203" spans="1:36" s="22" customFormat="1" x14ac:dyDescent="0.25">
      <c r="A203" s="28" t="str">
        <f>IF(H203&lt;&gt;"",MAX($A$7:A202)+1,"")</f>
        <v/>
      </c>
      <c r="B203" s="243" t="str">
        <f t="shared" si="36"/>
        <v/>
      </c>
      <c r="C203" s="273" t="str">
        <f t="shared" si="37"/>
        <v/>
      </c>
      <c r="D203" s="246"/>
      <c r="E203" s="284"/>
      <c r="F203" s="284"/>
      <c r="G203" s="248"/>
      <c r="H203" s="241"/>
      <c r="I203" s="285"/>
      <c r="J203" s="286"/>
      <c r="K203" s="287"/>
      <c r="L203" s="288"/>
      <c r="M203" s="289"/>
      <c r="N203" s="290"/>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row>
    <row r="204" spans="1:36" s="22" customFormat="1" x14ac:dyDescent="0.25">
      <c r="A204" s="28" t="str">
        <f>IF(H204&lt;&gt;"",MAX($A$7:A203)+1,"")</f>
        <v/>
      </c>
      <c r="B204" s="243" t="str">
        <f t="shared" si="36"/>
        <v/>
      </c>
      <c r="C204" s="273" t="str">
        <f t="shared" si="37"/>
        <v/>
      </c>
      <c r="D204" s="246"/>
      <c r="E204" s="284"/>
      <c r="F204" s="284"/>
      <c r="G204" s="248"/>
      <c r="H204" s="241"/>
      <c r="I204" s="285"/>
      <c r="J204" s="286"/>
      <c r="K204" s="287"/>
      <c r="L204" s="288"/>
      <c r="M204" s="289"/>
      <c r="N204" s="290"/>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row>
    <row r="205" spans="1:36" s="22" customFormat="1" x14ac:dyDescent="0.25">
      <c r="A205" s="28" t="str">
        <f>IF(H205&lt;&gt;"",MAX($A$7:A204)+1,"")</f>
        <v/>
      </c>
      <c r="B205" s="243" t="str">
        <f t="shared" si="36"/>
        <v/>
      </c>
      <c r="C205" s="273" t="str">
        <f t="shared" si="37"/>
        <v/>
      </c>
      <c r="D205" s="246"/>
      <c r="E205" s="284"/>
      <c r="F205" s="284"/>
      <c r="G205" s="248"/>
      <c r="H205" s="241"/>
      <c r="I205" s="285"/>
      <c r="J205" s="286"/>
      <c r="K205" s="287"/>
      <c r="L205" s="288"/>
      <c r="M205" s="289"/>
      <c r="N205" s="290"/>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row>
    <row r="206" spans="1:36" s="22" customFormat="1" x14ac:dyDescent="0.25">
      <c r="A206" s="28" t="str">
        <f>IF(H206&lt;&gt;"",MAX($A$7:A205)+1,"")</f>
        <v/>
      </c>
      <c r="B206" s="243" t="str">
        <f t="shared" si="36"/>
        <v/>
      </c>
      <c r="C206" s="273" t="str">
        <f t="shared" si="37"/>
        <v/>
      </c>
      <c r="D206" s="246"/>
      <c r="E206" s="284"/>
      <c r="F206" s="284"/>
      <c r="G206" s="248"/>
      <c r="H206" s="241"/>
      <c r="I206" s="285"/>
      <c r="J206" s="286"/>
      <c r="K206" s="287"/>
      <c r="L206" s="288"/>
      <c r="M206" s="289"/>
      <c r="N206" s="290"/>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row>
    <row r="207" spans="1:36" s="22" customFormat="1" x14ac:dyDescent="0.25">
      <c r="A207" s="28" t="str">
        <f>IF(H207&lt;&gt;"",MAX($A$7:A206)+1,"")</f>
        <v/>
      </c>
      <c r="B207" s="243" t="str">
        <f t="shared" si="36"/>
        <v/>
      </c>
      <c r="C207" s="273" t="str">
        <f t="shared" si="37"/>
        <v/>
      </c>
      <c r="D207" s="246"/>
      <c r="E207" s="284"/>
      <c r="F207" s="284"/>
      <c r="G207" s="248"/>
      <c r="H207" s="241"/>
      <c r="I207" s="285"/>
      <c r="J207" s="286"/>
      <c r="K207" s="287"/>
      <c r="L207" s="288"/>
      <c r="M207" s="289"/>
      <c r="N207" s="290"/>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row>
    <row r="208" spans="1:36" s="22" customFormat="1" x14ac:dyDescent="0.25">
      <c r="A208" s="28" t="str">
        <f>IF(H208&lt;&gt;"",MAX($A$7:A207)+1,"")</f>
        <v/>
      </c>
      <c r="B208" s="243" t="str">
        <f t="shared" si="36"/>
        <v/>
      </c>
      <c r="C208" s="273" t="str">
        <f t="shared" si="37"/>
        <v/>
      </c>
      <c r="D208" s="246"/>
      <c r="E208" s="284"/>
      <c r="F208" s="284"/>
      <c r="G208" s="248"/>
      <c r="H208" s="241"/>
      <c r="I208" s="285"/>
      <c r="J208" s="286"/>
      <c r="K208" s="287"/>
      <c r="L208" s="288"/>
      <c r="M208" s="289"/>
      <c r="N208" s="290"/>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row>
    <row r="209" spans="1:36" s="22" customFormat="1" x14ac:dyDescent="0.25">
      <c r="A209" s="28" t="str">
        <f>IF(H209&lt;&gt;"",MAX($A$7:A208)+1,"")</f>
        <v/>
      </c>
      <c r="B209" s="243" t="str">
        <f t="shared" si="36"/>
        <v/>
      </c>
      <c r="C209" s="273" t="str">
        <f t="shared" si="37"/>
        <v/>
      </c>
      <c r="D209" s="246"/>
      <c r="E209" s="284"/>
      <c r="F209" s="284"/>
      <c r="G209" s="248"/>
      <c r="H209" s="241"/>
      <c r="I209" s="285"/>
      <c r="J209" s="286"/>
      <c r="K209" s="287"/>
      <c r="L209" s="288"/>
      <c r="M209" s="289"/>
      <c r="N209" s="290"/>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row>
    <row r="210" spans="1:36" s="22" customFormat="1" x14ac:dyDescent="0.25">
      <c r="A210" s="28" t="str">
        <f>IF(H210&lt;&gt;"",MAX($A$7:A209)+1,"")</f>
        <v/>
      </c>
      <c r="B210" s="243" t="str">
        <f t="shared" si="36"/>
        <v/>
      </c>
      <c r="C210" s="273" t="str">
        <f t="shared" si="37"/>
        <v/>
      </c>
      <c r="D210" s="246"/>
      <c r="E210" s="284"/>
      <c r="F210" s="284"/>
      <c r="G210" s="248"/>
      <c r="H210" s="241"/>
      <c r="I210" s="285"/>
      <c r="J210" s="286"/>
      <c r="K210" s="287"/>
      <c r="L210" s="288"/>
      <c r="M210" s="289"/>
      <c r="N210" s="290"/>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row>
    <row r="211" spans="1:36" s="22" customFormat="1" x14ac:dyDescent="0.25">
      <c r="A211" s="28" t="str">
        <f>IF(H211&lt;&gt;"",MAX($A$7:A210)+1,"")</f>
        <v/>
      </c>
      <c r="B211" s="243" t="str">
        <f t="shared" si="36"/>
        <v/>
      </c>
      <c r="C211" s="273" t="str">
        <f t="shared" si="37"/>
        <v/>
      </c>
      <c r="D211" s="246"/>
      <c r="E211" s="284"/>
      <c r="F211" s="284"/>
      <c r="G211" s="248"/>
      <c r="H211" s="241"/>
      <c r="I211" s="285"/>
      <c r="J211" s="286"/>
      <c r="K211" s="287"/>
      <c r="L211" s="288"/>
      <c r="M211" s="289"/>
      <c r="N211" s="290"/>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row>
    <row r="212" spans="1:36" s="22" customFormat="1" x14ac:dyDescent="0.25">
      <c r="A212" s="28" t="str">
        <f>IF(H212&lt;&gt;"",MAX($A$7:A211)+1,"")</f>
        <v/>
      </c>
      <c r="B212" s="243" t="str">
        <f t="shared" si="36"/>
        <v/>
      </c>
      <c r="C212" s="273" t="str">
        <f t="shared" si="37"/>
        <v/>
      </c>
      <c r="D212" s="246"/>
      <c r="E212" s="284"/>
      <c r="F212" s="284"/>
      <c r="G212" s="248"/>
      <c r="H212" s="241"/>
      <c r="I212" s="285"/>
      <c r="J212" s="286"/>
      <c r="K212" s="287"/>
      <c r="L212" s="288"/>
      <c r="M212" s="289"/>
      <c r="N212" s="290"/>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row>
    <row r="213" spans="1:36" s="22" customFormat="1" x14ac:dyDescent="0.25">
      <c r="A213" s="28" t="str">
        <f>IF(H213&lt;&gt;"",MAX($A$7:A212)+1,"")</f>
        <v/>
      </c>
      <c r="B213" s="243" t="str">
        <f t="shared" si="36"/>
        <v/>
      </c>
      <c r="C213" s="273" t="str">
        <f t="shared" si="37"/>
        <v/>
      </c>
      <c r="D213" s="246"/>
      <c r="E213" s="284"/>
      <c r="F213" s="284"/>
      <c r="G213" s="248"/>
      <c r="H213" s="241"/>
      <c r="I213" s="285"/>
      <c r="J213" s="286"/>
      <c r="K213" s="287"/>
      <c r="L213" s="288"/>
      <c r="M213" s="289"/>
      <c r="N213" s="290"/>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row>
    <row r="214" spans="1:36" s="22" customFormat="1" x14ac:dyDescent="0.25">
      <c r="A214" s="28" t="str">
        <f>IF(H214&lt;&gt;"",MAX($A$7:A213)+1,"")</f>
        <v/>
      </c>
      <c r="B214" s="243" t="str">
        <f t="shared" si="36"/>
        <v/>
      </c>
      <c r="C214" s="273" t="str">
        <f t="shared" si="37"/>
        <v/>
      </c>
      <c r="D214" s="246"/>
      <c r="E214" s="284"/>
      <c r="F214" s="284"/>
      <c r="G214" s="248"/>
      <c r="H214" s="241"/>
      <c r="I214" s="285"/>
      <c r="J214" s="286"/>
      <c r="K214" s="287"/>
      <c r="L214" s="288"/>
      <c r="M214" s="289"/>
      <c r="N214" s="290"/>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row>
    <row r="215" spans="1:36" s="22" customFormat="1" x14ac:dyDescent="0.25">
      <c r="A215" s="28" t="str">
        <f>IF(H215&lt;&gt;"",MAX($A$7:A214)+1,"")</f>
        <v/>
      </c>
      <c r="B215" s="243" t="str">
        <f t="shared" si="36"/>
        <v/>
      </c>
      <c r="C215" s="273" t="str">
        <f t="shared" si="37"/>
        <v/>
      </c>
      <c r="D215" s="246"/>
      <c r="E215" s="284"/>
      <c r="F215" s="284"/>
      <c r="G215" s="248"/>
      <c r="H215" s="241"/>
      <c r="I215" s="285"/>
      <c r="J215" s="286"/>
      <c r="K215" s="287"/>
      <c r="L215" s="288"/>
      <c r="M215" s="289"/>
      <c r="N215" s="290"/>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row>
    <row r="216" spans="1:36" s="22" customFormat="1" x14ac:dyDescent="0.25">
      <c r="A216" s="28" t="str">
        <f>IF(H216&lt;&gt;"",MAX($A$7:A215)+1,"")</f>
        <v/>
      </c>
      <c r="B216" s="243" t="str">
        <f t="shared" si="36"/>
        <v/>
      </c>
      <c r="C216" s="273" t="str">
        <f t="shared" si="37"/>
        <v/>
      </c>
      <c r="D216" s="246"/>
      <c r="E216" s="284"/>
      <c r="F216" s="284"/>
      <c r="G216" s="248"/>
      <c r="H216" s="241"/>
      <c r="I216" s="285"/>
      <c r="J216" s="286"/>
      <c r="K216" s="287"/>
      <c r="L216" s="288"/>
      <c r="M216" s="289"/>
      <c r="N216" s="290"/>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row>
    <row r="217" spans="1:36" s="22" customFormat="1" x14ac:dyDescent="0.25">
      <c r="A217" s="28" t="str">
        <f>IF(H217&lt;&gt;"",MAX($A$7:A216)+1,"")</f>
        <v/>
      </c>
      <c r="B217" s="243" t="str">
        <f t="shared" si="36"/>
        <v/>
      </c>
      <c r="C217" s="273" t="str">
        <f t="shared" si="37"/>
        <v/>
      </c>
      <c r="D217" s="246"/>
      <c r="E217" s="284"/>
      <c r="F217" s="284"/>
      <c r="G217" s="248"/>
      <c r="H217" s="241"/>
      <c r="I217" s="285"/>
      <c r="J217" s="286"/>
      <c r="K217" s="287"/>
      <c r="L217" s="288"/>
      <c r="M217" s="289"/>
      <c r="N217" s="290"/>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row>
    <row r="218" spans="1:36" s="22" customFormat="1" x14ac:dyDescent="0.25">
      <c r="A218" s="28" t="str">
        <f>IF(H218&lt;&gt;"",MAX($A$7:A217)+1,"")</f>
        <v/>
      </c>
      <c r="B218" s="243" t="str">
        <f t="shared" si="36"/>
        <v/>
      </c>
      <c r="C218" s="273" t="str">
        <f t="shared" si="37"/>
        <v/>
      </c>
      <c r="D218" s="246"/>
      <c r="E218" s="284"/>
      <c r="F218" s="284"/>
      <c r="G218" s="248"/>
      <c r="H218" s="241"/>
      <c r="I218" s="285"/>
      <c r="J218" s="286"/>
      <c r="K218" s="287"/>
      <c r="L218" s="288"/>
      <c r="M218" s="289"/>
      <c r="N218" s="290"/>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row>
    <row r="219" spans="1:36" s="22" customFormat="1" x14ac:dyDescent="0.25">
      <c r="A219" s="28" t="str">
        <f>IF(H219&lt;&gt;"",MAX($A$7:A218)+1,"")</f>
        <v/>
      </c>
      <c r="B219" s="243" t="str">
        <f t="shared" si="36"/>
        <v/>
      </c>
      <c r="C219" s="273" t="str">
        <f t="shared" si="37"/>
        <v/>
      </c>
      <c r="D219" s="246"/>
      <c r="E219" s="284"/>
      <c r="F219" s="284"/>
      <c r="G219" s="248"/>
      <c r="H219" s="241"/>
      <c r="I219" s="285"/>
      <c r="J219" s="286"/>
      <c r="K219" s="287"/>
      <c r="L219" s="288"/>
      <c r="M219" s="289"/>
      <c r="N219" s="290"/>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row>
    <row r="220" spans="1:36" s="22" customFormat="1" x14ac:dyDescent="0.25">
      <c r="A220" s="28" t="str">
        <f>IF(H220&lt;&gt;"",MAX($A$7:A219)+1,"")</f>
        <v/>
      </c>
      <c r="B220" s="243" t="str">
        <f t="shared" si="36"/>
        <v/>
      </c>
      <c r="C220" s="273" t="str">
        <f t="shared" si="37"/>
        <v/>
      </c>
      <c r="D220" s="246"/>
      <c r="E220" s="284"/>
      <c r="F220" s="284"/>
      <c r="G220" s="248"/>
      <c r="H220" s="241"/>
      <c r="I220" s="285"/>
      <c r="J220" s="286"/>
      <c r="K220" s="287"/>
      <c r="L220" s="288"/>
      <c r="M220" s="289"/>
      <c r="N220" s="290"/>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row>
    <row r="221" spans="1:36" s="22" customFormat="1" x14ac:dyDescent="0.25">
      <c r="A221" s="28" t="str">
        <f>IF(H221&lt;&gt;"",MAX($A$7:A220)+1,"")</f>
        <v/>
      </c>
      <c r="B221" s="243" t="str">
        <f t="shared" si="36"/>
        <v/>
      </c>
      <c r="C221" s="273" t="str">
        <f t="shared" si="37"/>
        <v/>
      </c>
      <c r="D221" s="246"/>
      <c r="E221" s="284"/>
      <c r="F221" s="284"/>
      <c r="G221" s="248"/>
      <c r="H221" s="241"/>
      <c r="I221" s="285"/>
      <c r="J221" s="286"/>
      <c r="K221" s="287"/>
      <c r="L221" s="288"/>
      <c r="M221" s="289"/>
      <c r="N221" s="290"/>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row>
    <row r="222" spans="1:36" s="22" customFormat="1" x14ac:dyDescent="0.25">
      <c r="A222" s="28" t="str">
        <f>IF(H222&lt;&gt;"",MAX($A$7:A221)+1,"")</f>
        <v/>
      </c>
      <c r="B222" s="243" t="str">
        <f t="shared" si="36"/>
        <v/>
      </c>
      <c r="C222" s="273" t="str">
        <f t="shared" si="37"/>
        <v/>
      </c>
      <c r="D222" s="246"/>
      <c r="E222" s="284"/>
      <c r="F222" s="284"/>
      <c r="G222" s="248"/>
      <c r="H222" s="241"/>
      <c r="I222" s="285"/>
      <c r="J222" s="286"/>
      <c r="K222" s="287"/>
      <c r="L222" s="288"/>
      <c r="M222" s="289"/>
      <c r="N222" s="290"/>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row>
    <row r="223" spans="1:36" s="22" customFormat="1" x14ac:dyDescent="0.25">
      <c r="A223" s="28" t="str">
        <f>IF(H223&lt;&gt;"",MAX($A$7:A222)+1,"")</f>
        <v/>
      </c>
      <c r="B223" s="243" t="str">
        <f t="shared" si="36"/>
        <v/>
      </c>
      <c r="C223" s="273" t="str">
        <f t="shared" si="37"/>
        <v/>
      </c>
      <c r="D223" s="246"/>
      <c r="E223" s="284"/>
      <c r="F223" s="284"/>
      <c r="G223" s="248"/>
      <c r="H223" s="241"/>
      <c r="I223" s="285"/>
      <c r="J223" s="286"/>
      <c r="K223" s="287"/>
      <c r="L223" s="288"/>
      <c r="M223" s="289"/>
      <c r="N223" s="290"/>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row>
    <row r="224" spans="1:36" s="22" customFormat="1" x14ac:dyDescent="0.25">
      <c r="A224" s="28" t="str">
        <f>IF(H224&lt;&gt;"",MAX($A$7:A223)+1,"")</f>
        <v/>
      </c>
      <c r="B224" s="243" t="str">
        <f t="shared" si="36"/>
        <v/>
      </c>
      <c r="C224" s="273" t="str">
        <f t="shared" si="37"/>
        <v/>
      </c>
      <c r="D224" s="246"/>
      <c r="E224" s="284"/>
      <c r="F224" s="284"/>
      <c r="G224" s="248"/>
      <c r="H224" s="241"/>
      <c r="I224" s="285"/>
      <c r="J224" s="286"/>
      <c r="K224" s="287"/>
      <c r="L224" s="288"/>
      <c r="M224" s="289"/>
      <c r="N224" s="290"/>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row>
    <row r="225" spans="1:36" s="22" customFormat="1" x14ac:dyDescent="0.25">
      <c r="A225" s="28" t="str">
        <f>IF(H225&lt;&gt;"",MAX($A$7:A224)+1,"")</f>
        <v/>
      </c>
      <c r="B225" s="243" t="str">
        <f t="shared" si="36"/>
        <v/>
      </c>
      <c r="C225" s="273" t="str">
        <f t="shared" si="37"/>
        <v/>
      </c>
      <c r="D225" s="246"/>
      <c r="E225" s="284"/>
      <c r="F225" s="284"/>
      <c r="G225" s="248"/>
      <c r="H225" s="241"/>
      <c r="I225" s="285"/>
      <c r="J225" s="286"/>
      <c r="K225" s="287"/>
      <c r="L225" s="288"/>
      <c r="M225" s="289"/>
      <c r="N225" s="290"/>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row>
    <row r="226" spans="1:36" s="22" customFormat="1" x14ac:dyDescent="0.25">
      <c r="A226" s="28" t="str">
        <f>IF(H226&lt;&gt;"",MAX($A$7:A225)+1,"")</f>
        <v/>
      </c>
      <c r="B226" s="243" t="str">
        <f t="shared" si="36"/>
        <v/>
      </c>
      <c r="C226" s="273" t="str">
        <f t="shared" si="37"/>
        <v/>
      </c>
      <c r="D226" s="246"/>
      <c r="E226" s="284"/>
      <c r="F226" s="284"/>
      <c r="G226" s="248"/>
      <c r="H226" s="241"/>
      <c r="I226" s="285"/>
      <c r="J226" s="286"/>
      <c r="K226" s="287"/>
      <c r="L226" s="288"/>
      <c r="M226" s="289"/>
      <c r="N226" s="290"/>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row>
    <row r="227" spans="1:36" s="22" customFormat="1" x14ac:dyDescent="0.25">
      <c r="A227" s="28" t="str">
        <f>IF(H227&lt;&gt;"",MAX($A$7:A226)+1,"")</f>
        <v/>
      </c>
      <c r="B227" s="243" t="str">
        <f t="shared" si="36"/>
        <v/>
      </c>
      <c r="C227" s="273" t="str">
        <f t="shared" si="37"/>
        <v/>
      </c>
      <c r="D227" s="246"/>
      <c r="E227" s="284"/>
      <c r="F227" s="284"/>
      <c r="G227" s="248"/>
      <c r="H227" s="241"/>
      <c r="I227" s="285"/>
      <c r="J227" s="286"/>
      <c r="K227" s="287"/>
      <c r="L227" s="288"/>
      <c r="M227" s="289"/>
      <c r="N227" s="290"/>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row>
    <row r="228" spans="1:36" s="22" customFormat="1" x14ac:dyDescent="0.25">
      <c r="A228" s="28" t="str">
        <f>IF(H228&lt;&gt;"",MAX($A$7:A227)+1,"")</f>
        <v/>
      </c>
      <c r="B228" s="243" t="str">
        <f t="shared" si="36"/>
        <v/>
      </c>
      <c r="C228" s="273" t="str">
        <f t="shared" si="37"/>
        <v/>
      </c>
      <c r="D228" s="246"/>
      <c r="E228" s="284"/>
      <c r="F228" s="284"/>
      <c r="G228" s="248"/>
      <c r="H228" s="241"/>
      <c r="I228" s="285"/>
      <c r="J228" s="286"/>
      <c r="K228" s="287"/>
      <c r="L228" s="288"/>
      <c r="M228" s="289"/>
      <c r="N228" s="290"/>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row>
    <row r="229" spans="1:36" s="22" customFormat="1" x14ac:dyDescent="0.25">
      <c r="A229" s="28" t="str">
        <f>IF(H229&lt;&gt;"",MAX($A$7:A228)+1,"")</f>
        <v/>
      </c>
      <c r="B229" s="243" t="str">
        <f t="shared" si="36"/>
        <v/>
      </c>
      <c r="C229" s="273" t="str">
        <f t="shared" si="37"/>
        <v/>
      </c>
      <c r="D229" s="246"/>
      <c r="E229" s="284"/>
      <c r="F229" s="284"/>
      <c r="G229" s="248"/>
      <c r="H229" s="241"/>
      <c r="I229" s="285"/>
      <c r="J229" s="286"/>
      <c r="K229" s="287"/>
      <c r="L229" s="288"/>
      <c r="M229" s="289"/>
      <c r="N229" s="290"/>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row>
    <row r="230" spans="1:36" s="22" customFormat="1" x14ac:dyDescent="0.25">
      <c r="A230" s="28" t="str">
        <f>IF(H230&lt;&gt;"",MAX($A$7:A229)+1,"")</f>
        <v/>
      </c>
      <c r="B230" s="243" t="str">
        <f t="shared" si="36"/>
        <v/>
      </c>
      <c r="C230" s="273" t="str">
        <f t="shared" si="37"/>
        <v/>
      </c>
      <c r="D230" s="246"/>
      <c r="E230" s="284"/>
      <c r="F230" s="284"/>
      <c r="G230" s="248"/>
      <c r="H230" s="241"/>
      <c r="I230" s="285"/>
      <c r="J230" s="286"/>
      <c r="K230" s="287"/>
      <c r="L230" s="288"/>
      <c r="M230" s="289"/>
      <c r="N230" s="290"/>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row>
    <row r="231" spans="1:36" s="22" customFormat="1" x14ac:dyDescent="0.25">
      <c r="A231" s="28" t="str">
        <f>IF(H231&lt;&gt;"",MAX($A$7:A230)+1,"")</f>
        <v/>
      </c>
      <c r="B231" s="243" t="str">
        <f t="shared" si="36"/>
        <v/>
      </c>
      <c r="C231" s="273" t="str">
        <f t="shared" si="37"/>
        <v/>
      </c>
      <c r="D231" s="246"/>
      <c r="E231" s="284"/>
      <c r="F231" s="284"/>
      <c r="G231" s="248"/>
      <c r="H231" s="241"/>
      <c r="I231" s="285"/>
      <c r="J231" s="286"/>
      <c r="K231" s="287"/>
      <c r="L231" s="288"/>
      <c r="M231" s="289"/>
      <c r="N231" s="290"/>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row>
    <row r="232" spans="1:36" s="22" customFormat="1" x14ac:dyDescent="0.25">
      <c r="A232" s="28" t="str">
        <f>IF(H232&lt;&gt;"",MAX($A$7:A231)+1,"")</f>
        <v/>
      </c>
      <c r="B232" s="243" t="str">
        <f t="shared" si="36"/>
        <v/>
      </c>
      <c r="C232" s="273" t="str">
        <f t="shared" si="37"/>
        <v/>
      </c>
      <c r="D232" s="246"/>
      <c r="E232" s="284"/>
      <c r="F232" s="284"/>
      <c r="G232" s="248"/>
      <c r="H232" s="241"/>
      <c r="I232" s="285"/>
      <c r="J232" s="286"/>
      <c r="K232" s="287"/>
      <c r="L232" s="288"/>
      <c r="M232" s="289"/>
      <c r="N232" s="290"/>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row>
    <row r="233" spans="1:36" s="22" customFormat="1" x14ac:dyDescent="0.25">
      <c r="A233" s="28" t="str">
        <f>IF(H233&lt;&gt;"",MAX($A$7:A232)+1,"")</f>
        <v/>
      </c>
      <c r="B233" s="243" t="str">
        <f t="shared" si="36"/>
        <v/>
      </c>
      <c r="C233" s="273" t="str">
        <f t="shared" si="37"/>
        <v/>
      </c>
      <c r="D233" s="246"/>
      <c r="E233" s="284"/>
      <c r="F233" s="284"/>
      <c r="G233" s="248"/>
      <c r="H233" s="241"/>
      <c r="I233" s="285"/>
      <c r="J233" s="286"/>
      <c r="K233" s="287"/>
      <c r="L233" s="288"/>
      <c r="M233" s="289"/>
      <c r="N233" s="290"/>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row>
    <row r="234" spans="1:36" s="22" customFormat="1" x14ac:dyDescent="0.25">
      <c r="A234" s="28" t="str">
        <f>IF(H234&lt;&gt;"",MAX($A$7:A233)+1,"")</f>
        <v/>
      </c>
      <c r="B234" s="243" t="str">
        <f t="shared" si="36"/>
        <v/>
      </c>
      <c r="C234" s="273" t="str">
        <f t="shared" si="37"/>
        <v/>
      </c>
      <c r="D234" s="246"/>
      <c r="E234" s="284"/>
      <c r="F234" s="284"/>
      <c r="G234" s="248"/>
      <c r="H234" s="241"/>
      <c r="I234" s="285"/>
      <c r="J234" s="286"/>
      <c r="K234" s="287"/>
      <c r="L234" s="288"/>
      <c r="M234" s="289"/>
      <c r="N234" s="290"/>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row>
    <row r="235" spans="1:36" s="22" customFormat="1" x14ac:dyDescent="0.25">
      <c r="A235" s="28" t="str">
        <f>IF(H235&lt;&gt;"",MAX($A$7:A234)+1,"")</f>
        <v/>
      </c>
      <c r="B235" s="243" t="str">
        <f t="shared" si="36"/>
        <v/>
      </c>
      <c r="C235" s="273" t="str">
        <f t="shared" si="37"/>
        <v/>
      </c>
      <c r="D235" s="246"/>
      <c r="E235" s="284"/>
      <c r="F235" s="284"/>
      <c r="G235" s="248"/>
      <c r="H235" s="241"/>
      <c r="I235" s="285"/>
      <c r="J235" s="286"/>
      <c r="K235" s="287"/>
      <c r="L235" s="288"/>
      <c r="M235" s="289"/>
      <c r="N235" s="290"/>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row>
    <row r="236" spans="1:36" s="22" customFormat="1" x14ac:dyDescent="0.25">
      <c r="A236" s="28" t="str">
        <f>IF(H236&lt;&gt;"",MAX($A$7:A235)+1,"")</f>
        <v/>
      </c>
      <c r="B236" s="243" t="str">
        <f t="shared" si="36"/>
        <v/>
      </c>
      <c r="C236" s="273" t="str">
        <f t="shared" si="37"/>
        <v/>
      </c>
      <c r="D236" s="246"/>
      <c r="E236" s="284"/>
      <c r="F236" s="284"/>
      <c r="G236" s="248"/>
      <c r="H236" s="241"/>
      <c r="I236" s="285"/>
      <c r="J236" s="286"/>
      <c r="K236" s="287"/>
      <c r="L236" s="288"/>
      <c r="M236" s="289"/>
      <c r="N236" s="290"/>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row>
    <row r="237" spans="1:36" s="22" customFormat="1" x14ac:dyDescent="0.25">
      <c r="A237" s="28" t="str">
        <f>IF(H237&lt;&gt;"",MAX($A$7:A236)+1,"")</f>
        <v/>
      </c>
      <c r="B237" s="243" t="str">
        <f t="shared" si="36"/>
        <v/>
      </c>
      <c r="C237" s="273" t="str">
        <f t="shared" si="37"/>
        <v/>
      </c>
      <c r="D237" s="246"/>
      <c r="E237" s="284"/>
      <c r="F237" s="284"/>
      <c r="G237" s="248"/>
      <c r="H237" s="241"/>
      <c r="I237" s="285"/>
      <c r="J237" s="286"/>
      <c r="K237" s="287"/>
      <c r="L237" s="288"/>
      <c r="M237" s="289"/>
      <c r="N237" s="290"/>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row>
    <row r="238" spans="1:36" s="22" customFormat="1" x14ac:dyDescent="0.25">
      <c r="A238" s="28" t="str">
        <f>IF(H238&lt;&gt;"",MAX($A$7:A237)+1,"")</f>
        <v/>
      </c>
      <c r="B238" s="243" t="str">
        <f t="shared" si="36"/>
        <v/>
      </c>
      <c r="C238" s="273" t="str">
        <f t="shared" si="37"/>
        <v/>
      </c>
      <c r="D238" s="246"/>
      <c r="E238" s="284"/>
      <c r="F238" s="284"/>
      <c r="G238" s="248"/>
      <c r="H238" s="241"/>
      <c r="I238" s="285"/>
      <c r="J238" s="286"/>
      <c r="K238" s="287"/>
      <c r="L238" s="288"/>
      <c r="M238" s="289"/>
      <c r="N238" s="290"/>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row>
    <row r="239" spans="1:36" s="22" customFormat="1" x14ac:dyDescent="0.25">
      <c r="A239" s="28" t="str">
        <f>IF(H239&lt;&gt;"",MAX($A$7:A238)+1,"")</f>
        <v/>
      </c>
      <c r="B239" s="243" t="str">
        <f t="shared" si="36"/>
        <v/>
      </c>
      <c r="C239" s="273" t="str">
        <f t="shared" si="37"/>
        <v/>
      </c>
      <c r="D239" s="246"/>
      <c r="E239" s="284"/>
      <c r="F239" s="284"/>
      <c r="G239" s="248"/>
      <c r="H239" s="241"/>
      <c r="I239" s="285"/>
      <c r="J239" s="286"/>
      <c r="K239" s="287"/>
      <c r="L239" s="288"/>
      <c r="M239" s="289"/>
      <c r="N239" s="290"/>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row>
    <row r="240" spans="1:36" s="22" customFormat="1" x14ac:dyDescent="0.25">
      <c r="A240" s="28" t="str">
        <f>IF(H240&lt;&gt;"",MAX($A$7:A239)+1,"")</f>
        <v/>
      </c>
      <c r="B240" s="243" t="str">
        <f t="shared" si="36"/>
        <v/>
      </c>
      <c r="C240" s="273" t="str">
        <f t="shared" si="37"/>
        <v/>
      </c>
      <c r="D240" s="246"/>
      <c r="E240" s="284"/>
      <c r="F240" s="284"/>
      <c r="G240" s="248"/>
      <c r="H240" s="241"/>
      <c r="I240" s="285"/>
      <c r="J240" s="286"/>
      <c r="K240" s="287"/>
      <c r="L240" s="288"/>
      <c r="M240" s="289"/>
      <c r="N240" s="290"/>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row>
    <row r="241" spans="1:36" s="22" customFormat="1" x14ac:dyDescent="0.25">
      <c r="A241" s="28" t="str">
        <f>IF(H241&lt;&gt;"",MAX($A$7:A240)+1,"")</f>
        <v/>
      </c>
      <c r="B241" s="243" t="str">
        <f t="shared" si="36"/>
        <v/>
      </c>
      <c r="C241" s="273" t="str">
        <f t="shared" si="37"/>
        <v/>
      </c>
      <c r="D241" s="246"/>
      <c r="E241" s="284"/>
      <c r="F241" s="284"/>
      <c r="G241" s="248"/>
      <c r="H241" s="241"/>
      <c r="I241" s="285"/>
      <c r="J241" s="286"/>
      <c r="K241" s="287"/>
      <c r="L241" s="288"/>
      <c r="M241" s="289"/>
      <c r="N241" s="290"/>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row>
    <row r="242" spans="1:36" s="22" customFormat="1" x14ac:dyDescent="0.25">
      <c r="A242" s="28" t="str">
        <f>IF(H242&lt;&gt;"",MAX($A$7:A241)+1,"")</f>
        <v/>
      </c>
      <c r="B242" s="243" t="str">
        <f t="shared" si="36"/>
        <v/>
      </c>
      <c r="C242" s="273" t="str">
        <f t="shared" si="37"/>
        <v/>
      </c>
      <c r="D242" s="246"/>
      <c r="E242" s="284"/>
      <c r="F242" s="284"/>
      <c r="G242" s="248"/>
      <c r="H242" s="241"/>
      <c r="I242" s="285"/>
      <c r="J242" s="286"/>
      <c r="K242" s="287"/>
      <c r="L242" s="288"/>
      <c r="M242" s="289"/>
      <c r="N242" s="290"/>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row>
    <row r="243" spans="1:36" s="22" customFormat="1" x14ac:dyDescent="0.25">
      <c r="A243" s="28" t="str">
        <f>IF(H243&lt;&gt;"",MAX($A$7:A242)+1,"")</f>
        <v/>
      </c>
      <c r="B243" s="243" t="str">
        <f t="shared" si="36"/>
        <v/>
      </c>
      <c r="C243" s="273" t="str">
        <f t="shared" si="37"/>
        <v/>
      </c>
      <c r="D243" s="246"/>
      <c r="E243" s="284"/>
      <c r="F243" s="284"/>
      <c r="G243" s="248"/>
      <c r="H243" s="241"/>
      <c r="I243" s="285"/>
      <c r="J243" s="286"/>
      <c r="K243" s="287"/>
      <c r="L243" s="288"/>
      <c r="M243" s="289"/>
      <c r="N243" s="290"/>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row>
    <row r="244" spans="1:36" s="22" customFormat="1" x14ac:dyDescent="0.25">
      <c r="A244" s="28" t="str">
        <f>IF(H244&lt;&gt;"",MAX($A$7:A243)+1,"")</f>
        <v/>
      </c>
      <c r="B244" s="243" t="str">
        <f t="shared" si="36"/>
        <v/>
      </c>
      <c r="C244" s="273" t="str">
        <f t="shared" si="37"/>
        <v/>
      </c>
      <c r="D244" s="246"/>
      <c r="E244" s="284"/>
      <c r="F244" s="284"/>
      <c r="G244" s="248"/>
      <c r="H244" s="241"/>
      <c r="I244" s="285"/>
      <c r="J244" s="286"/>
      <c r="K244" s="287"/>
      <c r="L244" s="288"/>
      <c r="M244" s="289"/>
      <c r="N244" s="290"/>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row>
    <row r="245" spans="1:36" s="22" customFormat="1" x14ac:dyDescent="0.25">
      <c r="A245" s="28" t="str">
        <f>IF(H245&lt;&gt;"",MAX($A$7:A244)+1,"")</f>
        <v/>
      </c>
      <c r="B245" s="243" t="str">
        <f t="shared" si="36"/>
        <v/>
      </c>
      <c r="C245" s="273" t="str">
        <f t="shared" si="37"/>
        <v/>
      </c>
      <c r="D245" s="246"/>
      <c r="E245" s="284"/>
      <c r="F245" s="284"/>
      <c r="G245" s="248"/>
      <c r="H245" s="241"/>
      <c r="I245" s="285"/>
      <c r="J245" s="286"/>
      <c r="K245" s="287"/>
      <c r="L245" s="288"/>
      <c r="M245" s="289"/>
      <c r="N245" s="290"/>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row>
    <row r="246" spans="1:36" s="22" customFormat="1" x14ac:dyDescent="0.25">
      <c r="A246" s="28" t="str">
        <f>IF(H246&lt;&gt;"",MAX($A$7:A245)+1,"")</f>
        <v/>
      </c>
      <c r="B246" s="243" t="str">
        <f t="shared" si="36"/>
        <v/>
      </c>
      <c r="C246" s="273" t="str">
        <f t="shared" si="37"/>
        <v/>
      </c>
      <c r="D246" s="246"/>
      <c r="E246" s="284"/>
      <c r="F246" s="284"/>
      <c r="G246" s="248"/>
      <c r="H246" s="241"/>
      <c r="I246" s="285"/>
      <c r="J246" s="286"/>
      <c r="K246" s="287"/>
      <c r="L246" s="288"/>
      <c r="M246" s="289"/>
      <c r="N246" s="290"/>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row>
    <row r="247" spans="1:36" s="22" customFormat="1" x14ac:dyDescent="0.25">
      <c r="A247" s="28" t="str">
        <f>IF(H247&lt;&gt;"",MAX($A$7:A246)+1,"")</f>
        <v/>
      </c>
      <c r="B247" s="243" t="str">
        <f t="shared" si="36"/>
        <v/>
      </c>
      <c r="C247" s="273" t="str">
        <f t="shared" si="37"/>
        <v/>
      </c>
      <c r="D247" s="246"/>
      <c r="E247" s="284"/>
      <c r="F247" s="284"/>
      <c r="G247" s="248"/>
      <c r="H247" s="241"/>
      <c r="I247" s="285"/>
      <c r="J247" s="286"/>
      <c r="K247" s="287"/>
      <c r="L247" s="288"/>
      <c r="M247" s="289"/>
      <c r="N247" s="290"/>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row>
    <row r="248" spans="1:36" s="22" customFormat="1" x14ac:dyDescent="0.25">
      <c r="A248" s="28" t="str">
        <f>IF(H248&lt;&gt;"",MAX($A$7:A247)+1,"")</f>
        <v/>
      </c>
      <c r="B248" s="243" t="str">
        <f t="shared" si="36"/>
        <v/>
      </c>
      <c r="C248" s="273" t="str">
        <f t="shared" si="37"/>
        <v/>
      </c>
      <c r="D248" s="246"/>
      <c r="E248" s="284"/>
      <c r="F248" s="284"/>
      <c r="G248" s="248"/>
      <c r="H248" s="241"/>
      <c r="I248" s="285"/>
      <c r="J248" s="286"/>
      <c r="K248" s="287"/>
      <c r="L248" s="288"/>
      <c r="M248" s="289"/>
      <c r="N248" s="290"/>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row>
    <row r="249" spans="1:36" s="22" customFormat="1" x14ac:dyDescent="0.25">
      <c r="A249" s="28" t="str">
        <f>IF(H249&lt;&gt;"",MAX($A$7:A248)+1,"")</f>
        <v/>
      </c>
      <c r="B249" s="243" t="str">
        <f t="shared" si="36"/>
        <v/>
      </c>
      <c r="C249" s="273" t="str">
        <f t="shared" si="37"/>
        <v/>
      </c>
      <c r="D249" s="246"/>
      <c r="E249" s="284"/>
      <c r="F249" s="284"/>
      <c r="G249" s="248"/>
      <c r="H249" s="241"/>
      <c r="I249" s="285"/>
      <c r="J249" s="286"/>
      <c r="K249" s="287"/>
      <c r="L249" s="288"/>
      <c r="M249" s="289"/>
      <c r="N249" s="290"/>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row>
    <row r="250" spans="1:36" s="22" customFormat="1" x14ac:dyDescent="0.25">
      <c r="A250" s="28" t="str">
        <f>IF(H250&lt;&gt;"",MAX($A$7:A249)+1,"")</f>
        <v/>
      </c>
      <c r="B250" s="243" t="str">
        <f t="shared" si="36"/>
        <v/>
      </c>
      <c r="C250" s="273" t="str">
        <f t="shared" si="37"/>
        <v/>
      </c>
      <c r="D250" s="246"/>
      <c r="E250" s="284"/>
      <c r="F250" s="284"/>
      <c r="G250" s="248"/>
      <c r="H250" s="241"/>
      <c r="I250" s="285"/>
      <c r="J250" s="286"/>
      <c r="K250" s="287"/>
      <c r="L250" s="288"/>
      <c r="M250" s="289"/>
      <c r="N250" s="290"/>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row>
    <row r="251" spans="1:36" s="22" customFormat="1" x14ac:dyDescent="0.25">
      <c r="A251" s="28" t="str">
        <f>IF(H251&lt;&gt;"",MAX($A$7:A250)+1,"")</f>
        <v/>
      </c>
      <c r="B251" s="243" t="str">
        <f t="shared" si="36"/>
        <v/>
      </c>
      <c r="C251" s="273" t="str">
        <f t="shared" si="37"/>
        <v/>
      </c>
      <c r="D251" s="246"/>
      <c r="E251" s="284"/>
      <c r="F251" s="284"/>
      <c r="G251" s="248"/>
      <c r="H251" s="241"/>
      <c r="I251" s="285"/>
      <c r="J251" s="286"/>
      <c r="K251" s="287"/>
      <c r="L251" s="288"/>
      <c r="M251" s="289"/>
      <c r="N251" s="290"/>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row>
    <row r="252" spans="1:36" s="22" customFormat="1" x14ac:dyDescent="0.25">
      <c r="A252" s="28" t="str">
        <f>IF(H252&lt;&gt;"",MAX($A$7:A251)+1,"")</f>
        <v/>
      </c>
      <c r="B252" s="243" t="str">
        <f t="shared" si="36"/>
        <v/>
      </c>
      <c r="C252" s="273" t="str">
        <f t="shared" si="37"/>
        <v/>
      </c>
      <c r="D252" s="246"/>
      <c r="E252" s="284"/>
      <c r="F252" s="284"/>
      <c r="G252" s="248"/>
      <c r="H252" s="241"/>
      <c r="I252" s="285"/>
      <c r="J252" s="286"/>
      <c r="K252" s="287"/>
      <c r="L252" s="288"/>
      <c r="M252" s="289"/>
      <c r="N252" s="290"/>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row>
    <row r="253" spans="1:36" s="22" customFormat="1" x14ac:dyDescent="0.25">
      <c r="A253" s="28" t="str">
        <f>IF(H253&lt;&gt;"",MAX($A$7:A252)+1,"")</f>
        <v/>
      </c>
      <c r="B253" s="243" t="str">
        <f t="shared" si="36"/>
        <v/>
      </c>
      <c r="C253" s="273" t="str">
        <f t="shared" si="37"/>
        <v/>
      </c>
      <c r="D253" s="246"/>
      <c r="E253" s="284"/>
      <c r="F253" s="284"/>
      <c r="G253" s="248"/>
      <c r="H253" s="241"/>
      <c r="I253" s="285"/>
      <c r="J253" s="286"/>
      <c r="K253" s="287"/>
      <c r="L253" s="288"/>
      <c r="M253" s="289"/>
      <c r="N253" s="290"/>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row>
    <row r="254" spans="1:36" s="22" customFormat="1" x14ac:dyDescent="0.25">
      <c r="A254" s="28" t="str">
        <f>IF(H254&lt;&gt;"",MAX($A$7:A253)+1,"")</f>
        <v/>
      </c>
      <c r="B254" s="243" t="str">
        <f t="shared" si="36"/>
        <v/>
      </c>
      <c r="C254" s="273" t="str">
        <f t="shared" si="37"/>
        <v/>
      </c>
      <c r="D254" s="246"/>
      <c r="E254" s="284"/>
      <c r="F254" s="284"/>
      <c r="G254" s="248"/>
      <c r="H254" s="241"/>
      <c r="I254" s="285"/>
      <c r="J254" s="286"/>
      <c r="K254" s="287"/>
      <c r="L254" s="288"/>
      <c r="M254" s="289"/>
      <c r="N254" s="290"/>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row>
    <row r="255" spans="1:36" s="22" customFormat="1" x14ac:dyDescent="0.25">
      <c r="A255" s="28" t="str">
        <f>IF(H255&lt;&gt;"",MAX($A$7:A254)+1,"")</f>
        <v/>
      </c>
      <c r="B255" s="243" t="str">
        <f t="shared" si="36"/>
        <v/>
      </c>
      <c r="C255" s="273" t="str">
        <f t="shared" si="37"/>
        <v/>
      </c>
      <c r="D255" s="246"/>
      <c r="E255" s="284"/>
      <c r="F255" s="284"/>
      <c r="G255" s="248"/>
      <c r="H255" s="241"/>
      <c r="I255" s="285"/>
      <c r="J255" s="286"/>
      <c r="K255" s="287"/>
      <c r="L255" s="288"/>
      <c r="M255" s="289"/>
      <c r="N255" s="290"/>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row>
    <row r="256" spans="1:36" s="22" customFormat="1" x14ac:dyDescent="0.25">
      <c r="A256" s="28" t="str">
        <f>IF(H256&lt;&gt;"",MAX($A$7:A255)+1,"")</f>
        <v/>
      </c>
      <c r="B256" s="243" t="str">
        <f t="shared" si="36"/>
        <v/>
      </c>
      <c r="C256" s="273" t="str">
        <f t="shared" si="37"/>
        <v/>
      </c>
      <c r="D256" s="246"/>
      <c r="E256" s="284"/>
      <c r="F256" s="284"/>
      <c r="G256" s="248"/>
      <c r="H256" s="241"/>
      <c r="I256" s="285"/>
      <c r="J256" s="286"/>
      <c r="K256" s="287"/>
      <c r="L256" s="288"/>
      <c r="M256" s="289"/>
      <c r="N256" s="290"/>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row>
    <row r="257" spans="1:36" s="22" customFormat="1" x14ac:dyDescent="0.25">
      <c r="A257" s="28" t="str">
        <f>IF(H257&lt;&gt;"",MAX($A$7:A256)+1,"")</f>
        <v/>
      </c>
      <c r="B257" s="243" t="str">
        <f t="shared" si="36"/>
        <v/>
      </c>
      <c r="C257" s="273" t="str">
        <f t="shared" si="37"/>
        <v/>
      </c>
      <c r="D257" s="246"/>
      <c r="E257" s="284"/>
      <c r="F257" s="284"/>
      <c r="G257" s="248"/>
      <c r="H257" s="241"/>
      <c r="I257" s="285"/>
      <c r="J257" s="286"/>
      <c r="K257" s="287"/>
      <c r="L257" s="288"/>
      <c r="M257" s="289"/>
      <c r="N257" s="290"/>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row>
    <row r="258" spans="1:36" s="22" customFormat="1" x14ac:dyDescent="0.25">
      <c r="A258" s="28" t="str">
        <f>IF(H258&lt;&gt;"",MAX($A$7:A257)+1,"")</f>
        <v/>
      </c>
      <c r="B258" s="243" t="str">
        <f t="shared" si="36"/>
        <v/>
      </c>
      <c r="C258" s="273" t="str">
        <f t="shared" si="37"/>
        <v/>
      </c>
      <c r="D258" s="246"/>
      <c r="E258" s="284"/>
      <c r="F258" s="284"/>
      <c r="G258" s="248"/>
      <c r="H258" s="241"/>
      <c r="I258" s="285"/>
      <c r="J258" s="286"/>
      <c r="K258" s="287"/>
      <c r="L258" s="288"/>
      <c r="M258" s="289"/>
      <c r="N258" s="290"/>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row>
    <row r="259" spans="1:36" s="22" customFormat="1" x14ac:dyDescent="0.25">
      <c r="A259" s="28" t="str">
        <f>IF(H259&lt;&gt;"",MAX($A$7:A258)+1,"")</f>
        <v/>
      </c>
      <c r="B259" s="243" t="str">
        <f t="shared" si="36"/>
        <v/>
      </c>
      <c r="C259" s="273" t="str">
        <f t="shared" si="37"/>
        <v/>
      </c>
      <c r="D259" s="246"/>
      <c r="E259" s="284"/>
      <c r="F259" s="284"/>
      <c r="G259" s="248"/>
      <c r="H259" s="241"/>
      <c r="I259" s="285"/>
      <c r="J259" s="286"/>
      <c r="K259" s="287"/>
      <c r="L259" s="288"/>
      <c r="M259" s="289"/>
      <c r="N259" s="290"/>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row>
    <row r="260" spans="1:36" s="22" customFormat="1" x14ac:dyDescent="0.25">
      <c r="A260" s="28" t="str">
        <f>IF(H260&lt;&gt;"",MAX($A$7:A259)+1,"")</f>
        <v/>
      </c>
      <c r="B260" s="243" t="str">
        <f t="shared" si="36"/>
        <v/>
      </c>
      <c r="C260" s="273" t="str">
        <f t="shared" si="37"/>
        <v/>
      </c>
      <c r="D260" s="246"/>
      <c r="E260" s="284"/>
      <c r="F260" s="284"/>
      <c r="G260" s="248"/>
      <c r="H260" s="241"/>
      <c r="I260" s="285"/>
      <c r="J260" s="286"/>
      <c r="K260" s="287"/>
      <c r="L260" s="288"/>
      <c r="M260" s="289"/>
      <c r="N260" s="290"/>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row>
    <row r="261" spans="1:36" s="22" customFormat="1" x14ac:dyDescent="0.25">
      <c r="A261" s="28" t="str">
        <f>IF(H261&lt;&gt;"",MAX($A$7:A260)+1,"")</f>
        <v/>
      </c>
      <c r="B261" s="243" t="str">
        <f t="shared" si="36"/>
        <v/>
      </c>
      <c r="C261" s="273" t="str">
        <f t="shared" si="37"/>
        <v/>
      </c>
      <c r="D261" s="246"/>
      <c r="E261" s="284"/>
      <c r="F261" s="284"/>
      <c r="G261" s="248"/>
      <c r="H261" s="241"/>
      <c r="I261" s="285"/>
      <c r="J261" s="286"/>
      <c r="K261" s="287"/>
      <c r="L261" s="288"/>
      <c r="M261" s="289"/>
      <c r="N261" s="290"/>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row>
    <row r="262" spans="1:36" s="22" customFormat="1" x14ac:dyDescent="0.25">
      <c r="A262" s="28" t="str">
        <f>IF(H262&lt;&gt;"",MAX($A$7:A261)+1,"")</f>
        <v/>
      </c>
      <c r="B262" s="243" t="str">
        <f t="shared" si="36"/>
        <v/>
      </c>
      <c r="C262" s="273" t="str">
        <f t="shared" si="37"/>
        <v/>
      </c>
      <c r="D262" s="246"/>
      <c r="E262" s="284"/>
      <c r="F262" s="284"/>
      <c r="G262" s="248"/>
      <c r="H262" s="241"/>
      <c r="I262" s="285"/>
      <c r="J262" s="286"/>
      <c r="K262" s="287"/>
      <c r="L262" s="288"/>
      <c r="M262" s="289"/>
      <c r="N262" s="290"/>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row>
    <row r="263" spans="1:36" s="22" customFormat="1" x14ac:dyDescent="0.25">
      <c r="A263" s="28" t="str">
        <f>IF(H263&lt;&gt;"",MAX($A$7:A262)+1,"")</f>
        <v/>
      </c>
      <c r="B263" s="243" t="str">
        <f t="shared" ref="B263:B326" si="38">IF(A263="","",PREF_PREGUNTA&amp;" - "&amp;IF(MAX(A:A)&gt;99,IF(A263&lt;100,"0",""),"")&amp;IF(A263&lt;10,"0","")&amp;A263&amp;IF(G263&lt;&gt;""," "&amp;G263,""))</f>
        <v/>
      </c>
      <c r="C263" s="273" t="str">
        <f t="shared" ref="C263:C326" si="39">IF(COUNTA(I263:N263)-D263=0,"",COUNTA(I263:N263)-D263)</f>
        <v/>
      </c>
      <c r="D263" s="246"/>
      <c r="E263" s="284"/>
      <c r="F263" s="284"/>
      <c r="G263" s="248"/>
      <c r="H263" s="241"/>
      <c r="I263" s="285"/>
      <c r="J263" s="286"/>
      <c r="K263" s="287"/>
      <c r="L263" s="288"/>
      <c r="M263" s="289"/>
      <c r="N263" s="290"/>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row>
    <row r="264" spans="1:36" s="22" customFormat="1" x14ac:dyDescent="0.25">
      <c r="A264" s="28" t="str">
        <f>IF(H264&lt;&gt;"",MAX($A$7:A263)+1,"")</f>
        <v/>
      </c>
      <c r="B264" s="243" t="str">
        <f t="shared" si="38"/>
        <v/>
      </c>
      <c r="C264" s="273" t="str">
        <f t="shared" si="39"/>
        <v/>
      </c>
      <c r="D264" s="246"/>
      <c r="E264" s="284"/>
      <c r="F264" s="284"/>
      <c r="G264" s="248"/>
      <c r="H264" s="241"/>
      <c r="I264" s="285"/>
      <c r="J264" s="286"/>
      <c r="K264" s="287"/>
      <c r="L264" s="288"/>
      <c r="M264" s="289"/>
      <c r="N264" s="290"/>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row>
    <row r="265" spans="1:36" s="22" customFormat="1" x14ac:dyDescent="0.25">
      <c r="A265" s="28" t="str">
        <f>IF(H265&lt;&gt;"",MAX($A$7:A264)+1,"")</f>
        <v/>
      </c>
      <c r="B265" s="243" t="str">
        <f t="shared" si="38"/>
        <v/>
      </c>
      <c r="C265" s="273" t="str">
        <f t="shared" si="39"/>
        <v/>
      </c>
      <c r="D265" s="246"/>
      <c r="E265" s="284"/>
      <c r="F265" s="284"/>
      <c r="G265" s="248"/>
      <c r="H265" s="241"/>
      <c r="I265" s="285"/>
      <c r="J265" s="286"/>
      <c r="K265" s="287"/>
      <c r="L265" s="288"/>
      <c r="M265" s="289"/>
      <c r="N265" s="290"/>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row>
    <row r="266" spans="1:36" s="22" customFormat="1" x14ac:dyDescent="0.25">
      <c r="A266" s="28" t="str">
        <f>IF(H266&lt;&gt;"",MAX($A$7:A265)+1,"")</f>
        <v/>
      </c>
      <c r="B266" s="243" t="str">
        <f t="shared" si="38"/>
        <v/>
      </c>
      <c r="C266" s="273" t="str">
        <f t="shared" si="39"/>
        <v/>
      </c>
      <c r="D266" s="246"/>
      <c r="E266" s="284"/>
      <c r="F266" s="284"/>
      <c r="G266" s="248"/>
      <c r="H266" s="241"/>
      <c r="I266" s="285"/>
      <c r="J266" s="286"/>
      <c r="K266" s="287"/>
      <c r="L266" s="288"/>
      <c r="M266" s="289"/>
      <c r="N266" s="290"/>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row>
    <row r="267" spans="1:36" s="22" customFormat="1" x14ac:dyDescent="0.25">
      <c r="A267" s="28" t="str">
        <f>IF(H267&lt;&gt;"",MAX($A$7:A266)+1,"")</f>
        <v/>
      </c>
      <c r="B267" s="243" t="str">
        <f t="shared" si="38"/>
        <v/>
      </c>
      <c r="C267" s="273" t="str">
        <f t="shared" si="39"/>
        <v/>
      </c>
      <c r="D267" s="246"/>
      <c r="E267" s="284"/>
      <c r="F267" s="284"/>
      <c r="G267" s="248"/>
      <c r="H267" s="241"/>
      <c r="I267" s="285"/>
      <c r="J267" s="286"/>
      <c r="K267" s="287"/>
      <c r="L267" s="288"/>
      <c r="M267" s="289"/>
      <c r="N267" s="290"/>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row>
    <row r="268" spans="1:36" s="22" customFormat="1" x14ac:dyDescent="0.25">
      <c r="A268" s="28" t="str">
        <f>IF(H268&lt;&gt;"",MAX($A$7:A267)+1,"")</f>
        <v/>
      </c>
      <c r="B268" s="243" t="str">
        <f t="shared" si="38"/>
        <v/>
      </c>
      <c r="C268" s="273" t="str">
        <f t="shared" si="39"/>
        <v/>
      </c>
      <c r="D268" s="246"/>
      <c r="E268" s="284"/>
      <c r="F268" s="284"/>
      <c r="G268" s="248"/>
      <c r="H268" s="241"/>
      <c r="I268" s="285"/>
      <c r="J268" s="286"/>
      <c r="K268" s="287"/>
      <c r="L268" s="288"/>
      <c r="M268" s="289"/>
      <c r="N268" s="290"/>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row>
    <row r="269" spans="1:36" s="22" customFormat="1" x14ac:dyDescent="0.25">
      <c r="A269" s="28" t="str">
        <f>IF(H269&lt;&gt;"",MAX($A$7:A268)+1,"")</f>
        <v/>
      </c>
      <c r="B269" s="243" t="str">
        <f t="shared" si="38"/>
        <v/>
      </c>
      <c r="C269" s="273" t="str">
        <f t="shared" si="39"/>
        <v/>
      </c>
      <c r="D269" s="246"/>
      <c r="E269" s="284"/>
      <c r="F269" s="284"/>
      <c r="G269" s="248"/>
      <c r="H269" s="241"/>
      <c r="I269" s="285"/>
      <c r="J269" s="286"/>
      <c r="K269" s="287"/>
      <c r="L269" s="288"/>
      <c r="M269" s="289"/>
      <c r="N269" s="290"/>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row>
    <row r="270" spans="1:36" s="22" customFormat="1" x14ac:dyDescent="0.25">
      <c r="A270" s="28" t="str">
        <f>IF(H270&lt;&gt;"",MAX($A$7:A269)+1,"")</f>
        <v/>
      </c>
      <c r="B270" s="243" t="str">
        <f t="shared" si="38"/>
        <v/>
      </c>
      <c r="C270" s="273" t="str">
        <f t="shared" si="39"/>
        <v/>
      </c>
      <c r="D270" s="246"/>
      <c r="E270" s="284"/>
      <c r="F270" s="284"/>
      <c r="G270" s="248"/>
      <c r="H270" s="241"/>
      <c r="I270" s="285"/>
      <c r="J270" s="286"/>
      <c r="K270" s="287"/>
      <c r="L270" s="288"/>
      <c r="M270" s="289"/>
      <c r="N270" s="290"/>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row>
    <row r="271" spans="1:36" s="22" customFormat="1" x14ac:dyDescent="0.25">
      <c r="A271" s="28" t="str">
        <f>IF(H271&lt;&gt;"",MAX($A$7:A270)+1,"")</f>
        <v/>
      </c>
      <c r="B271" s="243" t="str">
        <f t="shared" si="38"/>
        <v/>
      </c>
      <c r="C271" s="273" t="str">
        <f t="shared" si="39"/>
        <v/>
      </c>
      <c r="D271" s="246"/>
      <c r="E271" s="284"/>
      <c r="F271" s="284"/>
      <c r="G271" s="248"/>
      <c r="H271" s="241"/>
      <c r="I271" s="285"/>
      <c r="J271" s="286"/>
      <c r="K271" s="287"/>
      <c r="L271" s="288"/>
      <c r="M271" s="289"/>
      <c r="N271" s="290"/>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row>
    <row r="272" spans="1:36" s="22" customFormat="1" x14ac:dyDescent="0.25">
      <c r="A272" s="28" t="str">
        <f>IF(H272&lt;&gt;"",MAX($A$7:A271)+1,"")</f>
        <v/>
      </c>
      <c r="B272" s="243" t="str">
        <f t="shared" si="38"/>
        <v/>
      </c>
      <c r="C272" s="273" t="str">
        <f t="shared" si="39"/>
        <v/>
      </c>
      <c r="D272" s="246"/>
      <c r="E272" s="284"/>
      <c r="F272" s="284"/>
      <c r="G272" s="248"/>
      <c r="H272" s="241"/>
      <c r="I272" s="285"/>
      <c r="J272" s="286"/>
      <c r="K272" s="287"/>
      <c r="L272" s="288"/>
      <c r="M272" s="289"/>
      <c r="N272" s="290"/>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row>
    <row r="273" spans="1:36" s="22" customFormat="1" x14ac:dyDescent="0.25">
      <c r="A273" s="28" t="str">
        <f>IF(H273&lt;&gt;"",MAX($A$7:A272)+1,"")</f>
        <v/>
      </c>
      <c r="B273" s="243" t="str">
        <f t="shared" si="38"/>
        <v/>
      </c>
      <c r="C273" s="273" t="str">
        <f t="shared" si="39"/>
        <v/>
      </c>
      <c r="D273" s="246"/>
      <c r="E273" s="284"/>
      <c r="F273" s="284"/>
      <c r="G273" s="248"/>
      <c r="H273" s="241"/>
      <c r="I273" s="285"/>
      <c r="J273" s="286"/>
      <c r="K273" s="287"/>
      <c r="L273" s="288"/>
      <c r="M273" s="289"/>
      <c r="N273" s="290"/>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row>
    <row r="274" spans="1:36" s="22" customFormat="1" x14ac:dyDescent="0.25">
      <c r="A274" s="28" t="str">
        <f>IF(H274&lt;&gt;"",MAX($A$7:A273)+1,"")</f>
        <v/>
      </c>
      <c r="B274" s="243" t="str">
        <f t="shared" si="38"/>
        <v/>
      </c>
      <c r="C274" s="273" t="str">
        <f t="shared" si="39"/>
        <v/>
      </c>
      <c r="D274" s="246"/>
      <c r="E274" s="284"/>
      <c r="F274" s="284"/>
      <c r="G274" s="248"/>
      <c r="H274" s="241"/>
      <c r="I274" s="285"/>
      <c r="J274" s="286"/>
      <c r="K274" s="287"/>
      <c r="L274" s="288"/>
      <c r="M274" s="289"/>
      <c r="N274" s="290"/>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row>
    <row r="275" spans="1:36" s="22" customFormat="1" x14ac:dyDescent="0.25">
      <c r="A275" s="28" t="str">
        <f>IF(H275&lt;&gt;"",MAX($A$7:A274)+1,"")</f>
        <v/>
      </c>
      <c r="B275" s="243" t="str">
        <f t="shared" si="38"/>
        <v/>
      </c>
      <c r="C275" s="273" t="str">
        <f t="shared" si="39"/>
        <v/>
      </c>
      <c r="D275" s="246"/>
      <c r="E275" s="284"/>
      <c r="F275" s="284"/>
      <c r="G275" s="248"/>
      <c r="H275" s="241"/>
      <c r="I275" s="285"/>
      <c r="J275" s="286"/>
      <c r="K275" s="287"/>
      <c r="L275" s="288"/>
      <c r="M275" s="289"/>
      <c r="N275" s="290"/>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row>
    <row r="276" spans="1:36" s="22" customFormat="1" x14ac:dyDescent="0.25">
      <c r="A276" s="28" t="str">
        <f>IF(H276&lt;&gt;"",MAX($A$7:A275)+1,"")</f>
        <v/>
      </c>
      <c r="B276" s="243" t="str">
        <f t="shared" si="38"/>
        <v/>
      </c>
      <c r="C276" s="273" t="str">
        <f t="shared" si="39"/>
        <v/>
      </c>
      <c r="D276" s="246"/>
      <c r="E276" s="284"/>
      <c r="F276" s="284"/>
      <c r="G276" s="248"/>
      <c r="H276" s="241"/>
      <c r="I276" s="285"/>
      <c r="J276" s="286"/>
      <c r="K276" s="287"/>
      <c r="L276" s="288"/>
      <c r="M276" s="289"/>
      <c r="N276" s="290"/>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row>
    <row r="277" spans="1:36" s="22" customFormat="1" x14ac:dyDescent="0.25">
      <c r="A277" s="28" t="str">
        <f>IF(H277&lt;&gt;"",MAX($A$7:A276)+1,"")</f>
        <v/>
      </c>
      <c r="B277" s="243" t="str">
        <f t="shared" si="38"/>
        <v/>
      </c>
      <c r="C277" s="273" t="str">
        <f t="shared" si="39"/>
        <v/>
      </c>
      <c r="D277" s="246"/>
      <c r="E277" s="284"/>
      <c r="F277" s="284"/>
      <c r="G277" s="248"/>
      <c r="H277" s="241"/>
      <c r="I277" s="285"/>
      <c r="J277" s="286"/>
      <c r="K277" s="287"/>
      <c r="L277" s="288"/>
      <c r="M277" s="289"/>
      <c r="N277" s="290"/>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row>
    <row r="278" spans="1:36" s="22" customFormat="1" x14ac:dyDescent="0.25">
      <c r="A278" s="28" t="str">
        <f>IF(H278&lt;&gt;"",MAX($A$7:A277)+1,"")</f>
        <v/>
      </c>
      <c r="B278" s="243" t="str">
        <f t="shared" si="38"/>
        <v/>
      </c>
      <c r="C278" s="273" t="str">
        <f t="shared" si="39"/>
        <v/>
      </c>
      <c r="D278" s="246"/>
      <c r="E278" s="284"/>
      <c r="F278" s="284"/>
      <c r="G278" s="248"/>
      <c r="H278" s="241"/>
      <c r="I278" s="285"/>
      <c r="J278" s="286"/>
      <c r="K278" s="287"/>
      <c r="L278" s="288"/>
      <c r="M278" s="289"/>
      <c r="N278" s="290"/>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row>
    <row r="279" spans="1:36" s="22" customFormat="1" x14ac:dyDescent="0.25">
      <c r="A279" s="28" t="str">
        <f>IF(H279&lt;&gt;"",MAX($A$7:A278)+1,"")</f>
        <v/>
      </c>
      <c r="B279" s="243" t="str">
        <f t="shared" si="38"/>
        <v/>
      </c>
      <c r="C279" s="273" t="str">
        <f t="shared" si="39"/>
        <v/>
      </c>
      <c r="D279" s="246"/>
      <c r="E279" s="284"/>
      <c r="F279" s="284"/>
      <c r="G279" s="248"/>
      <c r="H279" s="241"/>
      <c r="I279" s="285"/>
      <c r="J279" s="286"/>
      <c r="K279" s="287"/>
      <c r="L279" s="288"/>
      <c r="M279" s="289"/>
      <c r="N279" s="290"/>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row>
    <row r="280" spans="1:36" s="22" customFormat="1" x14ac:dyDescent="0.25">
      <c r="A280" s="28" t="str">
        <f>IF(H280&lt;&gt;"",MAX($A$7:A279)+1,"")</f>
        <v/>
      </c>
      <c r="B280" s="243" t="str">
        <f t="shared" si="38"/>
        <v/>
      </c>
      <c r="C280" s="273" t="str">
        <f t="shared" si="39"/>
        <v/>
      </c>
      <c r="D280" s="246"/>
      <c r="E280" s="284"/>
      <c r="F280" s="284"/>
      <c r="G280" s="248"/>
      <c r="H280" s="241"/>
      <c r="I280" s="285"/>
      <c r="J280" s="286"/>
      <c r="K280" s="287"/>
      <c r="L280" s="288"/>
      <c r="M280" s="289"/>
      <c r="N280" s="290"/>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row>
    <row r="281" spans="1:36" s="22" customFormat="1" x14ac:dyDescent="0.25">
      <c r="A281" s="28" t="str">
        <f>IF(H281&lt;&gt;"",MAX($A$7:A280)+1,"")</f>
        <v/>
      </c>
      <c r="B281" s="243" t="str">
        <f t="shared" si="38"/>
        <v/>
      </c>
      <c r="C281" s="273" t="str">
        <f t="shared" si="39"/>
        <v/>
      </c>
      <c r="D281" s="246"/>
      <c r="E281" s="284"/>
      <c r="F281" s="284"/>
      <c r="G281" s="248"/>
      <c r="H281" s="241"/>
      <c r="I281" s="285"/>
      <c r="J281" s="286"/>
      <c r="K281" s="287"/>
      <c r="L281" s="288"/>
      <c r="M281" s="289"/>
      <c r="N281" s="290"/>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row>
    <row r="282" spans="1:36" s="22" customFormat="1" x14ac:dyDescent="0.25">
      <c r="A282" s="28" t="str">
        <f>IF(H282&lt;&gt;"",MAX($A$7:A281)+1,"")</f>
        <v/>
      </c>
      <c r="B282" s="243" t="str">
        <f t="shared" si="38"/>
        <v/>
      </c>
      <c r="C282" s="273" t="str">
        <f t="shared" si="39"/>
        <v/>
      </c>
      <c r="D282" s="246"/>
      <c r="E282" s="284"/>
      <c r="F282" s="284"/>
      <c r="G282" s="248"/>
      <c r="H282" s="241"/>
      <c r="I282" s="285"/>
      <c r="J282" s="286"/>
      <c r="K282" s="287"/>
      <c r="L282" s="288"/>
      <c r="M282" s="289"/>
      <c r="N282" s="290"/>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row>
    <row r="283" spans="1:36" s="22" customFormat="1" x14ac:dyDescent="0.25">
      <c r="A283" s="28" t="str">
        <f>IF(H283&lt;&gt;"",MAX($A$7:A282)+1,"")</f>
        <v/>
      </c>
      <c r="B283" s="243" t="str">
        <f t="shared" si="38"/>
        <v/>
      </c>
      <c r="C283" s="273" t="str">
        <f t="shared" si="39"/>
        <v/>
      </c>
      <c r="D283" s="246"/>
      <c r="E283" s="284"/>
      <c r="F283" s="284"/>
      <c r="G283" s="248"/>
      <c r="H283" s="241"/>
      <c r="I283" s="285"/>
      <c r="J283" s="286"/>
      <c r="K283" s="287"/>
      <c r="L283" s="288"/>
      <c r="M283" s="289"/>
      <c r="N283" s="290"/>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row>
    <row r="284" spans="1:36" s="22" customFormat="1" x14ac:dyDescent="0.25">
      <c r="A284" s="28" t="str">
        <f>IF(H284&lt;&gt;"",MAX($A$7:A283)+1,"")</f>
        <v/>
      </c>
      <c r="B284" s="243" t="str">
        <f t="shared" si="38"/>
        <v/>
      </c>
      <c r="C284" s="273" t="str">
        <f t="shared" si="39"/>
        <v/>
      </c>
      <c r="D284" s="246"/>
      <c r="E284" s="284"/>
      <c r="F284" s="284"/>
      <c r="G284" s="248"/>
      <c r="H284" s="241"/>
      <c r="I284" s="285"/>
      <c r="J284" s="286"/>
      <c r="K284" s="287"/>
      <c r="L284" s="288"/>
      <c r="M284" s="289"/>
      <c r="N284" s="290"/>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row>
    <row r="285" spans="1:36" s="22" customFormat="1" x14ac:dyDescent="0.25">
      <c r="A285" s="28" t="str">
        <f>IF(H285&lt;&gt;"",MAX($A$7:A284)+1,"")</f>
        <v/>
      </c>
      <c r="B285" s="243" t="str">
        <f t="shared" si="38"/>
        <v/>
      </c>
      <c r="C285" s="273" t="str">
        <f t="shared" si="39"/>
        <v/>
      </c>
      <c r="D285" s="246"/>
      <c r="E285" s="284"/>
      <c r="F285" s="284"/>
      <c r="G285" s="248"/>
      <c r="H285" s="241"/>
      <c r="I285" s="285"/>
      <c r="J285" s="286"/>
      <c r="K285" s="287"/>
      <c r="L285" s="288"/>
      <c r="M285" s="289"/>
      <c r="N285" s="290"/>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row>
    <row r="286" spans="1:36" s="22" customFormat="1" x14ac:dyDescent="0.25">
      <c r="A286" s="28" t="str">
        <f>IF(H286&lt;&gt;"",MAX($A$7:A285)+1,"")</f>
        <v/>
      </c>
      <c r="B286" s="243" t="str">
        <f t="shared" si="38"/>
        <v/>
      </c>
      <c r="C286" s="273" t="str">
        <f t="shared" si="39"/>
        <v/>
      </c>
      <c r="D286" s="246"/>
      <c r="E286" s="284"/>
      <c r="F286" s="284"/>
      <c r="G286" s="248"/>
      <c r="H286" s="241"/>
      <c r="I286" s="285"/>
      <c r="J286" s="286"/>
      <c r="K286" s="287"/>
      <c r="L286" s="288"/>
      <c r="M286" s="289"/>
      <c r="N286" s="290"/>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row>
    <row r="287" spans="1:36" s="22" customFormat="1" x14ac:dyDescent="0.25">
      <c r="A287" s="28" t="str">
        <f>IF(H287&lt;&gt;"",MAX($A$7:A286)+1,"")</f>
        <v/>
      </c>
      <c r="B287" s="243" t="str">
        <f t="shared" si="38"/>
        <v/>
      </c>
      <c r="C287" s="273" t="str">
        <f t="shared" si="39"/>
        <v/>
      </c>
      <c r="D287" s="246"/>
      <c r="E287" s="284"/>
      <c r="F287" s="284"/>
      <c r="G287" s="248"/>
      <c r="H287" s="241"/>
      <c r="I287" s="285"/>
      <c r="J287" s="286"/>
      <c r="K287" s="287"/>
      <c r="L287" s="288"/>
      <c r="M287" s="289"/>
      <c r="N287" s="290"/>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row>
    <row r="288" spans="1:36" s="22" customFormat="1" x14ac:dyDescent="0.25">
      <c r="A288" s="28" t="str">
        <f>IF(H288&lt;&gt;"",MAX($A$7:A287)+1,"")</f>
        <v/>
      </c>
      <c r="B288" s="243" t="str">
        <f t="shared" si="38"/>
        <v/>
      </c>
      <c r="C288" s="273" t="str">
        <f t="shared" si="39"/>
        <v/>
      </c>
      <c r="D288" s="246"/>
      <c r="E288" s="284"/>
      <c r="F288" s="284"/>
      <c r="G288" s="248"/>
      <c r="H288" s="241"/>
      <c r="I288" s="285"/>
      <c r="J288" s="286"/>
      <c r="K288" s="287"/>
      <c r="L288" s="288"/>
      <c r="M288" s="289"/>
      <c r="N288" s="290"/>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row>
    <row r="289" spans="1:36" s="22" customFormat="1" x14ac:dyDescent="0.25">
      <c r="A289" s="28" t="str">
        <f>IF(H289&lt;&gt;"",MAX($A$7:A288)+1,"")</f>
        <v/>
      </c>
      <c r="B289" s="243" t="str">
        <f t="shared" si="38"/>
        <v/>
      </c>
      <c r="C289" s="273" t="str">
        <f t="shared" si="39"/>
        <v/>
      </c>
      <c r="D289" s="246"/>
      <c r="E289" s="284"/>
      <c r="F289" s="284"/>
      <c r="G289" s="248"/>
      <c r="H289" s="241"/>
      <c r="I289" s="285"/>
      <c r="J289" s="286"/>
      <c r="K289" s="287"/>
      <c r="L289" s="288"/>
      <c r="M289" s="289"/>
      <c r="N289" s="290"/>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row>
    <row r="290" spans="1:36" s="22" customFormat="1" x14ac:dyDescent="0.25">
      <c r="A290" s="28" t="str">
        <f>IF(H290&lt;&gt;"",MAX($A$7:A289)+1,"")</f>
        <v/>
      </c>
      <c r="B290" s="243" t="str">
        <f t="shared" si="38"/>
        <v/>
      </c>
      <c r="C290" s="273" t="str">
        <f t="shared" si="39"/>
        <v/>
      </c>
      <c r="D290" s="246"/>
      <c r="E290" s="284"/>
      <c r="F290" s="284"/>
      <c r="G290" s="248"/>
      <c r="H290" s="241"/>
      <c r="I290" s="285"/>
      <c r="J290" s="286"/>
      <c r="K290" s="287"/>
      <c r="L290" s="288"/>
      <c r="M290" s="289"/>
      <c r="N290" s="290"/>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row>
    <row r="291" spans="1:36" s="22" customFormat="1" x14ac:dyDescent="0.25">
      <c r="A291" s="28" t="str">
        <f>IF(H291&lt;&gt;"",MAX($A$7:A290)+1,"")</f>
        <v/>
      </c>
      <c r="B291" s="243" t="str">
        <f t="shared" si="38"/>
        <v/>
      </c>
      <c r="C291" s="273" t="str">
        <f t="shared" si="39"/>
        <v/>
      </c>
      <c r="D291" s="246"/>
      <c r="E291" s="284"/>
      <c r="F291" s="284"/>
      <c r="G291" s="248"/>
      <c r="H291" s="241"/>
      <c r="I291" s="285"/>
      <c r="J291" s="286"/>
      <c r="K291" s="287"/>
      <c r="L291" s="288"/>
      <c r="M291" s="289"/>
      <c r="N291" s="290"/>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row>
    <row r="292" spans="1:36" s="22" customFormat="1" x14ac:dyDescent="0.25">
      <c r="A292" s="28" t="str">
        <f>IF(H292&lt;&gt;"",MAX($A$7:A291)+1,"")</f>
        <v/>
      </c>
      <c r="B292" s="243" t="str">
        <f t="shared" si="38"/>
        <v/>
      </c>
      <c r="C292" s="273" t="str">
        <f t="shared" si="39"/>
        <v/>
      </c>
      <c r="D292" s="246"/>
      <c r="E292" s="284"/>
      <c r="F292" s="284"/>
      <c r="G292" s="248"/>
      <c r="H292" s="241"/>
      <c r="I292" s="285"/>
      <c r="J292" s="286"/>
      <c r="K292" s="287"/>
      <c r="L292" s="288"/>
      <c r="M292" s="289"/>
      <c r="N292" s="290"/>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row>
    <row r="293" spans="1:36" s="22" customFormat="1" x14ac:dyDescent="0.25">
      <c r="A293" s="28" t="str">
        <f>IF(H293&lt;&gt;"",MAX($A$7:A292)+1,"")</f>
        <v/>
      </c>
      <c r="B293" s="243" t="str">
        <f t="shared" si="38"/>
        <v/>
      </c>
      <c r="C293" s="273" t="str">
        <f t="shared" si="39"/>
        <v/>
      </c>
      <c r="D293" s="246"/>
      <c r="E293" s="284"/>
      <c r="F293" s="284"/>
      <c r="G293" s="248"/>
      <c r="H293" s="241"/>
      <c r="I293" s="285"/>
      <c r="J293" s="286"/>
      <c r="K293" s="287"/>
      <c r="L293" s="288"/>
      <c r="M293" s="289"/>
      <c r="N293" s="290"/>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row>
    <row r="294" spans="1:36" s="22" customFormat="1" x14ac:dyDescent="0.25">
      <c r="A294" s="28" t="str">
        <f>IF(H294&lt;&gt;"",MAX($A$7:A293)+1,"")</f>
        <v/>
      </c>
      <c r="B294" s="243" t="str">
        <f t="shared" si="38"/>
        <v/>
      </c>
      <c r="C294" s="273" t="str">
        <f t="shared" si="39"/>
        <v/>
      </c>
      <c r="D294" s="246"/>
      <c r="E294" s="284"/>
      <c r="F294" s="284"/>
      <c r="G294" s="248"/>
      <c r="H294" s="241"/>
      <c r="I294" s="285"/>
      <c r="J294" s="286"/>
      <c r="K294" s="287"/>
      <c r="L294" s="288"/>
      <c r="M294" s="289"/>
      <c r="N294" s="290"/>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row>
    <row r="295" spans="1:36" s="22" customFormat="1" x14ac:dyDescent="0.25">
      <c r="A295" s="28" t="str">
        <f>IF(H295&lt;&gt;"",MAX($A$7:A294)+1,"")</f>
        <v/>
      </c>
      <c r="B295" s="243" t="str">
        <f t="shared" si="38"/>
        <v/>
      </c>
      <c r="C295" s="273" t="str">
        <f t="shared" si="39"/>
        <v/>
      </c>
      <c r="D295" s="246"/>
      <c r="E295" s="284"/>
      <c r="F295" s="284"/>
      <c r="G295" s="248"/>
      <c r="H295" s="241"/>
      <c r="I295" s="285"/>
      <c r="J295" s="286"/>
      <c r="K295" s="287"/>
      <c r="L295" s="288"/>
      <c r="M295" s="289"/>
      <c r="N295" s="290"/>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row>
    <row r="296" spans="1:36" s="22" customFormat="1" x14ac:dyDescent="0.25">
      <c r="A296" s="28" t="str">
        <f>IF(H296&lt;&gt;"",MAX($A$7:A295)+1,"")</f>
        <v/>
      </c>
      <c r="B296" s="243" t="str">
        <f t="shared" si="38"/>
        <v/>
      </c>
      <c r="C296" s="273" t="str">
        <f t="shared" si="39"/>
        <v/>
      </c>
      <c r="D296" s="246"/>
      <c r="E296" s="284"/>
      <c r="F296" s="284"/>
      <c r="G296" s="248"/>
      <c r="H296" s="241"/>
      <c r="I296" s="285"/>
      <c r="J296" s="286"/>
      <c r="K296" s="287"/>
      <c r="L296" s="288"/>
      <c r="M296" s="289"/>
      <c r="N296" s="290"/>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row>
    <row r="297" spans="1:36" s="22" customFormat="1" x14ac:dyDescent="0.25">
      <c r="A297" s="28" t="str">
        <f>IF(H297&lt;&gt;"",MAX($A$7:A296)+1,"")</f>
        <v/>
      </c>
      <c r="B297" s="243" t="str">
        <f t="shared" si="38"/>
        <v/>
      </c>
      <c r="C297" s="273" t="str">
        <f t="shared" si="39"/>
        <v/>
      </c>
      <c r="D297" s="246"/>
      <c r="E297" s="284"/>
      <c r="F297" s="284"/>
      <c r="G297" s="248"/>
      <c r="H297" s="241"/>
      <c r="I297" s="285"/>
      <c r="J297" s="286"/>
      <c r="K297" s="287"/>
      <c r="L297" s="288"/>
      <c r="M297" s="289"/>
      <c r="N297" s="290"/>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row>
    <row r="298" spans="1:36" s="22" customFormat="1" x14ac:dyDescent="0.25">
      <c r="A298" s="28" t="str">
        <f>IF(H298&lt;&gt;"",MAX($A$7:A297)+1,"")</f>
        <v/>
      </c>
      <c r="B298" s="243" t="str">
        <f t="shared" si="38"/>
        <v/>
      </c>
      <c r="C298" s="273" t="str">
        <f t="shared" si="39"/>
        <v/>
      </c>
      <c r="D298" s="246"/>
      <c r="E298" s="284"/>
      <c r="F298" s="284"/>
      <c r="G298" s="248"/>
      <c r="H298" s="241"/>
      <c r="I298" s="285"/>
      <c r="J298" s="286"/>
      <c r="K298" s="287"/>
      <c r="L298" s="288"/>
      <c r="M298" s="289"/>
      <c r="N298" s="290"/>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row>
    <row r="299" spans="1:36" s="22" customFormat="1" x14ac:dyDescent="0.25">
      <c r="A299" s="28" t="str">
        <f>IF(H299&lt;&gt;"",MAX($A$7:A298)+1,"")</f>
        <v/>
      </c>
      <c r="B299" s="243" t="str">
        <f t="shared" si="38"/>
        <v/>
      </c>
      <c r="C299" s="273" t="str">
        <f t="shared" si="39"/>
        <v/>
      </c>
      <c r="D299" s="246"/>
      <c r="E299" s="284"/>
      <c r="F299" s="284"/>
      <c r="G299" s="248"/>
      <c r="H299" s="241"/>
      <c r="I299" s="285"/>
      <c r="J299" s="286"/>
      <c r="K299" s="287"/>
      <c r="L299" s="288"/>
      <c r="M299" s="289"/>
      <c r="N299" s="290"/>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row>
    <row r="300" spans="1:36" s="22" customFormat="1" x14ac:dyDescent="0.25">
      <c r="A300" s="28" t="str">
        <f>IF(H300&lt;&gt;"",MAX($A$7:A299)+1,"")</f>
        <v/>
      </c>
      <c r="B300" s="243" t="str">
        <f t="shared" si="38"/>
        <v/>
      </c>
      <c r="C300" s="273" t="str">
        <f t="shared" si="39"/>
        <v/>
      </c>
      <c r="D300" s="246"/>
      <c r="E300" s="284"/>
      <c r="F300" s="284"/>
      <c r="G300" s="248"/>
      <c r="H300" s="241"/>
      <c r="I300" s="285"/>
      <c r="J300" s="286"/>
      <c r="K300" s="287"/>
      <c r="L300" s="288"/>
      <c r="M300" s="289"/>
      <c r="N300" s="290"/>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row>
    <row r="301" spans="1:36" s="22" customFormat="1" x14ac:dyDescent="0.25">
      <c r="A301" s="28" t="str">
        <f>IF(H301&lt;&gt;"",MAX($A$7:A300)+1,"")</f>
        <v/>
      </c>
      <c r="B301" s="243" t="str">
        <f t="shared" si="38"/>
        <v/>
      </c>
      <c r="C301" s="273" t="str">
        <f t="shared" si="39"/>
        <v/>
      </c>
      <c r="D301" s="246"/>
      <c r="E301" s="284"/>
      <c r="F301" s="284"/>
      <c r="G301" s="248"/>
      <c r="H301" s="241"/>
      <c r="I301" s="285"/>
      <c r="J301" s="286"/>
      <c r="K301" s="287"/>
      <c r="L301" s="288"/>
      <c r="M301" s="289"/>
      <c r="N301" s="290"/>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row>
    <row r="302" spans="1:36" s="22" customFormat="1" x14ac:dyDescent="0.25">
      <c r="A302" s="28" t="str">
        <f>IF(H302&lt;&gt;"",MAX($A$7:A301)+1,"")</f>
        <v/>
      </c>
      <c r="B302" s="243" t="str">
        <f t="shared" si="38"/>
        <v/>
      </c>
      <c r="C302" s="273" t="str">
        <f t="shared" si="39"/>
        <v/>
      </c>
      <c r="D302" s="246"/>
      <c r="E302" s="284"/>
      <c r="F302" s="284"/>
      <c r="G302" s="248"/>
      <c r="H302" s="241"/>
      <c r="I302" s="285"/>
      <c r="J302" s="286"/>
      <c r="K302" s="287"/>
      <c r="L302" s="288"/>
      <c r="M302" s="289"/>
      <c r="N302" s="290"/>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row>
    <row r="303" spans="1:36" s="22" customFormat="1" x14ac:dyDescent="0.25">
      <c r="A303" s="28" t="str">
        <f>IF(H303&lt;&gt;"",MAX($A$7:A302)+1,"")</f>
        <v/>
      </c>
      <c r="B303" s="243" t="str">
        <f t="shared" si="38"/>
        <v/>
      </c>
      <c r="C303" s="273" t="str">
        <f t="shared" si="39"/>
        <v/>
      </c>
      <c r="D303" s="246"/>
      <c r="E303" s="284"/>
      <c r="F303" s="284"/>
      <c r="G303" s="248"/>
      <c r="H303" s="241"/>
      <c r="I303" s="285"/>
      <c r="J303" s="286"/>
      <c r="K303" s="287"/>
      <c r="L303" s="288"/>
      <c r="M303" s="289"/>
      <c r="N303" s="290"/>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row>
    <row r="304" spans="1:36" s="22" customFormat="1" x14ac:dyDescent="0.25">
      <c r="A304" s="28" t="str">
        <f>IF(H304&lt;&gt;"",MAX($A$7:A303)+1,"")</f>
        <v/>
      </c>
      <c r="B304" s="243" t="str">
        <f t="shared" si="38"/>
        <v/>
      </c>
      <c r="C304" s="273" t="str">
        <f t="shared" si="39"/>
        <v/>
      </c>
      <c r="D304" s="246"/>
      <c r="E304" s="284"/>
      <c r="F304" s="284"/>
      <c r="G304" s="248"/>
      <c r="H304" s="241"/>
      <c r="I304" s="285"/>
      <c r="J304" s="286"/>
      <c r="K304" s="287"/>
      <c r="L304" s="288"/>
      <c r="M304" s="289"/>
      <c r="N304" s="290"/>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row>
    <row r="305" spans="1:36" s="22" customFormat="1" x14ac:dyDescent="0.25">
      <c r="A305" s="28" t="str">
        <f>IF(H305&lt;&gt;"",MAX($A$7:A304)+1,"")</f>
        <v/>
      </c>
      <c r="B305" s="243" t="str">
        <f t="shared" si="38"/>
        <v/>
      </c>
      <c r="C305" s="273" t="str">
        <f t="shared" si="39"/>
        <v/>
      </c>
      <c r="D305" s="246"/>
      <c r="E305" s="284"/>
      <c r="F305" s="284"/>
      <c r="G305" s="248"/>
      <c r="H305" s="241"/>
      <c r="I305" s="285"/>
      <c r="J305" s="286"/>
      <c r="K305" s="287"/>
      <c r="L305" s="288"/>
      <c r="M305" s="289"/>
      <c r="N305" s="290"/>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row>
    <row r="306" spans="1:36" s="22" customFormat="1" x14ac:dyDescent="0.25">
      <c r="A306" s="28" t="str">
        <f>IF(H306&lt;&gt;"",MAX($A$7:A305)+1,"")</f>
        <v/>
      </c>
      <c r="B306" s="243" t="str">
        <f t="shared" si="38"/>
        <v/>
      </c>
      <c r="C306" s="273" t="str">
        <f t="shared" si="39"/>
        <v/>
      </c>
      <c r="D306" s="246"/>
      <c r="E306" s="284"/>
      <c r="F306" s="284"/>
      <c r="G306" s="248"/>
      <c r="H306" s="241"/>
      <c r="I306" s="285"/>
      <c r="J306" s="286"/>
      <c r="K306" s="287"/>
      <c r="L306" s="288"/>
      <c r="M306" s="289"/>
      <c r="N306" s="290"/>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row>
    <row r="307" spans="1:36" s="22" customFormat="1" x14ac:dyDescent="0.25">
      <c r="A307" s="28" t="str">
        <f>IF(H307&lt;&gt;"",MAX($A$7:A306)+1,"")</f>
        <v/>
      </c>
      <c r="B307" s="243" t="str">
        <f t="shared" si="38"/>
        <v/>
      </c>
      <c r="C307" s="273" t="str">
        <f t="shared" si="39"/>
        <v/>
      </c>
      <c r="D307" s="246"/>
      <c r="E307" s="284"/>
      <c r="F307" s="284"/>
      <c r="G307" s="248"/>
      <c r="H307" s="241"/>
      <c r="I307" s="285"/>
      <c r="J307" s="286"/>
      <c r="K307" s="287"/>
      <c r="L307" s="288"/>
      <c r="M307" s="289"/>
      <c r="N307" s="290"/>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row>
    <row r="308" spans="1:36" s="22" customFormat="1" x14ac:dyDescent="0.25">
      <c r="A308" s="28" t="str">
        <f>IF(H308&lt;&gt;"",MAX($A$7:A307)+1,"")</f>
        <v/>
      </c>
      <c r="B308" s="243" t="str">
        <f t="shared" si="38"/>
        <v/>
      </c>
      <c r="C308" s="273" t="str">
        <f t="shared" si="39"/>
        <v/>
      </c>
      <c r="D308" s="246"/>
      <c r="E308" s="284"/>
      <c r="F308" s="284"/>
      <c r="G308" s="248"/>
      <c r="H308" s="241"/>
      <c r="I308" s="285"/>
      <c r="J308" s="286"/>
      <c r="K308" s="287"/>
      <c r="L308" s="288"/>
      <c r="M308" s="289"/>
      <c r="N308" s="290"/>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row>
    <row r="309" spans="1:36" s="22" customFormat="1" x14ac:dyDescent="0.25">
      <c r="A309" s="28" t="str">
        <f>IF(H309&lt;&gt;"",MAX($A$7:A308)+1,"")</f>
        <v/>
      </c>
      <c r="B309" s="243" t="str">
        <f t="shared" si="38"/>
        <v/>
      </c>
      <c r="C309" s="273" t="str">
        <f t="shared" si="39"/>
        <v/>
      </c>
      <c r="D309" s="246"/>
      <c r="E309" s="284"/>
      <c r="F309" s="284"/>
      <c r="G309" s="248"/>
      <c r="H309" s="241"/>
      <c r="I309" s="285"/>
      <c r="J309" s="286"/>
      <c r="K309" s="287"/>
      <c r="L309" s="288"/>
      <c r="M309" s="289"/>
      <c r="N309" s="290"/>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row>
    <row r="310" spans="1:36" s="22" customFormat="1" x14ac:dyDescent="0.25">
      <c r="A310" s="28" t="str">
        <f>IF(H310&lt;&gt;"",MAX($A$7:A309)+1,"")</f>
        <v/>
      </c>
      <c r="B310" s="243" t="str">
        <f t="shared" si="38"/>
        <v/>
      </c>
      <c r="C310" s="273" t="str">
        <f t="shared" si="39"/>
        <v/>
      </c>
      <c r="D310" s="246"/>
      <c r="E310" s="284"/>
      <c r="F310" s="284"/>
      <c r="G310" s="248"/>
      <c r="H310" s="241"/>
      <c r="I310" s="285"/>
      <c r="J310" s="286"/>
      <c r="K310" s="287"/>
      <c r="L310" s="288"/>
      <c r="M310" s="289"/>
      <c r="N310" s="290"/>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row>
    <row r="311" spans="1:36" s="22" customFormat="1" x14ac:dyDescent="0.25">
      <c r="A311" s="28" t="str">
        <f>IF(H311&lt;&gt;"",MAX($A$7:A310)+1,"")</f>
        <v/>
      </c>
      <c r="B311" s="243" t="str">
        <f t="shared" si="38"/>
        <v/>
      </c>
      <c r="C311" s="273" t="str">
        <f t="shared" si="39"/>
        <v/>
      </c>
      <c r="D311" s="246"/>
      <c r="E311" s="284"/>
      <c r="F311" s="284"/>
      <c r="G311" s="248"/>
      <c r="H311" s="241"/>
      <c r="I311" s="285"/>
      <c r="J311" s="286"/>
      <c r="K311" s="287"/>
      <c r="L311" s="288"/>
      <c r="M311" s="289"/>
      <c r="N311" s="290"/>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row>
    <row r="312" spans="1:36" s="22" customFormat="1" x14ac:dyDescent="0.25">
      <c r="A312" s="28" t="str">
        <f>IF(H312&lt;&gt;"",MAX($A$7:A311)+1,"")</f>
        <v/>
      </c>
      <c r="B312" s="243" t="str">
        <f t="shared" si="38"/>
        <v/>
      </c>
      <c r="C312" s="273" t="str">
        <f t="shared" si="39"/>
        <v/>
      </c>
      <c r="D312" s="246"/>
      <c r="E312" s="284"/>
      <c r="F312" s="284"/>
      <c r="G312" s="248"/>
      <c r="H312" s="241"/>
      <c r="I312" s="285"/>
      <c r="J312" s="286"/>
      <c r="K312" s="287"/>
      <c r="L312" s="288"/>
      <c r="M312" s="289"/>
      <c r="N312" s="290"/>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row>
    <row r="313" spans="1:36" s="22" customFormat="1" x14ac:dyDescent="0.25">
      <c r="A313" s="28" t="str">
        <f>IF(H313&lt;&gt;"",MAX($A$7:A312)+1,"")</f>
        <v/>
      </c>
      <c r="B313" s="243" t="str">
        <f t="shared" si="38"/>
        <v/>
      </c>
      <c r="C313" s="273" t="str">
        <f t="shared" si="39"/>
        <v/>
      </c>
      <c r="D313" s="246"/>
      <c r="E313" s="284"/>
      <c r="F313" s="284"/>
      <c r="G313" s="248"/>
      <c r="H313" s="241"/>
      <c r="I313" s="285"/>
      <c r="J313" s="286"/>
      <c r="K313" s="287"/>
      <c r="L313" s="288"/>
      <c r="M313" s="289"/>
      <c r="N313" s="290"/>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row>
    <row r="314" spans="1:36" s="22" customFormat="1" x14ac:dyDescent="0.25">
      <c r="A314" s="28" t="str">
        <f>IF(H314&lt;&gt;"",MAX($A$7:A313)+1,"")</f>
        <v/>
      </c>
      <c r="B314" s="243" t="str">
        <f t="shared" si="38"/>
        <v/>
      </c>
      <c r="C314" s="273" t="str">
        <f t="shared" si="39"/>
        <v/>
      </c>
      <c r="D314" s="246"/>
      <c r="E314" s="284"/>
      <c r="F314" s="284"/>
      <c r="G314" s="248"/>
      <c r="H314" s="241"/>
      <c r="I314" s="285"/>
      <c r="J314" s="286"/>
      <c r="K314" s="287"/>
      <c r="L314" s="288"/>
      <c r="M314" s="289"/>
      <c r="N314" s="290"/>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row>
    <row r="315" spans="1:36" s="22" customFormat="1" x14ac:dyDescent="0.25">
      <c r="A315" s="28" t="str">
        <f>IF(H315&lt;&gt;"",MAX($A$7:A314)+1,"")</f>
        <v/>
      </c>
      <c r="B315" s="243" t="str">
        <f t="shared" si="38"/>
        <v/>
      </c>
      <c r="C315" s="273" t="str">
        <f t="shared" si="39"/>
        <v/>
      </c>
      <c r="D315" s="246"/>
      <c r="E315" s="284"/>
      <c r="F315" s="284"/>
      <c r="G315" s="248"/>
      <c r="H315" s="241"/>
      <c r="I315" s="285"/>
      <c r="J315" s="286"/>
      <c r="K315" s="287"/>
      <c r="L315" s="288"/>
      <c r="M315" s="289"/>
      <c r="N315" s="290"/>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row>
    <row r="316" spans="1:36" s="22" customFormat="1" x14ac:dyDescent="0.25">
      <c r="A316" s="28" t="str">
        <f>IF(H316&lt;&gt;"",MAX($A$7:A315)+1,"")</f>
        <v/>
      </c>
      <c r="B316" s="243" t="str">
        <f t="shared" si="38"/>
        <v/>
      </c>
      <c r="C316" s="273" t="str">
        <f t="shared" si="39"/>
        <v/>
      </c>
      <c r="D316" s="246"/>
      <c r="E316" s="284"/>
      <c r="F316" s="284"/>
      <c r="G316" s="248"/>
      <c r="H316" s="241"/>
      <c r="I316" s="285"/>
      <c r="J316" s="286"/>
      <c r="K316" s="287"/>
      <c r="L316" s="288"/>
      <c r="M316" s="289"/>
      <c r="N316" s="290"/>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row>
    <row r="317" spans="1:36" s="22" customFormat="1" x14ac:dyDescent="0.25">
      <c r="A317" s="28" t="str">
        <f>IF(H317&lt;&gt;"",MAX($A$7:A316)+1,"")</f>
        <v/>
      </c>
      <c r="B317" s="243" t="str">
        <f t="shared" si="38"/>
        <v/>
      </c>
      <c r="C317" s="273" t="str">
        <f t="shared" si="39"/>
        <v/>
      </c>
      <c r="D317" s="246"/>
      <c r="E317" s="284"/>
      <c r="F317" s="284"/>
      <c r="G317" s="248"/>
      <c r="H317" s="241"/>
      <c r="I317" s="285"/>
      <c r="J317" s="286"/>
      <c r="K317" s="287"/>
      <c r="L317" s="288"/>
      <c r="M317" s="289"/>
      <c r="N317" s="290"/>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row>
    <row r="318" spans="1:36" s="22" customFormat="1" x14ac:dyDescent="0.25">
      <c r="A318" s="28" t="str">
        <f>IF(H318&lt;&gt;"",MAX($A$7:A317)+1,"")</f>
        <v/>
      </c>
      <c r="B318" s="243" t="str">
        <f t="shared" si="38"/>
        <v/>
      </c>
      <c r="C318" s="273" t="str">
        <f t="shared" si="39"/>
        <v/>
      </c>
      <c r="D318" s="246"/>
      <c r="E318" s="284"/>
      <c r="F318" s="284"/>
      <c r="G318" s="248"/>
      <c r="H318" s="241"/>
      <c r="I318" s="285"/>
      <c r="J318" s="286"/>
      <c r="K318" s="287"/>
      <c r="L318" s="288"/>
      <c r="M318" s="289"/>
      <c r="N318" s="290"/>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row>
    <row r="319" spans="1:36" s="22" customFormat="1" x14ac:dyDescent="0.25">
      <c r="A319" s="28" t="str">
        <f>IF(H319&lt;&gt;"",MAX($A$7:A318)+1,"")</f>
        <v/>
      </c>
      <c r="B319" s="243" t="str">
        <f t="shared" si="38"/>
        <v/>
      </c>
      <c r="C319" s="273" t="str">
        <f t="shared" si="39"/>
        <v/>
      </c>
      <c r="D319" s="246"/>
      <c r="E319" s="284"/>
      <c r="F319" s="284"/>
      <c r="G319" s="248"/>
      <c r="H319" s="241"/>
      <c r="I319" s="285"/>
      <c r="J319" s="286"/>
      <c r="K319" s="287"/>
      <c r="L319" s="288"/>
      <c r="M319" s="289"/>
      <c r="N319" s="290"/>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row>
    <row r="320" spans="1:36" s="22" customFormat="1" x14ac:dyDescent="0.25">
      <c r="A320" s="28" t="str">
        <f>IF(H320&lt;&gt;"",MAX($A$7:A319)+1,"")</f>
        <v/>
      </c>
      <c r="B320" s="243" t="str">
        <f t="shared" si="38"/>
        <v/>
      </c>
      <c r="C320" s="273" t="str">
        <f t="shared" si="39"/>
        <v/>
      </c>
      <c r="D320" s="246"/>
      <c r="E320" s="284"/>
      <c r="F320" s="284"/>
      <c r="G320" s="248"/>
      <c r="H320" s="241"/>
      <c r="I320" s="285"/>
      <c r="J320" s="286"/>
      <c r="K320" s="287"/>
      <c r="L320" s="288"/>
      <c r="M320" s="289"/>
      <c r="N320" s="290"/>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row>
    <row r="321" spans="1:36" s="22" customFormat="1" x14ac:dyDescent="0.25">
      <c r="A321" s="28" t="str">
        <f>IF(H321&lt;&gt;"",MAX($A$7:A320)+1,"")</f>
        <v/>
      </c>
      <c r="B321" s="243" t="str">
        <f t="shared" si="38"/>
        <v/>
      </c>
      <c r="C321" s="273" t="str">
        <f t="shared" si="39"/>
        <v/>
      </c>
      <c r="D321" s="246"/>
      <c r="E321" s="284"/>
      <c r="F321" s="284"/>
      <c r="G321" s="248"/>
      <c r="H321" s="241"/>
      <c r="I321" s="285"/>
      <c r="J321" s="286"/>
      <c r="K321" s="287"/>
      <c r="L321" s="288"/>
      <c r="M321" s="289"/>
      <c r="N321" s="290"/>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row>
    <row r="322" spans="1:36" s="22" customFormat="1" x14ac:dyDescent="0.25">
      <c r="A322" s="28" t="str">
        <f>IF(H322&lt;&gt;"",MAX($A$7:A321)+1,"")</f>
        <v/>
      </c>
      <c r="B322" s="243" t="str">
        <f t="shared" si="38"/>
        <v/>
      </c>
      <c r="C322" s="273" t="str">
        <f t="shared" si="39"/>
        <v/>
      </c>
      <c r="D322" s="246"/>
      <c r="E322" s="284"/>
      <c r="F322" s="284"/>
      <c r="G322" s="248"/>
      <c r="H322" s="241"/>
      <c r="I322" s="285"/>
      <c r="J322" s="286"/>
      <c r="K322" s="287"/>
      <c r="L322" s="288"/>
      <c r="M322" s="289"/>
      <c r="N322" s="290"/>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row>
    <row r="323" spans="1:36" s="22" customFormat="1" x14ac:dyDescent="0.25">
      <c r="A323" s="28" t="str">
        <f>IF(H323&lt;&gt;"",MAX($A$7:A322)+1,"")</f>
        <v/>
      </c>
      <c r="B323" s="243" t="str">
        <f t="shared" si="38"/>
        <v/>
      </c>
      <c r="C323" s="273" t="str">
        <f t="shared" si="39"/>
        <v/>
      </c>
      <c r="D323" s="246"/>
      <c r="E323" s="284"/>
      <c r="F323" s="284"/>
      <c r="G323" s="248"/>
      <c r="H323" s="241"/>
      <c r="I323" s="285"/>
      <c r="J323" s="286"/>
      <c r="K323" s="287"/>
      <c r="L323" s="288"/>
      <c r="M323" s="289"/>
      <c r="N323" s="290"/>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row>
    <row r="324" spans="1:36" s="22" customFormat="1" x14ac:dyDescent="0.25">
      <c r="A324" s="28" t="str">
        <f>IF(H324&lt;&gt;"",MAX($A$7:A323)+1,"")</f>
        <v/>
      </c>
      <c r="B324" s="243" t="str">
        <f t="shared" si="38"/>
        <v/>
      </c>
      <c r="C324" s="273" t="str">
        <f t="shared" si="39"/>
        <v/>
      </c>
      <c r="D324" s="246"/>
      <c r="E324" s="284"/>
      <c r="F324" s="284"/>
      <c r="G324" s="248"/>
      <c r="H324" s="241"/>
      <c r="I324" s="285"/>
      <c r="J324" s="286"/>
      <c r="K324" s="287"/>
      <c r="L324" s="288"/>
      <c r="M324" s="289"/>
      <c r="N324" s="290"/>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row>
    <row r="325" spans="1:36" s="22" customFormat="1" x14ac:dyDescent="0.25">
      <c r="A325" s="28" t="str">
        <f>IF(H325&lt;&gt;"",MAX($A$7:A324)+1,"")</f>
        <v/>
      </c>
      <c r="B325" s="243" t="str">
        <f t="shared" si="38"/>
        <v/>
      </c>
      <c r="C325" s="273" t="str">
        <f t="shared" si="39"/>
        <v/>
      </c>
      <c r="D325" s="246"/>
      <c r="E325" s="284"/>
      <c r="F325" s="284"/>
      <c r="G325" s="248"/>
      <c r="H325" s="241"/>
      <c r="I325" s="285"/>
      <c r="J325" s="286"/>
      <c r="K325" s="287"/>
      <c r="L325" s="288"/>
      <c r="M325" s="289"/>
      <c r="N325" s="290"/>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row>
    <row r="326" spans="1:36" s="22" customFormat="1" x14ac:dyDescent="0.25">
      <c r="A326" s="28" t="str">
        <f>IF(H326&lt;&gt;"",MAX($A$7:A325)+1,"")</f>
        <v/>
      </c>
      <c r="B326" s="243" t="str">
        <f t="shared" si="38"/>
        <v/>
      </c>
      <c r="C326" s="273" t="str">
        <f t="shared" si="39"/>
        <v/>
      </c>
      <c r="D326" s="246"/>
      <c r="E326" s="284"/>
      <c r="F326" s="284"/>
      <c r="G326" s="248"/>
      <c r="H326" s="241"/>
      <c r="I326" s="285"/>
      <c r="J326" s="286"/>
      <c r="K326" s="287"/>
      <c r="L326" s="288"/>
      <c r="M326" s="289"/>
      <c r="N326" s="290"/>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row>
    <row r="327" spans="1:36" s="22" customFormat="1" x14ac:dyDescent="0.25">
      <c r="A327" s="28" t="str">
        <f>IF(H327&lt;&gt;"",MAX($A$7:A326)+1,"")</f>
        <v/>
      </c>
      <c r="B327" s="243" t="str">
        <f t="shared" ref="B327:B390" si="40">IF(A327="","",PREF_PREGUNTA&amp;" - "&amp;IF(MAX(A:A)&gt;99,IF(A327&lt;100,"0",""),"")&amp;IF(A327&lt;10,"0","")&amp;A327&amp;IF(G327&lt;&gt;""," "&amp;G327,""))</f>
        <v/>
      </c>
      <c r="C327" s="273" t="str">
        <f t="shared" ref="C327:C390" si="41">IF(COUNTA(I327:N327)-D327=0,"",COUNTA(I327:N327)-D327)</f>
        <v/>
      </c>
      <c r="D327" s="246"/>
      <c r="E327" s="284"/>
      <c r="F327" s="284"/>
      <c r="G327" s="248"/>
      <c r="H327" s="241"/>
      <c r="I327" s="285"/>
      <c r="J327" s="286"/>
      <c r="K327" s="287"/>
      <c r="L327" s="288"/>
      <c r="M327" s="289"/>
      <c r="N327" s="290"/>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row>
    <row r="328" spans="1:36" s="22" customFormat="1" x14ac:dyDescent="0.25">
      <c r="A328" s="28" t="str">
        <f>IF(H328&lt;&gt;"",MAX($A$7:A327)+1,"")</f>
        <v/>
      </c>
      <c r="B328" s="243" t="str">
        <f t="shared" si="40"/>
        <v/>
      </c>
      <c r="C328" s="273" t="str">
        <f t="shared" si="41"/>
        <v/>
      </c>
      <c r="D328" s="246"/>
      <c r="E328" s="284"/>
      <c r="F328" s="284"/>
      <c r="G328" s="248"/>
      <c r="H328" s="241"/>
      <c r="I328" s="285"/>
      <c r="J328" s="286"/>
      <c r="K328" s="287"/>
      <c r="L328" s="288"/>
      <c r="M328" s="289"/>
      <c r="N328" s="290"/>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row>
    <row r="329" spans="1:36" s="22" customFormat="1" x14ac:dyDescent="0.25">
      <c r="A329" s="28" t="str">
        <f>IF(H329&lt;&gt;"",MAX($A$7:A328)+1,"")</f>
        <v/>
      </c>
      <c r="B329" s="243" t="str">
        <f t="shared" si="40"/>
        <v/>
      </c>
      <c r="C329" s="273" t="str">
        <f t="shared" si="41"/>
        <v/>
      </c>
      <c r="D329" s="246"/>
      <c r="E329" s="284"/>
      <c r="F329" s="284"/>
      <c r="G329" s="248"/>
      <c r="H329" s="241"/>
      <c r="I329" s="285"/>
      <c r="J329" s="286"/>
      <c r="K329" s="287"/>
      <c r="L329" s="288"/>
      <c r="M329" s="289"/>
      <c r="N329" s="290"/>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row>
    <row r="330" spans="1:36" s="22" customFormat="1" x14ac:dyDescent="0.25">
      <c r="A330" s="28" t="str">
        <f>IF(H330&lt;&gt;"",MAX($A$7:A329)+1,"")</f>
        <v/>
      </c>
      <c r="B330" s="243" t="str">
        <f t="shared" si="40"/>
        <v/>
      </c>
      <c r="C330" s="273" t="str">
        <f t="shared" si="41"/>
        <v/>
      </c>
      <c r="D330" s="246"/>
      <c r="E330" s="284"/>
      <c r="F330" s="284"/>
      <c r="G330" s="248"/>
      <c r="H330" s="241"/>
      <c r="I330" s="285"/>
      <c r="J330" s="286"/>
      <c r="K330" s="287"/>
      <c r="L330" s="288"/>
      <c r="M330" s="289"/>
      <c r="N330" s="290"/>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row>
    <row r="331" spans="1:36" s="22" customFormat="1" x14ac:dyDescent="0.25">
      <c r="A331" s="28" t="str">
        <f>IF(H331&lt;&gt;"",MAX($A$7:A330)+1,"")</f>
        <v/>
      </c>
      <c r="B331" s="243" t="str">
        <f t="shared" si="40"/>
        <v/>
      </c>
      <c r="C331" s="273" t="str">
        <f t="shared" si="41"/>
        <v/>
      </c>
      <c r="D331" s="246"/>
      <c r="E331" s="284"/>
      <c r="F331" s="284"/>
      <c r="G331" s="248"/>
      <c r="H331" s="241"/>
      <c r="I331" s="285"/>
      <c r="J331" s="286"/>
      <c r="K331" s="287"/>
      <c r="L331" s="288"/>
      <c r="M331" s="289"/>
      <c r="N331" s="290"/>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row>
    <row r="332" spans="1:36" s="22" customFormat="1" x14ac:dyDescent="0.25">
      <c r="A332" s="28" t="str">
        <f>IF(H332&lt;&gt;"",MAX($A$7:A331)+1,"")</f>
        <v/>
      </c>
      <c r="B332" s="243" t="str">
        <f t="shared" si="40"/>
        <v/>
      </c>
      <c r="C332" s="273" t="str">
        <f t="shared" si="41"/>
        <v/>
      </c>
      <c r="D332" s="246"/>
      <c r="E332" s="284"/>
      <c r="F332" s="284"/>
      <c r="G332" s="248"/>
      <c r="H332" s="241"/>
      <c r="I332" s="285"/>
      <c r="J332" s="286"/>
      <c r="K332" s="287"/>
      <c r="L332" s="288"/>
      <c r="M332" s="289"/>
      <c r="N332" s="290"/>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row>
    <row r="333" spans="1:36" s="22" customFormat="1" x14ac:dyDescent="0.25">
      <c r="A333" s="28" t="str">
        <f>IF(H333&lt;&gt;"",MAX($A$7:A332)+1,"")</f>
        <v/>
      </c>
      <c r="B333" s="243" t="str">
        <f t="shared" si="40"/>
        <v/>
      </c>
      <c r="C333" s="273" t="str">
        <f t="shared" si="41"/>
        <v/>
      </c>
      <c r="D333" s="246"/>
      <c r="E333" s="284"/>
      <c r="F333" s="284"/>
      <c r="G333" s="248"/>
      <c r="H333" s="241"/>
      <c r="I333" s="285"/>
      <c r="J333" s="286"/>
      <c r="K333" s="287"/>
      <c r="L333" s="288"/>
      <c r="M333" s="289"/>
      <c r="N333" s="290"/>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row>
    <row r="334" spans="1:36" s="22" customFormat="1" x14ac:dyDescent="0.25">
      <c r="A334" s="28" t="str">
        <f>IF(H334&lt;&gt;"",MAX($A$7:A333)+1,"")</f>
        <v/>
      </c>
      <c r="B334" s="243" t="str">
        <f t="shared" si="40"/>
        <v/>
      </c>
      <c r="C334" s="273" t="str">
        <f t="shared" si="41"/>
        <v/>
      </c>
      <c r="D334" s="246"/>
      <c r="E334" s="284"/>
      <c r="F334" s="284"/>
      <c r="G334" s="248"/>
      <c r="H334" s="241"/>
      <c r="I334" s="285"/>
      <c r="J334" s="286"/>
      <c r="K334" s="287"/>
      <c r="L334" s="288"/>
      <c r="M334" s="289"/>
      <c r="N334" s="290"/>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row>
    <row r="335" spans="1:36" s="22" customFormat="1" x14ac:dyDescent="0.25">
      <c r="A335" s="28" t="str">
        <f>IF(H335&lt;&gt;"",MAX($A$7:A334)+1,"")</f>
        <v/>
      </c>
      <c r="B335" s="243" t="str">
        <f t="shared" si="40"/>
        <v/>
      </c>
      <c r="C335" s="273" t="str">
        <f t="shared" si="41"/>
        <v/>
      </c>
      <c r="D335" s="246"/>
      <c r="E335" s="284"/>
      <c r="F335" s="284"/>
      <c r="G335" s="248"/>
      <c r="H335" s="241"/>
      <c r="I335" s="285"/>
      <c r="J335" s="286"/>
      <c r="K335" s="287"/>
      <c r="L335" s="288"/>
      <c r="M335" s="289"/>
      <c r="N335" s="290"/>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row>
    <row r="336" spans="1:36" s="22" customFormat="1" x14ac:dyDescent="0.25">
      <c r="A336" s="28" t="str">
        <f>IF(H336&lt;&gt;"",MAX($A$7:A335)+1,"")</f>
        <v/>
      </c>
      <c r="B336" s="243" t="str">
        <f t="shared" si="40"/>
        <v/>
      </c>
      <c r="C336" s="273" t="str">
        <f t="shared" si="41"/>
        <v/>
      </c>
      <c r="D336" s="246"/>
      <c r="E336" s="284"/>
      <c r="F336" s="284"/>
      <c r="G336" s="248"/>
      <c r="H336" s="241"/>
      <c r="I336" s="285"/>
      <c r="J336" s="286"/>
      <c r="K336" s="287"/>
      <c r="L336" s="288"/>
      <c r="M336" s="289"/>
      <c r="N336" s="290"/>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row>
    <row r="337" spans="1:36" s="22" customFormat="1" x14ac:dyDescent="0.25">
      <c r="A337" s="28" t="str">
        <f>IF(H337&lt;&gt;"",MAX($A$7:A336)+1,"")</f>
        <v/>
      </c>
      <c r="B337" s="243" t="str">
        <f t="shared" si="40"/>
        <v/>
      </c>
      <c r="C337" s="273" t="str">
        <f t="shared" si="41"/>
        <v/>
      </c>
      <c r="D337" s="246"/>
      <c r="E337" s="284"/>
      <c r="F337" s="284"/>
      <c r="G337" s="248"/>
      <c r="H337" s="241"/>
      <c r="I337" s="285"/>
      <c r="J337" s="286"/>
      <c r="K337" s="287"/>
      <c r="L337" s="288"/>
      <c r="M337" s="289"/>
      <c r="N337" s="290"/>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row>
    <row r="338" spans="1:36" s="22" customFormat="1" x14ac:dyDescent="0.25">
      <c r="A338" s="28" t="str">
        <f>IF(H338&lt;&gt;"",MAX($A$7:A337)+1,"")</f>
        <v/>
      </c>
      <c r="B338" s="243" t="str">
        <f t="shared" si="40"/>
        <v/>
      </c>
      <c r="C338" s="273" t="str">
        <f t="shared" si="41"/>
        <v/>
      </c>
      <c r="D338" s="246"/>
      <c r="E338" s="284"/>
      <c r="F338" s="284"/>
      <c r="G338" s="248"/>
      <c r="H338" s="241"/>
      <c r="I338" s="285"/>
      <c r="J338" s="286"/>
      <c r="K338" s="287"/>
      <c r="L338" s="288"/>
      <c r="M338" s="289"/>
      <c r="N338" s="290"/>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row>
    <row r="339" spans="1:36" s="22" customFormat="1" x14ac:dyDescent="0.25">
      <c r="A339" s="28" t="str">
        <f>IF(H339&lt;&gt;"",MAX($A$7:A338)+1,"")</f>
        <v/>
      </c>
      <c r="B339" s="243" t="str">
        <f t="shared" si="40"/>
        <v/>
      </c>
      <c r="C339" s="273" t="str">
        <f t="shared" si="41"/>
        <v/>
      </c>
      <c r="D339" s="246"/>
      <c r="E339" s="284"/>
      <c r="F339" s="284"/>
      <c r="G339" s="248"/>
      <c r="H339" s="241"/>
      <c r="I339" s="285"/>
      <c r="J339" s="286"/>
      <c r="K339" s="287"/>
      <c r="L339" s="288"/>
      <c r="M339" s="289"/>
      <c r="N339" s="290"/>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row>
    <row r="340" spans="1:36" s="22" customFormat="1" x14ac:dyDescent="0.25">
      <c r="A340" s="28" t="str">
        <f>IF(H340&lt;&gt;"",MAX($A$7:A339)+1,"")</f>
        <v/>
      </c>
      <c r="B340" s="243" t="str">
        <f t="shared" si="40"/>
        <v/>
      </c>
      <c r="C340" s="273" t="str">
        <f t="shared" si="41"/>
        <v/>
      </c>
      <c r="D340" s="246"/>
      <c r="E340" s="284"/>
      <c r="F340" s="284"/>
      <c r="G340" s="248"/>
      <c r="H340" s="241"/>
      <c r="I340" s="285"/>
      <c r="J340" s="286"/>
      <c r="K340" s="287"/>
      <c r="L340" s="288"/>
      <c r="M340" s="289"/>
      <c r="N340" s="290"/>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row>
    <row r="341" spans="1:36" s="22" customFormat="1" x14ac:dyDescent="0.25">
      <c r="A341" s="28" t="str">
        <f>IF(H341&lt;&gt;"",MAX($A$7:A340)+1,"")</f>
        <v/>
      </c>
      <c r="B341" s="243" t="str">
        <f t="shared" si="40"/>
        <v/>
      </c>
      <c r="C341" s="273" t="str">
        <f t="shared" si="41"/>
        <v/>
      </c>
      <c r="D341" s="246"/>
      <c r="E341" s="284"/>
      <c r="F341" s="284"/>
      <c r="G341" s="248"/>
      <c r="H341" s="241"/>
      <c r="I341" s="285"/>
      <c r="J341" s="286"/>
      <c r="K341" s="287"/>
      <c r="L341" s="288"/>
      <c r="M341" s="289"/>
      <c r="N341" s="290"/>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row>
    <row r="342" spans="1:36" s="22" customFormat="1" x14ac:dyDescent="0.25">
      <c r="A342" s="28" t="str">
        <f>IF(H342&lt;&gt;"",MAX($A$7:A341)+1,"")</f>
        <v/>
      </c>
      <c r="B342" s="243" t="str">
        <f t="shared" si="40"/>
        <v/>
      </c>
      <c r="C342" s="273" t="str">
        <f t="shared" si="41"/>
        <v/>
      </c>
      <c r="D342" s="246"/>
      <c r="E342" s="284"/>
      <c r="F342" s="284"/>
      <c r="G342" s="248"/>
      <c r="H342" s="241"/>
      <c r="I342" s="285"/>
      <c r="J342" s="286"/>
      <c r="K342" s="287"/>
      <c r="L342" s="288"/>
      <c r="M342" s="289"/>
      <c r="N342" s="290"/>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row>
    <row r="343" spans="1:36" s="22" customFormat="1" x14ac:dyDescent="0.25">
      <c r="A343" s="28" t="str">
        <f>IF(H343&lt;&gt;"",MAX($A$7:A342)+1,"")</f>
        <v/>
      </c>
      <c r="B343" s="243" t="str">
        <f t="shared" si="40"/>
        <v/>
      </c>
      <c r="C343" s="273" t="str">
        <f t="shared" si="41"/>
        <v/>
      </c>
      <c r="D343" s="246"/>
      <c r="E343" s="284"/>
      <c r="F343" s="284"/>
      <c r="G343" s="248"/>
      <c r="H343" s="241"/>
      <c r="I343" s="285"/>
      <c r="J343" s="286"/>
      <c r="K343" s="287"/>
      <c r="L343" s="288"/>
      <c r="M343" s="289"/>
      <c r="N343" s="290"/>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row>
    <row r="344" spans="1:36" s="22" customFormat="1" x14ac:dyDescent="0.25">
      <c r="A344" s="28" t="str">
        <f>IF(H344&lt;&gt;"",MAX($A$7:A343)+1,"")</f>
        <v/>
      </c>
      <c r="B344" s="243" t="str">
        <f t="shared" si="40"/>
        <v/>
      </c>
      <c r="C344" s="273" t="str">
        <f t="shared" si="41"/>
        <v/>
      </c>
      <c r="D344" s="246"/>
      <c r="E344" s="284"/>
      <c r="F344" s="284"/>
      <c r="G344" s="248"/>
      <c r="H344" s="241"/>
      <c r="I344" s="285"/>
      <c r="J344" s="286"/>
      <c r="K344" s="287"/>
      <c r="L344" s="288"/>
      <c r="M344" s="289"/>
      <c r="N344" s="290"/>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row>
    <row r="345" spans="1:36" s="22" customFormat="1" x14ac:dyDescent="0.25">
      <c r="A345" s="28" t="str">
        <f>IF(H345&lt;&gt;"",MAX($A$7:A344)+1,"")</f>
        <v/>
      </c>
      <c r="B345" s="243" t="str">
        <f t="shared" si="40"/>
        <v/>
      </c>
      <c r="C345" s="273" t="str">
        <f t="shared" si="41"/>
        <v/>
      </c>
      <c r="D345" s="246"/>
      <c r="E345" s="284"/>
      <c r="F345" s="284"/>
      <c r="G345" s="248"/>
      <c r="H345" s="241"/>
      <c r="I345" s="285"/>
      <c r="J345" s="286"/>
      <c r="K345" s="287"/>
      <c r="L345" s="288"/>
      <c r="M345" s="289"/>
      <c r="N345" s="290"/>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row>
    <row r="346" spans="1:36" s="22" customFormat="1" x14ac:dyDescent="0.25">
      <c r="A346" s="28" t="str">
        <f>IF(H346&lt;&gt;"",MAX($A$7:A345)+1,"")</f>
        <v/>
      </c>
      <c r="B346" s="243" t="str">
        <f t="shared" si="40"/>
        <v/>
      </c>
      <c r="C346" s="273" t="str">
        <f t="shared" si="41"/>
        <v/>
      </c>
      <c r="D346" s="246"/>
      <c r="E346" s="284"/>
      <c r="F346" s="284"/>
      <c r="G346" s="248"/>
      <c r="H346" s="241"/>
      <c r="I346" s="285"/>
      <c r="J346" s="286"/>
      <c r="K346" s="287"/>
      <c r="L346" s="288"/>
      <c r="M346" s="289"/>
      <c r="N346" s="290"/>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row>
    <row r="347" spans="1:36" s="22" customFormat="1" x14ac:dyDescent="0.25">
      <c r="A347" s="28" t="str">
        <f>IF(H347&lt;&gt;"",MAX($A$7:A346)+1,"")</f>
        <v/>
      </c>
      <c r="B347" s="243" t="str">
        <f t="shared" si="40"/>
        <v/>
      </c>
      <c r="C347" s="273" t="str">
        <f t="shared" si="41"/>
        <v/>
      </c>
      <c r="D347" s="246"/>
      <c r="E347" s="284"/>
      <c r="F347" s="284"/>
      <c r="G347" s="248"/>
      <c r="H347" s="241"/>
      <c r="I347" s="285"/>
      <c r="J347" s="286"/>
      <c r="K347" s="287"/>
      <c r="L347" s="288"/>
      <c r="M347" s="289"/>
      <c r="N347" s="290"/>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row>
    <row r="348" spans="1:36" s="22" customFormat="1" x14ac:dyDescent="0.25">
      <c r="A348" s="28" t="str">
        <f>IF(H348&lt;&gt;"",MAX($A$7:A347)+1,"")</f>
        <v/>
      </c>
      <c r="B348" s="243" t="str">
        <f t="shared" si="40"/>
        <v/>
      </c>
      <c r="C348" s="273" t="str">
        <f t="shared" si="41"/>
        <v/>
      </c>
      <c r="D348" s="246"/>
      <c r="E348" s="284"/>
      <c r="F348" s="284"/>
      <c r="G348" s="248"/>
      <c r="H348" s="241"/>
      <c r="I348" s="285"/>
      <c r="J348" s="286"/>
      <c r="K348" s="287"/>
      <c r="L348" s="288"/>
      <c r="M348" s="289"/>
      <c r="N348" s="290"/>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row>
    <row r="349" spans="1:36" s="22" customFormat="1" x14ac:dyDescent="0.25">
      <c r="A349" s="28" t="str">
        <f>IF(H349&lt;&gt;"",MAX($A$7:A348)+1,"")</f>
        <v/>
      </c>
      <c r="B349" s="243" t="str">
        <f t="shared" si="40"/>
        <v/>
      </c>
      <c r="C349" s="273" t="str">
        <f t="shared" si="41"/>
        <v/>
      </c>
      <c r="D349" s="246"/>
      <c r="E349" s="284"/>
      <c r="F349" s="284"/>
      <c r="G349" s="248"/>
      <c r="H349" s="241"/>
      <c r="I349" s="285"/>
      <c r="J349" s="286"/>
      <c r="K349" s="287"/>
      <c r="L349" s="288"/>
      <c r="M349" s="289"/>
      <c r="N349" s="290"/>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row>
    <row r="350" spans="1:36" s="22" customFormat="1" x14ac:dyDescent="0.25">
      <c r="A350" s="28" t="str">
        <f>IF(H350&lt;&gt;"",MAX($A$7:A349)+1,"")</f>
        <v/>
      </c>
      <c r="B350" s="243" t="str">
        <f t="shared" si="40"/>
        <v/>
      </c>
      <c r="C350" s="273" t="str">
        <f t="shared" si="41"/>
        <v/>
      </c>
      <c r="D350" s="246"/>
      <c r="E350" s="284"/>
      <c r="F350" s="284"/>
      <c r="G350" s="248"/>
      <c r="H350" s="241"/>
      <c r="I350" s="285"/>
      <c r="J350" s="286"/>
      <c r="K350" s="287"/>
      <c r="L350" s="288"/>
      <c r="M350" s="289"/>
      <c r="N350" s="290"/>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row>
    <row r="351" spans="1:36" s="22" customFormat="1" x14ac:dyDescent="0.25">
      <c r="A351" s="28" t="str">
        <f>IF(H351&lt;&gt;"",MAX($A$7:A350)+1,"")</f>
        <v/>
      </c>
      <c r="B351" s="243" t="str">
        <f t="shared" si="40"/>
        <v/>
      </c>
      <c r="C351" s="273" t="str">
        <f t="shared" si="41"/>
        <v/>
      </c>
      <c r="D351" s="246"/>
      <c r="E351" s="284"/>
      <c r="F351" s="284"/>
      <c r="G351" s="248"/>
      <c r="H351" s="241"/>
      <c r="I351" s="285"/>
      <c r="J351" s="286"/>
      <c r="K351" s="287"/>
      <c r="L351" s="288"/>
      <c r="M351" s="289"/>
      <c r="N351" s="290"/>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row>
    <row r="352" spans="1:36" s="22" customFormat="1" x14ac:dyDescent="0.25">
      <c r="A352" s="28" t="str">
        <f>IF(H352&lt;&gt;"",MAX($A$7:A351)+1,"")</f>
        <v/>
      </c>
      <c r="B352" s="243" t="str">
        <f t="shared" si="40"/>
        <v/>
      </c>
      <c r="C352" s="273" t="str">
        <f t="shared" si="41"/>
        <v/>
      </c>
      <c r="D352" s="246"/>
      <c r="E352" s="284"/>
      <c r="F352" s="284"/>
      <c r="G352" s="248"/>
      <c r="H352" s="241"/>
      <c r="I352" s="285"/>
      <c r="J352" s="286"/>
      <c r="K352" s="287"/>
      <c r="L352" s="288"/>
      <c r="M352" s="289"/>
      <c r="N352" s="290"/>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row>
    <row r="353" spans="1:36" s="22" customFormat="1" x14ac:dyDescent="0.25">
      <c r="A353" s="28" t="str">
        <f>IF(H353&lt;&gt;"",MAX($A$7:A352)+1,"")</f>
        <v/>
      </c>
      <c r="B353" s="243" t="str">
        <f t="shared" si="40"/>
        <v/>
      </c>
      <c r="C353" s="273" t="str">
        <f t="shared" si="41"/>
        <v/>
      </c>
      <c r="D353" s="246"/>
      <c r="E353" s="284"/>
      <c r="F353" s="284"/>
      <c r="G353" s="248"/>
      <c r="H353" s="241"/>
      <c r="I353" s="285"/>
      <c r="J353" s="286"/>
      <c r="K353" s="287"/>
      <c r="L353" s="288"/>
      <c r="M353" s="289"/>
      <c r="N353" s="290"/>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row>
    <row r="354" spans="1:36" s="22" customFormat="1" x14ac:dyDescent="0.25">
      <c r="A354" s="28" t="str">
        <f>IF(H354&lt;&gt;"",MAX($A$7:A353)+1,"")</f>
        <v/>
      </c>
      <c r="B354" s="243" t="str">
        <f t="shared" si="40"/>
        <v/>
      </c>
      <c r="C354" s="273" t="str">
        <f t="shared" si="41"/>
        <v/>
      </c>
      <c r="D354" s="246"/>
      <c r="E354" s="284"/>
      <c r="F354" s="284"/>
      <c r="G354" s="248"/>
      <c r="H354" s="241"/>
      <c r="I354" s="285"/>
      <c r="J354" s="286"/>
      <c r="K354" s="287"/>
      <c r="L354" s="288"/>
      <c r="M354" s="289"/>
      <c r="N354" s="290"/>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row>
    <row r="355" spans="1:36" s="22" customFormat="1" x14ac:dyDescent="0.25">
      <c r="A355" s="28" t="str">
        <f>IF(H355&lt;&gt;"",MAX($A$7:A354)+1,"")</f>
        <v/>
      </c>
      <c r="B355" s="243" t="str">
        <f t="shared" si="40"/>
        <v/>
      </c>
      <c r="C355" s="273" t="str">
        <f t="shared" si="41"/>
        <v/>
      </c>
      <c r="D355" s="246"/>
      <c r="E355" s="284"/>
      <c r="F355" s="284"/>
      <c r="G355" s="248"/>
      <c r="H355" s="241"/>
      <c r="I355" s="285"/>
      <c r="J355" s="286"/>
      <c r="K355" s="287"/>
      <c r="L355" s="288"/>
      <c r="M355" s="289"/>
      <c r="N355" s="290"/>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row>
    <row r="356" spans="1:36" s="22" customFormat="1" x14ac:dyDescent="0.25">
      <c r="A356" s="28" t="str">
        <f>IF(H356&lt;&gt;"",MAX($A$7:A355)+1,"")</f>
        <v/>
      </c>
      <c r="B356" s="243" t="str">
        <f t="shared" si="40"/>
        <v/>
      </c>
      <c r="C356" s="273" t="str">
        <f t="shared" si="41"/>
        <v/>
      </c>
      <c r="D356" s="246"/>
      <c r="E356" s="284"/>
      <c r="F356" s="284"/>
      <c r="G356" s="248"/>
      <c r="H356" s="241"/>
      <c r="I356" s="285"/>
      <c r="J356" s="286"/>
      <c r="K356" s="287"/>
      <c r="L356" s="288"/>
      <c r="M356" s="289"/>
      <c r="N356" s="290"/>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row>
    <row r="357" spans="1:36" s="22" customFormat="1" x14ac:dyDescent="0.25">
      <c r="A357" s="28" t="str">
        <f>IF(H357&lt;&gt;"",MAX($A$7:A356)+1,"")</f>
        <v/>
      </c>
      <c r="B357" s="243" t="str">
        <f t="shared" si="40"/>
        <v/>
      </c>
      <c r="C357" s="273" t="str">
        <f t="shared" si="41"/>
        <v/>
      </c>
      <c r="D357" s="246"/>
      <c r="E357" s="284"/>
      <c r="F357" s="284"/>
      <c r="G357" s="248"/>
      <c r="H357" s="241"/>
      <c r="I357" s="285"/>
      <c r="J357" s="286"/>
      <c r="K357" s="287"/>
      <c r="L357" s="288"/>
      <c r="M357" s="289"/>
      <c r="N357" s="290"/>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row>
    <row r="358" spans="1:36" s="22" customFormat="1" x14ac:dyDescent="0.25">
      <c r="A358" s="28" t="str">
        <f>IF(H358&lt;&gt;"",MAX($A$7:A357)+1,"")</f>
        <v/>
      </c>
      <c r="B358" s="243" t="str">
        <f t="shared" si="40"/>
        <v/>
      </c>
      <c r="C358" s="273" t="str">
        <f t="shared" si="41"/>
        <v/>
      </c>
      <c r="D358" s="246"/>
      <c r="E358" s="284"/>
      <c r="F358" s="284"/>
      <c r="G358" s="248"/>
      <c r="H358" s="241"/>
      <c r="I358" s="285"/>
      <c r="J358" s="286"/>
      <c r="K358" s="287"/>
      <c r="L358" s="288"/>
      <c r="M358" s="289"/>
      <c r="N358" s="290"/>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row>
    <row r="359" spans="1:36" s="22" customFormat="1" x14ac:dyDescent="0.25">
      <c r="A359" s="28" t="str">
        <f>IF(H359&lt;&gt;"",MAX($A$7:A358)+1,"")</f>
        <v/>
      </c>
      <c r="B359" s="243" t="str">
        <f t="shared" si="40"/>
        <v/>
      </c>
      <c r="C359" s="273" t="str">
        <f t="shared" si="41"/>
        <v/>
      </c>
      <c r="D359" s="246"/>
      <c r="E359" s="284"/>
      <c r="F359" s="284"/>
      <c r="G359" s="248"/>
      <c r="H359" s="241"/>
      <c r="I359" s="285"/>
      <c r="J359" s="286"/>
      <c r="K359" s="287"/>
      <c r="L359" s="288"/>
      <c r="M359" s="289"/>
      <c r="N359" s="290"/>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row>
    <row r="360" spans="1:36" s="22" customFormat="1" x14ac:dyDescent="0.25">
      <c r="A360" s="28" t="str">
        <f>IF(H360&lt;&gt;"",MAX($A$7:A359)+1,"")</f>
        <v/>
      </c>
      <c r="B360" s="243" t="str">
        <f t="shared" si="40"/>
        <v/>
      </c>
      <c r="C360" s="273" t="str">
        <f t="shared" si="41"/>
        <v/>
      </c>
      <c r="D360" s="246"/>
      <c r="E360" s="284"/>
      <c r="F360" s="284"/>
      <c r="G360" s="248"/>
      <c r="H360" s="241"/>
      <c r="I360" s="285"/>
      <c r="J360" s="286"/>
      <c r="K360" s="287"/>
      <c r="L360" s="288"/>
      <c r="M360" s="289"/>
      <c r="N360" s="290"/>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row>
    <row r="361" spans="1:36" s="22" customFormat="1" x14ac:dyDescent="0.25">
      <c r="A361" s="28" t="str">
        <f>IF(H361&lt;&gt;"",MAX($A$7:A360)+1,"")</f>
        <v/>
      </c>
      <c r="B361" s="243" t="str">
        <f t="shared" si="40"/>
        <v/>
      </c>
      <c r="C361" s="273" t="str">
        <f t="shared" si="41"/>
        <v/>
      </c>
      <c r="D361" s="246"/>
      <c r="E361" s="284"/>
      <c r="F361" s="284"/>
      <c r="G361" s="248"/>
      <c r="H361" s="241"/>
      <c r="I361" s="285"/>
      <c r="J361" s="286"/>
      <c r="K361" s="287"/>
      <c r="L361" s="288"/>
      <c r="M361" s="289"/>
      <c r="N361" s="290"/>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row>
    <row r="362" spans="1:36" s="22" customFormat="1" x14ac:dyDescent="0.25">
      <c r="A362" s="28" t="str">
        <f>IF(H362&lt;&gt;"",MAX($A$7:A361)+1,"")</f>
        <v/>
      </c>
      <c r="B362" s="243" t="str">
        <f t="shared" si="40"/>
        <v/>
      </c>
      <c r="C362" s="273" t="str">
        <f t="shared" si="41"/>
        <v/>
      </c>
      <c r="D362" s="246"/>
      <c r="E362" s="284"/>
      <c r="F362" s="284"/>
      <c r="G362" s="248"/>
      <c r="H362" s="241"/>
      <c r="I362" s="285"/>
      <c r="J362" s="286"/>
      <c r="K362" s="287"/>
      <c r="L362" s="288"/>
      <c r="M362" s="289"/>
      <c r="N362" s="290"/>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row>
    <row r="363" spans="1:36" s="22" customFormat="1" x14ac:dyDescent="0.25">
      <c r="A363" s="28" t="str">
        <f>IF(H363&lt;&gt;"",MAX($A$7:A362)+1,"")</f>
        <v/>
      </c>
      <c r="B363" s="243" t="str">
        <f t="shared" si="40"/>
        <v/>
      </c>
      <c r="C363" s="273" t="str">
        <f t="shared" si="41"/>
        <v/>
      </c>
      <c r="D363" s="246"/>
      <c r="E363" s="284"/>
      <c r="F363" s="284"/>
      <c r="G363" s="248"/>
      <c r="H363" s="241"/>
      <c r="I363" s="285"/>
      <c r="J363" s="286"/>
      <c r="K363" s="287"/>
      <c r="L363" s="288"/>
      <c r="M363" s="289"/>
      <c r="N363" s="290"/>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row>
    <row r="364" spans="1:36" s="22" customFormat="1" x14ac:dyDescent="0.25">
      <c r="A364" s="28" t="str">
        <f>IF(H364&lt;&gt;"",MAX($A$7:A363)+1,"")</f>
        <v/>
      </c>
      <c r="B364" s="243" t="str">
        <f t="shared" si="40"/>
        <v/>
      </c>
      <c r="C364" s="273" t="str">
        <f t="shared" si="41"/>
        <v/>
      </c>
      <c r="D364" s="246"/>
      <c r="E364" s="284"/>
      <c r="F364" s="284"/>
      <c r="G364" s="248"/>
      <c r="H364" s="241"/>
      <c r="I364" s="285"/>
      <c r="J364" s="286"/>
      <c r="K364" s="287"/>
      <c r="L364" s="288"/>
      <c r="M364" s="289"/>
      <c r="N364" s="290"/>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row>
    <row r="365" spans="1:36" s="22" customFormat="1" x14ac:dyDescent="0.25">
      <c r="A365" s="28" t="str">
        <f>IF(H365&lt;&gt;"",MAX($A$7:A364)+1,"")</f>
        <v/>
      </c>
      <c r="B365" s="243" t="str">
        <f t="shared" si="40"/>
        <v/>
      </c>
      <c r="C365" s="273" t="str">
        <f t="shared" si="41"/>
        <v/>
      </c>
      <c r="D365" s="246"/>
      <c r="E365" s="284"/>
      <c r="F365" s="284"/>
      <c r="G365" s="248"/>
      <c r="H365" s="241"/>
      <c r="I365" s="285"/>
      <c r="J365" s="286"/>
      <c r="K365" s="287"/>
      <c r="L365" s="288"/>
      <c r="M365" s="289"/>
      <c r="N365" s="290"/>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row>
    <row r="366" spans="1:36" s="22" customFormat="1" x14ac:dyDescent="0.25">
      <c r="A366" s="28" t="str">
        <f>IF(H366&lt;&gt;"",MAX($A$7:A365)+1,"")</f>
        <v/>
      </c>
      <c r="B366" s="243" t="str">
        <f t="shared" si="40"/>
        <v/>
      </c>
      <c r="C366" s="273" t="str">
        <f t="shared" si="41"/>
        <v/>
      </c>
      <c r="D366" s="246"/>
      <c r="E366" s="284"/>
      <c r="F366" s="284"/>
      <c r="G366" s="248"/>
      <c r="H366" s="241"/>
      <c r="I366" s="285"/>
      <c r="J366" s="286"/>
      <c r="K366" s="287"/>
      <c r="L366" s="288"/>
      <c r="M366" s="289"/>
      <c r="N366" s="290"/>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row>
    <row r="367" spans="1:36" s="22" customFormat="1" x14ac:dyDescent="0.25">
      <c r="A367" s="28" t="str">
        <f>IF(H367&lt;&gt;"",MAX($A$7:A366)+1,"")</f>
        <v/>
      </c>
      <c r="B367" s="243" t="str">
        <f t="shared" si="40"/>
        <v/>
      </c>
      <c r="C367" s="273" t="str">
        <f t="shared" si="41"/>
        <v/>
      </c>
      <c r="D367" s="246"/>
      <c r="E367" s="284"/>
      <c r="F367" s="284"/>
      <c r="G367" s="248"/>
      <c r="H367" s="241"/>
      <c r="I367" s="285"/>
      <c r="J367" s="286"/>
      <c r="K367" s="287"/>
      <c r="L367" s="288"/>
      <c r="M367" s="289"/>
      <c r="N367" s="290"/>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row>
    <row r="368" spans="1:36" s="22" customFormat="1" x14ac:dyDescent="0.25">
      <c r="A368" s="28" t="str">
        <f>IF(H368&lt;&gt;"",MAX($A$7:A367)+1,"")</f>
        <v/>
      </c>
      <c r="B368" s="243" t="str">
        <f t="shared" si="40"/>
        <v/>
      </c>
      <c r="C368" s="273" t="str">
        <f t="shared" si="41"/>
        <v/>
      </c>
      <c r="D368" s="246"/>
      <c r="E368" s="284"/>
      <c r="F368" s="284"/>
      <c r="G368" s="248"/>
      <c r="H368" s="241"/>
      <c r="I368" s="285"/>
      <c r="J368" s="286"/>
      <c r="K368" s="287"/>
      <c r="L368" s="288"/>
      <c r="M368" s="289"/>
      <c r="N368" s="290"/>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row>
    <row r="369" spans="1:36" s="22" customFormat="1" x14ac:dyDescent="0.25">
      <c r="A369" s="28" t="str">
        <f>IF(H369&lt;&gt;"",MAX($A$7:A368)+1,"")</f>
        <v/>
      </c>
      <c r="B369" s="243" t="str">
        <f t="shared" si="40"/>
        <v/>
      </c>
      <c r="C369" s="273" t="str">
        <f t="shared" si="41"/>
        <v/>
      </c>
      <c r="D369" s="246"/>
      <c r="E369" s="284"/>
      <c r="F369" s="284"/>
      <c r="G369" s="248"/>
      <c r="H369" s="241"/>
      <c r="I369" s="285"/>
      <c r="J369" s="286"/>
      <c r="K369" s="287"/>
      <c r="L369" s="288"/>
      <c r="M369" s="289"/>
      <c r="N369" s="290"/>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row>
    <row r="370" spans="1:36" s="22" customFormat="1" x14ac:dyDescent="0.25">
      <c r="A370" s="28" t="str">
        <f>IF(H370&lt;&gt;"",MAX($A$7:A369)+1,"")</f>
        <v/>
      </c>
      <c r="B370" s="243" t="str">
        <f t="shared" si="40"/>
        <v/>
      </c>
      <c r="C370" s="273" t="str">
        <f t="shared" si="41"/>
        <v/>
      </c>
      <c r="D370" s="246"/>
      <c r="E370" s="284"/>
      <c r="F370" s="284"/>
      <c r="G370" s="248"/>
      <c r="H370" s="241"/>
      <c r="I370" s="285"/>
      <c r="J370" s="286"/>
      <c r="K370" s="287"/>
      <c r="L370" s="288"/>
      <c r="M370" s="289"/>
      <c r="N370" s="290"/>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row>
    <row r="371" spans="1:36" s="22" customFormat="1" x14ac:dyDescent="0.25">
      <c r="A371" s="28" t="str">
        <f>IF(H371&lt;&gt;"",MAX($A$7:A370)+1,"")</f>
        <v/>
      </c>
      <c r="B371" s="243" t="str">
        <f t="shared" si="40"/>
        <v/>
      </c>
      <c r="C371" s="273" t="str">
        <f t="shared" si="41"/>
        <v/>
      </c>
      <c r="D371" s="246"/>
      <c r="E371" s="284"/>
      <c r="F371" s="284"/>
      <c r="G371" s="248"/>
      <c r="H371" s="241"/>
      <c r="I371" s="285"/>
      <c r="J371" s="286"/>
      <c r="K371" s="287"/>
      <c r="L371" s="288"/>
      <c r="M371" s="289"/>
      <c r="N371" s="290"/>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row>
    <row r="372" spans="1:36" s="22" customFormat="1" x14ac:dyDescent="0.25">
      <c r="A372" s="28" t="str">
        <f>IF(H372&lt;&gt;"",MAX($A$7:A371)+1,"")</f>
        <v/>
      </c>
      <c r="B372" s="243" t="str">
        <f t="shared" si="40"/>
        <v/>
      </c>
      <c r="C372" s="273" t="str">
        <f t="shared" si="41"/>
        <v/>
      </c>
      <c r="D372" s="246"/>
      <c r="E372" s="284"/>
      <c r="F372" s="284"/>
      <c r="G372" s="248"/>
      <c r="H372" s="241"/>
      <c r="I372" s="285"/>
      <c r="J372" s="286"/>
      <c r="K372" s="287"/>
      <c r="L372" s="288"/>
      <c r="M372" s="289"/>
      <c r="N372" s="290"/>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row>
    <row r="373" spans="1:36" s="22" customFormat="1" x14ac:dyDescent="0.25">
      <c r="A373" s="28" t="str">
        <f>IF(H373&lt;&gt;"",MAX($A$7:A372)+1,"")</f>
        <v/>
      </c>
      <c r="B373" s="243" t="str">
        <f t="shared" si="40"/>
        <v/>
      </c>
      <c r="C373" s="273" t="str">
        <f t="shared" si="41"/>
        <v/>
      </c>
      <c r="D373" s="246"/>
      <c r="E373" s="284"/>
      <c r="F373" s="284"/>
      <c r="G373" s="248"/>
      <c r="H373" s="241"/>
      <c r="I373" s="285"/>
      <c r="J373" s="286"/>
      <c r="K373" s="287"/>
      <c r="L373" s="288"/>
      <c r="M373" s="289"/>
      <c r="N373" s="290"/>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row>
    <row r="374" spans="1:36" s="22" customFormat="1" x14ac:dyDescent="0.25">
      <c r="A374" s="28" t="str">
        <f>IF(H374&lt;&gt;"",MAX($A$7:A373)+1,"")</f>
        <v/>
      </c>
      <c r="B374" s="243" t="str">
        <f t="shared" si="40"/>
        <v/>
      </c>
      <c r="C374" s="273" t="str">
        <f t="shared" si="41"/>
        <v/>
      </c>
      <c r="D374" s="246"/>
      <c r="E374" s="284"/>
      <c r="F374" s="284"/>
      <c r="G374" s="248"/>
      <c r="H374" s="241"/>
      <c r="I374" s="285"/>
      <c r="J374" s="286"/>
      <c r="K374" s="287"/>
      <c r="L374" s="288"/>
      <c r="M374" s="289"/>
      <c r="N374" s="290"/>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row>
    <row r="375" spans="1:36" s="22" customFormat="1" x14ac:dyDescent="0.25">
      <c r="A375" s="28" t="str">
        <f>IF(H375&lt;&gt;"",MAX($A$7:A374)+1,"")</f>
        <v/>
      </c>
      <c r="B375" s="243" t="str">
        <f t="shared" si="40"/>
        <v/>
      </c>
      <c r="C375" s="273" t="str">
        <f t="shared" si="41"/>
        <v/>
      </c>
      <c r="D375" s="246"/>
      <c r="E375" s="284"/>
      <c r="F375" s="284"/>
      <c r="G375" s="248"/>
      <c r="H375" s="241"/>
      <c r="I375" s="285"/>
      <c r="J375" s="286"/>
      <c r="K375" s="287"/>
      <c r="L375" s="288"/>
      <c r="M375" s="289"/>
      <c r="N375" s="290"/>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row>
    <row r="376" spans="1:36" s="22" customFormat="1" x14ac:dyDescent="0.25">
      <c r="A376" s="28" t="str">
        <f>IF(H376&lt;&gt;"",MAX($A$7:A375)+1,"")</f>
        <v/>
      </c>
      <c r="B376" s="243" t="str">
        <f t="shared" si="40"/>
        <v/>
      </c>
      <c r="C376" s="273" t="str">
        <f t="shared" si="41"/>
        <v/>
      </c>
      <c r="D376" s="246"/>
      <c r="E376" s="284"/>
      <c r="F376" s="284"/>
      <c r="G376" s="248"/>
      <c r="H376" s="241"/>
      <c r="I376" s="285"/>
      <c r="J376" s="286"/>
      <c r="K376" s="287"/>
      <c r="L376" s="288"/>
      <c r="M376" s="289"/>
      <c r="N376" s="290"/>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row>
    <row r="377" spans="1:36" s="22" customFormat="1" x14ac:dyDescent="0.25">
      <c r="A377" s="28" t="str">
        <f>IF(H377&lt;&gt;"",MAX($A$7:A376)+1,"")</f>
        <v/>
      </c>
      <c r="B377" s="243" t="str">
        <f t="shared" si="40"/>
        <v/>
      </c>
      <c r="C377" s="273" t="str">
        <f t="shared" si="41"/>
        <v/>
      </c>
      <c r="D377" s="246"/>
      <c r="E377" s="284"/>
      <c r="F377" s="284"/>
      <c r="G377" s="248"/>
      <c r="H377" s="241"/>
      <c r="I377" s="285"/>
      <c r="J377" s="286"/>
      <c r="K377" s="287"/>
      <c r="L377" s="288"/>
      <c r="M377" s="289"/>
      <c r="N377" s="290"/>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row>
    <row r="378" spans="1:36" s="22" customFormat="1" x14ac:dyDescent="0.25">
      <c r="A378" s="28" t="str">
        <f>IF(H378&lt;&gt;"",MAX($A$7:A377)+1,"")</f>
        <v/>
      </c>
      <c r="B378" s="243" t="str">
        <f t="shared" si="40"/>
        <v/>
      </c>
      <c r="C378" s="273" t="str">
        <f t="shared" si="41"/>
        <v/>
      </c>
      <c r="D378" s="246"/>
      <c r="E378" s="284"/>
      <c r="F378" s="284"/>
      <c r="G378" s="248"/>
      <c r="H378" s="241"/>
      <c r="I378" s="285"/>
      <c r="J378" s="286"/>
      <c r="K378" s="287"/>
      <c r="L378" s="288"/>
      <c r="M378" s="289"/>
      <c r="N378" s="290"/>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row>
    <row r="379" spans="1:36" s="22" customFormat="1" x14ac:dyDescent="0.25">
      <c r="A379" s="28" t="str">
        <f>IF(H379&lt;&gt;"",MAX($A$7:A378)+1,"")</f>
        <v/>
      </c>
      <c r="B379" s="243" t="str">
        <f t="shared" si="40"/>
        <v/>
      </c>
      <c r="C379" s="273" t="str">
        <f t="shared" si="41"/>
        <v/>
      </c>
      <c r="D379" s="246"/>
      <c r="E379" s="284"/>
      <c r="F379" s="284"/>
      <c r="G379" s="248"/>
      <c r="H379" s="241"/>
      <c r="I379" s="285"/>
      <c r="J379" s="286"/>
      <c r="K379" s="287"/>
      <c r="L379" s="288"/>
      <c r="M379" s="289"/>
      <c r="N379" s="290"/>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row>
    <row r="380" spans="1:36" s="22" customFormat="1" x14ac:dyDescent="0.25">
      <c r="A380" s="28" t="str">
        <f>IF(H380&lt;&gt;"",MAX($A$7:A379)+1,"")</f>
        <v/>
      </c>
      <c r="B380" s="243" t="str">
        <f t="shared" si="40"/>
        <v/>
      </c>
      <c r="C380" s="273" t="str">
        <f t="shared" si="41"/>
        <v/>
      </c>
      <c r="D380" s="246"/>
      <c r="E380" s="284"/>
      <c r="F380" s="284"/>
      <c r="G380" s="248"/>
      <c r="H380" s="241"/>
      <c r="I380" s="285"/>
      <c r="J380" s="286"/>
      <c r="K380" s="287"/>
      <c r="L380" s="288"/>
      <c r="M380" s="289"/>
      <c r="N380" s="290"/>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row>
    <row r="381" spans="1:36" s="22" customFormat="1" x14ac:dyDescent="0.25">
      <c r="A381" s="28" t="str">
        <f>IF(H381&lt;&gt;"",MAX($A$7:A380)+1,"")</f>
        <v/>
      </c>
      <c r="B381" s="243" t="str">
        <f t="shared" si="40"/>
        <v/>
      </c>
      <c r="C381" s="273" t="str">
        <f t="shared" si="41"/>
        <v/>
      </c>
      <c r="D381" s="246"/>
      <c r="E381" s="284"/>
      <c r="F381" s="284"/>
      <c r="G381" s="248"/>
      <c r="H381" s="241"/>
      <c r="I381" s="285"/>
      <c r="J381" s="286"/>
      <c r="K381" s="287"/>
      <c r="L381" s="288"/>
      <c r="M381" s="289"/>
      <c r="N381" s="290"/>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row>
    <row r="382" spans="1:36" s="22" customFormat="1" x14ac:dyDescent="0.25">
      <c r="A382" s="28" t="str">
        <f>IF(H382&lt;&gt;"",MAX($A$7:A381)+1,"")</f>
        <v/>
      </c>
      <c r="B382" s="243" t="str">
        <f t="shared" si="40"/>
        <v/>
      </c>
      <c r="C382" s="273" t="str">
        <f t="shared" si="41"/>
        <v/>
      </c>
      <c r="D382" s="246"/>
      <c r="E382" s="284"/>
      <c r="F382" s="284"/>
      <c r="G382" s="248"/>
      <c r="H382" s="241"/>
      <c r="I382" s="285"/>
      <c r="J382" s="286"/>
      <c r="K382" s="287"/>
      <c r="L382" s="288"/>
      <c r="M382" s="289"/>
      <c r="N382" s="290"/>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row>
    <row r="383" spans="1:36" s="22" customFormat="1" x14ac:dyDescent="0.25">
      <c r="A383" s="28" t="str">
        <f>IF(H383&lt;&gt;"",MAX($A$7:A382)+1,"")</f>
        <v/>
      </c>
      <c r="B383" s="243" t="str">
        <f t="shared" si="40"/>
        <v/>
      </c>
      <c r="C383" s="273" t="str">
        <f t="shared" si="41"/>
        <v/>
      </c>
      <c r="D383" s="246"/>
      <c r="E383" s="284"/>
      <c r="F383" s="284"/>
      <c r="G383" s="248"/>
      <c r="H383" s="241"/>
      <c r="I383" s="285"/>
      <c r="J383" s="286"/>
      <c r="K383" s="287"/>
      <c r="L383" s="288"/>
      <c r="M383" s="289"/>
      <c r="N383" s="290"/>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row>
    <row r="384" spans="1:36" s="22" customFormat="1" x14ac:dyDescent="0.25">
      <c r="A384" s="28" t="str">
        <f>IF(H384&lt;&gt;"",MAX($A$7:A383)+1,"")</f>
        <v/>
      </c>
      <c r="B384" s="243" t="str">
        <f t="shared" si="40"/>
        <v/>
      </c>
      <c r="C384" s="273" t="str">
        <f t="shared" si="41"/>
        <v/>
      </c>
      <c r="D384" s="246"/>
      <c r="E384" s="284"/>
      <c r="F384" s="284"/>
      <c r="G384" s="248"/>
      <c r="H384" s="241"/>
      <c r="I384" s="285"/>
      <c r="J384" s="286"/>
      <c r="K384" s="287"/>
      <c r="L384" s="288"/>
      <c r="M384" s="289"/>
      <c r="N384" s="290"/>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row>
    <row r="385" spans="1:36" s="22" customFormat="1" x14ac:dyDescent="0.25">
      <c r="A385" s="28" t="str">
        <f>IF(H385&lt;&gt;"",MAX($A$7:A384)+1,"")</f>
        <v/>
      </c>
      <c r="B385" s="243" t="str">
        <f t="shared" si="40"/>
        <v/>
      </c>
      <c r="C385" s="273" t="str">
        <f t="shared" si="41"/>
        <v/>
      </c>
      <c r="D385" s="246"/>
      <c r="E385" s="284"/>
      <c r="F385" s="284"/>
      <c r="G385" s="248"/>
      <c r="H385" s="241"/>
      <c r="I385" s="285"/>
      <c r="J385" s="286"/>
      <c r="K385" s="287"/>
      <c r="L385" s="288"/>
      <c r="M385" s="289"/>
      <c r="N385" s="290"/>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row>
    <row r="386" spans="1:36" s="22" customFormat="1" x14ac:dyDescent="0.25">
      <c r="A386" s="28" t="str">
        <f>IF(H386&lt;&gt;"",MAX($A$7:A385)+1,"")</f>
        <v/>
      </c>
      <c r="B386" s="243" t="str">
        <f t="shared" si="40"/>
        <v/>
      </c>
      <c r="C386" s="273" t="str">
        <f t="shared" si="41"/>
        <v/>
      </c>
      <c r="D386" s="246"/>
      <c r="E386" s="284"/>
      <c r="F386" s="284"/>
      <c r="G386" s="248"/>
      <c r="H386" s="241"/>
      <c r="I386" s="285"/>
      <c r="J386" s="286"/>
      <c r="K386" s="287"/>
      <c r="L386" s="288"/>
      <c r="M386" s="289"/>
      <c r="N386" s="290"/>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row>
    <row r="387" spans="1:36" s="22" customFormat="1" x14ac:dyDescent="0.25">
      <c r="A387" s="28" t="str">
        <f>IF(H387&lt;&gt;"",MAX($A$7:A386)+1,"")</f>
        <v/>
      </c>
      <c r="B387" s="243" t="str">
        <f t="shared" si="40"/>
        <v/>
      </c>
      <c r="C387" s="273" t="str">
        <f t="shared" si="41"/>
        <v/>
      </c>
      <c r="D387" s="246"/>
      <c r="E387" s="284"/>
      <c r="F387" s="284"/>
      <c r="G387" s="248"/>
      <c r="H387" s="241"/>
      <c r="I387" s="285"/>
      <c r="J387" s="286"/>
      <c r="K387" s="287"/>
      <c r="L387" s="288"/>
      <c r="M387" s="289"/>
      <c r="N387" s="290"/>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row>
    <row r="388" spans="1:36" s="22" customFormat="1" x14ac:dyDescent="0.25">
      <c r="A388" s="28" t="str">
        <f>IF(H388&lt;&gt;"",MAX($A$7:A387)+1,"")</f>
        <v/>
      </c>
      <c r="B388" s="243" t="str">
        <f t="shared" si="40"/>
        <v/>
      </c>
      <c r="C388" s="273" t="str">
        <f t="shared" si="41"/>
        <v/>
      </c>
      <c r="D388" s="246"/>
      <c r="E388" s="284"/>
      <c r="F388" s="284"/>
      <c r="G388" s="248"/>
      <c r="H388" s="241"/>
      <c r="I388" s="285"/>
      <c r="J388" s="286"/>
      <c r="K388" s="287"/>
      <c r="L388" s="288"/>
      <c r="M388" s="289"/>
      <c r="N388" s="290"/>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row>
    <row r="389" spans="1:36" s="22" customFormat="1" x14ac:dyDescent="0.25">
      <c r="A389" s="28" t="str">
        <f>IF(H389&lt;&gt;"",MAX($A$7:A388)+1,"")</f>
        <v/>
      </c>
      <c r="B389" s="243" t="str">
        <f t="shared" si="40"/>
        <v/>
      </c>
      <c r="C389" s="273" t="str">
        <f t="shared" si="41"/>
        <v/>
      </c>
      <c r="D389" s="246"/>
      <c r="E389" s="284"/>
      <c r="F389" s="284"/>
      <c r="G389" s="248"/>
      <c r="H389" s="241"/>
      <c r="I389" s="285"/>
      <c r="J389" s="286"/>
      <c r="K389" s="287"/>
      <c r="L389" s="288"/>
      <c r="M389" s="289"/>
      <c r="N389" s="290"/>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row>
    <row r="390" spans="1:36" s="22" customFormat="1" x14ac:dyDescent="0.25">
      <c r="A390" s="28" t="str">
        <f>IF(H390&lt;&gt;"",MAX($A$7:A389)+1,"")</f>
        <v/>
      </c>
      <c r="B390" s="243" t="str">
        <f t="shared" si="40"/>
        <v/>
      </c>
      <c r="C390" s="273" t="str">
        <f t="shared" si="41"/>
        <v/>
      </c>
      <c r="D390" s="246"/>
      <c r="E390" s="284"/>
      <c r="F390" s="284"/>
      <c r="G390" s="248"/>
      <c r="H390" s="241"/>
      <c r="I390" s="285"/>
      <c r="J390" s="286"/>
      <c r="K390" s="287"/>
      <c r="L390" s="288"/>
      <c r="M390" s="289"/>
      <c r="N390" s="290"/>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row>
    <row r="391" spans="1:36" s="22" customFormat="1" x14ac:dyDescent="0.25">
      <c r="A391" s="28" t="str">
        <f>IF(H391&lt;&gt;"",MAX($A$7:A390)+1,"")</f>
        <v/>
      </c>
      <c r="B391" s="243" t="str">
        <f t="shared" ref="B391:B454" si="42">IF(A391="","",PREF_PREGUNTA&amp;" - "&amp;IF(MAX(A:A)&gt;99,IF(A391&lt;100,"0",""),"")&amp;IF(A391&lt;10,"0","")&amp;A391&amp;IF(G391&lt;&gt;""," "&amp;G391,""))</f>
        <v/>
      </c>
      <c r="C391" s="273" t="str">
        <f t="shared" ref="C391:C454" si="43">IF(COUNTA(I391:N391)-D391=0,"",COUNTA(I391:N391)-D391)</f>
        <v/>
      </c>
      <c r="D391" s="246"/>
      <c r="E391" s="284"/>
      <c r="F391" s="284"/>
      <c r="G391" s="248"/>
      <c r="H391" s="241"/>
      <c r="I391" s="285"/>
      <c r="J391" s="286"/>
      <c r="K391" s="287"/>
      <c r="L391" s="288"/>
      <c r="M391" s="289"/>
      <c r="N391" s="290"/>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row>
    <row r="392" spans="1:36" s="22" customFormat="1" x14ac:dyDescent="0.25">
      <c r="A392" s="28" t="str">
        <f>IF(H392&lt;&gt;"",MAX($A$7:A391)+1,"")</f>
        <v/>
      </c>
      <c r="B392" s="243" t="str">
        <f t="shared" si="42"/>
        <v/>
      </c>
      <c r="C392" s="273" t="str">
        <f t="shared" si="43"/>
        <v/>
      </c>
      <c r="D392" s="246"/>
      <c r="E392" s="284"/>
      <c r="F392" s="284"/>
      <c r="G392" s="248"/>
      <c r="H392" s="241"/>
      <c r="I392" s="285"/>
      <c r="J392" s="286"/>
      <c r="K392" s="287"/>
      <c r="L392" s="288"/>
      <c r="M392" s="289"/>
      <c r="N392" s="290"/>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row>
    <row r="393" spans="1:36" s="22" customFormat="1" x14ac:dyDescent="0.25">
      <c r="A393" s="28" t="str">
        <f>IF(H393&lt;&gt;"",MAX($A$7:A392)+1,"")</f>
        <v/>
      </c>
      <c r="B393" s="243" t="str">
        <f t="shared" si="42"/>
        <v/>
      </c>
      <c r="C393" s="273" t="str">
        <f t="shared" si="43"/>
        <v/>
      </c>
      <c r="D393" s="246"/>
      <c r="E393" s="284"/>
      <c r="F393" s="284"/>
      <c r="G393" s="248"/>
      <c r="H393" s="241"/>
      <c r="I393" s="285"/>
      <c r="J393" s="286"/>
      <c r="K393" s="287"/>
      <c r="L393" s="288"/>
      <c r="M393" s="289"/>
      <c r="N393" s="290"/>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row>
    <row r="394" spans="1:36" s="22" customFormat="1" x14ac:dyDescent="0.25">
      <c r="A394" s="28" t="str">
        <f>IF(H394&lt;&gt;"",MAX($A$7:A393)+1,"")</f>
        <v/>
      </c>
      <c r="B394" s="243" t="str">
        <f t="shared" si="42"/>
        <v/>
      </c>
      <c r="C394" s="273" t="str">
        <f t="shared" si="43"/>
        <v/>
      </c>
      <c r="D394" s="246"/>
      <c r="E394" s="284"/>
      <c r="F394" s="284"/>
      <c r="G394" s="248"/>
      <c r="H394" s="241"/>
      <c r="I394" s="285"/>
      <c r="J394" s="286"/>
      <c r="K394" s="287"/>
      <c r="L394" s="288"/>
      <c r="M394" s="289"/>
      <c r="N394" s="290"/>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row>
    <row r="395" spans="1:36" s="22" customFormat="1" x14ac:dyDescent="0.25">
      <c r="A395" s="28" t="str">
        <f>IF(H395&lt;&gt;"",MAX($A$7:A394)+1,"")</f>
        <v/>
      </c>
      <c r="B395" s="243" t="str">
        <f t="shared" si="42"/>
        <v/>
      </c>
      <c r="C395" s="273" t="str">
        <f t="shared" si="43"/>
        <v/>
      </c>
      <c r="D395" s="246"/>
      <c r="E395" s="284"/>
      <c r="F395" s="284"/>
      <c r="G395" s="248"/>
      <c r="H395" s="241"/>
      <c r="I395" s="285"/>
      <c r="J395" s="286"/>
      <c r="K395" s="287"/>
      <c r="L395" s="288"/>
      <c r="M395" s="289"/>
      <c r="N395" s="290"/>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row>
    <row r="396" spans="1:36" s="22" customFormat="1" x14ac:dyDescent="0.25">
      <c r="A396" s="28" t="str">
        <f>IF(H396&lt;&gt;"",MAX($A$7:A395)+1,"")</f>
        <v/>
      </c>
      <c r="B396" s="243" t="str">
        <f t="shared" si="42"/>
        <v/>
      </c>
      <c r="C396" s="273" t="str">
        <f t="shared" si="43"/>
        <v/>
      </c>
      <c r="D396" s="246"/>
      <c r="E396" s="284"/>
      <c r="F396" s="284"/>
      <c r="G396" s="248"/>
      <c r="H396" s="241"/>
      <c r="I396" s="285"/>
      <c r="J396" s="286"/>
      <c r="K396" s="287"/>
      <c r="L396" s="288"/>
      <c r="M396" s="289"/>
      <c r="N396" s="290"/>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row>
    <row r="397" spans="1:36" s="22" customFormat="1" x14ac:dyDescent="0.25">
      <c r="A397" s="28" t="str">
        <f>IF(H397&lt;&gt;"",MAX($A$7:A396)+1,"")</f>
        <v/>
      </c>
      <c r="B397" s="243" t="str">
        <f t="shared" si="42"/>
        <v/>
      </c>
      <c r="C397" s="273" t="str">
        <f t="shared" si="43"/>
        <v/>
      </c>
      <c r="D397" s="246"/>
      <c r="E397" s="284"/>
      <c r="F397" s="284"/>
      <c r="G397" s="248"/>
      <c r="H397" s="241"/>
      <c r="I397" s="285"/>
      <c r="J397" s="286"/>
      <c r="K397" s="287"/>
      <c r="L397" s="288"/>
      <c r="M397" s="289"/>
      <c r="N397" s="290"/>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row>
    <row r="398" spans="1:36" s="22" customFormat="1" x14ac:dyDescent="0.25">
      <c r="A398" s="28" t="str">
        <f>IF(H398&lt;&gt;"",MAX($A$7:A397)+1,"")</f>
        <v/>
      </c>
      <c r="B398" s="243" t="str">
        <f t="shared" si="42"/>
        <v/>
      </c>
      <c r="C398" s="273" t="str">
        <f t="shared" si="43"/>
        <v/>
      </c>
      <c r="D398" s="246"/>
      <c r="E398" s="284"/>
      <c r="F398" s="284"/>
      <c r="G398" s="248"/>
      <c r="H398" s="241"/>
      <c r="I398" s="285"/>
      <c r="J398" s="286"/>
      <c r="K398" s="287"/>
      <c r="L398" s="288"/>
      <c r="M398" s="289"/>
      <c r="N398" s="290"/>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row>
    <row r="399" spans="1:36" s="22" customFormat="1" x14ac:dyDescent="0.25">
      <c r="A399" s="28" t="str">
        <f>IF(H399&lt;&gt;"",MAX($A$7:A398)+1,"")</f>
        <v/>
      </c>
      <c r="B399" s="243" t="str">
        <f t="shared" si="42"/>
        <v/>
      </c>
      <c r="C399" s="273" t="str">
        <f t="shared" si="43"/>
        <v/>
      </c>
      <c r="D399" s="246"/>
      <c r="E399" s="284"/>
      <c r="F399" s="284"/>
      <c r="G399" s="248"/>
      <c r="H399" s="241"/>
      <c r="I399" s="285"/>
      <c r="J399" s="286"/>
      <c r="K399" s="287"/>
      <c r="L399" s="288"/>
      <c r="M399" s="289"/>
      <c r="N399" s="290"/>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row>
    <row r="400" spans="1:36" s="22" customFormat="1" x14ac:dyDescent="0.25">
      <c r="A400" s="28" t="str">
        <f>IF(H400&lt;&gt;"",MAX($A$7:A399)+1,"")</f>
        <v/>
      </c>
      <c r="B400" s="243" t="str">
        <f t="shared" si="42"/>
        <v/>
      </c>
      <c r="C400" s="273" t="str">
        <f t="shared" si="43"/>
        <v/>
      </c>
      <c r="D400" s="246"/>
      <c r="E400" s="284"/>
      <c r="F400" s="284"/>
      <c r="G400" s="248"/>
      <c r="H400" s="241"/>
      <c r="I400" s="285"/>
      <c r="J400" s="286"/>
      <c r="K400" s="287"/>
      <c r="L400" s="288"/>
      <c r="M400" s="289"/>
      <c r="N400" s="290"/>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row>
    <row r="401" spans="1:36" s="22" customFormat="1" x14ac:dyDescent="0.25">
      <c r="A401" s="28" t="str">
        <f>IF(H401&lt;&gt;"",MAX($A$7:A400)+1,"")</f>
        <v/>
      </c>
      <c r="B401" s="243" t="str">
        <f t="shared" si="42"/>
        <v/>
      </c>
      <c r="C401" s="273" t="str">
        <f t="shared" si="43"/>
        <v/>
      </c>
      <c r="D401" s="246"/>
      <c r="E401" s="284"/>
      <c r="F401" s="284"/>
      <c r="G401" s="248"/>
      <c r="H401" s="241"/>
      <c r="I401" s="285"/>
      <c r="J401" s="286"/>
      <c r="K401" s="287"/>
      <c r="L401" s="288"/>
      <c r="M401" s="289"/>
      <c r="N401" s="290"/>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row>
    <row r="402" spans="1:36" s="22" customFormat="1" x14ac:dyDescent="0.25">
      <c r="A402" s="28" t="str">
        <f>IF(H402&lt;&gt;"",MAX($A$7:A401)+1,"")</f>
        <v/>
      </c>
      <c r="B402" s="243" t="str">
        <f t="shared" si="42"/>
        <v/>
      </c>
      <c r="C402" s="273" t="str">
        <f t="shared" si="43"/>
        <v/>
      </c>
      <c r="D402" s="246"/>
      <c r="E402" s="284"/>
      <c r="F402" s="284"/>
      <c r="G402" s="248"/>
      <c r="H402" s="241"/>
      <c r="I402" s="285"/>
      <c r="J402" s="286"/>
      <c r="K402" s="287"/>
      <c r="L402" s="288"/>
      <c r="M402" s="289"/>
      <c r="N402" s="290"/>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row>
    <row r="403" spans="1:36" s="22" customFormat="1" x14ac:dyDescent="0.25">
      <c r="A403" s="28" t="str">
        <f>IF(H403&lt;&gt;"",MAX($A$7:A402)+1,"")</f>
        <v/>
      </c>
      <c r="B403" s="243" t="str">
        <f t="shared" si="42"/>
        <v/>
      </c>
      <c r="C403" s="273" t="str">
        <f t="shared" si="43"/>
        <v/>
      </c>
      <c r="D403" s="246"/>
      <c r="E403" s="284"/>
      <c r="F403" s="284"/>
      <c r="G403" s="248"/>
      <c r="H403" s="241"/>
      <c r="I403" s="285"/>
      <c r="J403" s="286"/>
      <c r="K403" s="287"/>
      <c r="L403" s="288"/>
      <c r="M403" s="289"/>
      <c r="N403" s="290"/>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row>
    <row r="404" spans="1:36" s="22" customFormat="1" x14ac:dyDescent="0.25">
      <c r="A404" s="28" t="str">
        <f>IF(H404&lt;&gt;"",MAX($A$7:A403)+1,"")</f>
        <v/>
      </c>
      <c r="B404" s="243" t="str">
        <f t="shared" si="42"/>
        <v/>
      </c>
      <c r="C404" s="273" t="str">
        <f t="shared" si="43"/>
        <v/>
      </c>
      <c r="D404" s="246"/>
      <c r="E404" s="284"/>
      <c r="F404" s="284"/>
      <c r="G404" s="248"/>
      <c r="H404" s="241"/>
      <c r="I404" s="285"/>
      <c r="J404" s="286"/>
      <c r="K404" s="287"/>
      <c r="L404" s="288"/>
      <c r="M404" s="289"/>
      <c r="N404" s="290"/>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row>
    <row r="405" spans="1:36" s="22" customFormat="1" x14ac:dyDescent="0.25">
      <c r="A405" s="28" t="str">
        <f>IF(H405&lt;&gt;"",MAX($A$7:A404)+1,"")</f>
        <v/>
      </c>
      <c r="B405" s="243" t="str">
        <f t="shared" si="42"/>
        <v/>
      </c>
      <c r="C405" s="273" t="str">
        <f t="shared" si="43"/>
        <v/>
      </c>
      <c r="D405" s="246"/>
      <c r="E405" s="284"/>
      <c r="F405" s="284"/>
      <c r="G405" s="248"/>
      <c r="H405" s="241"/>
      <c r="I405" s="285"/>
      <c r="J405" s="286"/>
      <c r="K405" s="287"/>
      <c r="L405" s="288"/>
      <c r="M405" s="289"/>
      <c r="N405" s="290"/>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row>
    <row r="406" spans="1:36" s="22" customFormat="1" x14ac:dyDescent="0.25">
      <c r="A406" s="28" t="str">
        <f>IF(H406&lt;&gt;"",MAX($A$7:A405)+1,"")</f>
        <v/>
      </c>
      <c r="B406" s="243" t="str">
        <f t="shared" si="42"/>
        <v/>
      </c>
      <c r="C406" s="273" t="str">
        <f t="shared" si="43"/>
        <v/>
      </c>
      <c r="D406" s="246"/>
      <c r="E406" s="284"/>
      <c r="F406" s="284"/>
      <c r="G406" s="248"/>
      <c r="H406" s="241"/>
      <c r="I406" s="285"/>
      <c r="J406" s="286"/>
      <c r="K406" s="287"/>
      <c r="L406" s="288"/>
      <c r="M406" s="289"/>
      <c r="N406" s="290"/>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row>
    <row r="407" spans="1:36" s="22" customFormat="1" x14ac:dyDescent="0.25">
      <c r="A407" s="28" t="str">
        <f>IF(H407&lt;&gt;"",MAX($A$7:A406)+1,"")</f>
        <v/>
      </c>
      <c r="B407" s="243" t="str">
        <f t="shared" si="42"/>
        <v/>
      </c>
      <c r="C407" s="273" t="str">
        <f t="shared" si="43"/>
        <v/>
      </c>
      <c r="D407" s="246"/>
      <c r="E407" s="284"/>
      <c r="F407" s="284"/>
      <c r="G407" s="248"/>
      <c r="H407" s="241"/>
      <c r="I407" s="285"/>
      <c r="J407" s="286"/>
      <c r="K407" s="287"/>
      <c r="L407" s="288"/>
      <c r="M407" s="289"/>
      <c r="N407" s="290"/>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row>
    <row r="408" spans="1:36" s="22" customFormat="1" x14ac:dyDescent="0.25">
      <c r="A408" s="28" t="str">
        <f>IF(H408&lt;&gt;"",MAX($A$7:A407)+1,"")</f>
        <v/>
      </c>
      <c r="B408" s="243" t="str">
        <f t="shared" si="42"/>
        <v/>
      </c>
      <c r="C408" s="273" t="str">
        <f t="shared" si="43"/>
        <v/>
      </c>
      <c r="D408" s="246"/>
      <c r="E408" s="284"/>
      <c r="F408" s="284"/>
      <c r="G408" s="248"/>
      <c r="H408" s="241"/>
      <c r="I408" s="285"/>
      <c r="J408" s="286"/>
      <c r="K408" s="287"/>
      <c r="L408" s="288"/>
      <c r="M408" s="289"/>
      <c r="N408" s="290"/>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row>
    <row r="409" spans="1:36" s="22" customFormat="1" x14ac:dyDescent="0.25">
      <c r="A409" s="28" t="str">
        <f>IF(H409&lt;&gt;"",MAX($A$7:A408)+1,"")</f>
        <v/>
      </c>
      <c r="B409" s="243" t="str">
        <f t="shared" si="42"/>
        <v/>
      </c>
      <c r="C409" s="273" t="str">
        <f t="shared" si="43"/>
        <v/>
      </c>
      <c r="D409" s="246"/>
      <c r="E409" s="284"/>
      <c r="F409" s="284"/>
      <c r="G409" s="248"/>
      <c r="H409" s="241"/>
      <c r="I409" s="285"/>
      <c r="J409" s="286"/>
      <c r="K409" s="287"/>
      <c r="L409" s="288"/>
      <c r="M409" s="289"/>
      <c r="N409" s="290"/>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row>
    <row r="410" spans="1:36" s="22" customFormat="1" x14ac:dyDescent="0.25">
      <c r="A410" s="28" t="str">
        <f>IF(H410&lt;&gt;"",MAX($A$7:A409)+1,"")</f>
        <v/>
      </c>
      <c r="B410" s="243" t="str">
        <f t="shared" si="42"/>
        <v/>
      </c>
      <c r="C410" s="273" t="str">
        <f t="shared" si="43"/>
        <v/>
      </c>
      <c r="D410" s="246"/>
      <c r="E410" s="284"/>
      <c r="F410" s="284"/>
      <c r="G410" s="248"/>
      <c r="H410" s="241"/>
      <c r="I410" s="285"/>
      <c r="J410" s="286"/>
      <c r="K410" s="287"/>
      <c r="L410" s="288"/>
      <c r="M410" s="289"/>
      <c r="N410" s="290"/>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row>
    <row r="411" spans="1:36" s="22" customFormat="1" x14ac:dyDescent="0.25">
      <c r="A411" s="28" t="str">
        <f>IF(H411&lt;&gt;"",MAX($A$7:A410)+1,"")</f>
        <v/>
      </c>
      <c r="B411" s="243" t="str">
        <f t="shared" si="42"/>
        <v/>
      </c>
      <c r="C411" s="273" t="str">
        <f t="shared" si="43"/>
        <v/>
      </c>
      <c r="D411" s="246"/>
      <c r="E411" s="284"/>
      <c r="F411" s="284"/>
      <c r="G411" s="248"/>
      <c r="H411" s="241"/>
      <c r="I411" s="285"/>
      <c r="J411" s="286"/>
      <c r="K411" s="287"/>
      <c r="L411" s="288"/>
      <c r="M411" s="289"/>
      <c r="N411" s="290"/>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row>
    <row r="412" spans="1:36" s="22" customFormat="1" x14ac:dyDescent="0.25">
      <c r="A412" s="28" t="str">
        <f>IF(H412&lt;&gt;"",MAX($A$7:A411)+1,"")</f>
        <v/>
      </c>
      <c r="B412" s="243" t="str">
        <f t="shared" si="42"/>
        <v/>
      </c>
      <c r="C412" s="273" t="str">
        <f t="shared" si="43"/>
        <v/>
      </c>
      <c r="D412" s="246"/>
      <c r="E412" s="284"/>
      <c r="F412" s="284"/>
      <c r="G412" s="248"/>
      <c r="H412" s="241"/>
      <c r="I412" s="285"/>
      <c r="J412" s="286"/>
      <c r="K412" s="287"/>
      <c r="L412" s="288"/>
      <c r="M412" s="289"/>
      <c r="N412" s="290"/>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row>
    <row r="413" spans="1:36" s="22" customFormat="1" x14ac:dyDescent="0.25">
      <c r="A413" s="28" t="str">
        <f>IF(H413&lt;&gt;"",MAX($A$7:A412)+1,"")</f>
        <v/>
      </c>
      <c r="B413" s="243" t="str">
        <f t="shared" si="42"/>
        <v/>
      </c>
      <c r="C413" s="273" t="str">
        <f t="shared" si="43"/>
        <v/>
      </c>
      <c r="D413" s="246"/>
      <c r="E413" s="284"/>
      <c r="F413" s="284"/>
      <c r="G413" s="248"/>
      <c r="H413" s="241"/>
      <c r="I413" s="285"/>
      <c r="J413" s="286"/>
      <c r="K413" s="287"/>
      <c r="L413" s="288"/>
      <c r="M413" s="289"/>
      <c r="N413" s="290"/>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row>
    <row r="414" spans="1:36" s="22" customFormat="1" x14ac:dyDescent="0.25">
      <c r="A414" s="28" t="str">
        <f>IF(H414&lt;&gt;"",MAX($A$7:A413)+1,"")</f>
        <v/>
      </c>
      <c r="B414" s="243" t="str">
        <f t="shared" si="42"/>
        <v/>
      </c>
      <c r="C414" s="273" t="str">
        <f t="shared" si="43"/>
        <v/>
      </c>
      <c r="D414" s="246"/>
      <c r="E414" s="284"/>
      <c r="F414" s="284"/>
      <c r="G414" s="248"/>
      <c r="H414" s="241"/>
      <c r="I414" s="285"/>
      <c r="J414" s="286"/>
      <c r="K414" s="287"/>
      <c r="L414" s="288"/>
      <c r="M414" s="289"/>
      <c r="N414" s="290"/>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row>
    <row r="415" spans="1:36" s="22" customFormat="1" x14ac:dyDescent="0.25">
      <c r="A415" s="28" t="str">
        <f>IF(H415&lt;&gt;"",MAX($A$7:A414)+1,"")</f>
        <v/>
      </c>
      <c r="B415" s="243" t="str">
        <f t="shared" si="42"/>
        <v/>
      </c>
      <c r="C415" s="273" t="str">
        <f t="shared" si="43"/>
        <v/>
      </c>
      <c r="D415" s="246"/>
      <c r="E415" s="284"/>
      <c r="F415" s="284"/>
      <c r="G415" s="248"/>
      <c r="H415" s="241"/>
      <c r="I415" s="285"/>
      <c r="J415" s="286"/>
      <c r="K415" s="287"/>
      <c r="L415" s="288"/>
      <c r="M415" s="289"/>
      <c r="N415" s="290"/>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row>
    <row r="416" spans="1:36" s="22" customFormat="1" x14ac:dyDescent="0.25">
      <c r="A416" s="28" t="str">
        <f>IF(H416&lt;&gt;"",MAX($A$7:A415)+1,"")</f>
        <v/>
      </c>
      <c r="B416" s="243" t="str">
        <f t="shared" si="42"/>
        <v/>
      </c>
      <c r="C416" s="273" t="str">
        <f t="shared" si="43"/>
        <v/>
      </c>
      <c r="D416" s="246"/>
      <c r="E416" s="284"/>
      <c r="F416" s="284"/>
      <c r="G416" s="248"/>
      <c r="H416" s="241"/>
      <c r="I416" s="285"/>
      <c r="J416" s="286"/>
      <c r="K416" s="287"/>
      <c r="L416" s="288"/>
      <c r="M416" s="289"/>
      <c r="N416" s="290"/>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row>
    <row r="417" spans="1:36" s="22" customFormat="1" x14ac:dyDescent="0.25">
      <c r="A417" s="28" t="str">
        <f>IF(H417&lt;&gt;"",MAX($A$7:A416)+1,"")</f>
        <v/>
      </c>
      <c r="B417" s="243" t="str">
        <f t="shared" si="42"/>
        <v/>
      </c>
      <c r="C417" s="273" t="str">
        <f t="shared" si="43"/>
        <v/>
      </c>
      <c r="D417" s="246"/>
      <c r="E417" s="284"/>
      <c r="F417" s="284"/>
      <c r="G417" s="248"/>
      <c r="H417" s="241"/>
      <c r="I417" s="285"/>
      <c r="J417" s="286"/>
      <c r="K417" s="287"/>
      <c r="L417" s="288"/>
      <c r="M417" s="289"/>
      <c r="N417" s="290"/>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row>
    <row r="418" spans="1:36" s="22" customFormat="1" x14ac:dyDescent="0.25">
      <c r="A418" s="28" t="str">
        <f>IF(H418&lt;&gt;"",MAX($A$7:A417)+1,"")</f>
        <v/>
      </c>
      <c r="B418" s="243" t="str">
        <f t="shared" si="42"/>
        <v/>
      </c>
      <c r="C418" s="273" t="str">
        <f t="shared" si="43"/>
        <v/>
      </c>
      <c r="D418" s="246"/>
      <c r="E418" s="284"/>
      <c r="F418" s="284"/>
      <c r="G418" s="248"/>
      <c r="H418" s="241"/>
      <c r="I418" s="285"/>
      <c r="J418" s="286"/>
      <c r="K418" s="287"/>
      <c r="L418" s="288"/>
      <c r="M418" s="289"/>
      <c r="N418" s="290"/>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row>
    <row r="419" spans="1:36" s="22" customFormat="1" x14ac:dyDescent="0.25">
      <c r="A419" s="28" t="str">
        <f>IF(H419&lt;&gt;"",MAX($A$7:A418)+1,"")</f>
        <v/>
      </c>
      <c r="B419" s="243" t="str">
        <f t="shared" si="42"/>
        <v/>
      </c>
      <c r="C419" s="273" t="str">
        <f t="shared" si="43"/>
        <v/>
      </c>
      <c r="D419" s="246"/>
      <c r="E419" s="284"/>
      <c r="F419" s="284"/>
      <c r="G419" s="248"/>
      <c r="H419" s="241"/>
      <c r="I419" s="285"/>
      <c r="J419" s="286"/>
      <c r="K419" s="287"/>
      <c r="L419" s="288"/>
      <c r="M419" s="289"/>
      <c r="N419" s="290"/>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row>
    <row r="420" spans="1:36" s="22" customFormat="1" x14ac:dyDescent="0.25">
      <c r="A420" s="28" t="str">
        <f>IF(H420&lt;&gt;"",MAX($A$7:A419)+1,"")</f>
        <v/>
      </c>
      <c r="B420" s="243" t="str">
        <f t="shared" si="42"/>
        <v/>
      </c>
      <c r="C420" s="273" t="str">
        <f t="shared" si="43"/>
        <v/>
      </c>
      <c r="D420" s="246"/>
      <c r="E420" s="284"/>
      <c r="F420" s="284"/>
      <c r="G420" s="248"/>
      <c r="H420" s="241"/>
      <c r="I420" s="285"/>
      <c r="J420" s="286"/>
      <c r="K420" s="287"/>
      <c r="L420" s="288"/>
      <c r="M420" s="289"/>
      <c r="N420" s="290"/>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row>
    <row r="421" spans="1:36" s="22" customFormat="1" x14ac:dyDescent="0.25">
      <c r="A421" s="28" t="str">
        <f>IF(H421&lt;&gt;"",MAX($A$7:A420)+1,"")</f>
        <v/>
      </c>
      <c r="B421" s="243" t="str">
        <f t="shared" si="42"/>
        <v/>
      </c>
      <c r="C421" s="273" t="str">
        <f t="shared" si="43"/>
        <v/>
      </c>
      <c r="D421" s="246"/>
      <c r="E421" s="284"/>
      <c r="F421" s="284"/>
      <c r="G421" s="248"/>
      <c r="H421" s="241"/>
      <c r="I421" s="285"/>
      <c r="J421" s="286"/>
      <c r="K421" s="287"/>
      <c r="L421" s="288"/>
      <c r="M421" s="289"/>
      <c r="N421" s="290"/>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row>
    <row r="422" spans="1:36" s="22" customFormat="1" x14ac:dyDescent="0.25">
      <c r="A422" s="28" t="str">
        <f>IF(H422&lt;&gt;"",MAX($A$7:A421)+1,"")</f>
        <v/>
      </c>
      <c r="B422" s="243" t="str">
        <f t="shared" si="42"/>
        <v/>
      </c>
      <c r="C422" s="273" t="str">
        <f t="shared" si="43"/>
        <v/>
      </c>
      <c r="D422" s="246"/>
      <c r="E422" s="284"/>
      <c r="F422" s="284"/>
      <c r="G422" s="248"/>
      <c r="H422" s="241"/>
      <c r="I422" s="285"/>
      <c r="J422" s="286"/>
      <c r="K422" s="287"/>
      <c r="L422" s="288"/>
      <c r="M422" s="289"/>
      <c r="N422" s="290"/>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row>
    <row r="423" spans="1:36" s="22" customFormat="1" x14ac:dyDescent="0.25">
      <c r="A423" s="28" t="str">
        <f>IF(H423&lt;&gt;"",MAX($A$7:A422)+1,"")</f>
        <v/>
      </c>
      <c r="B423" s="243" t="str">
        <f t="shared" si="42"/>
        <v/>
      </c>
      <c r="C423" s="273" t="str">
        <f t="shared" si="43"/>
        <v/>
      </c>
      <c r="D423" s="246"/>
      <c r="E423" s="284"/>
      <c r="F423" s="284"/>
      <c r="G423" s="248"/>
      <c r="H423" s="241"/>
      <c r="I423" s="285"/>
      <c r="J423" s="286"/>
      <c r="K423" s="287"/>
      <c r="L423" s="288"/>
      <c r="M423" s="289"/>
      <c r="N423" s="290"/>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row>
    <row r="424" spans="1:36" s="22" customFormat="1" x14ac:dyDescent="0.25">
      <c r="A424" s="28" t="str">
        <f>IF(H424&lt;&gt;"",MAX($A$7:A423)+1,"")</f>
        <v/>
      </c>
      <c r="B424" s="243" t="str">
        <f t="shared" si="42"/>
        <v/>
      </c>
      <c r="C424" s="273" t="str">
        <f t="shared" si="43"/>
        <v/>
      </c>
      <c r="D424" s="246"/>
      <c r="E424" s="284"/>
      <c r="F424" s="284"/>
      <c r="G424" s="248"/>
      <c r="H424" s="241"/>
      <c r="I424" s="285"/>
      <c r="J424" s="286"/>
      <c r="K424" s="287"/>
      <c r="L424" s="288"/>
      <c r="M424" s="289"/>
      <c r="N424" s="290"/>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row>
    <row r="425" spans="1:36" s="22" customFormat="1" x14ac:dyDescent="0.25">
      <c r="A425" s="28" t="str">
        <f>IF(H425&lt;&gt;"",MAX($A$7:A424)+1,"")</f>
        <v/>
      </c>
      <c r="B425" s="243" t="str">
        <f t="shared" si="42"/>
        <v/>
      </c>
      <c r="C425" s="273" t="str">
        <f t="shared" si="43"/>
        <v/>
      </c>
      <c r="D425" s="246"/>
      <c r="E425" s="284"/>
      <c r="F425" s="284"/>
      <c r="G425" s="248"/>
      <c r="H425" s="241"/>
      <c r="I425" s="285"/>
      <c r="J425" s="286"/>
      <c r="K425" s="287"/>
      <c r="L425" s="288"/>
      <c r="M425" s="289"/>
      <c r="N425" s="290"/>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row>
    <row r="426" spans="1:36" s="22" customFormat="1" x14ac:dyDescent="0.25">
      <c r="A426" s="28" t="str">
        <f>IF(H426&lt;&gt;"",MAX($A$7:A425)+1,"")</f>
        <v/>
      </c>
      <c r="B426" s="243" t="str">
        <f t="shared" si="42"/>
        <v/>
      </c>
      <c r="C426" s="273" t="str">
        <f t="shared" si="43"/>
        <v/>
      </c>
      <c r="D426" s="246"/>
      <c r="E426" s="284"/>
      <c r="F426" s="284"/>
      <c r="G426" s="248"/>
      <c r="H426" s="241"/>
      <c r="I426" s="285"/>
      <c r="J426" s="286"/>
      <c r="K426" s="287"/>
      <c r="L426" s="288"/>
      <c r="M426" s="289"/>
      <c r="N426" s="290"/>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row>
    <row r="427" spans="1:36" s="22" customFormat="1" x14ac:dyDescent="0.25">
      <c r="A427" s="28" t="str">
        <f>IF(H427&lt;&gt;"",MAX($A$7:A426)+1,"")</f>
        <v/>
      </c>
      <c r="B427" s="243" t="str">
        <f t="shared" si="42"/>
        <v/>
      </c>
      <c r="C427" s="273" t="str">
        <f t="shared" si="43"/>
        <v/>
      </c>
      <c r="D427" s="246"/>
      <c r="E427" s="284"/>
      <c r="F427" s="284"/>
      <c r="G427" s="248"/>
      <c r="H427" s="241"/>
      <c r="I427" s="285"/>
      <c r="J427" s="286"/>
      <c r="K427" s="287"/>
      <c r="L427" s="288"/>
      <c r="M427" s="289"/>
      <c r="N427" s="290"/>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row>
    <row r="428" spans="1:36" s="22" customFormat="1" x14ac:dyDescent="0.25">
      <c r="A428" s="28" t="str">
        <f>IF(H428&lt;&gt;"",MAX($A$7:A427)+1,"")</f>
        <v/>
      </c>
      <c r="B428" s="243" t="str">
        <f t="shared" si="42"/>
        <v/>
      </c>
      <c r="C428" s="273" t="str">
        <f t="shared" si="43"/>
        <v/>
      </c>
      <c r="D428" s="246"/>
      <c r="E428" s="284"/>
      <c r="F428" s="284"/>
      <c r="G428" s="248"/>
      <c r="H428" s="241"/>
      <c r="I428" s="285"/>
      <c r="J428" s="286"/>
      <c r="K428" s="287"/>
      <c r="L428" s="288"/>
      <c r="M428" s="289"/>
      <c r="N428" s="290"/>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row>
    <row r="429" spans="1:36" s="22" customFormat="1" x14ac:dyDescent="0.25">
      <c r="A429" s="28" t="str">
        <f>IF(H429&lt;&gt;"",MAX($A$7:A428)+1,"")</f>
        <v/>
      </c>
      <c r="B429" s="243" t="str">
        <f t="shared" si="42"/>
        <v/>
      </c>
      <c r="C429" s="273" t="str">
        <f t="shared" si="43"/>
        <v/>
      </c>
      <c r="D429" s="246"/>
      <c r="E429" s="284"/>
      <c r="F429" s="284"/>
      <c r="G429" s="248"/>
      <c r="H429" s="241"/>
      <c r="I429" s="285"/>
      <c r="J429" s="286"/>
      <c r="K429" s="287"/>
      <c r="L429" s="288"/>
      <c r="M429" s="289"/>
      <c r="N429" s="290"/>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row>
    <row r="430" spans="1:36" s="22" customFormat="1" x14ac:dyDescent="0.25">
      <c r="A430" s="28" t="str">
        <f>IF(H430&lt;&gt;"",MAX($A$7:A429)+1,"")</f>
        <v/>
      </c>
      <c r="B430" s="243" t="str">
        <f t="shared" si="42"/>
        <v/>
      </c>
      <c r="C430" s="273" t="str">
        <f t="shared" si="43"/>
        <v/>
      </c>
      <c r="D430" s="246"/>
      <c r="E430" s="284"/>
      <c r="F430" s="284"/>
      <c r="G430" s="248"/>
      <c r="H430" s="241"/>
      <c r="I430" s="285"/>
      <c r="J430" s="286"/>
      <c r="K430" s="287"/>
      <c r="L430" s="288"/>
      <c r="M430" s="289"/>
      <c r="N430" s="290"/>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row>
    <row r="431" spans="1:36" s="22" customFormat="1" x14ac:dyDescent="0.25">
      <c r="A431" s="28" t="str">
        <f>IF(H431&lt;&gt;"",MAX($A$7:A430)+1,"")</f>
        <v/>
      </c>
      <c r="B431" s="243" t="str">
        <f t="shared" si="42"/>
        <v/>
      </c>
      <c r="C431" s="273" t="str">
        <f t="shared" si="43"/>
        <v/>
      </c>
      <c r="D431" s="246"/>
      <c r="E431" s="284"/>
      <c r="F431" s="284"/>
      <c r="G431" s="248"/>
      <c r="H431" s="241"/>
      <c r="I431" s="285"/>
      <c r="J431" s="286"/>
      <c r="K431" s="287"/>
      <c r="L431" s="288"/>
      <c r="M431" s="289"/>
      <c r="N431" s="290"/>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row>
    <row r="432" spans="1:36" s="22" customFormat="1" x14ac:dyDescent="0.25">
      <c r="A432" s="28" t="str">
        <f>IF(H432&lt;&gt;"",MAX($A$7:A431)+1,"")</f>
        <v/>
      </c>
      <c r="B432" s="243" t="str">
        <f t="shared" si="42"/>
        <v/>
      </c>
      <c r="C432" s="273" t="str">
        <f t="shared" si="43"/>
        <v/>
      </c>
      <c r="D432" s="246"/>
      <c r="E432" s="284"/>
      <c r="F432" s="284"/>
      <c r="G432" s="248"/>
      <c r="H432" s="241"/>
      <c r="I432" s="285"/>
      <c r="J432" s="286"/>
      <c r="K432" s="287"/>
      <c r="L432" s="288"/>
      <c r="M432" s="289"/>
      <c r="N432" s="290"/>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row>
    <row r="433" spans="1:36" s="22" customFormat="1" x14ac:dyDescent="0.25">
      <c r="A433" s="28" t="str">
        <f>IF(H433&lt;&gt;"",MAX($A$7:A432)+1,"")</f>
        <v/>
      </c>
      <c r="B433" s="243" t="str">
        <f t="shared" si="42"/>
        <v/>
      </c>
      <c r="C433" s="273" t="str">
        <f t="shared" si="43"/>
        <v/>
      </c>
      <c r="D433" s="246"/>
      <c r="E433" s="284"/>
      <c r="F433" s="284"/>
      <c r="G433" s="248"/>
      <c r="H433" s="241"/>
      <c r="I433" s="285"/>
      <c r="J433" s="286"/>
      <c r="K433" s="287"/>
      <c r="L433" s="288"/>
      <c r="M433" s="289"/>
      <c r="N433" s="290"/>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row>
    <row r="434" spans="1:36" s="22" customFormat="1" x14ac:dyDescent="0.25">
      <c r="A434" s="28" t="str">
        <f>IF(H434&lt;&gt;"",MAX($A$7:A433)+1,"")</f>
        <v/>
      </c>
      <c r="B434" s="243" t="str">
        <f t="shared" si="42"/>
        <v/>
      </c>
      <c r="C434" s="273" t="str">
        <f t="shared" si="43"/>
        <v/>
      </c>
      <c r="D434" s="246"/>
      <c r="E434" s="284"/>
      <c r="F434" s="284"/>
      <c r="G434" s="248"/>
      <c r="H434" s="241"/>
      <c r="I434" s="285"/>
      <c r="J434" s="286"/>
      <c r="K434" s="287"/>
      <c r="L434" s="288"/>
      <c r="M434" s="289"/>
      <c r="N434" s="290"/>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row>
    <row r="435" spans="1:36" s="22" customFormat="1" x14ac:dyDescent="0.25">
      <c r="A435" s="28" t="str">
        <f>IF(H435&lt;&gt;"",MAX($A$7:A434)+1,"")</f>
        <v/>
      </c>
      <c r="B435" s="243" t="str">
        <f t="shared" si="42"/>
        <v/>
      </c>
      <c r="C435" s="273" t="str">
        <f t="shared" si="43"/>
        <v/>
      </c>
      <c r="D435" s="246"/>
      <c r="E435" s="284"/>
      <c r="F435" s="284"/>
      <c r="G435" s="248"/>
      <c r="H435" s="241"/>
      <c r="I435" s="285"/>
      <c r="J435" s="286"/>
      <c r="K435" s="287"/>
      <c r="L435" s="288"/>
      <c r="M435" s="289"/>
      <c r="N435" s="290"/>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row>
    <row r="436" spans="1:36" s="22" customFormat="1" x14ac:dyDescent="0.25">
      <c r="A436" s="28" t="str">
        <f>IF(H436&lt;&gt;"",MAX($A$7:A435)+1,"")</f>
        <v/>
      </c>
      <c r="B436" s="243" t="str">
        <f t="shared" si="42"/>
        <v/>
      </c>
      <c r="C436" s="273" t="str">
        <f t="shared" si="43"/>
        <v/>
      </c>
      <c r="D436" s="246"/>
      <c r="E436" s="284"/>
      <c r="F436" s="284"/>
      <c r="G436" s="248"/>
      <c r="H436" s="241"/>
      <c r="I436" s="285"/>
      <c r="J436" s="286"/>
      <c r="K436" s="287"/>
      <c r="L436" s="288"/>
      <c r="M436" s="289"/>
      <c r="N436" s="290"/>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row>
    <row r="437" spans="1:36" s="22" customFormat="1" x14ac:dyDescent="0.25">
      <c r="A437" s="28" t="str">
        <f>IF(H437&lt;&gt;"",MAX($A$7:A436)+1,"")</f>
        <v/>
      </c>
      <c r="B437" s="243" t="str">
        <f t="shared" si="42"/>
        <v/>
      </c>
      <c r="C437" s="273" t="str">
        <f t="shared" si="43"/>
        <v/>
      </c>
      <c r="D437" s="246"/>
      <c r="E437" s="284"/>
      <c r="F437" s="284"/>
      <c r="G437" s="248"/>
      <c r="H437" s="241"/>
      <c r="I437" s="285"/>
      <c r="J437" s="286"/>
      <c r="K437" s="287"/>
      <c r="L437" s="288"/>
      <c r="M437" s="289"/>
      <c r="N437" s="290"/>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row>
    <row r="438" spans="1:36" s="22" customFormat="1" x14ac:dyDescent="0.25">
      <c r="A438" s="28" t="str">
        <f>IF(H438&lt;&gt;"",MAX($A$7:A437)+1,"")</f>
        <v/>
      </c>
      <c r="B438" s="243" t="str">
        <f t="shared" si="42"/>
        <v/>
      </c>
      <c r="C438" s="273" t="str">
        <f t="shared" si="43"/>
        <v/>
      </c>
      <c r="D438" s="246"/>
      <c r="E438" s="284"/>
      <c r="F438" s="284"/>
      <c r="G438" s="248"/>
      <c r="H438" s="241"/>
      <c r="I438" s="285"/>
      <c r="J438" s="286"/>
      <c r="K438" s="287"/>
      <c r="L438" s="288"/>
      <c r="M438" s="289"/>
      <c r="N438" s="290"/>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row>
    <row r="439" spans="1:36" s="22" customFormat="1" x14ac:dyDescent="0.25">
      <c r="A439" s="28" t="str">
        <f>IF(H439&lt;&gt;"",MAX($A$7:A438)+1,"")</f>
        <v/>
      </c>
      <c r="B439" s="243" t="str">
        <f t="shared" si="42"/>
        <v/>
      </c>
      <c r="C439" s="273" t="str">
        <f t="shared" si="43"/>
        <v/>
      </c>
      <c r="D439" s="246"/>
      <c r="E439" s="284"/>
      <c r="F439" s="284"/>
      <c r="G439" s="248"/>
      <c r="H439" s="241"/>
      <c r="I439" s="285"/>
      <c r="J439" s="286"/>
      <c r="K439" s="287"/>
      <c r="L439" s="288"/>
      <c r="M439" s="289"/>
      <c r="N439" s="290"/>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row>
    <row r="440" spans="1:36" s="22" customFormat="1" x14ac:dyDescent="0.25">
      <c r="A440" s="28" t="str">
        <f>IF(H440&lt;&gt;"",MAX($A$7:A439)+1,"")</f>
        <v/>
      </c>
      <c r="B440" s="243" t="str">
        <f t="shared" si="42"/>
        <v/>
      </c>
      <c r="C440" s="273" t="str">
        <f t="shared" si="43"/>
        <v/>
      </c>
      <c r="D440" s="246"/>
      <c r="E440" s="284"/>
      <c r="F440" s="284"/>
      <c r="G440" s="248"/>
      <c r="H440" s="241"/>
      <c r="I440" s="285"/>
      <c r="J440" s="286"/>
      <c r="K440" s="287"/>
      <c r="L440" s="288"/>
      <c r="M440" s="289"/>
      <c r="N440" s="290"/>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row>
    <row r="441" spans="1:36" s="22" customFormat="1" x14ac:dyDescent="0.25">
      <c r="A441" s="28" t="str">
        <f>IF(H441&lt;&gt;"",MAX($A$7:A440)+1,"")</f>
        <v/>
      </c>
      <c r="B441" s="243" t="str">
        <f t="shared" si="42"/>
        <v/>
      </c>
      <c r="C441" s="273" t="str">
        <f t="shared" si="43"/>
        <v/>
      </c>
      <c r="D441" s="246"/>
      <c r="E441" s="284"/>
      <c r="F441" s="284"/>
      <c r="G441" s="248"/>
      <c r="H441" s="241"/>
      <c r="I441" s="285"/>
      <c r="J441" s="286"/>
      <c r="K441" s="287"/>
      <c r="L441" s="288"/>
      <c r="M441" s="289"/>
      <c r="N441" s="290"/>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row>
    <row r="442" spans="1:36" s="22" customFormat="1" x14ac:dyDescent="0.25">
      <c r="A442" s="28" t="str">
        <f>IF(H442&lt;&gt;"",MAX($A$7:A441)+1,"")</f>
        <v/>
      </c>
      <c r="B442" s="243" t="str">
        <f t="shared" si="42"/>
        <v/>
      </c>
      <c r="C442" s="273" t="str">
        <f t="shared" si="43"/>
        <v/>
      </c>
      <c r="D442" s="246"/>
      <c r="E442" s="284"/>
      <c r="F442" s="284"/>
      <c r="G442" s="248"/>
      <c r="H442" s="241"/>
      <c r="I442" s="285"/>
      <c r="J442" s="286"/>
      <c r="K442" s="287"/>
      <c r="L442" s="288"/>
      <c r="M442" s="289"/>
      <c r="N442" s="290"/>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row>
    <row r="443" spans="1:36" s="22" customFormat="1" x14ac:dyDescent="0.25">
      <c r="A443" s="28" t="str">
        <f>IF(H443&lt;&gt;"",MAX($A$7:A442)+1,"")</f>
        <v/>
      </c>
      <c r="B443" s="243" t="str">
        <f t="shared" si="42"/>
        <v/>
      </c>
      <c r="C443" s="273" t="str">
        <f t="shared" si="43"/>
        <v/>
      </c>
      <c r="D443" s="246"/>
      <c r="E443" s="284"/>
      <c r="F443" s="284"/>
      <c r="G443" s="248"/>
      <c r="H443" s="241"/>
      <c r="I443" s="285"/>
      <c r="J443" s="286"/>
      <c r="K443" s="287"/>
      <c r="L443" s="288"/>
      <c r="M443" s="289"/>
      <c r="N443" s="290"/>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row>
    <row r="444" spans="1:36" s="22" customFormat="1" x14ac:dyDescent="0.25">
      <c r="A444" s="28" t="str">
        <f>IF(H444&lt;&gt;"",MAX($A$7:A443)+1,"")</f>
        <v/>
      </c>
      <c r="B444" s="243" t="str">
        <f t="shared" si="42"/>
        <v/>
      </c>
      <c r="C444" s="273" t="str">
        <f t="shared" si="43"/>
        <v/>
      </c>
      <c r="D444" s="246"/>
      <c r="E444" s="284"/>
      <c r="F444" s="284"/>
      <c r="G444" s="248"/>
      <c r="H444" s="241"/>
      <c r="I444" s="285"/>
      <c r="J444" s="286"/>
      <c r="K444" s="287"/>
      <c r="L444" s="288"/>
      <c r="M444" s="289"/>
      <c r="N444" s="290"/>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row>
    <row r="445" spans="1:36" s="22" customFormat="1" x14ac:dyDescent="0.25">
      <c r="A445" s="28" t="str">
        <f>IF(H445&lt;&gt;"",MAX($A$7:A444)+1,"")</f>
        <v/>
      </c>
      <c r="B445" s="243" t="str">
        <f t="shared" si="42"/>
        <v/>
      </c>
      <c r="C445" s="273" t="str">
        <f t="shared" si="43"/>
        <v/>
      </c>
      <c r="D445" s="246"/>
      <c r="E445" s="284"/>
      <c r="F445" s="284"/>
      <c r="G445" s="248"/>
      <c r="H445" s="241"/>
      <c r="I445" s="285"/>
      <c r="J445" s="286"/>
      <c r="K445" s="287"/>
      <c r="L445" s="288"/>
      <c r="M445" s="289"/>
      <c r="N445" s="290"/>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row>
    <row r="446" spans="1:36" s="22" customFormat="1" x14ac:dyDescent="0.25">
      <c r="A446" s="28" t="str">
        <f>IF(H446&lt;&gt;"",MAX($A$7:A445)+1,"")</f>
        <v/>
      </c>
      <c r="B446" s="243" t="str">
        <f t="shared" si="42"/>
        <v/>
      </c>
      <c r="C446" s="273" t="str">
        <f t="shared" si="43"/>
        <v/>
      </c>
      <c r="D446" s="246"/>
      <c r="E446" s="284"/>
      <c r="F446" s="284"/>
      <c r="G446" s="248"/>
      <c r="H446" s="241"/>
      <c r="I446" s="285"/>
      <c r="J446" s="286"/>
      <c r="K446" s="287"/>
      <c r="L446" s="288"/>
      <c r="M446" s="289"/>
      <c r="N446" s="290"/>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row>
    <row r="447" spans="1:36" s="22" customFormat="1" x14ac:dyDescent="0.25">
      <c r="A447" s="28" t="str">
        <f>IF(H447&lt;&gt;"",MAX($A$7:A446)+1,"")</f>
        <v/>
      </c>
      <c r="B447" s="243" t="str">
        <f t="shared" si="42"/>
        <v/>
      </c>
      <c r="C447" s="273" t="str">
        <f t="shared" si="43"/>
        <v/>
      </c>
      <c r="D447" s="246"/>
      <c r="E447" s="284"/>
      <c r="F447" s="284"/>
      <c r="G447" s="248"/>
      <c r="H447" s="241"/>
      <c r="I447" s="285"/>
      <c r="J447" s="286"/>
      <c r="K447" s="287"/>
      <c r="L447" s="288"/>
      <c r="M447" s="289"/>
      <c r="N447" s="290"/>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row>
    <row r="448" spans="1:36" s="22" customFormat="1" x14ac:dyDescent="0.25">
      <c r="A448" s="28" t="str">
        <f>IF(H448&lt;&gt;"",MAX($A$7:A447)+1,"")</f>
        <v/>
      </c>
      <c r="B448" s="243" t="str">
        <f t="shared" si="42"/>
        <v/>
      </c>
      <c r="C448" s="273" t="str">
        <f t="shared" si="43"/>
        <v/>
      </c>
      <c r="D448" s="246"/>
      <c r="E448" s="284"/>
      <c r="F448" s="284"/>
      <c r="G448" s="248"/>
      <c r="H448" s="241"/>
      <c r="I448" s="285"/>
      <c r="J448" s="286"/>
      <c r="K448" s="287"/>
      <c r="L448" s="288"/>
      <c r="M448" s="289"/>
      <c r="N448" s="290"/>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row>
    <row r="449" spans="1:36" s="22" customFormat="1" x14ac:dyDescent="0.25">
      <c r="A449" s="28" t="str">
        <f>IF(H449&lt;&gt;"",MAX($A$7:A448)+1,"")</f>
        <v/>
      </c>
      <c r="B449" s="243" t="str">
        <f t="shared" si="42"/>
        <v/>
      </c>
      <c r="C449" s="273" t="str">
        <f t="shared" si="43"/>
        <v/>
      </c>
      <c r="D449" s="246"/>
      <c r="E449" s="284"/>
      <c r="F449" s="284"/>
      <c r="G449" s="248"/>
      <c r="H449" s="241"/>
      <c r="I449" s="285"/>
      <c r="J449" s="286"/>
      <c r="K449" s="287"/>
      <c r="L449" s="288"/>
      <c r="M449" s="289"/>
      <c r="N449" s="290"/>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row>
    <row r="450" spans="1:36" s="22" customFormat="1" x14ac:dyDescent="0.25">
      <c r="A450" s="28" t="str">
        <f>IF(H450&lt;&gt;"",MAX($A$7:A449)+1,"")</f>
        <v/>
      </c>
      <c r="B450" s="243" t="str">
        <f t="shared" si="42"/>
        <v/>
      </c>
      <c r="C450" s="273" t="str">
        <f t="shared" si="43"/>
        <v/>
      </c>
      <c r="D450" s="246"/>
      <c r="E450" s="284"/>
      <c r="F450" s="284"/>
      <c r="G450" s="248"/>
      <c r="H450" s="241"/>
      <c r="I450" s="285"/>
      <c r="J450" s="286"/>
      <c r="K450" s="287"/>
      <c r="L450" s="288"/>
      <c r="M450" s="289"/>
      <c r="N450" s="290"/>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row>
    <row r="451" spans="1:36" s="22" customFormat="1" x14ac:dyDescent="0.25">
      <c r="A451" s="28" t="str">
        <f>IF(H451&lt;&gt;"",MAX($A$7:A450)+1,"")</f>
        <v/>
      </c>
      <c r="B451" s="243" t="str">
        <f t="shared" si="42"/>
        <v/>
      </c>
      <c r="C451" s="273" t="str">
        <f t="shared" si="43"/>
        <v/>
      </c>
      <c r="D451" s="246"/>
      <c r="E451" s="284"/>
      <c r="F451" s="284"/>
      <c r="G451" s="248"/>
      <c r="H451" s="241"/>
      <c r="I451" s="285"/>
      <c r="J451" s="286"/>
      <c r="K451" s="287"/>
      <c r="L451" s="288"/>
      <c r="M451" s="289"/>
      <c r="N451" s="290"/>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row>
    <row r="452" spans="1:36" s="22" customFormat="1" x14ac:dyDescent="0.25">
      <c r="A452" s="28" t="str">
        <f>IF(H452&lt;&gt;"",MAX($A$7:A451)+1,"")</f>
        <v/>
      </c>
      <c r="B452" s="243" t="str">
        <f t="shared" si="42"/>
        <v/>
      </c>
      <c r="C452" s="273" t="str">
        <f t="shared" si="43"/>
        <v/>
      </c>
      <c r="D452" s="246"/>
      <c r="E452" s="284"/>
      <c r="F452" s="284"/>
      <c r="G452" s="248"/>
      <c r="H452" s="241"/>
      <c r="I452" s="285"/>
      <c r="J452" s="286"/>
      <c r="K452" s="287"/>
      <c r="L452" s="288"/>
      <c r="M452" s="289"/>
      <c r="N452" s="290"/>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row>
    <row r="453" spans="1:36" s="22" customFormat="1" x14ac:dyDescent="0.25">
      <c r="A453" s="28" t="str">
        <f>IF(H453&lt;&gt;"",MAX($A$7:A452)+1,"")</f>
        <v/>
      </c>
      <c r="B453" s="243" t="str">
        <f t="shared" si="42"/>
        <v/>
      </c>
      <c r="C453" s="273" t="str">
        <f t="shared" si="43"/>
        <v/>
      </c>
      <c r="D453" s="246"/>
      <c r="E453" s="284"/>
      <c r="F453" s="284"/>
      <c r="G453" s="248"/>
      <c r="H453" s="241"/>
      <c r="I453" s="285"/>
      <c r="J453" s="286"/>
      <c r="K453" s="287"/>
      <c r="L453" s="288"/>
      <c r="M453" s="289"/>
      <c r="N453" s="290"/>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row>
    <row r="454" spans="1:36" s="22" customFormat="1" x14ac:dyDescent="0.25">
      <c r="A454" s="28" t="str">
        <f>IF(H454&lt;&gt;"",MAX($A$7:A453)+1,"")</f>
        <v/>
      </c>
      <c r="B454" s="243" t="str">
        <f t="shared" si="42"/>
        <v/>
      </c>
      <c r="C454" s="273" t="str">
        <f t="shared" si="43"/>
        <v/>
      </c>
      <c r="D454" s="246"/>
      <c r="E454" s="284"/>
      <c r="F454" s="284"/>
      <c r="G454" s="248"/>
      <c r="H454" s="241"/>
      <c r="I454" s="285"/>
      <c r="J454" s="286"/>
      <c r="K454" s="287"/>
      <c r="L454" s="288"/>
      <c r="M454" s="289"/>
      <c r="N454" s="290"/>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row>
    <row r="455" spans="1:36" s="22" customFormat="1" x14ac:dyDescent="0.25">
      <c r="A455" s="28" t="str">
        <f>IF(H455&lt;&gt;"",MAX($A$7:A454)+1,"")</f>
        <v/>
      </c>
      <c r="B455" s="243" t="str">
        <f t="shared" ref="B455:B518" si="44">IF(A455="","",PREF_PREGUNTA&amp;" - "&amp;IF(MAX(A:A)&gt;99,IF(A455&lt;100,"0",""),"")&amp;IF(A455&lt;10,"0","")&amp;A455&amp;IF(G455&lt;&gt;""," "&amp;G455,""))</f>
        <v/>
      </c>
      <c r="C455" s="273" t="str">
        <f t="shared" ref="C455:C508" si="45">IF(COUNTA(I455:N455)-D455=0,"",COUNTA(I455:N455)-D455)</f>
        <v/>
      </c>
      <c r="D455" s="246"/>
      <c r="E455" s="284"/>
      <c r="F455" s="284"/>
      <c r="G455" s="248"/>
      <c r="H455" s="241"/>
      <c r="I455" s="285"/>
      <c r="J455" s="286"/>
      <c r="K455" s="287"/>
      <c r="L455" s="288"/>
      <c r="M455" s="289"/>
      <c r="N455" s="290"/>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row>
    <row r="456" spans="1:36" s="22" customFormat="1" x14ac:dyDescent="0.25">
      <c r="A456" s="28" t="str">
        <f>IF(H456&lt;&gt;"",MAX($A$7:A455)+1,"")</f>
        <v/>
      </c>
      <c r="B456" s="243" t="str">
        <f t="shared" si="44"/>
        <v/>
      </c>
      <c r="C456" s="273" t="str">
        <f t="shared" si="45"/>
        <v/>
      </c>
      <c r="D456" s="246"/>
      <c r="E456" s="284"/>
      <c r="F456" s="284"/>
      <c r="G456" s="248"/>
      <c r="H456" s="241"/>
      <c r="I456" s="285"/>
      <c r="J456" s="286"/>
      <c r="K456" s="287"/>
      <c r="L456" s="288"/>
      <c r="M456" s="289"/>
      <c r="N456" s="290"/>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row>
    <row r="457" spans="1:36" s="22" customFormat="1" x14ac:dyDescent="0.25">
      <c r="A457" s="28" t="str">
        <f>IF(H457&lt;&gt;"",MAX($A$7:A456)+1,"")</f>
        <v/>
      </c>
      <c r="B457" s="243" t="str">
        <f t="shared" si="44"/>
        <v/>
      </c>
      <c r="C457" s="273" t="str">
        <f t="shared" si="45"/>
        <v/>
      </c>
      <c r="D457" s="246"/>
      <c r="E457" s="284"/>
      <c r="F457" s="284"/>
      <c r="G457" s="248"/>
      <c r="H457" s="241"/>
      <c r="I457" s="285"/>
      <c r="J457" s="286"/>
      <c r="K457" s="287"/>
      <c r="L457" s="288"/>
      <c r="M457" s="289"/>
      <c r="N457" s="290"/>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row>
    <row r="458" spans="1:36" s="22" customFormat="1" x14ac:dyDescent="0.25">
      <c r="A458" s="28" t="str">
        <f>IF(H458&lt;&gt;"",MAX($A$7:A457)+1,"")</f>
        <v/>
      </c>
      <c r="B458" s="243" t="str">
        <f t="shared" si="44"/>
        <v/>
      </c>
      <c r="C458" s="273" t="str">
        <f t="shared" si="45"/>
        <v/>
      </c>
      <c r="D458" s="246"/>
      <c r="E458" s="284"/>
      <c r="F458" s="284"/>
      <c r="G458" s="248"/>
      <c r="H458" s="241"/>
      <c r="I458" s="285"/>
      <c r="J458" s="286"/>
      <c r="K458" s="287"/>
      <c r="L458" s="288"/>
      <c r="M458" s="289"/>
      <c r="N458" s="290"/>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row>
    <row r="459" spans="1:36" s="22" customFormat="1" x14ac:dyDescent="0.25">
      <c r="A459" s="28" t="str">
        <f>IF(H459&lt;&gt;"",MAX($A$7:A458)+1,"")</f>
        <v/>
      </c>
      <c r="B459" s="243" t="str">
        <f t="shared" si="44"/>
        <v/>
      </c>
      <c r="C459" s="273" t="str">
        <f t="shared" si="45"/>
        <v/>
      </c>
      <c r="D459" s="246"/>
      <c r="E459" s="284"/>
      <c r="F459" s="284"/>
      <c r="G459" s="248"/>
      <c r="H459" s="241"/>
      <c r="I459" s="285"/>
      <c r="J459" s="286"/>
      <c r="K459" s="287"/>
      <c r="L459" s="288"/>
      <c r="M459" s="289"/>
      <c r="N459" s="290"/>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row>
    <row r="460" spans="1:36" s="22" customFormat="1" x14ac:dyDescent="0.25">
      <c r="A460" s="28" t="str">
        <f>IF(H460&lt;&gt;"",MAX($A$7:A459)+1,"")</f>
        <v/>
      </c>
      <c r="B460" s="243" t="str">
        <f t="shared" si="44"/>
        <v/>
      </c>
      <c r="C460" s="273" t="str">
        <f t="shared" si="45"/>
        <v/>
      </c>
      <c r="D460" s="246"/>
      <c r="E460" s="284"/>
      <c r="F460" s="284"/>
      <c r="G460" s="248"/>
      <c r="H460" s="241"/>
      <c r="I460" s="285"/>
      <c r="J460" s="286"/>
      <c r="K460" s="287"/>
      <c r="L460" s="288"/>
      <c r="M460" s="289"/>
      <c r="N460" s="290"/>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row>
    <row r="461" spans="1:36" s="22" customFormat="1" x14ac:dyDescent="0.25">
      <c r="A461" s="28" t="str">
        <f>IF(H461&lt;&gt;"",MAX($A$7:A460)+1,"")</f>
        <v/>
      </c>
      <c r="B461" s="243" t="str">
        <f t="shared" si="44"/>
        <v/>
      </c>
      <c r="C461" s="273" t="str">
        <f t="shared" si="45"/>
        <v/>
      </c>
      <c r="D461" s="246"/>
      <c r="E461" s="284"/>
      <c r="F461" s="284"/>
      <c r="G461" s="248"/>
      <c r="H461" s="241"/>
      <c r="I461" s="285"/>
      <c r="J461" s="286"/>
      <c r="K461" s="287"/>
      <c r="L461" s="288"/>
      <c r="M461" s="289"/>
      <c r="N461" s="290"/>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row>
    <row r="462" spans="1:36" s="22" customFormat="1" x14ac:dyDescent="0.25">
      <c r="A462" s="28" t="str">
        <f>IF(H462&lt;&gt;"",MAX($A$7:A461)+1,"")</f>
        <v/>
      </c>
      <c r="B462" s="243" t="str">
        <f t="shared" si="44"/>
        <v/>
      </c>
      <c r="C462" s="273" t="str">
        <f t="shared" si="45"/>
        <v/>
      </c>
      <c r="D462" s="246"/>
      <c r="E462" s="284"/>
      <c r="F462" s="284"/>
      <c r="G462" s="248"/>
      <c r="H462" s="241"/>
      <c r="I462" s="285"/>
      <c r="J462" s="286"/>
      <c r="K462" s="287"/>
      <c r="L462" s="288"/>
      <c r="M462" s="289"/>
      <c r="N462" s="290"/>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row>
    <row r="463" spans="1:36" s="22" customFormat="1" x14ac:dyDescent="0.25">
      <c r="A463" s="28" t="str">
        <f>IF(H463&lt;&gt;"",MAX($A$7:A462)+1,"")</f>
        <v/>
      </c>
      <c r="B463" s="243" t="str">
        <f t="shared" si="44"/>
        <v/>
      </c>
      <c r="C463" s="273" t="str">
        <f t="shared" si="45"/>
        <v/>
      </c>
      <c r="D463" s="246"/>
      <c r="E463" s="284"/>
      <c r="F463" s="284"/>
      <c r="G463" s="248"/>
      <c r="H463" s="241"/>
      <c r="I463" s="285"/>
      <c r="J463" s="286"/>
      <c r="K463" s="287"/>
      <c r="L463" s="288"/>
      <c r="M463" s="289"/>
      <c r="N463" s="290"/>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row>
    <row r="464" spans="1:36" s="22" customFormat="1" x14ac:dyDescent="0.25">
      <c r="A464" s="28" t="str">
        <f>IF(H464&lt;&gt;"",MAX($A$7:A463)+1,"")</f>
        <v/>
      </c>
      <c r="B464" s="243" t="str">
        <f t="shared" si="44"/>
        <v/>
      </c>
      <c r="C464" s="273" t="str">
        <f t="shared" si="45"/>
        <v/>
      </c>
      <c r="D464" s="246"/>
      <c r="E464" s="284"/>
      <c r="F464" s="284"/>
      <c r="G464" s="248"/>
      <c r="H464" s="241"/>
      <c r="I464" s="285"/>
      <c r="J464" s="286"/>
      <c r="K464" s="287"/>
      <c r="L464" s="288"/>
      <c r="M464" s="289"/>
      <c r="N464" s="290"/>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row>
    <row r="465" spans="1:36" s="22" customFormat="1" x14ac:dyDescent="0.25">
      <c r="A465" s="28" t="str">
        <f>IF(H465&lt;&gt;"",MAX($A$7:A464)+1,"")</f>
        <v/>
      </c>
      <c r="B465" s="243" t="str">
        <f t="shared" si="44"/>
        <v/>
      </c>
      <c r="C465" s="273" t="str">
        <f t="shared" si="45"/>
        <v/>
      </c>
      <c r="D465" s="246"/>
      <c r="E465" s="284"/>
      <c r="F465" s="284"/>
      <c r="G465" s="248"/>
      <c r="H465" s="241"/>
      <c r="I465" s="285"/>
      <c r="J465" s="286"/>
      <c r="K465" s="287"/>
      <c r="L465" s="288"/>
      <c r="M465" s="289"/>
      <c r="N465" s="290"/>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row>
    <row r="466" spans="1:36" s="22" customFormat="1" x14ac:dyDescent="0.25">
      <c r="A466" s="28" t="str">
        <f>IF(H466&lt;&gt;"",MAX($A$7:A465)+1,"")</f>
        <v/>
      </c>
      <c r="B466" s="243" t="str">
        <f t="shared" si="44"/>
        <v/>
      </c>
      <c r="C466" s="273" t="str">
        <f t="shared" si="45"/>
        <v/>
      </c>
      <c r="D466" s="246"/>
      <c r="E466" s="284"/>
      <c r="F466" s="284"/>
      <c r="G466" s="248"/>
      <c r="H466" s="241"/>
      <c r="I466" s="285"/>
      <c r="J466" s="286"/>
      <c r="K466" s="287"/>
      <c r="L466" s="288"/>
      <c r="M466" s="289"/>
      <c r="N466" s="290"/>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row>
    <row r="467" spans="1:36" s="22" customFormat="1" x14ac:dyDescent="0.25">
      <c r="A467" s="28" t="str">
        <f>IF(H467&lt;&gt;"",MAX($A$7:A466)+1,"")</f>
        <v/>
      </c>
      <c r="B467" s="243" t="str">
        <f t="shared" si="44"/>
        <v/>
      </c>
      <c r="C467" s="273" t="str">
        <f t="shared" si="45"/>
        <v/>
      </c>
      <c r="D467" s="246"/>
      <c r="E467" s="284"/>
      <c r="F467" s="284"/>
      <c r="G467" s="248"/>
      <c r="H467" s="241"/>
      <c r="I467" s="285"/>
      <c r="J467" s="286"/>
      <c r="K467" s="287"/>
      <c r="L467" s="288"/>
      <c r="M467" s="289"/>
      <c r="N467" s="290"/>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row>
    <row r="468" spans="1:36" s="22" customFormat="1" x14ac:dyDescent="0.25">
      <c r="A468" s="28" t="str">
        <f>IF(H468&lt;&gt;"",MAX($A$7:A467)+1,"")</f>
        <v/>
      </c>
      <c r="B468" s="243" t="str">
        <f t="shared" si="44"/>
        <v/>
      </c>
      <c r="C468" s="273" t="str">
        <f t="shared" si="45"/>
        <v/>
      </c>
      <c r="D468" s="246"/>
      <c r="E468" s="284"/>
      <c r="F468" s="284"/>
      <c r="G468" s="248"/>
      <c r="H468" s="241"/>
      <c r="I468" s="285"/>
      <c r="J468" s="286"/>
      <c r="K468" s="287"/>
      <c r="L468" s="288"/>
      <c r="M468" s="289"/>
      <c r="N468" s="290"/>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row>
    <row r="469" spans="1:36" s="22" customFormat="1" x14ac:dyDescent="0.25">
      <c r="A469" s="28" t="str">
        <f>IF(H469&lt;&gt;"",MAX($A$7:A468)+1,"")</f>
        <v/>
      </c>
      <c r="B469" s="243" t="str">
        <f t="shared" si="44"/>
        <v/>
      </c>
      <c r="C469" s="273" t="str">
        <f t="shared" si="45"/>
        <v/>
      </c>
      <c r="D469" s="246"/>
      <c r="E469" s="284"/>
      <c r="F469" s="284"/>
      <c r="G469" s="248"/>
      <c r="H469" s="241"/>
      <c r="I469" s="285"/>
      <c r="J469" s="286"/>
      <c r="K469" s="287"/>
      <c r="L469" s="288"/>
      <c r="M469" s="289"/>
      <c r="N469" s="290"/>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row>
    <row r="470" spans="1:36" s="22" customFormat="1" x14ac:dyDescent="0.25">
      <c r="A470" s="28" t="str">
        <f>IF(H470&lt;&gt;"",MAX($A$7:A469)+1,"")</f>
        <v/>
      </c>
      <c r="B470" s="243" t="str">
        <f t="shared" si="44"/>
        <v/>
      </c>
      <c r="C470" s="273" t="str">
        <f t="shared" si="45"/>
        <v/>
      </c>
      <c r="D470" s="246"/>
      <c r="E470" s="284"/>
      <c r="F470" s="284"/>
      <c r="G470" s="248"/>
      <c r="H470" s="241"/>
      <c r="I470" s="285"/>
      <c r="J470" s="286"/>
      <c r="K470" s="287"/>
      <c r="L470" s="288"/>
      <c r="M470" s="289"/>
      <c r="N470" s="290"/>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row>
    <row r="471" spans="1:36" s="22" customFormat="1" x14ac:dyDescent="0.25">
      <c r="A471" s="28" t="str">
        <f>IF(H471&lt;&gt;"",MAX($A$7:A470)+1,"")</f>
        <v/>
      </c>
      <c r="B471" s="243" t="str">
        <f t="shared" si="44"/>
        <v/>
      </c>
      <c r="C471" s="273" t="str">
        <f t="shared" si="45"/>
        <v/>
      </c>
      <c r="D471" s="246"/>
      <c r="E471" s="284"/>
      <c r="F471" s="284"/>
      <c r="G471" s="248"/>
      <c r="H471" s="241"/>
      <c r="I471" s="285"/>
      <c r="J471" s="286"/>
      <c r="K471" s="287"/>
      <c r="L471" s="288"/>
      <c r="M471" s="289"/>
      <c r="N471" s="290"/>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row>
    <row r="472" spans="1:36" s="22" customFormat="1" x14ac:dyDescent="0.25">
      <c r="A472" s="28" t="str">
        <f>IF(H472&lt;&gt;"",MAX($A$7:A471)+1,"")</f>
        <v/>
      </c>
      <c r="B472" s="243" t="str">
        <f t="shared" si="44"/>
        <v/>
      </c>
      <c r="C472" s="273" t="str">
        <f t="shared" si="45"/>
        <v/>
      </c>
      <c r="D472" s="246"/>
      <c r="E472" s="284"/>
      <c r="F472" s="284"/>
      <c r="G472" s="248"/>
      <c r="H472" s="241"/>
      <c r="I472" s="285"/>
      <c r="J472" s="286"/>
      <c r="K472" s="287"/>
      <c r="L472" s="288"/>
      <c r="M472" s="289"/>
      <c r="N472" s="290"/>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row>
    <row r="473" spans="1:36" s="22" customFormat="1" x14ac:dyDescent="0.25">
      <c r="A473" s="28" t="str">
        <f>IF(H473&lt;&gt;"",MAX($A$7:A472)+1,"")</f>
        <v/>
      </c>
      <c r="B473" s="243" t="str">
        <f t="shared" si="44"/>
        <v/>
      </c>
      <c r="C473" s="273" t="str">
        <f t="shared" si="45"/>
        <v/>
      </c>
      <c r="D473" s="246"/>
      <c r="E473" s="284"/>
      <c r="F473" s="284"/>
      <c r="G473" s="248"/>
      <c r="H473" s="241"/>
      <c r="I473" s="285"/>
      <c r="J473" s="286"/>
      <c r="K473" s="287"/>
      <c r="L473" s="288"/>
      <c r="M473" s="289"/>
      <c r="N473" s="290"/>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row>
    <row r="474" spans="1:36" s="22" customFormat="1" x14ac:dyDescent="0.25">
      <c r="A474" s="28" t="str">
        <f>IF(H474&lt;&gt;"",MAX($A$7:A473)+1,"")</f>
        <v/>
      </c>
      <c r="B474" s="243" t="str">
        <f t="shared" si="44"/>
        <v/>
      </c>
      <c r="C474" s="273" t="str">
        <f t="shared" si="45"/>
        <v/>
      </c>
      <c r="D474" s="246"/>
      <c r="E474" s="284"/>
      <c r="F474" s="284"/>
      <c r="G474" s="248"/>
      <c r="H474" s="241"/>
      <c r="I474" s="285"/>
      <c r="J474" s="286"/>
      <c r="K474" s="287"/>
      <c r="L474" s="288"/>
      <c r="M474" s="289"/>
      <c r="N474" s="290"/>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row>
    <row r="475" spans="1:36" s="22" customFormat="1" x14ac:dyDescent="0.25">
      <c r="A475" s="28" t="str">
        <f>IF(H475&lt;&gt;"",MAX($A$7:A474)+1,"")</f>
        <v/>
      </c>
      <c r="B475" s="243" t="str">
        <f t="shared" si="44"/>
        <v/>
      </c>
      <c r="C475" s="273" t="str">
        <f t="shared" si="45"/>
        <v/>
      </c>
      <c r="D475" s="246"/>
      <c r="E475" s="284"/>
      <c r="F475" s="284"/>
      <c r="G475" s="248"/>
      <c r="H475" s="241"/>
      <c r="I475" s="285"/>
      <c r="J475" s="286"/>
      <c r="K475" s="287"/>
      <c r="L475" s="288"/>
      <c r="M475" s="289"/>
      <c r="N475" s="290"/>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row>
    <row r="476" spans="1:36" s="22" customFormat="1" x14ac:dyDescent="0.25">
      <c r="A476" s="28" t="str">
        <f>IF(H476&lt;&gt;"",MAX($A$7:A475)+1,"")</f>
        <v/>
      </c>
      <c r="B476" s="243" t="str">
        <f t="shared" si="44"/>
        <v/>
      </c>
      <c r="C476" s="273" t="str">
        <f t="shared" si="45"/>
        <v/>
      </c>
      <c r="D476" s="246"/>
      <c r="E476" s="284"/>
      <c r="F476" s="284"/>
      <c r="G476" s="248"/>
      <c r="H476" s="241"/>
      <c r="I476" s="285"/>
      <c r="J476" s="286"/>
      <c r="K476" s="287"/>
      <c r="L476" s="288"/>
      <c r="M476" s="289"/>
      <c r="N476" s="290"/>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row>
    <row r="477" spans="1:36" s="22" customFormat="1" x14ac:dyDescent="0.25">
      <c r="A477" s="28" t="str">
        <f>IF(H477&lt;&gt;"",MAX($A$7:A476)+1,"")</f>
        <v/>
      </c>
      <c r="B477" s="243" t="str">
        <f t="shared" si="44"/>
        <v/>
      </c>
      <c r="C477" s="273" t="str">
        <f t="shared" si="45"/>
        <v/>
      </c>
      <c r="D477" s="246"/>
      <c r="E477" s="284"/>
      <c r="F477" s="284"/>
      <c r="G477" s="248"/>
      <c r="H477" s="241"/>
      <c r="I477" s="285"/>
      <c r="J477" s="286"/>
      <c r="K477" s="287"/>
      <c r="L477" s="288"/>
      <c r="M477" s="289"/>
      <c r="N477" s="290"/>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row>
    <row r="478" spans="1:36" s="22" customFormat="1" x14ac:dyDescent="0.25">
      <c r="A478" s="28" t="str">
        <f>IF(H478&lt;&gt;"",MAX($A$7:A477)+1,"")</f>
        <v/>
      </c>
      <c r="B478" s="243" t="str">
        <f t="shared" si="44"/>
        <v/>
      </c>
      <c r="C478" s="273" t="str">
        <f t="shared" si="45"/>
        <v/>
      </c>
      <c r="D478" s="246"/>
      <c r="E478" s="284"/>
      <c r="F478" s="284"/>
      <c r="G478" s="248"/>
      <c r="H478" s="241"/>
      <c r="I478" s="285"/>
      <c r="J478" s="286"/>
      <c r="K478" s="287"/>
      <c r="L478" s="288"/>
      <c r="M478" s="289"/>
      <c r="N478" s="290"/>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row>
    <row r="479" spans="1:36" s="22" customFormat="1" x14ac:dyDescent="0.25">
      <c r="A479" s="28" t="str">
        <f>IF(H479&lt;&gt;"",MAX($A$7:A478)+1,"")</f>
        <v/>
      </c>
      <c r="B479" s="243" t="str">
        <f t="shared" si="44"/>
        <v/>
      </c>
      <c r="C479" s="273" t="str">
        <f t="shared" si="45"/>
        <v/>
      </c>
      <c r="D479" s="246"/>
      <c r="E479" s="284"/>
      <c r="F479" s="284"/>
      <c r="G479" s="248"/>
      <c r="H479" s="241"/>
      <c r="I479" s="285"/>
      <c r="J479" s="286"/>
      <c r="K479" s="287"/>
      <c r="L479" s="288"/>
      <c r="M479" s="289"/>
      <c r="N479" s="290"/>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row>
    <row r="480" spans="1:36" s="22" customFormat="1" x14ac:dyDescent="0.25">
      <c r="A480" s="28" t="str">
        <f>IF(H480&lt;&gt;"",MAX($A$7:A479)+1,"")</f>
        <v/>
      </c>
      <c r="B480" s="243" t="str">
        <f t="shared" si="44"/>
        <v/>
      </c>
      <c r="C480" s="273" t="str">
        <f t="shared" si="45"/>
        <v/>
      </c>
      <c r="D480" s="246"/>
      <c r="E480" s="284"/>
      <c r="F480" s="284"/>
      <c r="G480" s="248"/>
      <c r="H480" s="241"/>
      <c r="I480" s="285"/>
      <c r="J480" s="286"/>
      <c r="K480" s="287"/>
      <c r="L480" s="288"/>
      <c r="M480" s="289"/>
      <c r="N480" s="290"/>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row>
    <row r="481" spans="1:36" s="22" customFormat="1" x14ac:dyDescent="0.25">
      <c r="A481" s="28" t="str">
        <f>IF(H481&lt;&gt;"",MAX($A$7:A480)+1,"")</f>
        <v/>
      </c>
      <c r="B481" s="243" t="str">
        <f t="shared" si="44"/>
        <v/>
      </c>
      <c r="C481" s="273" t="str">
        <f t="shared" si="45"/>
        <v/>
      </c>
      <c r="D481" s="246"/>
      <c r="E481" s="284"/>
      <c r="F481" s="284"/>
      <c r="G481" s="248"/>
      <c r="H481" s="241"/>
      <c r="I481" s="285"/>
      <c r="J481" s="286"/>
      <c r="K481" s="287"/>
      <c r="L481" s="288"/>
      <c r="M481" s="289"/>
      <c r="N481" s="290"/>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row>
    <row r="482" spans="1:36" s="22" customFormat="1" x14ac:dyDescent="0.25">
      <c r="A482" s="28" t="str">
        <f>IF(H482&lt;&gt;"",MAX($A$7:A481)+1,"")</f>
        <v/>
      </c>
      <c r="B482" s="243" t="str">
        <f t="shared" si="44"/>
        <v/>
      </c>
      <c r="C482" s="273" t="str">
        <f t="shared" si="45"/>
        <v/>
      </c>
      <c r="D482" s="246"/>
      <c r="E482" s="284"/>
      <c r="F482" s="284"/>
      <c r="G482" s="248"/>
      <c r="H482" s="241"/>
      <c r="I482" s="285"/>
      <c r="J482" s="286"/>
      <c r="K482" s="287"/>
      <c r="L482" s="288"/>
      <c r="M482" s="289"/>
      <c r="N482" s="290"/>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row>
    <row r="483" spans="1:36" s="22" customFormat="1" x14ac:dyDescent="0.25">
      <c r="A483" s="28" t="str">
        <f>IF(H483&lt;&gt;"",MAX($A$7:A482)+1,"")</f>
        <v/>
      </c>
      <c r="B483" s="243" t="str">
        <f t="shared" si="44"/>
        <v/>
      </c>
      <c r="C483" s="273" t="str">
        <f t="shared" si="45"/>
        <v/>
      </c>
      <c r="D483" s="246"/>
      <c r="E483" s="284"/>
      <c r="F483" s="284"/>
      <c r="G483" s="248"/>
      <c r="H483" s="241"/>
      <c r="I483" s="285"/>
      <c r="J483" s="286"/>
      <c r="K483" s="287"/>
      <c r="L483" s="288"/>
      <c r="M483" s="289"/>
      <c r="N483" s="290"/>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row>
    <row r="484" spans="1:36" s="22" customFormat="1" x14ac:dyDescent="0.25">
      <c r="A484" s="28" t="str">
        <f>IF(H484&lt;&gt;"",MAX($A$7:A483)+1,"")</f>
        <v/>
      </c>
      <c r="B484" s="243" t="str">
        <f t="shared" si="44"/>
        <v/>
      </c>
      <c r="C484" s="273" t="str">
        <f t="shared" si="45"/>
        <v/>
      </c>
      <c r="D484" s="246"/>
      <c r="E484" s="284"/>
      <c r="F484" s="284"/>
      <c r="G484" s="248"/>
      <c r="H484" s="241"/>
      <c r="I484" s="285"/>
      <c r="J484" s="286"/>
      <c r="K484" s="287"/>
      <c r="L484" s="288"/>
      <c r="M484" s="289"/>
      <c r="N484" s="290"/>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row>
    <row r="485" spans="1:36" s="22" customFormat="1" x14ac:dyDescent="0.25">
      <c r="A485" s="28" t="str">
        <f>IF(H485&lt;&gt;"",MAX($A$7:A484)+1,"")</f>
        <v/>
      </c>
      <c r="B485" s="243" t="str">
        <f t="shared" si="44"/>
        <v/>
      </c>
      <c r="C485" s="273" t="str">
        <f t="shared" si="45"/>
        <v/>
      </c>
      <c r="D485" s="246"/>
      <c r="E485" s="284"/>
      <c r="F485" s="284"/>
      <c r="G485" s="248"/>
      <c r="H485" s="241"/>
      <c r="I485" s="285"/>
      <c r="J485" s="286"/>
      <c r="K485" s="287"/>
      <c r="L485" s="288"/>
      <c r="M485" s="289"/>
      <c r="N485" s="290"/>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row>
    <row r="486" spans="1:36" s="22" customFormat="1" x14ac:dyDescent="0.25">
      <c r="A486" s="28" t="str">
        <f>IF(H486&lt;&gt;"",MAX($A$7:A485)+1,"")</f>
        <v/>
      </c>
      <c r="B486" s="243" t="str">
        <f t="shared" si="44"/>
        <v/>
      </c>
      <c r="C486" s="273" t="str">
        <f t="shared" si="45"/>
        <v/>
      </c>
      <c r="D486" s="246"/>
      <c r="E486" s="284"/>
      <c r="F486" s="284"/>
      <c r="G486" s="248"/>
      <c r="H486" s="241"/>
      <c r="I486" s="285"/>
      <c r="J486" s="286"/>
      <c r="K486" s="287"/>
      <c r="L486" s="288"/>
      <c r="M486" s="289"/>
      <c r="N486" s="290"/>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row>
    <row r="487" spans="1:36" s="22" customFormat="1" x14ac:dyDescent="0.25">
      <c r="A487" s="28" t="str">
        <f>IF(H487&lt;&gt;"",MAX($A$7:A486)+1,"")</f>
        <v/>
      </c>
      <c r="B487" s="243" t="str">
        <f t="shared" si="44"/>
        <v/>
      </c>
      <c r="C487" s="273" t="str">
        <f t="shared" si="45"/>
        <v/>
      </c>
      <c r="D487" s="246"/>
      <c r="E487" s="284"/>
      <c r="F487" s="284"/>
      <c r="G487" s="248"/>
      <c r="H487" s="241"/>
      <c r="I487" s="285"/>
      <c r="J487" s="286"/>
      <c r="K487" s="287"/>
      <c r="L487" s="288"/>
      <c r="M487" s="289"/>
      <c r="N487" s="290"/>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row>
    <row r="488" spans="1:36" s="22" customFormat="1" x14ac:dyDescent="0.25">
      <c r="A488" s="28" t="str">
        <f>IF(H488&lt;&gt;"",MAX($A$7:A487)+1,"")</f>
        <v/>
      </c>
      <c r="B488" s="243" t="str">
        <f t="shared" si="44"/>
        <v/>
      </c>
      <c r="C488" s="273" t="str">
        <f t="shared" si="45"/>
        <v/>
      </c>
      <c r="D488" s="246"/>
      <c r="E488" s="284"/>
      <c r="F488" s="284"/>
      <c r="G488" s="248"/>
      <c r="H488" s="241"/>
      <c r="I488" s="285"/>
      <c r="J488" s="286"/>
      <c r="K488" s="287"/>
      <c r="L488" s="288"/>
      <c r="M488" s="289"/>
      <c r="N488" s="290"/>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row>
    <row r="489" spans="1:36" s="22" customFormat="1" x14ac:dyDescent="0.25">
      <c r="A489" s="28" t="str">
        <f>IF(H489&lt;&gt;"",MAX($A$7:A488)+1,"")</f>
        <v/>
      </c>
      <c r="B489" s="243" t="str">
        <f t="shared" si="44"/>
        <v/>
      </c>
      <c r="C489" s="273" t="str">
        <f t="shared" si="45"/>
        <v/>
      </c>
      <c r="D489" s="246"/>
      <c r="E489" s="284"/>
      <c r="F489" s="284"/>
      <c r="G489" s="248"/>
      <c r="H489" s="241"/>
      <c r="I489" s="285"/>
      <c r="J489" s="286"/>
      <c r="K489" s="287"/>
      <c r="L489" s="288"/>
      <c r="M489" s="289"/>
      <c r="N489" s="290"/>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row>
    <row r="490" spans="1:36" s="22" customFormat="1" x14ac:dyDescent="0.25">
      <c r="A490" s="28" t="str">
        <f>IF(H490&lt;&gt;"",MAX($A$7:A489)+1,"")</f>
        <v/>
      </c>
      <c r="B490" s="243" t="str">
        <f t="shared" si="44"/>
        <v/>
      </c>
      <c r="C490" s="273" t="str">
        <f t="shared" si="45"/>
        <v/>
      </c>
      <c r="D490" s="246"/>
      <c r="E490" s="284"/>
      <c r="F490" s="284"/>
      <c r="G490" s="248"/>
      <c r="H490" s="241"/>
      <c r="I490" s="285"/>
      <c r="J490" s="286"/>
      <c r="K490" s="287"/>
      <c r="L490" s="288"/>
      <c r="M490" s="289"/>
      <c r="N490" s="290"/>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row>
    <row r="491" spans="1:36" s="22" customFormat="1" x14ac:dyDescent="0.25">
      <c r="A491" s="28" t="str">
        <f>IF(H491&lt;&gt;"",MAX($A$7:A490)+1,"")</f>
        <v/>
      </c>
      <c r="B491" s="243" t="str">
        <f t="shared" si="44"/>
        <v/>
      </c>
      <c r="C491" s="273" t="str">
        <f t="shared" si="45"/>
        <v/>
      </c>
      <c r="D491" s="246"/>
      <c r="E491" s="284"/>
      <c r="F491" s="284"/>
      <c r="G491" s="248"/>
      <c r="H491" s="241"/>
      <c r="I491" s="285"/>
      <c r="J491" s="286"/>
      <c r="K491" s="287"/>
      <c r="L491" s="288"/>
      <c r="M491" s="289"/>
      <c r="N491" s="290"/>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row>
    <row r="492" spans="1:36" s="22" customFormat="1" x14ac:dyDescent="0.25">
      <c r="A492" s="28" t="str">
        <f>IF(H492&lt;&gt;"",MAX($A$7:A491)+1,"")</f>
        <v/>
      </c>
      <c r="B492" s="243" t="str">
        <f t="shared" si="44"/>
        <v/>
      </c>
      <c r="C492" s="273" t="str">
        <f t="shared" si="45"/>
        <v/>
      </c>
      <c r="D492" s="246"/>
      <c r="E492" s="284"/>
      <c r="F492" s="284"/>
      <c r="G492" s="248"/>
      <c r="H492" s="241"/>
      <c r="I492" s="285"/>
      <c r="J492" s="286"/>
      <c r="K492" s="287"/>
      <c r="L492" s="288"/>
      <c r="M492" s="289"/>
      <c r="N492" s="290"/>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row>
    <row r="493" spans="1:36" s="22" customFormat="1" x14ac:dyDescent="0.25">
      <c r="A493" s="28" t="str">
        <f>IF(H493&lt;&gt;"",MAX($A$7:A492)+1,"")</f>
        <v/>
      </c>
      <c r="B493" s="243" t="str">
        <f t="shared" si="44"/>
        <v/>
      </c>
      <c r="C493" s="273" t="str">
        <f t="shared" si="45"/>
        <v/>
      </c>
      <c r="D493" s="246"/>
      <c r="E493" s="284"/>
      <c r="F493" s="284"/>
      <c r="G493" s="248"/>
      <c r="H493" s="241"/>
      <c r="I493" s="285"/>
      <c r="J493" s="286"/>
      <c r="K493" s="287"/>
      <c r="L493" s="288"/>
      <c r="M493" s="289"/>
      <c r="N493" s="290"/>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row>
    <row r="494" spans="1:36" s="22" customFormat="1" x14ac:dyDescent="0.25">
      <c r="A494" s="28" t="str">
        <f>IF(H494&lt;&gt;"",MAX($A$7:A493)+1,"")</f>
        <v/>
      </c>
      <c r="B494" s="243" t="str">
        <f t="shared" si="44"/>
        <v/>
      </c>
      <c r="C494" s="273" t="str">
        <f t="shared" si="45"/>
        <v/>
      </c>
      <c r="D494" s="246"/>
      <c r="E494" s="284"/>
      <c r="F494" s="284"/>
      <c r="G494" s="248"/>
      <c r="H494" s="241"/>
      <c r="I494" s="285"/>
      <c r="J494" s="286"/>
      <c r="K494" s="287"/>
      <c r="L494" s="288"/>
      <c r="M494" s="289"/>
      <c r="N494" s="290"/>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row>
    <row r="495" spans="1:36" s="22" customFormat="1" x14ac:dyDescent="0.25">
      <c r="A495" s="28" t="str">
        <f>IF(H495&lt;&gt;"",MAX($A$7:A494)+1,"")</f>
        <v/>
      </c>
      <c r="B495" s="243" t="str">
        <f t="shared" si="44"/>
        <v/>
      </c>
      <c r="C495" s="273" t="str">
        <f t="shared" si="45"/>
        <v/>
      </c>
      <c r="D495" s="246"/>
      <c r="E495" s="284"/>
      <c r="F495" s="284"/>
      <c r="G495" s="248"/>
      <c r="H495" s="241"/>
      <c r="I495" s="285"/>
      <c r="J495" s="286"/>
      <c r="K495" s="287"/>
      <c r="L495" s="288"/>
      <c r="M495" s="289"/>
      <c r="N495" s="290"/>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row>
    <row r="496" spans="1:36" s="22" customFormat="1" x14ac:dyDescent="0.25">
      <c r="A496" s="28" t="str">
        <f>IF(H496&lt;&gt;"",MAX($A$7:A495)+1,"")</f>
        <v/>
      </c>
      <c r="B496" s="243" t="str">
        <f t="shared" si="44"/>
        <v/>
      </c>
      <c r="C496" s="273" t="str">
        <f t="shared" si="45"/>
        <v/>
      </c>
      <c r="D496" s="246"/>
      <c r="E496" s="284"/>
      <c r="F496" s="284"/>
      <c r="G496" s="248"/>
      <c r="H496" s="241"/>
      <c r="I496" s="285"/>
      <c r="J496" s="286"/>
      <c r="K496" s="287"/>
      <c r="L496" s="288"/>
      <c r="M496" s="289"/>
      <c r="N496" s="290"/>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row>
    <row r="497" spans="1:36" s="22" customFormat="1" x14ac:dyDescent="0.25">
      <c r="A497" s="28" t="str">
        <f>IF(H497&lt;&gt;"",MAX($A$7:A496)+1,"")</f>
        <v/>
      </c>
      <c r="B497" s="243" t="str">
        <f t="shared" si="44"/>
        <v/>
      </c>
      <c r="C497" s="273" t="str">
        <f t="shared" si="45"/>
        <v/>
      </c>
      <c r="D497" s="246"/>
      <c r="E497" s="284"/>
      <c r="F497" s="284"/>
      <c r="G497" s="248"/>
      <c r="H497" s="241"/>
      <c r="I497" s="285"/>
      <c r="J497" s="286"/>
      <c r="K497" s="287"/>
      <c r="L497" s="288"/>
      <c r="M497" s="289"/>
      <c r="N497" s="290"/>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row>
    <row r="498" spans="1:36" s="22" customFormat="1" x14ac:dyDescent="0.25">
      <c r="A498" s="28" t="str">
        <f>IF(H498&lt;&gt;"",MAX($A$7:A497)+1,"")</f>
        <v/>
      </c>
      <c r="B498" s="243" t="str">
        <f t="shared" si="44"/>
        <v/>
      </c>
      <c r="C498" s="273" t="str">
        <f t="shared" si="45"/>
        <v/>
      </c>
      <c r="D498" s="246"/>
      <c r="E498" s="284"/>
      <c r="F498" s="284"/>
      <c r="G498" s="248"/>
      <c r="H498" s="241"/>
      <c r="I498" s="285"/>
      <c r="J498" s="286"/>
      <c r="K498" s="287"/>
      <c r="L498" s="288"/>
      <c r="M498" s="289"/>
      <c r="N498" s="290"/>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row>
    <row r="499" spans="1:36" s="22" customFormat="1" x14ac:dyDescent="0.25">
      <c r="A499" s="28" t="str">
        <f>IF(H499&lt;&gt;"",MAX($A$7:A498)+1,"")</f>
        <v/>
      </c>
      <c r="B499" s="243" t="str">
        <f t="shared" si="44"/>
        <v/>
      </c>
      <c r="C499" s="273" t="str">
        <f t="shared" si="45"/>
        <v/>
      </c>
      <c r="D499" s="246"/>
      <c r="E499" s="284"/>
      <c r="F499" s="284"/>
      <c r="G499" s="248"/>
      <c r="H499" s="241"/>
      <c r="I499" s="285"/>
      <c r="J499" s="286"/>
      <c r="K499" s="287"/>
      <c r="L499" s="288"/>
      <c r="M499" s="289"/>
      <c r="N499" s="290"/>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row>
    <row r="500" spans="1:36" s="22" customFormat="1" x14ac:dyDescent="0.25">
      <c r="A500" s="28" t="str">
        <f>IF(H500&lt;&gt;"",MAX($A$7:A499)+1,"")</f>
        <v/>
      </c>
      <c r="B500" s="243" t="str">
        <f t="shared" si="44"/>
        <v/>
      </c>
      <c r="C500" s="273" t="str">
        <f t="shared" si="45"/>
        <v/>
      </c>
      <c r="D500" s="246"/>
      <c r="E500" s="284"/>
      <c r="F500" s="284"/>
      <c r="G500" s="248"/>
      <c r="H500" s="241"/>
      <c r="I500" s="285"/>
      <c r="J500" s="286"/>
      <c r="K500" s="287"/>
      <c r="L500" s="288"/>
      <c r="M500" s="289"/>
      <c r="N500" s="290"/>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row>
    <row r="501" spans="1:36" s="22" customFormat="1" x14ac:dyDescent="0.25">
      <c r="A501" s="28" t="str">
        <f>IF(H501&lt;&gt;"",MAX($A$7:A500)+1,"")</f>
        <v/>
      </c>
      <c r="B501" s="243" t="str">
        <f t="shared" si="44"/>
        <v/>
      </c>
      <c r="C501" s="273" t="str">
        <f t="shared" si="45"/>
        <v/>
      </c>
      <c r="D501" s="246"/>
      <c r="E501" s="284"/>
      <c r="F501" s="284"/>
      <c r="G501" s="248"/>
      <c r="H501" s="241"/>
      <c r="I501" s="285"/>
      <c r="J501" s="286"/>
      <c r="K501" s="287"/>
      <c r="L501" s="288"/>
      <c r="M501" s="289"/>
      <c r="N501" s="290"/>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row>
    <row r="502" spans="1:36" s="22" customFormat="1" x14ac:dyDescent="0.25">
      <c r="A502" s="28" t="str">
        <f>IF(H502&lt;&gt;"",MAX($A$7:A501)+1,"")</f>
        <v/>
      </c>
      <c r="B502" s="243" t="str">
        <f t="shared" si="44"/>
        <v/>
      </c>
      <c r="C502" s="273" t="str">
        <f t="shared" si="45"/>
        <v/>
      </c>
      <c r="D502" s="246"/>
      <c r="E502" s="284"/>
      <c r="F502" s="284"/>
      <c r="G502" s="248"/>
      <c r="H502" s="241"/>
      <c r="I502" s="285"/>
      <c r="J502" s="286"/>
      <c r="K502" s="287"/>
      <c r="L502" s="288"/>
      <c r="M502" s="289"/>
      <c r="N502" s="290"/>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row>
    <row r="503" spans="1:36" s="22" customFormat="1" x14ac:dyDescent="0.25">
      <c r="A503" s="28" t="str">
        <f>IF(H503&lt;&gt;"",MAX($A$7:A502)+1,"")</f>
        <v/>
      </c>
      <c r="B503" s="243" t="str">
        <f t="shared" si="44"/>
        <v/>
      </c>
      <c r="C503" s="273" t="str">
        <f t="shared" si="45"/>
        <v/>
      </c>
      <c r="D503" s="246"/>
      <c r="E503" s="284"/>
      <c r="F503" s="284"/>
      <c r="G503" s="248"/>
      <c r="H503" s="241"/>
      <c r="I503" s="285"/>
      <c r="J503" s="286"/>
      <c r="K503" s="287"/>
      <c r="L503" s="288"/>
      <c r="M503" s="289"/>
      <c r="N503" s="290"/>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row>
    <row r="504" spans="1:36" s="22" customFormat="1" x14ac:dyDescent="0.25">
      <c r="A504" s="28" t="str">
        <f>IF(H504&lt;&gt;"",MAX($A$7:A503)+1,"")</f>
        <v/>
      </c>
      <c r="B504" s="243" t="str">
        <f t="shared" si="44"/>
        <v/>
      </c>
      <c r="C504" s="273" t="str">
        <f t="shared" si="45"/>
        <v/>
      </c>
      <c r="D504" s="246"/>
      <c r="E504" s="284"/>
      <c r="F504" s="284"/>
      <c r="G504" s="248"/>
      <c r="H504" s="241"/>
      <c r="I504" s="285"/>
      <c r="J504" s="286"/>
      <c r="K504" s="287"/>
      <c r="L504" s="288"/>
      <c r="M504" s="289"/>
      <c r="N504" s="290"/>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row>
    <row r="505" spans="1:36" s="22" customFormat="1" x14ac:dyDescent="0.25">
      <c r="A505" s="28" t="str">
        <f>IF(H505&lt;&gt;"",MAX($A$7:A504)+1,"")</f>
        <v/>
      </c>
      <c r="B505" s="243" t="str">
        <f t="shared" si="44"/>
        <v/>
      </c>
      <c r="C505" s="273" t="str">
        <f t="shared" si="45"/>
        <v/>
      </c>
      <c r="D505" s="246"/>
      <c r="E505" s="284"/>
      <c r="F505" s="284"/>
      <c r="G505" s="248"/>
      <c r="H505" s="241"/>
      <c r="I505" s="285"/>
      <c r="J505" s="286"/>
      <c r="K505" s="287"/>
      <c r="L505" s="288"/>
      <c r="M505" s="289"/>
      <c r="N505" s="290"/>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row>
    <row r="506" spans="1:36" s="22" customFormat="1" x14ac:dyDescent="0.25">
      <c r="A506" s="28" t="str">
        <f>IF(H506&lt;&gt;"",MAX($A$7:A505)+1,"")</f>
        <v/>
      </c>
      <c r="B506" s="243" t="str">
        <f t="shared" si="44"/>
        <v/>
      </c>
      <c r="C506" s="273" t="str">
        <f t="shared" si="45"/>
        <v/>
      </c>
      <c r="D506" s="246"/>
      <c r="E506" s="284"/>
      <c r="F506" s="284"/>
      <c r="G506" s="248"/>
      <c r="H506" s="241"/>
      <c r="I506" s="285"/>
      <c r="J506" s="286"/>
      <c r="K506" s="287"/>
      <c r="L506" s="288"/>
      <c r="M506" s="289"/>
      <c r="N506" s="290"/>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row>
    <row r="507" spans="1:36" s="22" customFormat="1" x14ac:dyDescent="0.25">
      <c r="A507" s="28" t="str">
        <f>IF(H507&lt;&gt;"",MAX($A$7:A506)+1,"")</f>
        <v/>
      </c>
      <c r="B507" s="243" t="str">
        <f t="shared" si="44"/>
        <v/>
      </c>
      <c r="C507" s="273" t="str">
        <f t="shared" si="45"/>
        <v/>
      </c>
      <c r="D507" s="246"/>
      <c r="E507" s="284"/>
      <c r="F507" s="284"/>
      <c r="G507" s="248"/>
      <c r="H507" s="241"/>
      <c r="I507" s="285"/>
      <c r="J507" s="286"/>
      <c r="K507" s="287"/>
      <c r="L507" s="288"/>
      <c r="M507" s="289"/>
      <c r="N507" s="290"/>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row>
    <row r="508" spans="1:36" s="22" customFormat="1" x14ac:dyDescent="0.25">
      <c r="A508" s="28" t="str">
        <f>IF(H508&lt;&gt;"",MAX($A$7:A507)+1,"")</f>
        <v/>
      </c>
      <c r="B508" s="243" t="str">
        <f t="shared" si="44"/>
        <v/>
      </c>
      <c r="C508" s="273" t="str">
        <f t="shared" si="45"/>
        <v/>
      </c>
      <c r="D508" s="246"/>
      <c r="E508" s="284"/>
      <c r="F508" s="284"/>
      <c r="G508" s="248"/>
      <c r="H508" s="241"/>
      <c r="I508" s="285"/>
      <c r="J508" s="286"/>
      <c r="K508" s="287"/>
      <c r="L508" s="288"/>
      <c r="M508" s="289"/>
      <c r="N508" s="290"/>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row>
  </sheetData>
  <sheetProtection algorithmName="SHA-512" hashValue="LuiKP++46ivP3Y05TSx7w/cj/Vs4zOVT1MrNA+bBeLesZZHvRYZ4SsQCEM3V95ESHPKODff1yvd11y3HEfsezw==" saltValue="rNE52IqcTrnHLWAF1Jm3KQ==" spinCount="100000" sheet="1" objects="1" scenarios="1" selectLockedCells="1"/>
  <mergeCells count="1">
    <mergeCell ref="E4:H4"/>
  </mergeCells>
  <conditionalFormatting sqref="B5:AF5 B6:AJ6">
    <cfRule type="cellIs" dxfId="94" priority="549" operator="equal">
      <formula>""</formula>
    </cfRule>
    <cfRule type="cellIs" dxfId="93" priority="550" operator="equal">
      <formula>0</formula>
    </cfRule>
  </conditionalFormatting>
  <conditionalFormatting sqref="AG5:AJ5">
    <cfRule type="cellIs" dxfId="92" priority="459" operator="equal">
      <formula>""</formula>
    </cfRule>
    <cfRule type="cellIs" dxfId="91" priority="460" operator="equal">
      <formula>0</formula>
    </cfRule>
  </conditionalFormatting>
  <conditionalFormatting sqref="B7:C508">
    <cfRule type="cellIs" dxfId="90" priority="5" operator="equal">
      <formula>""</formula>
    </cfRule>
    <cfRule type="cellIs" dxfId="89" priority="6" operator="equal">
      <formula>0</formula>
    </cfRule>
  </conditionalFormatting>
  <conditionalFormatting sqref="D7:AF508">
    <cfRule type="cellIs" dxfId="88" priority="3" operator="equal">
      <formula>""</formula>
    </cfRule>
    <cfRule type="cellIs" dxfId="87" priority="4" operator="equal">
      <formula>0</formula>
    </cfRule>
  </conditionalFormatting>
  <conditionalFormatting sqref="AG7:AJ508">
    <cfRule type="cellIs" dxfId="86" priority="1" operator="equal">
      <formula>""</formula>
    </cfRule>
    <cfRule type="cellIs" dxfId="85" priority="2" operator="equal">
      <formula>0</formula>
    </cfRule>
  </conditionalFormatting>
  <dataValidations count="3">
    <dataValidation type="whole" allowBlank="1" showInputMessage="1" showErrorMessage="1" errorTitle="Error" error="Debes introducir un número válido. _x000a_Rellena primero las respuestas._x000a__x000a_Pulsa ESC para continuar." sqref="D5 D7 D15:D155 D9:D10 D12:D13">
      <formula1>1</formula1>
      <formula2>IF(C_SIMPLE="true",1,MIN(5,COUNTA(I5:N5)))</formula2>
    </dataValidation>
    <dataValidation type="whole" allowBlank="1" showInputMessage="1" showErrorMessage="1" errorTitle="Error" error="Debes introducir un número válido. _x000a_Rellena primero las respuestas._x000a__x000a_Pulsa ESC para continuar." sqref="F10">
      <formula1>1</formula1>
      <formula2>IF(C_SIMPLE="true",1,MIN(5,COUNTA(I8:N8)))</formula2>
    </dataValidation>
    <dataValidation type="whole" allowBlank="1" showInputMessage="1" showErrorMessage="1" errorTitle="Error" error="Debes introducir un número válido. _x000a_Rellena primero las respuestas._x000a__x000a_Pulsa ESC para continuar." sqref="D14 D11">
      <formula1>1</formula1>
      <formula2>IF(C_SIMPLE="true",1,MIN(5,COUNTA(K11:N11)))</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8" r:id="rId4" name="Button 22">
              <controlPr defaultSize="0" autoFill="0" autoPict="0" macro="[0]!IR_DATOS_GENERALES">
                <anchor moveWithCells="1" sizeWithCells="1">
                  <from>
                    <xdr:col>4</xdr:col>
                    <xdr:colOff>28575</xdr:colOff>
                    <xdr:row>2</xdr:row>
                    <xdr:rowOff>19050</xdr:rowOff>
                  </from>
                  <to>
                    <xdr:col>6</xdr:col>
                    <xdr:colOff>323850</xdr:colOff>
                    <xdr:row>2</xdr:row>
                    <xdr:rowOff>285750</xdr:rowOff>
                  </to>
                </anchor>
              </controlPr>
            </control>
          </mc:Choice>
        </mc:AlternateContent>
        <mc:AlternateContent xmlns:mc="http://schemas.openxmlformats.org/markup-compatibility/2006">
          <mc:Choice Requires="x14">
            <control shapeId="9239" r:id="rId5" name="Button 23">
              <controlPr defaultSize="0" autoFill="0" autoPict="0" macro="[0]!Copiar_Formatos">
                <anchor moveWithCells="1" sizeWithCells="1">
                  <from>
                    <xdr:col>6</xdr:col>
                    <xdr:colOff>342900</xdr:colOff>
                    <xdr:row>2</xdr:row>
                    <xdr:rowOff>19050</xdr:rowOff>
                  </from>
                  <to>
                    <xdr:col>7</xdr:col>
                    <xdr:colOff>476250</xdr:colOff>
                    <xdr:row>2</xdr:row>
                    <xdr:rowOff>285750</xdr:rowOff>
                  </to>
                </anchor>
              </controlPr>
            </control>
          </mc:Choice>
        </mc:AlternateContent>
        <mc:AlternateContent xmlns:mc="http://schemas.openxmlformats.org/markup-compatibility/2006">
          <mc:Choice Requires="x14">
            <control shapeId="9237" r:id="rId6"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mc:AlternateContent xmlns:mc="http://schemas.openxmlformats.org/markup-compatibility/2006">
          <mc:Choice Requires="x14">
            <control shapeId="9240" r:id="rId7" name="Button 24">
              <controlPr defaultSize="0" print="0" autoFill="0" autoPict="0" macro="[0]!Copia_Superindice">
                <anchor moveWithCells="1" sizeWithCells="1">
                  <from>
                    <xdr:col>7</xdr:col>
                    <xdr:colOff>495300</xdr:colOff>
                    <xdr:row>2</xdr:row>
                    <xdr:rowOff>19050</xdr:rowOff>
                  </from>
                  <to>
                    <xdr:col>7</xdr:col>
                    <xdr:colOff>1181100</xdr:colOff>
                    <xdr:row>2</xdr:row>
                    <xdr:rowOff>285750</xdr:rowOff>
                  </to>
                </anchor>
              </controlPr>
            </control>
          </mc:Choice>
        </mc:AlternateContent>
        <mc:AlternateContent xmlns:mc="http://schemas.openxmlformats.org/markup-compatibility/2006">
          <mc:Choice Requires="x14">
            <control shapeId="9241" r:id="rId8" name="Button 25">
              <controlPr defaultSize="0" print="0" autoFill="0" autoPict="0" macro="[0]!Copia_Subindice">
                <anchor moveWithCells="1" sizeWithCells="1">
                  <from>
                    <xdr:col>7</xdr:col>
                    <xdr:colOff>1190625</xdr:colOff>
                    <xdr:row>2</xdr:row>
                    <xdr:rowOff>19050</xdr:rowOff>
                  </from>
                  <to>
                    <xdr:col>7</xdr:col>
                    <xdr:colOff>1752600</xdr:colOff>
                    <xdr:row>2</xdr:row>
                    <xdr:rowOff>285750</xdr:rowOff>
                  </to>
                </anchor>
              </controlPr>
            </control>
          </mc:Choice>
        </mc:AlternateContent>
        <mc:AlternateContent xmlns:mc="http://schemas.openxmlformats.org/markup-compatibility/2006">
          <mc:Choice Requires="x14">
            <control shapeId="9242" r:id="rId9" name="Button 26">
              <controlPr defaultSize="0" print="0" autoFill="0" autoPict="0" macro="[0]!Copia_Salto_Linea">
                <anchor moveWithCells="1" sizeWithCells="1">
                  <from>
                    <xdr:col>7</xdr:col>
                    <xdr:colOff>1762125</xdr:colOff>
                    <xdr:row>2</xdr:row>
                    <xdr:rowOff>19050</xdr:rowOff>
                  </from>
                  <to>
                    <xdr:col>7</xdr:col>
                    <xdr:colOff>2333625</xdr:colOff>
                    <xdr:row>2</xdr:row>
                    <xdr:rowOff>285750</xdr:rowOff>
                  </to>
                </anchor>
              </controlPr>
            </control>
          </mc:Choice>
        </mc:AlternateContent>
        <mc:AlternateContent xmlns:mc="http://schemas.openxmlformats.org/markup-compatibility/2006">
          <mc:Choice Requires="x14">
            <control shapeId="9243" r:id="rId10" name="Button 27">
              <controlPr defaultSize="0" print="0" autoFill="0" autoPict="0" macro="[0]!Copia_Formula">
                <anchor moveWithCells="1" sizeWithCells="1">
                  <from>
                    <xdr:col>7</xdr:col>
                    <xdr:colOff>2343150</xdr:colOff>
                    <xdr:row>2</xdr:row>
                    <xdr:rowOff>19050</xdr:rowOff>
                  </from>
                  <to>
                    <xdr:col>7</xdr:col>
                    <xdr:colOff>2933700</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C64"/>
  <sheetViews>
    <sheetView showGridLines="0" showRowColHeaders="0" zoomScale="130" zoomScaleNormal="13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16.140625" style="38" hidden="1" customWidth="1"/>
    <col min="3" max="3" width="14.5703125" style="37" hidden="1" customWidth="1"/>
    <col min="4" max="4" width="16.28515625" style="37" bestFit="1" customWidth="1"/>
    <col min="5" max="5" width="10.85546875" style="37" customWidth="1"/>
    <col min="6" max="16384" width="10.85546875" style="37"/>
  </cols>
  <sheetData>
    <row r="1" spans="1:3" x14ac:dyDescent="0.25">
      <c r="A1" s="37" t="str">
        <f>"&lt;!-- question: "&amp;'Datos OM'!A2&amp;"  --&gt;"</f>
        <v>&lt;!-- question: 1  --&gt;</v>
      </c>
      <c r="B1" s="53">
        <f ca="1">COUNTA(A:A)-COUNTIF(A:A,"BORRAR")</f>
        <v>28</v>
      </c>
    </row>
    <row r="2" spans="1:3" x14ac:dyDescent="0.25">
      <c r="A2" s="50" t="s">
        <v>73</v>
      </c>
      <c r="B2" s="54" t="s">
        <v>74</v>
      </c>
    </row>
    <row r="3" spans="1:3" x14ac:dyDescent="0.25">
      <c r="A3" s="37" t="s">
        <v>75</v>
      </c>
    </row>
    <row r="4" spans="1:3" x14ac:dyDescent="0.25">
      <c r="A4" s="37" t="str">
        <f>"      &lt;text&gt;"&amp;B4&amp;"&lt;/text&gt;"</f>
        <v xml:space="preserve">      &lt;text&gt;T01 - 01&lt;/text&gt;</v>
      </c>
      <c r="B4" s="40" t="str">
        <f>NOMBRE_OM</f>
        <v>T01 - 01</v>
      </c>
      <c r="C4" s="37" t="s">
        <v>76</v>
      </c>
    </row>
    <row r="5" spans="1:3" x14ac:dyDescent="0.25">
      <c r="A5" s="37" t="s">
        <v>77</v>
      </c>
    </row>
    <row r="6" spans="1:3" x14ac:dyDescent="0.25">
      <c r="A6" s="37" t="s">
        <v>78</v>
      </c>
    </row>
    <row r="7" spans="1:3" x14ac:dyDescent="0.25">
      <c r="A7" s="37" t="str">
        <f>"      &lt;text&gt;&lt;![CDATA[&lt;p&gt;"&amp;B7&amp;"&lt;/p&gt;]]&gt;&lt;/text&gt;"</f>
        <v xml:space="preserve">      &lt;text&gt;&lt;![CDATA[&lt;p&gt;&lt;/p&gt;]]&gt;&lt;/text&gt;</v>
      </c>
      <c r="B7" s="40" t="str">
        <f>ENUNCIADO_OM</f>
        <v/>
      </c>
    </row>
    <row r="8" spans="1:3" x14ac:dyDescent="0.25">
      <c r="A8" s="37" t="s">
        <v>79</v>
      </c>
    </row>
    <row r="9" spans="1:3" x14ac:dyDescent="0.25">
      <c r="A9" s="37" t="s">
        <v>80</v>
      </c>
      <c r="B9" s="41" t="s">
        <v>81</v>
      </c>
    </row>
    <row r="10" spans="1:3" x14ac:dyDescent="0.25">
      <c r="A10" s="37" t="str">
        <f>"      &lt;text&gt;&lt;![CDATA[&lt;p&gt;"&amp;B10&amp;"&lt;/p&gt;]]&gt;&lt;/text&gt;"</f>
        <v xml:space="preserve">      &lt;text&gt;&lt;![CDATA[&lt;p&gt;Tomo no de tus respuestas&lt;/p&gt;]]&gt;&lt;/text&gt;</v>
      </c>
      <c r="B10" s="38"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3">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IF(CONTRASEN_A="","",CONTRASEN_A)</f>
        <v/>
      </c>
      <c r="C15" s="37" t="s">
        <v>86</v>
      </c>
    </row>
    <row r="16" spans="1:3" x14ac:dyDescent="0.25">
      <c r="A16" s="37" t="str">
        <f>"    &lt;single&gt;"&amp;B16&amp;"&lt;/single&gt;"</f>
        <v xml:space="preserve">    &lt;single&gt;true&lt;/single&gt;</v>
      </c>
      <c r="B16" s="40" t="s">
        <v>25</v>
      </c>
      <c r="C16" s="37" t="s">
        <v>87</v>
      </c>
    </row>
    <row r="17" spans="1:3" x14ac:dyDescent="0.25">
      <c r="A17" s="37" t="str">
        <f>"    &lt;shuffleanswers&gt;"&amp;B17&amp;"&lt;/shuffleanswers&gt;"</f>
        <v xml:space="preserve">    &lt;shuffleanswers&gt;true&lt;/shuffleanswers&gt;</v>
      </c>
      <c r="B17" s="40" t="str">
        <f>BARAJAR_R</f>
        <v>true</v>
      </c>
      <c r="C17" s="44" t="s">
        <v>88</v>
      </c>
    </row>
    <row r="18" spans="1:3" x14ac:dyDescent="0.25">
      <c r="A18" s="37" t="str">
        <f>"    &lt;answernumbering&gt;"&amp;B18&amp;"&lt;/answernumbering&gt;"</f>
        <v xml:space="preserve">    &lt;answernumbering&gt;abc&lt;/answernumbering&gt;</v>
      </c>
      <c r="B18" s="38" t="str">
        <f>NUMERAR_R</f>
        <v>abc</v>
      </c>
      <c r="C18" s="37" t="s">
        <v>89</v>
      </c>
    </row>
    <row r="19" spans="1:3" x14ac:dyDescent="0.25">
      <c r="A19" s="37" t="s">
        <v>90</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91</v>
      </c>
    </row>
    <row r="22" spans="1:3" x14ac:dyDescent="0.25">
      <c r="A22" s="37" t="s">
        <v>92</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93</v>
      </c>
    </row>
    <row r="25" spans="1:3" x14ac:dyDescent="0.25">
      <c r="A25" s="37" t="s">
        <v>94</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95</v>
      </c>
      <c r="B27" s="45" t="s">
        <v>96</v>
      </c>
    </row>
    <row r="28" spans="1:3" x14ac:dyDescent="0.25">
      <c r="A28" s="66" t="s">
        <v>97</v>
      </c>
      <c r="B28" s="51">
        <v>1</v>
      </c>
    </row>
    <row r="29" spans="1:3" x14ac:dyDescent="0.25">
      <c r="A29" s="47" t="str">
        <f ca="1">IF(B30&lt;&gt;"",$C$29&amp;B29&amp;$C$30,"BORRAR")</f>
        <v>BORRAR</v>
      </c>
      <c r="B29" s="46" t="str">
        <f>PUNTUACION_C_OM</f>
        <v/>
      </c>
      <c r="C29" s="50" t="s">
        <v>98</v>
      </c>
    </row>
    <row r="30" spans="1:3" x14ac:dyDescent="0.25">
      <c r="A30" s="37" t="str">
        <f ca="1">IF(A29="BORRAR","BORRAR","      &lt;text&gt;&lt;![CDATA[&lt;p&gt;"&amp;B30&amp;"&lt;/p&gt;]]&gt;&lt;/text&gt;")</f>
        <v>BORRAR</v>
      </c>
      <c r="B30" s="40" t="str">
        <f ca="1">INDIRECT("RESPUESTA_"&amp;B28&amp;"_OM")</f>
        <v/>
      </c>
      <c r="C30" s="50" t="s">
        <v>99</v>
      </c>
    </row>
    <row r="31" spans="1:3" x14ac:dyDescent="0.25">
      <c r="A31" s="37" t="str">
        <f ca="1">IF(A30="BORRAR","BORRAR",$C$31)</f>
        <v>BORRAR</v>
      </c>
      <c r="C31" s="50" t="s">
        <v>100</v>
      </c>
    </row>
    <row r="32" spans="1:3" x14ac:dyDescent="0.25">
      <c r="A32" s="37" t="str">
        <f ca="1">IF(A31="BORRAR","BORRAR","      &lt;text&gt;&lt;![CDATA[&lt;p&gt;"&amp;B32&amp;"&lt;/p&gt;]]&gt;&lt;/text&gt;")</f>
        <v>BORRAR</v>
      </c>
      <c r="B32" s="39" t="str">
        <f>RETROAL_1_OM</f>
        <v/>
      </c>
    </row>
    <row r="33" spans="1:2" x14ac:dyDescent="0.25">
      <c r="A33" s="37" t="str">
        <f ca="1">IF(A32="BORRAR","BORRAR","      &lt;/feedback&gt;")</f>
        <v>BORRAR</v>
      </c>
      <c r="B33" s="45" t="s">
        <v>101</v>
      </c>
    </row>
    <row r="34" spans="1:2" x14ac:dyDescent="0.25">
      <c r="A34" s="37" t="str">
        <f ca="1">IF(A33="BORRAR","BORRAR","    &lt;/answer&gt;")</f>
        <v>BORRAR</v>
      </c>
      <c r="B34" s="51">
        <f>B28+1</f>
        <v>2</v>
      </c>
    </row>
    <row r="35" spans="1:2" x14ac:dyDescent="0.25">
      <c r="A35" s="47" t="str">
        <f t="shared" ref="A35" ca="1" si="0">IF(B36&lt;&gt;"",$C$29&amp;B35&amp;$C$30,"BORRAR")</f>
        <v>BORRAR</v>
      </c>
      <c r="B35" s="46" t="str">
        <f>PUNTUACION_I_OM</f>
        <v/>
      </c>
    </row>
    <row r="36" spans="1:2" x14ac:dyDescent="0.25">
      <c r="A36" s="37" t="str">
        <f t="shared" ref="A36" ca="1" si="1">IF(A35="BORRAR","BORRAR","      &lt;text&gt;&lt;![CDATA[&lt;p&gt;"&amp;B36&amp;"&lt;/p&gt;]]&gt;&lt;/text&gt;")</f>
        <v>BORRAR</v>
      </c>
      <c r="B36" s="40" t="str">
        <f ca="1">INDIRECT("RESPUESTA_"&amp;B34&amp;"_OM")</f>
        <v/>
      </c>
    </row>
    <row r="37" spans="1:2" x14ac:dyDescent="0.25">
      <c r="A37" s="37" t="str">
        <f t="shared" ref="A37" ca="1" si="2">IF(A36="BORRAR","BORRAR",$C$31)</f>
        <v>BORRAR</v>
      </c>
    </row>
    <row r="38" spans="1:2" x14ac:dyDescent="0.25">
      <c r="A38" s="37" t="str">
        <f t="shared" ref="A38" ca="1" si="3">IF(A37="BORRAR","BORRAR","      &lt;text&gt;&lt;![CDATA[&lt;p&gt;"&amp;B38&amp;"&lt;/p&gt;]]&gt;&lt;/text&gt;")</f>
        <v>BORRAR</v>
      </c>
      <c r="B38" s="39" t="str">
        <f>RETROAL_2_OM</f>
        <v/>
      </c>
    </row>
    <row r="39" spans="1:2" x14ac:dyDescent="0.25">
      <c r="A39" s="37" t="str">
        <f t="shared" ref="A39" ca="1" si="4">IF(A38="BORRAR","BORRAR","      &lt;/feedback&gt;")</f>
        <v>BORRAR</v>
      </c>
    </row>
    <row r="40" spans="1:2" x14ac:dyDescent="0.25">
      <c r="A40" s="37" t="str">
        <f t="shared" ref="A40" ca="1" si="5">IF(A39="BORRAR","BORRAR","    &lt;/answer&gt;")</f>
        <v>BORRAR</v>
      </c>
      <c r="B40" s="52">
        <f>B34+1</f>
        <v>3</v>
      </c>
    </row>
    <row r="41" spans="1:2" x14ac:dyDescent="0.25">
      <c r="A41" s="48" t="str">
        <f t="shared" ref="A41" ca="1" si="6">IF(B42&lt;&gt;"",$C$29&amp;B41&amp;$C$30,"BORRAR")</f>
        <v>BORRAR</v>
      </c>
      <c r="B41" s="40" t="str">
        <f>PUNTUACION_I_OM</f>
        <v/>
      </c>
    </row>
    <row r="42" spans="1:2" x14ac:dyDescent="0.25">
      <c r="A42" s="37" t="str">
        <f t="shared" ref="A42" ca="1" si="7">IF(A41="BORRAR","BORRAR","      &lt;text&gt;&lt;![CDATA[&lt;p&gt;"&amp;B42&amp;"&lt;/p&gt;]]&gt;&lt;/text&gt;")</f>
        <v>BORRAR</v>
      </c>
      <c r="B42" s="40" t="str">
        <f ca="1">INDIRECT("RESPUESTA_"&amp;B40&amp;"_OM")</f>
        <v/>
      </c>
    </row>
    <row r="43" spans="1:2" x14ac:dyDescent="0.25">
      <c r="A43" s="37" t="str">
        <f t="shared" ref="A43" ca="1" si="8">IF(A42="BORRAR","BORRAR",$C$31)</f>
        <v>BORRAR</v>
      </c>
    </row>
    <row r="44" spans="1:2" x14ac:dyDescent="0.25">
      <c r="A44" s="37" t="str">
        <f t="shared" ref="A44" ca="1" si="9">IF(A43="BORRAR","BORRAR","      &lt;text&gt;&lt;![CDATA[&lt;p&gt;"&amp;B44&amp;"&lt;/p&gt;]]&gt;&lt;/text&gt;")</f>
        <v>BORRAR</v>
      </c>
      <c r="B44" s="40" t="str">
        <f>RETROAL_3_OM</f>
        <v/>
      </c>
    </row>
    <row r="45" spans="1:2" x14ac:dyDescent="0.25">
      <c r="A45" s="37" t="str">
        <f t="shared" ref="A45" ca="1" si="10">IF(A44="BORRAR","BORRAR","      &lt;/feedback&gt;")</f>
        <v>BORRAR</v>
      </c>
    </row>
    <row r="46" spans="1:2" x14ac:dyDescent="0.25">
      <c r="A46" s="37" t="str">
        <f t="shared" ref="A46" ca="1" si="11">IF(A45="BORRAR","BORRAR","    &lt;/answer&gt;")</f>
        <v>BORRAR</v>
      </c>
      <c r="B46" s="52">
        <f>B40+1</f>
        <v>4</v>
      </c>
    </row>
    <row r="47" spans="1:2" x14ac:dyDescent="0.25">
      <c r="A47" s="48" t="str">
        <f t="shared" ref="A47" ca="1" si="12">IF(B48&lt;&gt;"",$C$29&amp;B47&amp;$C$30,"BORRAR")</f>
        <v>BORRAR</v>
      </c>
      <c r="B47" s="40" t="str">
        <f>PUNTUACION_I_OM</f>
        <v/>
      </c>
    </row>
    <row r="48" spans="1:2" x14ac:dyDescent="0.25">
      <c r="A48" s="37" t="str">
        <f t="shared" ref="A48" ca="1" si="13">IF(A47="BORRAR","BORRAR","      &lt;text&gt;&lt;![CDATA[&lt;p&gt;"&amp;B48&amp;"&lt;/p&gt;]]&gt;&lt;/text&gt;")</f>
        <v>BORRAR</v>
      </c>
      <c r="B48" s="40" t="str">
        <f ca="1">INDIRECT("RESPUESTA_"&amp;B46&amp;"_OM")</f>
        <v/>
      </c>
    </row>
    <row r="49" spans="1:2" x14ac:dyDescent="0.25">
      <c r="A49" s="37" t="str">
        <f t="shared" ref="A49" ca="1" si="14">IF(A48="BORRAR","BORRAR",$C$31)</f>
        <v>BORRAR</v>
      </c>
    </row>
    <row r="50" spans="1:2" x14ac:dyDescent="0.25">
      <c r="A50" s="37" t="str">
        <f t="shared" ref="A50" ca="1" si="15">IF(A49="BORRAR","BORRAR","      &lt;text&gt;&lt;![CDATA[&lt;p&gt;"&amp;B50&amp;"&lt;/p&gt;]]&gt;&lt;/text&gt;")</f>
        <v>BORRAR</v>
      </c>
      <c r="B50" s="40" t="str">
        <f>RETROAL_4_OM</f>
        <v/>
      </c>
    </row>
    <row r="51" spans="1:2" x14ac:dyDescent="0.25">
      <c r="A51" s="37" t="str">
        <f t="shared" ref="A51" ca="1" si="16">IF(A50="BORRAR","BORRAR","      &lt;/feedback&gt;")</f>
        <v>BORRAR</v>
      </c>
    </row>
    <row r="52" spans="1:2" x14ac:dyDescent="0.25">
      <c r="A52" s="37" t="str">
        <f t="shared" ref="A52" ca="1" si="17">IF(A51="BORRAR","BORRAR","    &lt;/answer&gt;")</f>
        <v>BORRAR</v>
      </c>
      <c r="B52" s="52">
        <f>B46+1</f>
        <v>5</v>
      </c>
    </row>
    <row r="53" spans="1:2" x14ac:dyDescent="0.25">
      <c r="A53" s="48" t="str">
        <f t="shared" ref="A53" ca="1" si="18">IF(B54&lt;&gt;"",$C$29&amp;B53&amp;$C$30,"BORRAR")</f>
        <v>BORRAR</v>
      </c>
      <c r="B53" s="40" t="str">
        <f>PUNTUACION_I_OM</f>
        <v/>
      </c>
    </row>
    <row r="54" spans="1:2" x14ac:dyDescent="0.25">
      <c r="A54" s="37" t="str">
        <f t="shared" ref="A54" ca="1" si="19">IF(A53="BORRAR","BORRAR","      &lt;text&gt;&lt;![CDATA[&lt;p&gt;"&amp;B54&amp;"&lt;/p&gt;]]&gt;&lt;/text&gt;")</f>
        <v>BORRAR</v>
      </c>
      <c r="B54" s="40" t="str">
        <f ca="1">INDIRECT("RESPUESTA_"&amp;B52&amp;"_OM")</f>
        <v/>
      </c>
    </row>
    <row r="55" spans="1:2" x14ac:dyDescent="0.25">
      <c r="A55" s="37" t="str">
        <f t="shared" ref="A55" ca="1" si="20">IF(A54="BORRAR","BORRAR",$C$31)</f>
        <v>BORRAR</v>
      </c>
    </row>
    <row r="56" spans="1:2" x14ac:dyDescent="0.25">
      <c r="A56" s="37" t="str">
        <f t="shared" ref="A56" ca="1" si="21">IF(A55="BORRAR","BORRAR","      &lt;text&gt;&lt;![CDATA[&lt;p&gt;"&amp;B56&amp;"&lt;/p&gt;]]&gt;&lt;/text&gt;")</f>
        <v>BORRAR</v>
      </c>
      <c r="B56" s="40" t="str">
        <f>RETROAL_5_OM</f>
        <v/>
      </c>
    </row>
    <row r="57" spans="1:2" x14ac:dyDescent="0.25">
      <c r="A57" s="37" t="str">
        <f t="shared" ref="A57" ca="1" si="22">IF(A56="BORRAR","BORRAR","      &lt;/feedback&gt;")</f>
        <v>BORRAR</v>
      </c>
    </row>
    <row r="58" spans="1:2" x14ac:dyDescent="0.25">
      <c r="A58" s="37" t="str">
        <f t="shared" ref="A58" ca="1" si="23">IF(A57="BORRAR","BORRAR","    &lt;/answer&gt;")</f>
        <v>BORRAR</v>
      </c>
      <c r="B58" s="52">
        <f>B52+1</f>
        <v>6</v>
      </c>
    </row>
    <row r="59" spans="1:2" x14ac:dyDescent="0.25">
      <c r="A59" s="48" t="str">
        <f t="shared" ref="A59" ca="1" si="24">IF(B60&lt;&gt;"",$C$29&amp;B59&amp;$C$30,"BORRAR")</f>
        <v>BORRAR</v>
      </c>
      <c r="B59" s="40" t="str">
        <f>PUNTUACION_I_OM</f>
        <v/>
      </c>
    </row>
    <row r="60" spans="1:2" x14ac:dyDescent="0.25">
      <c r="A60" s="37" t="str">
        <f t="shared" ref="A60" ca="1" si="25">IF(A59="BORRAR","BORRAR","      &lt;text&gt;&lt;![CDATA[&lt;p&gt;"&amp;B60&amp;"&lt;/p&gt;]]&gt;&lt;/text&gt;")</f>
        <v>BORRAR</v>
      </c>
      <c r="B60" s="40" t="str">
        <f ca="1">INDIRECT("RESPUESTA_"&amp;B58&amp;"_OM")</f>
        <v/>
      </c>
    </row>
    <row r="61" spans="1:2" x14ac:dyDescent="0.25">
      <c r="A61" s="37" t="str">
        <f t="shared" ref="A61" ca="1" si="26">IF(A60="BORRAR","BORRAR",$C$31)</f>
        <v>BORRAR</v>
      </c>
    </row>
    <row r="62" spans="1:2" x14ac:dyDescent="0.25">
      <c r="A62" s="37" t="str">
        <f t="shared" ref="A62" ca="1" si="27">IF(A61="BORRAR","BORRAR","      &lt;text&gt;&lt;![CDATA[&lt;p&gt;"&amp;B62&amp;"&lt;/p&gt;]]&gt;&lt;/text&gt;")</f>
        <v>BORRAR</v>
      </c>
      <c r="B62" s="40" t="str">
        <f>RETROAL_6_OM</f>
        <v/>
      </c>
    </row>
    <row r="63" spans="1:2" x14ac:dyDescent="0.25">
      <c r="A63" s="37" t="str">
        <f t="shared" ref="A63" ca="1" si="28">IF(A62="BORRAR","BORRAR","      &lt;/feedback&gt;")</f>
        <v>BORRAR</v>
      </c>
    </row>
    <row r="64" spans="1:2" x14ac:dyDescent="0.25">
      <c r="A64" s="37" t="str">
        <f t="shared" ref="A64" ca="1" si="29">IF(A63="BORRAR","BORRAR","    &lt;/answer&gt;")</f>
        <v>BORRAR</v>
      </c>
      <c r="B64" s="49"/>
    </row>
  </sheetData>
  <sheetProtection algorithmName="SHA-512" hashValue="daj0eUmBIqIGWde82Avd1EeYrLKT4TR9SkXw0mGXr5EBhu5/Pwj5Q4lF2bXXDAYPEUUTF5I+mjmbe6Pc7CJJnw==" saltValue="ZSXHQdg5DNwkmKDvobvuxA=="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6" t="str">
        <f>'Formulario OM'!A1</f>
        <v>CÓDIGOS ESPECIALES</v>
      </c>
      <c r="B1" s="443" t="str">
        <f>APP&amp;" - "&amp;Tipo_2</f>
        <v>FastTest PlugIn - Opción Múltiple VR</v>
      </c>
      <c r="C1" s="444"/>
      <c r="D1" s="444"/>
      <c r="E1" s="444"/>
      <c r="F1" s="444"/>
      <c r="G1" s="444"/>
      <c r="H1" s="444"/>
      <c r="I1" s="444"/>
      <c r="J1" s="444"/>
      <c r="K1" s="444"/>
      <c r="L1" s="300"/>
      <c r="M1" s="300"/>
      <c r="N1" s="300"/>
      <c r="O1" s="300"/>
      <c r="P1" s="300"/>
      <c r="Q1" s="300"/>
      <c r="R1" s="300"/>
      <c r="S1" s="300"/>
      <c r="T1" s="300"/>
      <c r="U1" s="300"/>
      <c r="V1" s="300"/>
      <c r="W1" s="300"/>
      <c r="X1" s="301"/>
      <c r="Y1" s="447" t="str">
        <f>'Formulario OM'!Y1</f>
        <v>NO USAR CORTAR [Ctrl+X]</v>
      </c>
    </row>
    <row r="2" spans="1:25" ht="20.100000000000001" customHeight="1" x14ac:dyDescent="0.25">
      <c r="A2" s="427"/>
      <c r="B2" s="445"/>
      <c r="C2" s="446"/>
      <c r="D2" s="446"/>
      <c r="E2" s="446"/>
      <c r="F2" s="446"/>
      <c r="G2" s="446"/>
      <c r="H2" s="446"/>
      <c r="I2" s="446"/>
      <c r="J2" s="446"/>
      <c r="K2" s="446"/>
      <c r="L2" s="474" t="str">
        <f>'Formulario OM'!L2</f>
        <v>DATOS
GENERALES</v>
      </c>
      <c r="M2" s="467">
        <f>'Formulario OM'!M2</f>
        <v>0</v>
      </c>
      <c r="N2" s="466" t="str">
        <f>'Formulario OM'!N2</f>
        <v>BANCO
PREGUNTAS</v>
      </c>
      <c r="O2" s="465">
        <f>'Formulario OM'!O2</f>
        <v>0</v>
      </c>
      <c r="P2" s="464" t="str">
        <f>'Formulario OM'!P2</f>
        <v>LIMPIAR
DATOS</v>
      </c>
      <c r="Q2" s="465">
        <f>'Formulario OM'!Q2</f>
        <v>0</v>
      </c>
      <c r="R2" s="464" t="str">
        <f>'Formulario OM'!R2</f>
        <v>GUARDAR
PREGUNTA</v>
      </c>
      <c r="S2" s="465">
        <f>'Formulario OM'!S2</f>
        <v>0</v>
      </c>
      <c r="T2" s="464" t="str">
        <f>'Formulario OM'!T2</f>
        <v>BORRAR
PREGUNTA</v>
      </c>
      <c r="U2" s="465">
        <f>'Formulario OM'!U2</f>
        <v>0</v>
      </c>
      <c r="V2" s="464" t="str">
        <f>'Formulario OM'!V2</f>
        <v>DAR
FORMATO</v>
      </c>
      <c r="W2" s="472">
        <f>'Formulario OM'!W2</f>
        <v>0</v>
      </c>
      <c r="X2" s="413" t="s">
        <v>372</v>
      </c>
      <c r="Y2" s="448"/>
    </row>
    <row r="3" spans="1:25"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ht="6" customHeight="1" thickBot="1" x14ac:dyDescent="0.3">
      <c r="A4" s="321"/>
      <c r="B4" s="150"/>
      <c r="C4" s="152"/>
      <c r="D4" s="152"/>
      <c r="E4" s="152"/>
      <c r="F4" s="152"/>
      <c r="G4" s="152"/>
      <c r="H4" s="153"/>
      <c r="I4" s="154"/>
      <c r="J4" s="154"/>
      <c r="K4" s="154"/>
      <c r="L4" s="154"/>
      <c r="M4" s="154"/>
      <c r="N4" s="154"/>
      <c r="O4" s="154"/>
      <c r="P4" s="154">
        <f>'Datos O2'!C3</f>
        <v>3</v>
      </c>
      <c r="Q4" s="154"/>
      <c r="R4" s="154"/>
      <c r="S4" s="154"/>
      <c r="T4" s="153"/>
      <c r="U4" s="153"/>
      <c r="V4" s="153"/>
      <c r="W4" s="153"/>
      <c r="X4" s="155"/>
      <c r="Y4" s="327"/>
    </row>
    <row r="5" spans="1:25" x14ac:dyDescent="0.25">
      <c r="A5" s="324" t="str">
        <f>'Formulario OM'!A5</f>
        <v>FÓRMULA</v>
      </c>
      <c r="B5" s="136"/>
      <c r="C5" s="137"/>
      <c r="D5" s="137"/>
      <c r="E5" s="137"/>
      <c r="F5" s="137"/>
      <c r="G5" s="137" t="str">
        <f>'Formulario OM'!G5</f>
        <v xml:space="preserve">Nº Inicial del Banco de preguntas: </v>
      </c>
      <c r="H5" s="31">
        <f>'Datos O2'!$A$7</f>
        <v>11</v>
      </c>
      <c r="I5" s="137"/>
      <c r="J5" s="178"/>
      <c r="K5" s="137" t="str">
        <f>'Formulario OM'!K5</f>
        <v xml:space="preserve">Pregunta Nº: </v>
      </c>
      <c r="L5" s="175">
        <v>11</v>
      </c>
      <c r="M5" s="178"/>
      <c r="N5" s="178"/>
      <c r="O5" s="137" t="str">
        <f>'Formulario OM'!O5</f>
        <v>Tipo num.:</v>
      </c>
      <c r="P5" s="31" t="str">
        <f>NUMERAR_R</f>
        <v>abc</v>
      </c>
      <c r="Q5" s="138"/>
      <c r="R5" s="439" t="str">
        <f ca="1">'DATOS GENERALES'!R5</f>
        <v>Rango de preguntas almacenadas de la 0 a la 0</v>
      </c>
      <c r="S5" s="439"/>
      <c r="T5" s="439"/>
      <c r="U5" s="439"/>
      <c r="V5" s="439"/>
      <c r="W5" s="439"/>
      <c r="X5" s="139"/>
      <c r="Y5" s="329"/>
    </row>
    <row r="6" spans="1:25" ht="6" customHeight="1" x14ac:dyDescent="0.25">
      <c r="A6" s="35"/>
      <c r="B6" s="131"/>
      <c r="C6" s="132"/>
      <c r="D6" s="132"/>
      <c r="E6" s="132"/>
      <c r="F6" s="132"/>
      <c r="G6" s="132"/>
      <c r="H6" s="133">
        <f>'Datos O2'!B3</f>
        <v>2</v>
      </c>
      <c r="I6" s="134"/>
      <c r="J6" s="134"/>
      <c r="K6" s="134"/>
      <c r="L6" s="134">
        <f>N_O2</f>
        <v>11</v>
      </c>
      <c r="M6" s="134"/>
      <c r="N6" s="134"/>
      <c r="O6" s="133"/>
      <c r="P6" s="134">
        <f>'Datos O2'!D3</f>
        <v>4</v>
      </c>
      <c r="Q6" s="134"/>
      <c r="R6" s="134"/>
      <c r="S6" s="147"/>
      <c r="T6" s="147"/>
      <c r="U6" s="147"/>
      <c r="V6" s="133"/>
      <c r="W6" s="133">
        <f>'Datos O2'!E3</f>
        <v>5</v>
      </c>
      <c r="X6" s="135"/>
      <c r="Y6" s="328"/>
    </row>
    <row r="7" spans="1:25" x14ac:dyDescent="0.25">
      <c r="A7" s="324" t="str">
        <f>'Formulario OM'!A7</f>
        <v>SUPERÍNDICE</v>
      </c>
      <c r="B7" s="136"/>
      <c r="C7" s="137"/>
      <c r="D7" s="137"/>
      <c r="E7" s="137"/>
      <c r="F7" s="137"/>
      <c r="G7" s="137" t="str">
        <f>'Formulario OM'!G7</f>
        <v xml:space="preserve">Nombre de la pregunta: </v>
      </c>
      <c r="H7" s="471" t="str">
        <f>IFERROR(VLOOKUP(L5,'Datos O2'!$A$7:$AJ$500,2,1),"")</f>
        <v>T01 - 11</v>
      </c>
      <c r="I7" s="471"/>
      <c r="J7" s="471"/>
      <c r="K7" s="471"/>
      <c r="L7" s="471"/>
      <c r="M7" s="471"/>
      <c r="N7" s="471"/>
      <c r="O7" s="133"/>
      <c r="P7" s="6"/>
      <c r="Q7" s="137"/>
      <c r="R7" s="137"/>
      <c r="S7" s="147"/>
      <c r="T7" s="147"/>
      <c r="U7" s="147"/>
      <c r="V7" s="137" t="str">
        <f>'Formulario OM'!V7</f>
        <v xml:space="preserve">Puntos por respuesta correcta: </v>
      </c>
      <c r="W7" s="335"/>
      <c r="X7" s="139"/>
      <c r="Y7" s="329"/>
    </row>
    <row r="8" spans="1:25" ht="6" customHeight="1" x14ac:dyDescent="0.25">
      <c r="A8" s="36"/>
      <c r="B8" s="131"/>
      <c r="C8" s="132"/>
      <c r="D8" s="132"/>
      <c r="E8" s="132"/>
      <c r="F8" s="132"/>
      <c r="G8" s="134"/>
      <c r="H8" s="134">
        <f>'Datos O2'!G3</f>
        <v>7</v>
      </c>
      <c r="I8" s="133"/>
      <c r="J8" s="133"/>
      <c r="K8" s="133"/>
      <c r="L8" s="133"/>
      <c r="M8" s="134"/>
      <c r="N8" s="134"/>
      <c r="O8" s="147"/>
      <c r="P8" s="148">
        <f>COUNTA(H13,H15,H17,H19,H21,H23)</f>
        <v>0</v>
      </c>
      <c r="Q8" s="134"/>
      <c r="R8" s="147"/>
      <c r="S8" s="147"/>
      <c r="T8" s="147"/>
      <c r="U8" s="147"/>
      <c r="V8" s="147"/>
      <c r="W8" s="148">
        <f>'Datos O2'!F3</f>
        <v>6</v>
      </c>
      <c r="X8" s="135"/>
      <c r="Y8" s="173"/>
    </row>
    <row r="9" spans="1:25" x14ac:dyDescent="0.25">
      <c r="A9" s="324" t="str">
        <f>'Formulario OM'!A9</f>
        <v>SUBÍNDICE</v>
      </c>
      <c r="B9" s="136"/>
      <c r="C9" s="137"/>
      <c r="D9" s="137"/>
      <c r="E9" s="137"/>
      <c r="F9" s="137"/>
      <c r="G9" s="137" t="str">
        <f>'Formulario OM'!G9</f>
        <v xml:space="preserve">Descripción: </v>
      </c>
      <c r="H9" s="462"/>
      <c r="I9" s="462"/>
      <c r="J9" s="462"/>
      <c r="K9" s="462"/>
      <c r="L9" s="462"/>
      <c r="M9" s="462"/>
      <c r="N9" s="147"/>
      <c r="O9" s="137" t="str">
        <f>'Formulario OM'!O9</f>
        <v xml:space="preserve">R. Incorrectas: </v>
      </c>
      <c r="P9" s="31">
        <f>IFERROR(MAX(0,COUNTA(H13,H15,H17,H19,H21,H23)-P7),"")</f>
        <v>0</v>
      </c>
      <c r="Q9" s="138"/>
      <c r="R9" s="147"/>
      <c r="S9" s="147"/>
      <c r="T9" s="147"/>
      <c r="U9" s="147"/>
      <c r="V9" s="137" t="str">
        <f>'Formulario OM'!V9</f>
        <v xml:space="preserve">Puntos por respuesta incorrecta: </v>
      </c>
      <c r="W9" s="293"/>
      <c r="X9" s="139"/>
      <c r="Y9" s="330"/>
    </row>
    <row r="10" spans="1:25" ht="6" customHeight="1" x14ac:dyDescent="0.25">
      <c r="A10" s="35"/>
      <c r="B10" s="131"/>
      <c r="C10" s="132"/>
      <c r="D10" s="132"/>
      <c r="E10" s="132"/>
      <c r="F10" s="132"/>
      <c r="G10" s="132"/>
      <c r="H10" s="133">
        <f>'Datos O2'!H3</f>
        <v>8</v>
      </c>
      <c r="I10" s="134"/>
      <c r="J10" s="134"/>
      <c r="K10" s="134"/>
      <c r="L10" s="134"/>
      <c r="M10" s="134"/>
      <c r="N10" s="134"/>
      <c r="O10" s="134"/>
      <c r="P10" s="134"/>
      <c r="Q10" s="134"/>
      <c r="R10" s="134"/>
      <c r="S10" s="134"/>
      <c r="T10" s="133"/>
      <c r="U10" s="133"/>
      <c r="V10" s="133"/>
      <c r="W10" s="133"/>
      <c r="X10" s="135"/>
      <c r="Y10" s="173"/>
    </row>
    <row r="11" spans="1:25" x14ac:dyDescent="0.25">
      <c r="A11" s="324" t="str">
        <f>'Formulario OM'!A11</f>
        <v xml:space="preserve">SALTO LÍNEA </v>
      </c>
      <c r="B11" s="136"/>
      <c r="C11" s="137"/>
      <c r="D11" s="137"/>
      <c r="E11" s="137"/>
      <c r="F11" s="137"/>
      <c r="G11" s="137" t="str">
        <f>'Formulario OM'!G11</f>
        <v xml:space="preserve">Enunciado de la pregunta: </v>
      </c>
      <c r="H11" s="469"/>
      <c r="I11" s="469"/>
      <c r="J11" s="469"/>
      <c r="K11" s="469"/>
      <c r="L11" s="469"/>
      <c r="M11" s="469"/>
      <c r="N11" s="469"/>
      <c r="O11" s="469"/>
      <c r="P11" s="469"/>
      <c r="Q11" s="469"/>
      <c r="R11" s="469"/>
      <c r="S11" s="469"/>
      <c r="T11" s="469"/>
      <c r="U11" s="469"/>
      <c r="V11" s="469"/>
      <c r="W11" s="469"/>
      <c r="X11" s="139"/>
      <c r="Y11" s="330"/>
    </row>
    <row r="12" spans="1:25"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H22+1</f>
        <v>15</v>
      </c>
      <c r="U12" s="133"/>
      <c r="V12" s="133"/>
      <c r="W12" s="133"/>
      <c r="X12" s="135"/>
      <c r="Y12" s="173"/>
    </row>
    <row r="13" spans="1:25" x14ac:dyDescent="0.25">
      <c r="A13" s="324" t="str">
        <f>'Formulario OM'!A13</f>
        <v>CONCATENAR</v>
      </c>
      <c r="B13" s="136"/>
      <c r="C13" s="152">
        <v>1</v>
      </c>
      <c r="D13" s="137"/>
      <c r="E13" s="137"/>
      <c r="F13" s="137"/>
      <c r="G13" s="137" t="str">
        <f>IF($P$7&gt;C13,C13&amp;"ª ","")&amp;"Respuesta correcta: "</f>
        <v xml:space="preserve">Respuesta correcta: </v>
      </c>
      <c r="H13" s="470"/>
      <c r="I13" s="470"/>
      <c r="J13" s="470"/>
      <c r="K13" s="470"/>
      <c r="L13" s="470"/>
      <c r="M13" s="470"/>
      <c r="N13" s="470"/>
      <c r="O13" s="470"/>
      <c r="P13" s="138"/>
      <c r="Q13" s="138"/>
      <c r="R13" s="137"/>
      <c r="S13" s="137" t="str">
        <f>'Formulario OM'!S13</f>
        <v xml:space="preserve">Retroalimentación: </v>
      </c>
      <c r="T13" s="462"/>
      <c r="U13" s="462"/>
      <c r="V13" s="462"/>
      <c r="W13" s="462"/>
      <c r="X13" s="139"/>
      <c r="Y13" s="177"/>
    </row>
    <row r="14" spans="1:25" ht="6" customHeight="1" x14ac:dyDescent="0.25">
      <c r="B14" s="131"/>
      <c r="C14" s="152"/>
      <c r="D14" s="132"/>
      <c r="E14" s="132"/>
      <c r="F14" s="132"/>
      <c r="G14" s="132"/>
      <c r="H14" s="133">
        <f>H12+1</f>
        <v>10</v>
      </c>
      <c r="I14" s="134"/>
      <c r="J14" s="134"/>
      <c r="K14" s="134"/>
      <c r="L14" s="134"/>
      <c r="M14" s="134"/>
      <c r="N14" s="134"/>
      <c r="O14" s="134"/>
      <c r="P14" s="134"/>
      <c r="Q14" s="134"/>
      <c r="R14" s="134"/>
      <c r="S14" s="134"/>
      <c r="T14" s="133">
        <f>T12+1</f>
        <v>16</v>
      </c>
      <c r="U14" s="133"/>
      <c r="V14" s="133"/>
      <c r="W14" s="133"/>
      <c r="X14" s="135"/>
      <c r="Y14" s="173"/>
    </row>
    <row r="15" spans="1:25" x14ac:dyDescent="0.25">
      <c r="B15" s="136"/>
      <c r="C15" s="152">
        <v>2</v>
      </c>
      <c r="D15" s="137"/>
      <c r="E15" s="137"/>
      <c r="F15" s="137"/>
      <c r="G15" s="137" t="str">
        <f>IF($P$7&gt;C13,C15&amp;"ª Respuesta correcta: ",(C15-$P$7)&amp;MID('Formulario OM'!G15,2,100))</f>
        <v xml:space="preserve">2ª Respuesta incorrecta: </v>
      </c>
      <c r="H15" s="470"/>
      <c r="I15" s="470"/>
      <c r="J15" s="470"/>
      <c r="K15" s="470"/>
      <c r="L15" s="470"/>
      <c r="M15" s="470"/>
      <c r="N15" s="470"/>
      <c r="O15" s="470"/>
      <c r="P15" s="138"/>
      <c r="Q15" s="138"/>
      <c r="R15" s="137"/>
      <c r="S15" s="137" t="str">
        <f>'Formulario OM'!S15</f>
        <v xml:space="preserve">Retroalimentación: </v>
      </c>
      <c r="T15" s="462"/>
      <c r="U15" s="462"/>
      <c r="V15" s="462"/>
      <c r="W15" s="462"/>
      <c r="X15" s="139"/>
      <c r="Y15" s="330"/>
    </row>
    <row r="16" spans="1:25" ht="6" customHeight="1" thickBot="1" x14ac:dyDescent="0.3">
      <c r="B16" s="131"/>
      <c r="C16" s="152"/>
      <c r="D16" s="132"/>
      <c r="E16" s="132"/>
      <c r="F16" s="132"/>
      <c r="G16" s="132"/>
      <c r="H16" s="133">
        <f>H14+1</f>
        <v>11</v>
      </c>
      <c r="I16" s="134"/>
      <c r="J16" s="134"/>
      <c r="K16" s="134"/>
      <c r="L16" s="134"/>
      <c r="M16" s="134"/>
      <c r="N16" s="134"/>
      <c r="O16" s="134"/>
      <c r="P16" s="134"/>
      <c r="Q16" s="134"/>
      <c r="R16" s="134"/>
      <c r="S16" s="134"/>
      <c r="T16" s="133">
        <f>T14+1</f>
        <v>17</v>
      </c>
      <c r="U16" s="133"/>
      <c r="V16" s="133"/>
      <c r="W16" s="133"/>
      <c r="X16" s="135"/>
      <c r="Y16" s="173"/>
    </row>
    <row r="17" spans="1:26" x14ac:dyDescent="0.25">
      <c r="A17" s="440" t="str">
        <f>'Formulario OM'!A17</f>
        <v>USAR DATOS
VARIABLES</v>
      </c>
      <c r="B17" s="136"/>
      <c r="C17" s="152">
        <v>3</v>
      </c>
      <c r="D17" s="137"/>
      <c r="E17" s="137"/>
      <c r="F17" s="137"/>
      <c r="G17" s="137" t="str">
        <f>IF($P$7&gt;C15,C17&amp;"ª Respuesta correcta: ",(C17-$P$7)&amp;MID('Formulario OM'!G17,2,100))</f>
        <v xml:space="preserve">3ª Respuesta incorrecta: </v>
      </c>
      <c r="H17" s="463"/>
      <c r="I17" s="463"/>
      <c r="J17" s="463"/>
      <c r="K17" s="463"/>
      <c r="L17" s="463"/>
      <c r="M17" s="463"/>
      <c r="N17" s="463"/>
      <c r="O17" s="463"/>
      <c r="P17" s="138"/>
      <c r="Q17" s="138"/>
      <c r="R17" s="137"/>
      <c r="S17" s="137" t="str">
        <f>'Formulario OM'!S17</f>
        <v xml:space="preserve">Retroalimentación: </v>
      </c>
      <c r="T17" s="462"/>
      <c r="U17" s="462"/>
      <c r="V17" s="462"/>
      <c r="W17" s="462"/>
      <c r="X17" s="139"/>
      <c r="Y17" s="330"/>
    </row>
    <row r="18" spans="1:26" ht="6" customHeight="1" x14ac:dyDescent="0.25">
      <c r="A18" s="441">
        <f>'Formulario OM'!A18</f>
        <v>0</v>
      </c>
      <c r="B18" s="131"/>
      <c r="C18" s="152"/>
      <c r="D18" s="132"/>
      <c r="E18" s="132"/>
      <c r="F18" s="132"/>
      <c r="G18" s="132"/>
      <c r="H18" s="133">
        <f>H16+1</f>
        <v>12</v>
      </c>
      <c r="I18" s="134"/>
      <c r="J18" s="134"/>
      <c r="K18" s="134"/>
      <c r="L18" s="134"/>
      <c r="M18" s="134"/>
      <c r="N18" s="134"/>
      <c r="O18" s="134"/>
      <c r="P18" s="134"/>
      <c r="Q18" s="134"/>
      <c r="R18" s="134"/>
      <c r="S18" s="134"/>
      <c r="T18" s="133">
        <f>T16+1</f>
        <v>18</v>
      </c>
      <c r="U18" s="133"/>
      <c r="V18" s="133"/>
      <c r="W18" s="133"/>
      <c r="X18" s="135"/>
      <c r="Y18" s="173"/>
    </row>
    <row r="19" spans="1:26" ht="15.75" thickBot="1" x14ac:dyDescent="0.3">
      <c r="A19" s="442">
        <f>'Formulario OM'!A19</f>
        <v>0</v>
      </c>
      <c r="B19" s="136"/>
      <c r="C19" s="152">
        <v>4</v>
      </c>
      <c r="D19" s="137"/>
      <c r="E19" s="137"/>
      <c r="F19" s="137"/>
      <c r="G19" s="137" t="str">
        <f>IF($P$7&gt;C17,C19&amp;"ª Respuesta correcta: ",(C19-$P$7)&amp;MID('Formulario OM'!G19,2,100))</f>
        <v xml:space="preserve">4ª Respuesta incorrecta: </v>
      </c>
      <c r="H19" s="463"/>
      <c r="I19" s="463"/>
      <c r="J19" s="463"/>
      <c r="K19" s="463"/>
      <c r="L19" s="463"/>
      <c r="M19" s="463"/>
      <c r="N19" s="463"/>
      <c r="O19" s="463"/>
      <c r="P19" s="138"/>
      <c r="Q19" s="138"/>
      <c r="R19" s="137"/>
      <c r="S19" s="137" t="str">
        <f>'Formulario OM'!S19</f>
        <v xml:space="preserve">Retroalimentación: </v>
      </c>
      <c r="T19" s="462"/>
      <c r="U19" s="462"/>
      <c r="V19" s="462"/>
      <c r="W19" s="462"/>
      <c r="X19" s="139"/>
      <c r="Y19" s="330"/>
    </row>
    <row r="20" spans="1:26" ht="6" customHeight="1" x14ac:dyDescent="0.25">
      <c r="A20" s="326"/>
      <c r="B20" s="131"/>
      <c r="C20" s="152"/>
      <c r="D20" s="132"/>
      <c r="E20" s="132"/>
      <c r="F20" s="132"/>
      <c r="G20" s="132"/>
      <c r="H20" s="133">
        <f>H18+1</f>
        <v>13</v>
      </c>
      <c r="I20" s="134"/>
      <c r="J20" s="134"/>
      <c r="K20" s="134"/>
      <c r="L20" s="134"/>
      <c r="M20" s="134"/>
      <c r="N20" s="134"/>
      <c r="O20" s="134"/>
      <c r="P20" s="134"/>
      <c r="Q20" s="134"/>
      <c r="R20" s="134"/>
      <c r="S20" s="134"/>
      <c r="T20" s="133">
        <f>T18+1</f>
        <v>19</v>
      </c>
      <c r="U20" s="133"/>
      <c r="V20" s="133"/>
      <c r="W20" s="133"/>
      <c r="X20" s="135"/>
      <c r="Y20" s="173"/>
    </row>
    <row r="21" spans="1:26" x14ac:dyDescent="0.25">
      <c r="A21" s="324" t="str">
        <f>'Formulario OM'!A21</f>
        <v>ACTIVAR</v>
      </c>
      <c r="B21" s="136"/>
      <c r="C21" s="152">
        <v>5</v>
      </c>
      <c r="D21" s="137"/>
      <c r="E21" s="137"/>
      <c r="F21" s="137"/>
      <c r="G21" s="137" t="str">
        <f>IF($P$7&gt;C19,C21&amp;"ª Respuesta correcta: ",(C21-$P$7)&amp;MID('Formulario OM'!G21,2,100))</f>
        <v xml:space="preserve">5ª Respuesta incorrecta: </v>
      </c>
      <c r="H21" s="462"/>
      <c r="I21" s="462"/>
      <c r="J21" s="462"/>
      <c r="K21" s="462"/>
      <c r="L21" s="462"/>
      <c r="M21" s="462"/>
      <c r="N21" s="462"/>
      <c r="O21" s="462"/>
      <c r="P21" s="138"/>
      <c r="Q21" s="138"/>
      <c r="R21" s="137"/>
      <c r="S21" s="137" t="str">
        <f>'Formulario OM'!S21</f>
        <v xml:space="preserve">Retroalimentación: </v>
      </c>
      <c r="T21" s="462"/>
      <c r="U21" s="462"/>
      <c r="V21" s="462"/>
      <c r="W21" s="462"/>
      <c r="X21" s="139"/>
      <c r="Y21" s="330"/>
    </row>
    <row r="22" spans="1:26" ht="6" customHeight="1" thickBot="1" x14ac:dyDescent="0.3">
      <c r="A22" s="2"/>
      <c r="B22" s="131"/>
      <c r="C22" s="152"/>
      <c r="D22" s="132"/>
      <c r="E22" s="132"/>
      <c r="F22" s="132"/>
      <c r="G22" s="132"/>
      <c r="H22" s="133">
        <f>H20+1</f>
        <v>14</v>
      </c>
      <c r="I22" s="134"/>
      <c r="J22" s="134"/>
      <c r="K22" s="134"/>
      <c r="L22" s="134"/>
      <c r="M22" s="134"/>
      <c r="N22" s="134"/>
      <c r="O22" s="134"/>
      <c r="P22" s="134"/>
      <c r="Q22" s="134"/>
      <c r="R22" s="134"/>
      <c r="S22" s="134"/>
      <c r="T22" s="133">
        <f>T20+1</f>
        <v>20</v>
      </c>
      <c r="U22" s="133"/>
      <c r="V22" s="133"/>
      <c r="W22" s="133"/>
      <c r="X22" s="135"/>
      <c r="Y22" s="173"/>
      <c r="Z22" s="32"/>
    </row>
    <row r="23" spans="1:26" x14ac:dyDescent="0.25">
      <c r="A23" s="324" t="str">
        <f>'Formulario OM'!A23</f>
        <v>DESACTIVAR</v>
      </c>
      <c r="B23" s="136"/>
      <c r="C23" s="152">
        <v>6</v>
      </c>
      <c r="D23" s="137"/>
      <c r="E23" s="137"/>
      <c r="F23" s="137"/>
      <c r="G23" s="137" t="str">
        <f>IF($P$7&gt;C21,C23&amp;"ª Respuesta correcta: ",(C23-$P$7)&amp;MID('Formulario OM'!G23,2,100))</f>
        <v xml:space="preserve">6ª Respuesta incorrecta: </v>
      </c>
      <c r="H23" s="462"/>
      <c r="I23" s="462"/>
      <c r="J23" s="462"/>
      <c r="K23" s="462"/>
      <c r="L23" s="462"/>
      <c r="M23" s="462"/>
      <c r="N23" s="462"/>
      <c r="O23" s="462"/>
      <c r="P23" s="138"/>
      <c r="Q23" s="138"/>
      <c r="R23" s="137"/>
      <c r="S23" s="137" t="str">
        <f>'Formulario OM'!S23</f>
        <v xml:space="preserve">Retroalimentación: </v>
      </c>
      <c r="T23" s="462"/>
      <c r="U23" s="462"/>
      <c r="V23" s="462"/>
      <c r="W23" s="462"/>
      <c r="X23" s="139"/>
      <c r="Y23" s="330"/>
      <c r="Z23" s="32"/>
    </row>
    <row r="24" spans="1:26" ht="6" customHeight="1" thickBot="1" x14ac:dyDescent="0.3">
      <c r="B24" s="136"/>
      <c r="C24" s="137"/>
      <c r="D24" s="137"/>
      <c r="E24" s="137"/>
      <c r="F24" s="137"/>
      <c r="G24" s="137"/>
      <c r="H24" s="137"/>
      <c r="I24" s="137"/>
      <c r="J24" s="137"/>
      <c r="K24" s="137"/>
      <c r="L24" s="137"/>
      <c r="M24" s="137"/>
      <c r="N24" s="137"/>
      <c r="O24" s="137"/>
      <c r="P24" s="137"/>
      <c r="Q24" s="137"/>
      <c r="R24" s="137"/>
      <c r="S24" s="137"/>
      <c r="T24" s="137"/>
      <c r="U24" s="137"/>
      <c r="V24" s="137"/>
      <c r="W24" s="137"/>
      <c r="X24" s="139"/>
      <c r="Y24" s="177"/>
      <c r="Z24" s="32"/>
    </row>
    <row r="25" spans="1:26" x14ac:dyDescent="0.25">
      <c r="A25" s="440" t="str">
        <f>'Formulario OM'!A25</f>
        <v>INSERTAR IMÁGENES</v>
      </c>
      <c r="B25" s="136"/>
      <c r="C25" s="137"/>
      <c r="D25" s="137"/>
      <c r="E25" s="137"/>
      <c r="F25" s="137"/>
      <c r="G25" s="137"/>
      <c r="H25" s="137"/>
      <c r="I25" s="137"/>
      <c r="J25" s="137"/>
      <c r="K25" s="137"/>
      <c r="L25" s="137"/>
      <c r="M25" s="137"/>
      <c r="N25" s="137"/>
      <c r="O25" s="137"/>
      <c r="P25" s="137"/>
      <c r="Q25" s="137"/>
      <c r="R25" s="137"/>
      <c r="S25" s="137"/>
      <c r="T25" s="137"/>
      <c r="U25" s="137"/>
      <c r="V25" s="137"/>
      <c r="W25" s="137"/>
      <c r="X25" s="139"/>
      <c r="Y25" s="330"/>
      <c r="Z25" s="32"/>
    </row>
    <row r="26" spans="1:26" ht="6" customHeight="1" x14ac:dyDescent="0.25">
      <c r="A26" s="441">
        <f>'Formulario OM'!A26</f>
        <v>0</v>
      </c>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ht="15" customHeight="1" thickBot="1" x14ac:dyDescent="0.3">
      <c r="A27" s="442">
        <f>'Formulario OM'!A27</f>
        <v>0</v>
      </c>
      <c r="B27" s="136"/>
      <c r="C27" s="140"/>
      <c r="D27" s="140"/>
      <c r="E27" s="140"/>
      <c r="F27" s="140"/>
      <c r="G27" s="137"/>
      <c r="H27" s="178"/>
      <c r="I27" s="138"/>
      <c r="J27" s="138"/>
      <c r="K27" s="138"/>
      <c r="L27" s="138"/>
      <c r="M27" s="138"/>
      <c r="N27" s="138"/>
      <c r="O27" s="138"/>
      <c r="P27" s="138"/>
      <c r="Q27" s="138"/>
      <c r="R27" s="138"/>
      <c r="S27" s="138"/>
      <c r="T27" s="138"/>
      <c r="U27" s="138"/>
      <c r="V27" s="138"/>
      <c r="W27" s="138"/>
      <c r="X27" s="139"/>
      <c r="Y27" s="177"/>
      <c r="Z27" s="32"/>
    </row>
    <row r="28" spans="1:26" ht="6" customHeight="1" x14ac:dyDescent="0.25">
      <c r="B28" s="136"/>
      <c r="C28" s="140"/>
      <c r="D28" s="140"/>
      <c r="E28" s="140"/>
      <c r="F28" s="140"/>
      <c r="G28" s="137"/>
      <c r="H28" s="133">
        <f>'Datos O2'!AG3</f>
        <v>33</v>
      </c>
      <c r="I28" s="138"/>
      <c r="J28" s="138"/>
      <c r="K28" s="138"/>
      <c r="L28" s="138"/>
      <c r="M28" s="138"/>
      <c r="N28" s="138"/>
      <c r="O28" s="138"/>
      <c r="P28" s="138"/>
      <c r="Q28" s="138"/>
      <c r="R28" s="138"/>
      <c r="S28" s="138"/>
      <c r="T28" s="138"/>
      <c r="U28" s="138"/>
      <c r="V28" s="138"/>
      <c r="W28" s="138"/>
      <c r="X28" s="139"/>
      <c r="Y28" s="173"/>
      <c r="Z28" s="32"/>
    </row>
    <row r="29" spans="1:26" x14ac:dyDescent="0.25">
      <c r="B29" s="136"/>
      <c r="C29" s="137"/>
      <c r="D29" s="137"/>
      <c r="E29" s="137"/>
      <c r="F29" s="137"/>
      <c r="G29" s="137" t="str">
        <f>'Formulario OM'!G29</f>
        <v xml:space="preserve">Pista 1: </v>
      </c>
      <c r="H29" s="462"/>
      <c r="I29" s="462"/>
      <c r="J29" s="462"/>
      <c r="K29" s="462"/>
      <c r="L29" s="462"/>
      <c r="M29" s="462"/>
      <c r="N29" s="462"/>
      <c r="O29" s="462"/>
      <c r="P29" s="462"/>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8"/>
      <c r="T30" s="418"/>
      <c r="U30" s="418"/>
      <c r="V30" s="418"/>
      <c r="W30" s="418"/>
      <c r="X30" s="419"/>
      <c r="Y30" s="173"/>
      <c r="Z30" s="32"/>
    </row>
    <row r="31" spans="1:26" x14ac:dyDescent="0.25">
      <c r="B31" s="136"/>
      <c r="C31" s="137"/>
      <c r="D31" s="137"/>
      <c r="E31" s="137"/>
      <c r="F31" s="137"/>
      <c r="G31" s="137" t="str">
        <f>'Formulario OM'!G31</f>
        <v xml:space="preserve">Pista 2: </v>
      </c>
      <c r="H31" s="462"/>
      <c r="I31" s="462"/>
      <c r="J31" s="462"/>
      <c r="K31" s="462"/>
      <c r="L31" s="462"/>
      <c r="M31" s="462"/>
      <c r="N31" s="462"/>
      <c r="O31" s="462"/>
      <c r="P31" s="462"/>
      <c r="Q31" s="138"/>
      <c r="R31" s="307"/>
      <c r="S31" s="418"/>
      <c r="T31" s="418"/>
      <c r="U31" s="418"/>
      <c r="V31" s="418"/>
      <c r="W31" s="418"/>
      <c r="X31" s="419"/>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8"/>
      <c r="T32" s="418"/>
      <c r="U32" s="418"/>
      <c r="V32" s="418"/>
      <c r="W32" s="418"/>
      <c r="X32" s="419"/>
      <c r="Y32" s="173"/>
    </row>
    <row r="33" spans="1:25" x14ac:dyDescent="0.25">
      <c r="B33" s="136"/>
      <c r="C33" s="137"/>
      <c r="D33" s="137"/>
      <c r="E33" s="137"/>
      <c r="F33" s="137"/>
      <c r="G33" s="137" t="str">
        <f>'Formulario OM'!G33</f>
        <v xml:space="preserve">Pista 3: </v>
      </c>
      <c r="H33" s="462"/>
      <c r="I33" s="462"/>
      <c r="J33" s="462"/>
      <c r="K33" s="462"/>
      <c r="L33" s="462"/>
      <c r="M33" s="462"/>
      <c r="N33" s="462"/>
      <c r="O33" s="462"/>
      <c r="P33" s="462"/>
      <c r="Q33" s="138"/>
      <c r="R33" s="307"/>
      <c r="S33" s="418"/>
      <c r="T33" s="418"/>
      <c r="U33" s="418"/>
      <c r="V33" s="418"/>
      <c r="W33" s="418"/>
      <c r="X33" s="419"/>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8"/>
      <c r="T34" s="418"/>
      <c r="U34" s="418"/>
      <c r="V34" s="418"/>
      <c r="W34" s="418"/>
      <c r="X34" s="419"/>
      <c r="Y34" s="173"/>
    </row>
    <row r="35" spans="1:25" x14ac:dyDescent="0.25">
      <c r="B35" s="136"/>
      <c r="C35" s="137"/>
      <c r="D35" s="137"/>
      <c r="E35" s="137"/>
      <c r="F35" s="137"/>
      <c r="G35" s="137" t="str">
        <f>'Formulario OM'!G35</f>
        <v xml:space="preserve">Pista 4: </v>
      </c>
      <c r="H35" s="462"/>
      <c r="I35" s="462"/>
      <c r="J35" s="462"/>
      <c r="K35" s="462"/>
      <c r="L35" s="462"/>
      <c r="M35" s="462"/>
      <c r="N35" s="462"/>
      <c r="O35" s="462"/>
      <c r="P35" s="462"/>
      <c r="Q35" s="138"/>
      <c r="R35" s="307"/>
      <c r="S35" s="418"/>
      <c r="T35" s="418"/>
      <c r="U35" s="418"/>
      <c r="V35" s="418"/>
      <c r="W35" s="418"/>
      <c r="X35" s="419"/>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0"/>
      <c r="T36" s="420"/>
      <c r="U36" s="420"/>
      <c r="V36" s="420"/>
      <c r="W36" s="420"/>
      <c r="X36" s="421"/>
      <c r="Y36" s="173"/>
    </row>
    <row r="37" spans="1:25" s="3" customFormat="1" ht="15.75" hidden="1" customHeight="1" thickTop="1" x14ac:dyDescent="0.25">
      <c r="H37" s="111">
        <v>1</v>
      </c>
      <c r="I37" s="111">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BQ3QTOIZU1nrD0+nVlQuEDxqp5DQi8c1S3F/K9aNC9oiDDkG9GIWaGwhM+RU2hAcNbs3jQGH6k5tw78vSsMomg==" saltValue="BQJRC1gM3QCUnl+5Zq8kkw==" spinCount="100000" sheet="1" objects="1" scenarios="1" selectLockedCells="1"/>
  <mergeCells count="32">
    <mergeCell ref="A1:A3"/>
    <mergeCell ref="S30:X36"/>
    <mergeCell ref="A17:A19"/>
    <mergeCell ref="Y1:Y3"/>
    <mergeCell ref="H29:P29"/>
    <mergeCell ref="H31:P31"/>
    <mergeCell ref="H33:P33"/>
    <mergeCell ref="H35:P35"/>
    <mergeCell ref="H19:O19"/>
    <mergeCell ref="T19:W19"/>
    <mergeCell ref="H21:O21"/>
    <mergeCell ref="T21:W21"/>
    <mergeCell ref="H23:O23"/>
    <mergeCell ref="T23:W23"/>
    <mergeCell ref="H13:O13"/>
    <mergeCell ref="T13:W13"/>
    <mergeCell ref="A25:A27"/>
    <mergeCell ref="R5:W5"/>
    <mergeCell ref="H7:N7"/>
    <mergeCell ref="H9:M9"/>
    <mergeCell ref="V2:W2"/>
    <mergeCell ref="T2:U2"/>
    <mergeCell ref="R2:S2"/>
    <mergeCell ref="P2:Q2"/>
    <mergeCell ref="N2:O2"/>
    <mergeCell ref="L2:M2"/>
    <mergeCell ref="B1:K3"/>
    <mergeCell ref="H15:O15"/>
    <mergeCell ref="T15:W15"/>
    <mergeCell ref="H17:O17"/>
    <mergeCell ref="T17:W17"/>
    <mergeCell ref="H11:W11"/>
  </mergeCells>
  <conditionalFormatting sqref="P7">
    <cfRule type="cellIs" dxfId="84" priority="2" operator="greaterThan">
      <formula>$P$8</formula>
    </cfRule>
  </conditionalFormatting>
  <conditionalFormatting sqref="W9">
    <cfRule type="containsErrors" dxfId="83" priority="4">
      <formula>ISERROR(W9)</formula>
    </cfRule>
  </conditionalFormatting>
  <dataValidations xWindow="149" yWindow="613" count="13">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type="list" errorStyle="warning" allowBlank="1" showInputMessage="1" showErrorMessage="1" promptTitle="Puntos Respuesta Correcta" prompt="La puntuación que tendrá cada respuesta correcta. Si hay más de una respuesta correcta, la suma total debe ser 100 o 1." sqref="W7">
      <formula1>"100,+100/R_C_O2"</formula1>
    </dataValidation>
    <dataValidation type="list" errorStyle="warning" allowBlank="1" showInputMessage="1" showErrorMessage="1" promptTitle="Respuesta Incorrecta" prompt="La puntuación que tendrá cada respuesta incorrecta. Si hay más de una respuesta incorrecta, la suma total debe ser -100 o -1. Si no quieres restar puntos por respuestas incorrectas, déjalo a CERO." sqref="W9">
      <formula1>"0,-100/R_I_O2"</formula1>
    </dataValidation>
    <dataValidation allowBlank="1" showInputMessage="1" showErrorMessage="1" promptTitle="Retroalimentación" prompt="Escribe el comentario que quieres que aparezca para cada respuesta." sqref="T13:W13 T15:W15 T17:W17 T19:W19 T21:W21 T23:W23"/>
    <dataValidation allowBlank="1" showInputMessage="1" showErrorMessage="1" promptTitle="Respuestas" prompt="Escribe la respuesta que corresponda según lo que está escrito a la izquierda. Primero hay que poner las respuestas correctas y, a continuación, las incorrctas. " sqref="H13:O13 H15:O15 H17:O17 H19:O19 H23:O23 H21:O21"/>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P29"/>
    <dataValidation type="whole" allowBlank="1" showInputMessage="1" showErrorMessage="1" sqref="H5">
      <formula1>1</formula1>
      <formula2>1000</formula2>
    </dataValidation>
    <dataValidation type="whole" allowBlank="1" showInputMessage="1" showErrorMessage="1" promptTitle="Nº Respuestas Correctas" prompt="Para el caso de Opción Múltiple donde el alumno pueda responder 1 o más respuestas correctas, indicar cuántas respuestas correctas tiene esta pergunta. Puede ser diferente para cada pregunta de un mismo banco de preguntas." sqref="P7">
      <formula1>1</formula1>
      <formula2>6</formula2>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32770"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32771" r:id="rId8" name="Spinner 3">
              <controlPr defaultSize="0" print="0" autoPict="0" altText="Para consultar los datos de cada pregunta.">
                <anchor moveWithCells="1" sizeWithCells="1">
                  <from>
                    <xdr:col>15</xdr:col>
                    <xdr:colOff>295275</xdr:colOff>
                    <xdr:row>5</xdr:row>
                    <xdr:rowOff>57150</xdr:rowOff>
                  </from>
                  <to>
                    <xdr:col>16</xdr:col>
                    <xdr:colOff>38100</xdr:colOff>
                    <xdr:row>7</xdr:row>
                    <xdr:rowOff>9525</xdr:rowOff>
                  </to>
                </anchor>
              </controlPr>
            </control>
          </mc:Choice>
        </mc:AlternateContent>
        <mc:AlternateContent xmlns:mc="http://schemas.openxmlformats.org/markup-compatibility/2006">
          <mc:Choice Requires="x14">
            <control shapeId="32804" r:id="rId9" name="Spinner 36">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AJ508"/>
  <sheetViews>
    <sheetView showGridLines="0" showRowColHeaders="0" topLeftCell="B2" zoomScale="145" zoomScaleNormal="145" workbookViewId="0">
      <pane xSplit="7" ySplit="5" topLeftCell="T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140625" style="14" hidden="1" customWidth="1"/>
    <col min="2" max="2" width="9.7109375" style="29" customWidth="1"/>
    <col min="3" max="3" width="4.140625" style="14" customWidth="1"/>
    <col min="4" max="4" width="4.28515625" style="14" customWidth="1"/>
    <col min="5" max="5" width="5.28515625" style="30" customWidth="1"/>
    <col min="6" max="6" width="5.7109375" style="30" customWidth="1"/>
    <col min="7" max="7" width="10.140625" style="30" customWidth="1"/>
    <col min="8" max="8" width="44.42578125" style="14" customWidth="1"/>
    <col min="9" max="14" width="12.5703125" style="14" customWidth="1"/>
    <col min="15" max="20" width="14.28515625" style="14" customWidth="1"/>
    <col min="21" max="32" width="14.28515625" style="14" hidden="1" customWidth="1"/>
    <col min="33" max="16384" width="11.42578125" style="14"/>
  </cols>
  <sheetData>
    <row r="1" spans="1:36" hidden="1" x14ac:dyDescent="0.25">
      <c r="A1" s="12">
        <f>MAX(A7:A500)</f>
        <v>11</v>
      </c>
      <c r="B1" s="13" t="str">
        <f>B5</f>
        <v>T01 - 00</v>
      </c>
      <c r="C1" s="13" t="str">
        <f t="shared" ref="C1:AJ1" si="0">C6</f>
        <v>Mal</v>
      </c>
      <c r="D1" s="13" t="str">
        <f t="shared" si="0"/>
        <v>OK</v>
      </c>
      <c r="E1" s="13" t="str">
        <f t="shared" si="0"/>
        <v>Puntos OK</v>
      </c>
      <c r="F1" s="13" t="str">
        <f t="shared" si="0"/>
        <v>Puntos Mal</v>
      </c>
      <c r="G1" s="13" t="str">
        <f t="shared" si="0"/>
        <v>Descrip.
Pregunta</v>
      </c>
      <c r="H1" s="13" t="str">
        <f t="shared" si="0"/>
        <v>Enunciado  | FastTest PlugIn - Opción Múltiple VR</v>
      </c>
      <c r="I1" s="13" t="str">
        <f t="shared" si="0"/>
        <v>a</v>
      </c>
      <c r="J1" s="13" t="str">
        <f t="shared" si="0"/>
        <v>b</v>
      </c>
      <c r="K1" s="13" t="str">
        <f t="shared" si="0"/>
        <v>c</v>
      </c>
      <c r="L1" s="13" t="str">
        <f t="shared" si="0"/>
        <v>d</v>
      </c>
      <c r="M1" s="13" t="str">
        <f t="shared" si="0"/>
        <v>e</v>
      </c>
      <c r="N1" s="13" t="str">
        <f t="shared" si="0"/>
        <v>f</v>
      </c>
      <c r="O1" s="13" t="str">
        <f t="shared" si="0"/>
        <v>Retroal. 1</v>
      </c>
      <c r="P1" s="13" t="str">
        <f t="shared" si="0"/>
        <v>Retroal. 2</v>
      </c>
      <c r="Q1" s="13" t="str">
        <f t="shared" si="0"/>
        <v>Retroal. 3</v>
      </c>
      <c r="R1" s="13" t="str">
        <f t="shared" si="0"/>
        <v>Retroal. 4</v>
      </c>
      <c r="S1" s="13" t="str">
        <f t="shared" si="0"/>
        <v>Retroal. 5</v>
      </c>
      <c r="T1" s="13" t="str">
        <f t="shared" si="0"/>
        <v>Retroal. 6</v>
      </c>
      <c r="U1" s="13">
        <f t="shared" si="0"/>
        <v>0</v>
      </c>
      <c r="V1" s="13">
        <f t="shared" si="0"/>
        <v>0</v>
      </c>
      <c r="W1" s="13">
        <f t="shared" si="0"/>
        <v>0</v>
      </c>
      <c r="X1" s="13">
        <f t="shared" si="0"/>
        <v>0</v>
      </c>
      <c r="Y1" s="13">
        <f t="shared" si="0"/>
        <v>0</v>
      </c>
      <c r="Z1" s="13">
        <f t="shared" si="0"/>
        <v>0</v>
      </c>
      <c r="AA1" s="13">
        <f t="shared" si="0"/>
        <v>0</v>
      </c>
      <c r="AB1" s="13">
        <f t="shared" si="0"/>
        <v>0</v>
      </c>
      <c r="AC1" s="13">
        <f t="shared" si="0"/>
        <v>0</v>
      </c>
      <c r="AD1" s="13">
        <f t="shared" si="0"/>
        <v>0</v>
      </c>
      <c r="AE1" s="13">
        <f t="shared" si="0"/>
        <v>0</v>
      </c>
      <c r="AF1" s="13">
        <f t="shared" si="0"/>
        <v>0</v>
      </c>
      <c r="AG1" s="13" t="str">
        <f t="shared" si="0"/>
        <v>Pista 1</v>
      </c>
      <c r="AH1" s="13" t="str">
        <f t="shared" si="0"/>
        <v>Pista 2</v>
      </c>
      <c r="AI1" s="13" t="str">
        <f t="shared" si="0"/>
        <v>Pista 3</v>
      </c>
      <c r="AJ1" s="13" t="str">
        <f t="shared" si="0"/>
        <v>Pista 4</v>
      </c>
    </row>
    <row r="2" spans="1:36" s="18" customFormat="1" hidden="1" x14ac:dyDescent="0.25">
      <c r="A2" s="15">
        <f>PREGUNTA_ACTUAL</f>
        <v>1</v>
      </c>
      <c r="B2" s="16" t="e">
        <f>VLOOKUP($A2,$A$7:B$1125,B3,1)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405">
        <v>2</v>
      </c>
      <c r="C3" s="393">
        <f t="shared" ref="C3:AJ3" si="1">B3+1</f>
        <v>3</v>
      </c>
      <c r="D3" s="393">
        <f t="shared" si="1"/>
        <v>4</v>
      </c>
      <c r="E3" s="393">
        <f t="shared" si="1"/>
        <v>5</v>
      </c>
      <c r="F3" s="393">
        <f t="shared" si="1"/>
        <v>6</v>
      </c>
      <c r="G3" s="393">
        <f t="shared" si="1"/>
        <v>7</v>
      </c>
      <c r="H3" s="393">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406"/>
      <c r="C4" s="407"/>
      <c r="D4" s="406"/>
      <c r="E4" s="473" t="str">
        <f>'Datos OM'!E4</f>
        <v>DATOS GENERALES | Ir A FORMULARIO | Dar FORMATO</v>
      </c>
      <c r="F4" s="473"/>
      <c r="G4" s="473"/>
      <c r="H4" s="473"/>
      <c r="I4" s="229">
        <f>COUNTA(H7:H500)</f>
        <v>0</v>
      </c>
      <c r="J4" s="336" t="str">
        <f>'Datos VF'!J4</f>
        <v>Preguntas almacenadas</v>
      </c>
    </row>
    <row r="5" spans="1:36" s="257" customFormat="1" hidden="1" x14ac:dyDescent="0.25">
      <c r="A5" s="245">
        <v>0</v>
      </c>
      <c r="B5" s="243" t="str">
        <f>IF(A5="","",PREF_PREGUNTA&amp;" - "&amp;IF(MAX(A:A)&gt;99,IF(A5&lt;100,"0",""),"")&amp;IF(A5&lt;10,"0","")&amp;A5&amp;IF(G5&lt;&gt;""," "&amp;G5,""))</f>
        <v>T01 - 00</v>
      </c>
      <c r="C5" s="273" t="e">
        <f>IF(COUNTA(I5:N5)-D5=0,"",COUNTA(I5:N5)-D5)</f>
        <v>#VALUE!</v>
      </c>
      <c r="D5" s="246" t="str">
        <f>IF('Formulario O2'!P7="","",'Formulario O2'!P7)</f>
        <v/>
      </c>
      <c r="E5" s="284" t="str">
        <f>IF('Formulario O2'!W7="","",'Formulario O2'!W7)</f>
        <v/>
      </c>
      <c r="F5" s="284" t="str">
        <f>IF('Formulario O2'!W9="","",'Formulario O2'!W9)</f>
        <v/>
      </c>
      <c r="G5" s="248" t="str">
        <f>IF('Formulario O2'!H9="","",'Formulario O2'!H9)</f>
        <v/>
      </c>
      <c r="H5" s="241" t="str">
        <f>IF('Formulario O2'!H11="","",'Formulario O2'!H11)</f>
        <v/>
      </c>
      <c r="I5" s="285" t="str">
        <f>IF('Formulario O2'!H13="","",'Formulario O2'!H13)</f>
        <v/>
      </c>
      <c r="J5" s="286" t="str">
        <f>IF('Formulario O2'!H15="","",'Formulario O2'!H15)</f>
        <v/>
      </c>
      <c r="K5" s="287" t="str">
        <f>IF('Formulario O2'!H17="","",'Formulario O2'!H17)</f>
        <v/>
      </c>
      <c r="L5" s="288" t="str">
        <f>IF('Formulario O2'!H19="","",'Formulario O2'!H19)</f>
        <v/>
      </c>
      <c r="M5" s="289" t="str">
        <f>IF('Formulario O2'!H21="","",'Formulario O2'!H21)</f>
        <v/>
      </c>
      <c r="N5" s="290" t="str">
        <f>IF('Formulario O2'!H23="","",'Formulario O2'!H23)</f>
        <v/>
      </c>
      <c r="O5" s="274" t="str">
        <f>IF('Formulario O2'!T13="","",'Formulario O2'!T13)</f>
        <v/>
      </c>
      <c r="P5" s="275" t="str">
        <f>IF('Formulario O2'!T15="","",'Formulario O2'!T15)</f>
        <v/>
      </c>
      <c r="Q5" s="276" t="str">
        <f>IF('Formulario O2'!T17="","",'Formulario O2'!T17)</f>
        <v/>
      </c>
      <c r="R5" s="277" t="str">
        <f>IF('Formulario O2'!T19="","",'Formulario O2'!T19)</f>
        <v/>
      </c>
      <c r="S5" s="278" t="str">
        <f>IF('Formulario O2'!T21="","",'Formulario O2'!T21)</f>
        <v/>
      </c>
      <c r="T5" s="279" t="str">
        <f>IF('Formulario O2'!T23="","",'Formulario O2'!T23)</f>
        <v/>
      </c>
      <c r="U5" s="279"/>
      <c r="V5" s="279"/>
      <c r="W5" s="279"/>
      <c r="X5" s="279"/>
      <c r="Y5" s="279"/>
      <c r="Z5" s="279"/>
      <c r="AA5" s="279"/>
      <c r="AB5" s="279"/>
      <c r="AC5" s="279"/>
      <c r="AD5" s="279"/>
      <c r="AE5" s="279"/>
      <c r="AF5" s="279"/>
      <c r="AG5" s="280" t="str">
        <f>IF('Formulario O2'!H29="","",'Formulario O2'!H29)</f>
        <v/>
      </c>
      <c r="AH5" s="281" t="str">
        <f>IF('Formulario O2'!H31="","",'Formulario O2'!H31)</f>
        <v/>
      </c>
      <c r="AI5" s="282" t="str">
        <f>IF('Formulario O2'!H33="","",'Formulario O2'!H33)</f>
        <v/>
      </c>
      <c r="AJ5" s="283" t="str">
        <f>IF('Formulario O2'!H35="","",'Formulario O2'!H35)</f>
        <v/>
      </c>
    </row>
    <row r="6" spans="1:36" s="27" customFormat="1" ht="30" x14ac:dyDescent="0.25">
      <c r="A6" s="26">
        <v>0</v>
      </c>
      <c r="B6" s="337" t="s">
        <v>41</v>
      </c>
      <c r="C6" s="369" t="s">
        <v>42</v>
      </c>
      <c r="D6" s="370" t="s">
        <v>44</v>
      </c>
      <c r="E6" s="371" t="s">
        <v>45</v>
      </c>
      <c r="F6" s="371" t="s">
        <v>46</v>
      </c>
      <c r="G6" s="372" t="s">
        <v>43</v>
      </c>
      <c r="H6" s="394" t="str">
        <f>"Enunciado  | "&amp;'Formulario O2'!B1</f>
        <v>Enunciado  | FastTest PlugIn - Opción Múltiple VR</v>
      </c>
      <c r="I6" s="359" t="str">
        <f>MID(T_R,1,1)</f>
        <v>a</v>
      </c>
      <c r="J6" s="360" t="str">
        <f>CHAR(CODE(I6)+1)</f>
        <v>b</v>
      </c>
      <c r="K6" s="361" t="str">
        <f t="shared" ref="K6:N6" si="2">CHAR(CODE(J6)+1)</f>
        <v>c</v>
      </c>
      <c r="L6" s="362" t="str">
        <f t="shared" si="2"/>
        <v>d</v>
      </c>
      <c r="M6" s="363" t="str">
        <f t="shared" si="2"/>
        <v>e</v>
      </c>
      <c r="N6" s="364" t="str">
        <f t="shared" si="2"/>
        <v>f</v>
      </c>
      <c r="O6" s="359" t="s">
        <v>48</v>
      </c>
      <c r="P6" s="360" t="s">
        <v>49</v>
      </c>
      <c r="Q6" s="361" t="s">
        <v>50</v>
      </c>
      <c r="R6" s="362" t="s">
        <v>51</v>
      </c>
      <c r="S6" s="363" t="s">
        <v>52</v>
      </c>
      <c r="T6" s="364" t="s">
        <v>53</v>
      </c>
      <c r="U6" s="364"/>
      <c r="V6" s="364"/>
      <c r="W6" s="364"/>
      <c r="X6" s="364"/>
      <c r="Y6" s="364"/>
      <c r="Z6" s="364"/>
      <c r="AA6" s="364"/>
      <c r="AB6" s="364"/>
      <c r="AC6" s="364"/>
      <c r="AD6" s="364"/>
      <c r="AE6" s="364"/>
      <c r="AF6" s="364"/>
      <c r="AG6" s="365" t="s">
        <v>54</v>
      </c>
      <c r="AH6" s="366" t="s">
        <v>55</v>
      </c>
      <c r="AI6" s="367" t="s">
        <v>56</v>
      </c>
      <c r="AJ6" s="368" t="s">
        <v>57</v>
      </c>
    </row>
    <row r="7" spans="1:36" s="22" customFormat="1" x14ac:dyDescent="0.25">
      <c r="A7" s="34">
        <v>11</v>
      </c>
      <c r="B7" s="243" t="str">
        <f t="shared" ref="B7:B70" si="3">IF(A7="","",PREF_PREGUNTA&amp;" - "&amp;IF(MAX(A:A)&gt;99,IF(A7&lt;100,"0",""),"")&amp;IF(A7&lt;10,"0","")&amp;A7&amp;IF(G7&lt;&gt;""," "&amp;G7,""))</f>
        <v>T01 - 11</v>
      </c>
      <c r="C7" s="273" t="str">
        <f t="shared" ref="C7:C70" si="4">IF(COUNTA(I7:N7)-D7=0,"",COUNTA(I7:N7)-D7)</f>
        <v/>
      </c>
      <c r="D7" s="246"/>
      <c r="E7" s="284"/>
      <c r="F7" s="284"/>
      <c r="G7" s="248"/>
      <c r="H7" s="241"/>
      <c r="I7" s="285"/>
      <c r="J7" s="286"/>
      <c r="K7" s="287"/>
      <c r="L7" s="288"/>
      <c r="M7" s="289"/>
      <c r="N7" s="290"/>
      <c r="O7" s="274"/>
      <c r="P7" s="275"/>
      <c r="Q7" s="276"/>
      <c r="R7" s="277"/>
      <c r="S7" s="278"/>
      <c r="T7" s="279"/>
      <c r="U7" s="279"/>
      <c r="V7" s="279"/>
      <c r="W7" s="279"/>
      <c r="X7" s="279"/>
      <c r="Y7" s="279"/>
      <c r="Z7" s="279"/>
      <c r="AA7" s="279"/>
      <c r="AB7" s="279"/>
      <c r="AC7" s="279"/>
      <c r="AD7" s="279"/>
      <c r="AE7" s="279"/>
      <c r="AF7" s="279"/>
      <c r="AG7" s="280"/>
      <c r="AH7" s="281"/>
      <c r="AI7" s="282"/>
      <c r="AJ7" s="283"/>
    </row>
    <row r="8" spans="1:36" s="22" customFormat="1" x14ac:dyDescent="0.25">
      <c r="A8" s="28" t="str">
        <f>IF(H8&lt;&gt;"",MAX($A$7:A7)+1,"")</f>
        <v/>
      </c>
      <c r="B8" s="243" t="str">
        <f t="shared" si="3"/>
        <v/>
      </c>
      <c r="C8" s="273" t="str">
        <f t="shared" si="4"/>
        <v/>
      </c>
      <c r="D8" s="246"/>
      <c r="E8" s="284"/>
      <c r="F8" s="284"/>
      <c r="G8" s="248"/>
      <c r="H8" s="241"/>
      <c r="I8" s="285"/>
      <c r="J8" s="286"/>
      <c r="K8" s="287"/>
      <c r="L8" s="288"/>
      <c r="M8" s="289"/>
      <c r="N8" s="290"/>
      <c r="O8" s="274"/>
      <c r="P8" s="275"/>
      <c r="Q8" s="276"/>
      <c r="R8" s="277"/>
      <c r="S8" s="278"/>
      <c r="T8" s="279"/>
      <c r="U8" s="279"/>
      <c r="V8" s="279"/>
      <c r="W8" s="279"/>
      <c r="X8" s="279"/>
      <c r="Y8" s="279"/>
      <c r="Z8" s="279"/>
      <c r="AA8" s="279"/>
      <c r="AB8" s="279"/>
      <c r="AC8" s="279"/>
      <c r="AD8" s="279"/>
      <c r="AE8" s="279"/>
      <c r="AF8" s="279"/>
      <c r="AG8" s="280"/>
      <c r="AH8" s="281"/>
      <c r="AI8" s="282"/>
      <c r="AJ8" s="283"/>
    </row>
    <row r="9" spans="1:36" s="22" customFormat="1" x14ac:dyDescent="0.25">
      <c r="A9" s="28" t="str">
        <f>IF(H9&lt;&gt;"",MAX($A$7:A8)+1,"")</f>
        <v/>
      </c>
      <c r="B9" s="243" t="str">
        <f t="shared" si="3"/>
        <v/>
      </c>
      <c r="C9" s="273" t="str">
        <f t="shared" si="4"/>
        <v/>
      </c>
      <c r="D9" s="246"/>
      <c r="E9" s="284"/>
      <c r="F9" s="284"/>
      <c r="G9" s="248"/>
      <c r="H9" s="241"/>
      <c r="I9" s="285"/>
      <c r="J9" s="286"/>
      <c r="K9" s="287"/>
      <c r="L9" s="288"/>
      <c r="M9" s="289"/>
      <c r="N9" s="290"/>
      <c r="O9" s="274"/>
      <c r="P9" s="275"/>
      <c r="Q9" s="276"/>
      <c r="R9" s="277"/>
      <c r="S9" s="278"/>
      <c r="T9" s="279"/>
      <c r="U9" s="279"/>
      <c r="V9" s="279"/>
      <c r="W9" s="279"/>
      <c r="X9" s="279"/>
      <c r="Y9" s="279"/>
      <c r="Z9" s="279"/>
      <c r="AA9" s="279"/>
      <c r="AB9" s="279"/>
      <c r="AC9" s="279"/>
      <c r="AD9" s="279"/>
      <c r="AE9" s="279"/>
      <c r="AF9" s="279"/>
      <c r="AG9" s="280"/>
      <c r="AH9" s="281"/>
      <c r="AI9" s="282"/>
      <c r="AJ9" s="283"/>
    </row>
    <row r="10" spans="1:36" s="22" customFormat="1" x14ac:dyDescent="0.25">
      <c r="A10" s="28" t="str">
        <f>IF(H10&lt;&gt;"",MAX($A$7:A9)+1,"")</f>
        <v/>
      </c>
      <c r="B10" s="243" t="str">
        <f t="shared" si="3"/>
        <v/>
      </c>
      <c r="C10" s="273" t="str">
        <f t="shared" si="4"/>
        <v/>
      </c>
      <c r="D10" s="246"/>
      <c r="E10" s="284"/>
      <c r="F10" s="284"/>
      <c r="G10" s="248"/>
      <c r="H10" s="241"/>
      <c r="I10" s="285"/>
      <c r="J10" s="286"/>
      <c r="K10" s="287"/>
      <c r="L10" s="288"/>
      <c r="M10" s="289"/>
      <c r="N10" s="290"/>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6" s="22" customFormat="1" x14ac:dyDescent="0.25">
      <c r="A11" s="28" t="str">
        <f>IF(H11&lt;&gt;"",MAX($A$7:A10)+1,"")</f>
        <v/>
      </c>
      <c r="B11" s="243" t="str">
        <f t="shared" si="3"/>
        <v/>
      </c>
      <c r="C11" s="273" t="str">
        <f t="shared" si="4"/>
        <v/>
      </c>
      <c r="D11" s="246"/>
      <c r="E11" s="284"/>
      <c r="F11" s="284"/>
      <c r="G11" s="248"/>
      <c r="H11" s="241"/>
      <c r="I11" s="285"/>
      <c r="J11" s="286"/>
      <c r="K11" s="287"/>
      <c r="L11" s="288"/>
      <c r="M11" s="289"/>
      <c r="N11" s="290"/>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6" s="22" customFormat="1" x14ac:dyDescent="0.25">
      <c r="A12" s="28" t="str">
        <f>IF(H12&lt;&gt;"",MAX($A$7:A11)+1,"")</f>
        <v/>
      </c>
      <c r="B12" s="243" t="str">
        <f t="shared" si="3"/>
        <v/>
      </c>
      <c r="C12" s="273" t="str">
        <f t="shared" si="4"/>
        <v/>
      </c>
      <c r="D12" s="246"/>
      <c r="E12" s="284"/>
      <c r="F12" s="284"/>
      <c r="G12" s="248"/>
      <c r="H12" s="241"/>
      <c r="I12" s="285"/>
      <c r="J12" s="286"/>
      <c r="K12" s="287"/>
      <c r="L12" s="288"/>
      <c r="M12" s="289"/>
      <c r="N12" s="290"/>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6" s="22" customFormat="1" x14ac:dyDescent="0.25">
      <c r="A13" s="28" t="str">
        <f>IF(H13&lt;&gt;"",MAX($A$7:A12)+1,"")</f>
        <v/>
      </c>
      <c r="B13" s="243" t="str">
        <f t="shared" si="3"/>
        <v/>
      </c>
      <c r="C13" s="273" t="str">
        <f t="shared" si="4"/>
        <v/>
      </c>
      <c r="D13" s="246"/>
      <c r="E13" s="284"/>
      <c r="F13" s="284"/>
      <c r="G13" s="248"/>
      <c r="H13" s="241"/>
      <c r="I13" s="285"/>
      <c r="J13" s="286"/>
      <c r="K13" s="287"/>
      <c r="L13" s="288"/>
      <c r="M13" s="289"/>
      <c r="N13" s="290"/>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6" s="22" customFormat="1" x14ac:dyDescent="0.25">
      <c r="A14" s="28" t="str">
        <f>IF(H14&lt;&gt;"",MAX($A$7:A13)+1,"")</f>
        <v/>
      </c>
      <c r="B14" s="243" t="str">
        <f t="shared" si="3"/>
        <v/>
      </c>
      <c r="C14" s="273" t="str">
        <f t="shared" si="4"/>
        <v/>
      </c>
      <c r="D14" s="246"/>
      <c r="E14" s="284"/>
      <c r="F14" s="284"/>
      <c r="G14" s="248"/>
      <c r="H14" s="241"/>
      <c r="I14" s="285"/>
      <c r="J14" s="286"/>
      <c r="K14" s="287"/>
      <c r="L14" s="288"/>
      <c r="M14" s="289"/>
      <c r="N14" s="290"/>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6" s="22" customFormat="1" x14ac:dyDescent="0.25">
      <c r="A15" s="28" t="str">
        <f>IF(H15&lt;&gt;"",MAX($A$7:A14)+1,"")</f>
        <v/>
      </c>
      <c r="B15" s="243" t="str">
        <f t="shared" si="3"/>
        <v/>
      </c>
      <c r="C15" s="273" t="str">
        <f t="shared" si="4"/>
        <v/>
      </c>
      <c r="D15" s="246"/>
      <c r="E15" s="284"/>
      <c r="F15" s="284"/>
      <c r="G15" s="248"/>
      <c r="H15" s="241"/>
      <c r="I15" s="285"/>
      <c r="J15" s="286"/>
      <c r="K15" s="287"/>
      <c r="L15" s="288"/>
      <c r="M15" s="289"/>
      <c r="N15" s="290"/>
      <c r="O15" s="274"/>
      <c r="P15" s="275"/>
      <c r="Q15" s="276"/>
      <c r="R15" s="277"/>
      <c r="S15" s="278"/>
      <c r="T15" s="279"/>
      <c r="U15" s="279"/>
      <c r="V15" s="279"/>
      <c r="W15" s="279"/>
      <c r="X15" s="279"/>
      <c r="Y15" s="279"/>
      <c r="Z15" s="279"/>
      <c r="AA15" s="279"/>
      <c r="AB15" s="279"/>
      <c r="AC15" s="279"/>
      <c r="AD15" s="279"/>
      <c r="AE15" s="279"/>
      <c r="AF15" s="279"/>
      <c r="AG15" s="280"/>
      <c r="AH15" s="281"/>
      <c r="AI15" s="282"/>
      <c r="AJ15" s="283"/>
    </row>
    <row r="16" spans="1:36" s="22" customFormat="1" x14ac:dyDescent="0.25">
      <c r="A16" s="28" t="str">
        <f>IF(H16&lt;&gt;"",MAX($A$7:A15)+1,"")</f>
        <v/>
      </c>
      <c r="B16" s="243" t="str">
        <f t="shared" si="3"/>
        <v/>
      </c>
      <c r="C16" s="273" t="str">
        <f t="shared" si="4"/>
        <v/>
      </c>
      <c r="D16" s="246"/>
      <c r="E16" s="284"/>
      <c r="F16" s="284"/>
      <c r="G16" s="248"/>
      <c r="H16" s="241"/>
      <c r="I16" s="285"/>
      <c r="J16" s="286"/>
      <c r="K16" s="287"/>
      <c r="L16" s="288"/>
      <c r="M16" s="289"/>
      <c r="N16" s="290"/>
      <c r="O16" s="274"/>
      <c r="P16" s="275"/>
      <c r="Q16" s="276"/>
      <c r="R16" s="277"/>
      <c r="S16" s="278"/>
      <c r="T16" s="279"/>
      <c r="U16" s="279"/>
      <c r="V16" s="279"/>
      <c r="W16" s="279"/>
      <c r="X16" s="279"/>
      <c r="Y16" s="279"/>
      <c r="Z16" s="279"/>
      <c r="AA16" s="279"/>
      <c r="AB16" s="279"/>
      <c r="AC16" s="279"/>
      <c r="AD16" s="279"/>
      <c r="AE16" s="279"/>
      <c r="AF16" s="279"/>
      <c r="AG16" s="280"/>
      <c r="AH16" s="281"/>
      <c r="AI16" s="282"/>
      <c r="AJ16" s="283"/>
    </row>
    <row r="17" spans="1:36" s="22" customFormat="1" x14ac:dyDescent="0.25">
      <c r="A17" s="28" t="str">
        <f>IF(H17&lt;&gt;"",MAX($A$7:A16)+1,"")</f>
        <v/>
      </c>
      <c r="B17" s="243" t="str">
        <f t="shared" si="3"/>
        <v/>
      </c>
      <c r="C17" s="273" t="str">
        <f t="shared" si="4"/>
        <v/>
      </c>
      <c r="D17" s="246"/>
      <c r="E17" s="284"/>
      <c r="F17" s="284"/>
      <c r="G17" s="248"/>
      <c r="H17" s="241"/>
      <c r="I17" s="285"/>
      <c r="J17" s="286"/>
      <c r="K17" s="287"/>
      <c r="L17" s="288"/>
      <c r="M17" s="289"/>
      <c r="N17" s="290"/>
      <c r="O17" s="274"/>
      <c r="P17" s="275"/>
      <c r="Q17" s="276"/>
      <c r="R17" s="277"/>
      <c r="S17" s="278"/>
      <c r="T17" s="279"/>
      <c r="U17" s="279"/>
      <c r="V17" s="279"/>
      <c r="W17" s="279"/>
      <c r="X17" s="279"/>
      <c r="Y17" s="279"/>
      <c r="Z17" s="279"/>
      <c r="AA17" s="279"/>
      <c r="AB17" s="279"/>
      <c r="AC17" s="279"/>
      <c r="AD17" s="279"/>
      <c r="AE17" s="279"/>
      <c r="AF17" s="279"/>
      <c r="AG17" s="280"/>
      <c r="AH17" s="281"/>
      <c r="AI17" s="282"/>
      <c r="AJ17" s="283"/>
    </row>
    <row r="18" spans="1:36" s="22" customFormat="1" x14ac:dyDescent="0.25">
      <c r="A18" s="28" t="str">
        <f>IF(H18&lt;&gt;"",MAX($A$7:A17)+1,"")</f>
        <v/>
      </c>
      <c r="B18" s="243" t="str">
        <f t="shared" si="3"/>
        <v/>
      </c>
      <c r="C18" s="273" t="str">
        <f t="shared" si="4"/>
        <v/>
      </c>
      <c r="D18" s="246"/>
      <c r="E18" s="284"/>
      <c r="F18" s="284"/>
      <c r="G18" s="248"/>
      <c r="H18" s="241"/>
      <c r="I18" s="285"/>
      <c r="J18" s="286"/>
      <c r="K18" s="287"/>
      <c r="L18" s="288"/>
      <c r="M18" s="289"/>
      <c r="N18" s="290"/>
      <c r="O18" s="274"/>
      <c r="P18" s="275"/>
      <c r="Q18" s="276"/>
      <c r="R18" s="277"/>
      <c r="S18" s="278"/>
      <c r="T18" s="279"/>
      <c r="U18" s="279"/>
      <c r="V18" s="279"/>
      <c r="W18" s="279"/>
      <c r="X18" s="279"/>
      <c r="Y18" s="279"/>
      <c r="Z18" s="279"/>
      <c r="AA18" s="279"/>
      <c r="AB18" s="279"/>
      <c r="AC18" s="279"/>
      <c r="AD18" s="279"/>
      <c r="AE18" s="279"/>
      <c r="AF18" s="279"/>
      <c r="AG18" s="280"/>
      <c r="AH18" s="281"/>
      <c r="AI18" s="282"/>
      <c r="AJ18" s="283"/>
    </row>
    <row r="19" spans="1:36" s="22" customFormat="1" x14ac:dyDescent="0.25">
      <c r="A19" s="28" t="str">
        <f>IF(H19&lt;&gt;"",MAX($A$7:A18)+1,"")</f>
        <v/>
      </c>
      <c r="B19" s="243" t="str">
        <f t="shared" si="3"/>
        <v/>
      </c>
      <c r="C19" s="273" t="str">
        <f t="shared" si="4"/>
        <v/>
      </c>
      <c r="D19" s="246"/>
      <c r="E19" s="284"/>
      <c r="F19" s="284"/>
      <c r="G19" s="248"/>
      <c r="H19" s="241"/>
      <c r="I19" s="285"/>
      <c r="J19" s="286"/>
      <c r="K19" s="287"/>
      <c r="L19" s="288"/>
      <c r="M19" s="289"/>
      <c r="N19" s="290"/>
      <c r="O19" s="274"/>
      <c r="P19" s="275"/>
      <c r="Q19" s="276"/>
      <c r="R19" s="277"/>
      <c r="S19" s="278"/>
      <c r="T19" s="279"/>
      <c r="U19" s="279"/>
      <c r="V19" s="279"/>
      <c r="W19" s="279"/>
      <c r="X19" s="279"/>
      <c r="Y19" s="279"/>
      <c r="Z19" s="279"/>
      <c r="AA19" s="279"/>
      <c r="AB19" s="279"/>
      <c r="AC19" s="279"/>
      <c r="AD19" s="279"/>
      <c r="AE19" s="279"/>
      <c r="AF19" s="279"/>
      <c r="AG19" s="280"/>
      <c r="AH19" s="281"/>
      <c r="AI19" s="282"/>
      <c r="AJ19" s="283"/>
    </row>
    <row r="20" spans="1:36" s="22" customFormat="1" x14ac:dyDescent="0.25">
      <c r="A20" s="28" t="str">
        <f>IF(H20&lt;&gt;"",MAX($A$7:A19)+1,"")</f>
        <v/>
      </c>
      <c r="B20" s="243" t="str">
        <f t="shared" si="3"/>
        <v/>
      </c>
      <c r="C20" s="273" t="str">
        <f t="shared" si="4"/>
        <v/>
      </c>
      <c r="D20" s="246"/>
      <c r="E20" s="284"/>
      <c r="F20" s="284"/>
      <c r="G20" s="248"/>
      <c r="H20" s="241"/>
      <c r="I20" s="285"/>
      <c r="J20" s="286"/>
      <c r="K20" s="287"/>
      <c r="L20" s="288"/>
      <c r="M20" s="289"/>
      <c r="N20" s="290"/>
      <c r="O20" s="274"/>
      <c r="P20" s="275"/>
      <c r="Q20" s="276"/>
      <c r="R20" s="277"/>
      <c r="S20" s="278"/>
      <c r="T20" s="279"/>
      <c r="U20" s="279"/>
      <c r="V20" s="279"/>
      <c r="W20" s="279"/>
      <c r="X20" s="279"/>
      <c r="Y20" s="279"/>
      <c r="Z20" s="279"/>
      <c r="AA20" s="279"/>
      <c r="AB20" s="279"/>
      <c r="AC20" s="279"/>
      <c r="AD20" s="279"/>
      <c r="AE20" s="279"/>
      <c r="AF20" s="279"/>
      <c r="AG20" s="280"/>
      <c r="AH20" s="281"/>
      <c r="AI20" s="282"/>
      <c r="AJ20" s="283"/>
    </row>
    <row r="21" spans="1:36" s="22" customFormat="1" x14ac:dyDescent="0.25">
      <c r="A21" s="28" t="str">
        <f>IF(H21&lt;&gt;"",MAX($A$7:A20)+1,"")</f>
        <v/>
      </c>
      <c r="B21" s="243" t="str">
        <f t="shared" si="3"/>
        <v/>
      </c>
      <c r="C21" s="273" t="str">
        <f t="shared" si="4"/>
        <v/>
      </c>
      <c r="D21" s="246"/>
      <c r="E21" s="284"/>
      <c r="F21" s="284"/>
      <c r="G21" s="248"/>
      <c r="H21" s="241"/>
      <c r="I21" s="285"/>
      <c r="J21" s="286"/>
      <c r="K21" s="287"/>
      <c r="L21" s="288"/>
      <c r="M21" s="289"/>
      <c r="N21" s="290"/>
      <c r="O21" s="274"/>
      <c r="P21" s="275"/>
      <c r="Q21" s="276"/>
      <c r="R21" s="277"/>
      <c r="S21" s="278"/>
      <c r="T21" s="279"/>
      <c r="U21" s="279"/>
      <c r="V21" s="279"/>
      <c r="W21" s="279"/>
      <c r="X21" s="279"/>
      <c r="Y21" s="279"/>
      <c r="Z21" s="279"/>
      <c r="AA21" s="279"/>
      <c r="AB21" s="279"/>
      <c r="AC21" s="279"/>
      <c r="AD21" s="279"/>
      <c r="AE21" s="279"/>
      <c r="AF21" s="279"/>
      <c r="AG21" s="280"/>
      <c r="AH21" s="281"/>
      <c r="AI21" s="282"/>
      <c r="AJ21" s="283"/>
    </row>
    <row r="22" spans="1:36" s="22" customFormat="1" x14ac:dyDescent="0.25">
      <c r="A22" s="28" t="str">
        <f>IF(H22&lt;&gt;"",MAX($A$7:A21)+1,"")</f>
        <v/>
      </c>
      <c r="B22" s="243" t="str">
        <f t="shared" si="3"/>
        <v/>
      </c>
      <c r="C22" s="273" t="str">
        <f t="shared" si="4"/>
        <v/>
      </c>
      <c r="D22" s="246"/>
      <c r="E22" s="284"/>
      <c r="F22" s="284"/>
      <c r="G22" s="248"/>
      <c r="H22" s="241"/>
      <c r="I22" s="285"/>
      <c r="J22" s="286"/>
      <c r="K22" s="287"/>
      <c r="L22" s="288"/>
      <c r="M22" s="289"/>
      <c r="N22" s="290"/>
      <c r="O22" s="274"/>
      <c r="P22" s="275"/>
      <c r="Q22" s="276"/>
      <c r="R22" s="277"/>
      <c r="S22" s="278"/>
      <c r="T22" s="279"/>
      <c r="U22" s="279"/>
      <c r="V22" s="279"/>
      <c r="W22" s="279"/>
      <c r="X22" s="279"/>
      <c r="Y22" s="279"/>
      <c r="Z22" s="279"/>
      <c r="AA22" s="279"/>
      <c r="AB22" s="279"/>
      <c r="AC22" s="279"/>
      <c r="AD22" s="279"/>
      <c r="AE22" s="279"/>
      <c r="AF22" s="279"/>
      <c r="AG22" s="280"/>
      <c r="AH22" s="281"/>
      <c r="AI22" s="282"/>
      <c r="AJ22" s="283"/>
    </row>
    <row r="23" spans="1:36" s="22" customFormat="1" x14ac:dyDescent="0.25">
      <c r="A23" s="28" t="str">
        <f>IF(H23&lt;&gt;"",MAX($A$7:A22)+1,"")</f>
        <v/>
      </c>
      <c r="B23" s="243" t="str">
        <f t="shared" si="3"/>
        <v/>
      </c>
      <c r="C23" s="273" t="str">
        <f t="shared" si="4"/>
        <v/>
      </c>
      <c r="D23" s="246"/>
      <c r="E23" s="284"/>
      <c r="F23" s="284"/>
      <c r="G23" s="248"/>
      <c r="H23" s="241"/>
      <c r="I23" s="285"/>
      <c r="J23" s="286"/>
      <c r="K23" s="287"/>
      <c r="L23" s="288"/>
      <c r="M23" s="289"/>
      <c r="N23" s="290"/>
      <c r="O23" s="274"/>
      <c r="P23" s="275"/>
      <c r="Q23" s="276"/>
      <c r="R23" s="277"/>
      <c r="S23" s="278"/>
      <c r="T23" s="279"/>
      <c r="U23" s="279"/>
      <c r="V23" s="279"/>
      <c r="W23" s="279"/>
      <c r="X23" s="279"/>
      <c r="Y23" s="279"/>
      <c r="Z23" s="279"/>
      <c r="AA23" s="279"/>
      <c r="AB23" s="279"/>
      <c r="AC23" s="279"/>
      <c r="AD23" s="279"/>
      <c r="AE23" s="279"/>
      <c r="AF23" s="279"/>
      <c r="AG23" s="280"/>
      <c r="AH23" s="281"/>
      <c r="AI23" s="282"/>
      <c r="AJ23" s="283"/>
    </row>
    <row r="24" spans="1:36" s="22" customFormat="1" x14ac:dyDescent="0.25">
      <c r="A24" s="28" t="str">
        <f>IF(H24&lt;&gt;"",MAX($A$7:A23)+1,"")</f>
        <v/>
      </c>
      <c r="B24" s="243" t="str">
        <f t="shared" si="3"/>
        <v/>
      </c>
      <c r="C24" s="273" t="str">
        <f t="shared" si="4"/>
        <v/>
      </c>
      <c r="D24" s="246"/>
      <c r="E24" s="284"/>
      <c r="F24" s="284"/>
      <c r="G24" s="248"/>
      <c r="H24" s="241"/>
      <c r="I24" s="285"/>
      <c r="J24" s="286"/>
      <c r="K24" s="287"/>
      <c r="L24" s="288"/>
      <c r="M24" s="289"/>
      <c r="N24" s="290"/>
      <c r="O24" s="274"/>
      <c r="P24" s="275"/>
      <c r="Q24" s="276"/>
      <c r="R24" s="277"/>
      <c r="S24" s="278"/>
      <c r="T24" s="279"/>
      <c r="U24" s="279"/>
      <c r="V24" s="279"/>
      <c r="W24" s="279"/>
      <c r="X24" s="279"/>
      <c r="Y24" s="279"/>
      <c r="Z24" s="279"/>
      <c r="AA24" s="279"/>
      <c r="AB24" s="279"/>
      <c r="AC24" s="279"/>
      <c r="AD24" s="279"/>
      <c r="AE24" s="279"/>
      <c r="AF24" s="279"/>
      <c r="AG24" s="280"/>
      <c r="AH24" s="281"/>
      <c r="AI24" s="282"/>
      <c r="AJ24" s="283"/>
    </row>
    <row r="25" spans="1:36" s="22" customFormat="1" x14ac:dyDescent="0.25">
      <c r="A25" s="28" t="str">
        <f>IF(H25&lt;&gt;"",MAX($A$7:A24)+1,"")</f>
        <v/>
      </c>
      <c r="B25" s="243" t="str">
        <f t="shared" si="3"/>
        <v/>
      </c>
      <c r="C25" s="273" t="str">
        <f t="shared" si="4"/>
        <v/>
      </c>
      <c r="D25" s="246"/>
      <c r="E25" s="284"/>
      <c r="F25" s="284"/>
      <c r="G25" s="248"/>
      <c r="H25" s="241"/>
      <c r="I25" s="285"/>
      <c r="J25" s="286"/>
      <c r="K25" s="287"/>
      <c r="L25" s="288"/>
      <c r="M25" s="289"/>
      <c r="N25" s="290"/>
      <c r="O25" s="274"/>
      <c r="P25" s="275"/>
      <c r="Q25" s="276"/>
      <c r="R25" s="277"/>
      <c r="S25" s="278"/>
      <c r="T25" s="279"/>
      <c r="U25" s="279"/>
      <c r="V25" s="279"/>
      <c r="W25" s="279"/>
      <c r="X25" s="279"/>
      <c r="Y25" s="279"/>
      <c r="Z25" s="279"/>
      <c r="AA25" s="279"/>
      <c r="AB25" s="279"/>
      <c r="AC25" s="279"/>
      <c r="AD25" s="279"/>
      <c r="AE25" s="279"/>
      <c r="AF25" s="279"/>
      <c r="AG25" s="280"/>
      <c r="AH25" s="281"/>
      <c r="AI25" s="282"/>
      <c r="AJ25" s="283"/>
    </row>
    <row r="26" spans="1:36" s="22" customFormat="1" x14ac:dyDescent="0.25">
      <c r="A26" s="28" t="str">
        <f>IF(H26&lt;&gt;"",MAX($A$7:A25)+1,"")</f>
        <v/>
      </c>
      <c r="B26" s="243" t="str">
        <f t="shared" si="3"/>
        <v/>
      </c>
      <c r="C26" s="273" t="str">
        <f t="shared" si="4"/>
        <v/>
      </c>
      <c r="D26" s="246"/>
      <c r="E26" s="284"/>
      <c r="F26" s="284"/>
      <c r="G26" s="248"/>
      <c r="H26" s="241"/>
      <c r="I26" s="285"/>
      <c r="J26" s="286"/>
      <c r="K26" s="287"/>
      <c r="L26" s="288"/>
      <c r="M26" s="289"/>
      <c r="N26" s="290"/>
      <c r="O26" s="274"/>
      <c r="P26" s="275"/>
      <c r="Q26" s="276"/>
      <c r="R26" s="277"/>
      <c r="S26" s="278"/>
      <c r="T26" s="279"/>
      <c r="U26" s="279"/>
      <c r="V26" s="279"/>
      <c r="W26" s="279"/>
      <c r="X26" s="279"/>
      <c r="Y26" s="279"/>
      <c r="Z26" s="279"/>
      <c r="AA26" s="279"/>
      <c r="AB26" s="279"/>
      <c r="AC26" s="279"/>
      <c r="AD26" s="279"/>
      <c r="AE26" s="279"/>
      <c r="AF26" s="279"/>
      <c r="AG26" s="280"/>
      <c r="AH26" s="281"/>
      <c r="AI26" s="282"/>
      <c r="AJ26" s="283"/>
    </row>
    <row r="27" spans="1:36" s="22" customFormat="1" x14ac:dyDescent="0.25">
      <c r="A27" s="28" t="str">
        <f>IF(H27&lt;&gt;"",MAX($A$7:A26)+1,"")</f>
        <v/>
      </c>
      <c r="B27" s="243" t="str">
        <f t="shared" si="3"/>
        <v/>
      </c>
      <c r="C27" s="273" t="str">
        <f t="shared" si="4"/>
        <v/>
      </c>
      <c r="D27" s="246"/>
      <c r="E27" s="284"/>
      <c r="F27" s="284"/>
      <c r="G27" s="248"/>
      <c r="H27" s="241"/>
      <c r="I27" s="285"/>
      <c r="J27" s="286"/>
      <c r="K27" s="287"/>
      <c r="L27" s="288"/>
      <c r="M27" s="289"/>
      <c r="N27" s="290"/>
      <c r="O27" s="274"/>
      <c r="P27" s="275"/>
      <c r="Q27" s="276"/>
      <c r="R27" s="277"/>
      <c r="S27" s="278"/>
      <c r="T27" s="279"/>
      <c r="U27" s="279"/>
      <c r="V27" s="279"/>
      <c r="W27" s="279"/>
      <c r="X27" s="279"/>
      <c r="Y27" s="279"/>
      <c r="Z27" s="279"/>
      <c r="AA27" s="279"/>
      <c r="AB27" s="279"/>
      <c r="AC27" s="279"/>
      <c r="AD27" s="279"/>
      <c r="AE27" s="279"/>
      <c r="AF27" s="279"/>
      <c r="AG27" s="280"/>
      <c r="AH27" s="281"/>
      <c r="AI27" s="282"/>
      <c r="AJ27" s="283"/>
    </row>
    <row r="28" spans="1:36" s="22" customFormat="1" x14ac:dyDescent="0.25">
      <c r="A28" s="28" t="str">
        <f>IF(H28&lt;&gt;"",MAX($A$7:A27)+1,"")</f>
        <v/>
      </c>
      <c r="B28" s="243" t="str">
        <f t="shared" si="3"/>
        <v/>
      </c>
      <c r="C28" s="273" t="str">
        <f t="shared" si="4"/>
        <v/>
      </c>
      <c r="D28" s="246"/>
      <c r="E28" s="284"/>
      <c r="F28" s="284"/>
      <c r="G28" s="248"/>
      <c r="H28" s="241"/>
      <c r="I28" s="285"/>
      <c r="J28" s="286"/>
      <c r="K28" s="287"/>
      <c r="L28" s="288"/>
      <c r="M28" s="289"/>
      <c r="N28" s="290"/>
      <c r="O28" s="274"/>
      <c r="P28" s="275"/>
      <c r="Q28" s="276"/>
      <c r="R28" s="277"/>
      <c r="S28" s="278"/>
      <c r="T28" s="279"/>
      <c r="U28" s="279"/>
      <c r="V28" s="279"/>
      <c r="W28" s="279"/>
      <c r="X28" s="279"/>
      <c r="Y28" s="279"/>
      <c r="Z28" s="279"/>
      <c r="AA28" s="279"/>
      <c r="AB28" s="279"/>
      <c r="AC28" s="279"/>
      <c r="AD28" s="279"/>
      <c r="AE28" s="279"/>
      <c r="AF28" s="279"/>
      <c r="AG28" s="280"/>
      <c r="AH28" s="281"/>
      <c r="AI28" s="282"/>
      <c r="AJ28" s="283"/>
    </row>
    <row r="29" spans="1:36" s="22" customFormat="1" x14ac:dyDescent="0.25">
      <c r="A29" s="28" t="str">
        <f>IF(H29&lt;&gt;"",MAX($A$7:A28)+1,"")</f>
        <v/>
      </c>
      <c r="B29" s="243" t="str">
        <f t="shared" si="3"/>
        <v/>
      </c>
      <c r="C29" s="273" t="str">
        <f t="shared" si="4"/>
        <v/>
      </c>
      <c r="D29" s="246"/>
      <c r="E29" s="284"/>
      <c r="F29" s="284"/>
      <c r="G29" s="248"/>
      <c r="H29" s="241"/>
      <c r="I29" s="285"/>
      <c r="J29" s="286"/>
      <c r="K29" s="287"/>
      <c r="L29" s="288"/>
      <c r="M29" s="289"/>
      <c r="N29" s="290"/>
      <c r="O29" s="274"/>
      <c r="P29" s="275"/>
      <c r="Q29" s="276"/>
      <c r="R29" s="277"/>
      <c r="S29" s="278"/>
      <c r="T29" s="279"/>
      <c r="U29" s="279"/>
      <c r="V29" s="279"/>
      <c r="W29" s="279"/>
      <c r="X29" s="279"/>
      <c r="Y29" s="279"/>
      <c r="Z29" s="279"/>
      <c r="AA29" s="279"/>
      <c r="AB29" s="279"/>
      <c r="AC29" s="279"/>
      <c r="AD29" s="279"/>
      <c r="AE29" s="279"/>
      <c r="AF29" s="279"/>
      <c r="AG29" s="280"/>
      <c r="AH29" s="281"/>
      <c r="AI29" s="282"/>
      <c r="AJ29" s="283"/>
    </row>
    <row r="30" spans="1:36" s="22" customFormat="1" x14ac:dyDescent="0.25">
      <c r="A30" s="28" t="str">
        <f>IF(H30&lt;&gt;"",MAX($A$7:A29)+1,"")</f>
        <v/>
      </c>
      <c r="B30" s="243" t="str">
        <f t="shared" si="3"/>
        <v/>
      </c>
      <c r="C30" s="273" t="str">
        <f t="shared" si="4"/>
        <v/>
      </c>
      <c r="D30" s="246"/>
      <c r="E30" s="284"/>
      <c r="F30" s="284"/>
      <c r="G30" s="248"/>
      <c r="H30" s="241"/>
      <c r="I30" s="285"/>
      <c r="J30" s="286"/>
      <c r="K30" s="287"/>
      <c r="L30" s="288"/>
      <c r="M30" s="289"/>
      <c r="N30" s="290"/>
      <c r="O30" s="274"/>
      <c r="P30" s="275"/>
      <c r="Q30" s="276"/>
      <c r="R30" s="277"/>
      <c r="S30" s="278"/>
      <c r="T30" s="279"/>
      <c r="U30" s="279"/>
      <c r="V30" s="279"/>
      <c r="W30" s="279"/>
      <c r="X30" s="279"/>
      <c r="Y30" s="279"/>
      <c r="Z30" s="279"/>
      <c r="AA30" s="279"/>
      <c r="AB30" s="279"/>
      <c r="AC30" s="279"/>
      <c r="AD30" s="279"/>
      <c r="AE30" s="279"/>
      <c r="AF30" s="279"/>
      <c r="AG30" s="280"/>
      <c r="AH30" s="281"/>
      <c r="AI30" s="282"/>
      <c r="AJ30" s="283"/>
    </row>
    <row r="31" spans="1:36" s="22" customFormat="1" x14ac:dyDescent="0.25">
      <c r="A31" s="28" t="str">
        <f>IF(H31&lt;&gt;"",MAX($A$7:A30)+1,"")</f>
        <v/>
      </c>
      <c r="B31" s="243" t="str">
        <f t="shared" si="3"/>
        <v/>
      </c>
      <c r="C31" s="273" t="str">
        <f t="shared" si="4"/>
        <v/>
      </c>
      <c r="D31" s="246"/>
      <c r="E31" s="284"/>
      <c r="F31" s="284"/>
      <c r="G31" s="248"/>
      <c r="H31" s="241"/>
      <c r="I31" s="285"/>
      <c r="J31" s="286"/>
      <c r="K31" s="287"/>
      <c r="L31" s="288"/>
      <c r="M31" s="289"/>
      <c r="N31" s="290"/>
      <c r="O31" s="274"/>
      <c r="P31" s="275"/>
      <c r="Q31" s="276"/>
      <c r="R31" s="277"/>
      <c r="S31" s="278"/>
      <c r="T31" s="279"/>
      <c r="U31" s="279"/>
      <c r="V31" s="279"/>
      <c r="W31" s="279"/>
      <c r="X31" s="279"/>
      <c r="Y31" s="279"/>
      <c r="Z31" s="279"/>
      <c r="AA31" s="279"/>
      <c r="AB31" s="279"/>
      <c r="AC31" s="279"/>
      <c r="AD31" s="279"/>
      <c r="AE31" s="279"/>
      <c r="AF31" s="279"/>
      <c r="AG31" s="280"/>
      <c r="AH31" s="281"/>
      <c r="AI31" s="282"/>
      <c r="AJ31" s="283"/>
    </row>
    <row r="32" spans="1:36" s="22" customFormat="1" x14ac:dyDescent="0.25">
      <c r="A32" s="28" t="str">
        <f>IF(H32&lt;&gt;"",MAX($A$7:A31)+1,"")</f>
        <v/>
      </c>
      <c r="B32" s="243" t="str">
        <f t="shared" si="3"/>
        <v/>
      </c>
      <c r="C32" s="273" t="str">
        <f t="shared" si="4"/>
        <v/>
      </c>
      <c r="D32" s="246"/>
      <c r="E32" s="284"/>
      <c r="F32" s="284"/>
      <c r="G32" s="248"/>
      <c r="H32" s="241"/>
      <c r="I32" s="285"/>
      <c r="J32" s="286"/>
      <c r="K32" s="287"/>
      <c r="L32" s="288"/>
      <c r="M32" s="289"/>
      <c r="N32" s="290"/>
      <c r="O32" s="274"/>
      <c r="P32" s="275"/>
      <c r="Q32" s="276"/>
      <c r="R32" s="277"/>
      <c r="S32" s="278"/>
      <c r="T32" s="279"/>
      <c r="U32" s="279"/>
      <c r="V32" s="279"/>
      <c r="W32" s="279"/>
      <c r="X32" s="279"/>
      <c r="Y32" s="279"/>
      <c r="Z32" s="279"/>
      <c r="AA32" s="279"/>
      <c r="AB32" s="279"/>
      <c r="AC32" s="279"/>
      <c r="AD32" s="279"/>
      <c r="AE32" s="279"/>
      <c r="AF32" s="279"/>
      <c r="AG32" s="280"/>
      <c r="AH32" s="281"/>
      <c r="AI32" s="282"/>
      <c r="AJ32" s="283"/>
    </row>
    <row r="33" spans="1:36" s="22" customFormat="1" x14ac:dyDescent="0.25">
      <c r="A33" s="28" t="str">
        <f>IF(H33&lt;&gt;"",MAX($A$7:A32)+1,"")</f>
        <v/>
      </c>
      <c r="B33" s="243" t="str">
        <f t="shared" si="3"/>
        <v/>
      </c>
      <c r="C33" s="273" t="str">
        <f t="shared" si="4"/>
        <v/>
      </c>
      <c r="D33" s="246"/>
      <c r="E33" s="284"/>
      <c r="F33" s="284"/>
      <c r="G33" s="248"/>
      <c r="H33" s="241"/>
      <c r="I33" s="285"/>
      <c r="J33" s="286"/>
      <c r="K33" s="287"/>
      <c r="L33" s="288"/>
      <c r="M33" s="289"/>
      <c r="N33" s="290"/>
      <c r="O33" s="274"/>
      <c r="P33" s="275"/>
      <c r="Q33" s="276"/>
      <c r="R33" s="277"/>
      <c r="S33" s="278"/>
      <c r="T33" s="279"/>
      <c r="U33" s="279"/>
      <c r="V33" s="279"/>
      <c r="W33" s="279"/>
      <c r="X33" s="279"/>
      <c r="Y33" s="279"/>
      <c r="Z33" s="279"/>
      <c r="AA33" s="279"/>
      <c r="AB33" s="279"/>
      <c r="AC33" s="279"/>
      <c r="AD33" s="279"/>
      <c r="AE33" s="279"/>
      <c r="AF33" s="279"/>
      <c r="AG33" s="280"/>
      <c r="AH33" s="281"/>
      <c r="AI33" s="282"/>
      <c r="AJ33" s="283"/>
    </row>
    <row r="34" spans="1:36" s="22" customFormat="1" x14ac:dyDescent="0.25">
      <c r="A34" s="28" t="str">
        <f>IF(H34&lt;&gt;"",MAX($A$7:A33)+1,"")</f>
        <v/>
      </c>
      <c r="B34" s="243" t="str">
        <f t="shared" si="3"/>
        <v/>
      </c>
      <c r="C34" s="273" t="str">
        <f t="shared" si="4"/>
        <v/>
      </c>
      <c r="D34" s="246"/>
      <c r="E34" s="284"/>
      <c r="F34" s="284"/>
      <c r="G34" s="248"/>
      <c r="H34" s="241"/>
      <c r="I34" s="285"/>
      <c r="J34" s="286"/>
      <c r="K34" s="287"/>
      <c r="L34" s="288"/>
      <c r="M34" s="289"/>
      <c r="N34" s="290"/>
      <c r="O34" s="274"/>
      <c r="P34" s="275"/>
      <c r="Q34" s="276"/>
      <c r="R34" s="277"/>
      <c r="S34" s="278"/>
      <c r="T34" s="279"/>
      <c r="U34" s="279"/>
      <c r="V34" s="279"/>
      <c r="W34" s="279"/>
      <c r="X34" s="279"/>
      <c r="Y34" s="279"/>
      <c r="Z34" s="279"/>
      <c r="AA34" s="279"/>
      <c r="AB34" s="279"/>
      <c r="AC34" s="279"/>
      <c r="AD34" s="279"/>
      <c r="AE34" s="279"/>
      <c r="AF34" s="279"/>
      <c r="AG34" s="280"/>
      <c r="AH34" s="281"/>
      <c r="AI34" s="282"/>
      <c r="AJ34" s="283"/>
    </row>
    <row r="35" spans="1:36" s="22" customFormat="1" x14ac:dyDescent="0.25">
      <c r="A35" s="28" t="str">
        <f>IF(H35&lt;&gt;"",MAX($A$7:A34)+1,"")</f>
        <v/>
      </c>
      <c r="B35" s="243" t="str">
        <f t="shared" si="3"/>
        <v/>
      </c>
      <c r="C35" s="273" t="str">
        <f t="shared" si="4"/>
        <v/>
      </c>
      <c r="D35" s="246"/>
      <c r="E35" s="284"/>
      <c r="F35" s="284"/>
      <c r="G35" s="248"/>
      <c r="H35" s="241"/>
      <c r="I35" s="285"/>
      <c r="J35" s="286"/>
      <c r="K35" s="287"/>
      <c r="L35" s="288"/>
      <c r="M35" s="289"/>
      <c r="N35" s="290"/>
      <c r="O35" s="274"/>
      <c r="P35" s="275"/>
      <c r="Q35" s="276"/>
      <c r="R35" s="277"/>
      <c r="S35" s="278"/>
      <c r="T35" s="279"/>
      <c r="U35" s="279"/>
      <c r="V35" s="279"/>
      <c r="W35" s="279"/>
      <c r="X35" s="279"/>
      <c r="Y35" s="279"/>
      <c r="Z35" s="279"/>
      <c r="AA35" s="279"/>
      <c r="AB35" s="279"/>
      <c r="AC35" s="279"/>
      <c r="AD35" s="279"/>
      <c r="AE35" s="279"/>
      <c r="AF35" s="279"/>
      <c r="AG35" s="280"/>
      <c r="AH35" s="281"/>
      <c r="AI35" s="282"/>
      <c r="AJ35" s="283"/>
    </row>
    <row r="36" spans="1:36" s="22" customFormat="1" x14ac:dyDescent="0.25">
      <c r="A36" s="28" t="str">
        <f>IF(H36&lt;&gt;"",MAX($A$7:A35)+1,"")</f>
        <v/>
      </c>
      <c r="B36" s="243" t="str">
        <f t="shared" si="3"/>
        <v/>
      </c>
      <c r="C36" s="273" t="str">
        <f t="shared" si="4"/>
        <v/>
      </c>
      <c r="D36" s="246"/>
      <c r="E36" s="284"/>
      <c r="F36" s="284"/>
      <c r="G36" s="248"/>
      <c r="H36" s="241"/>
      <c r="I36" s="285"/>
      <c r="J36" s="286"/>
      <c r="K36" s="287"/>
      <c r="L36" s="288"/>
      <c r="M36" s="289"/>
      <c r="N36" s="290"/>
      <c r="O36" s="274"/>
      <c r="P36" s="275"/>
      <c r="Q36" s="276"/>
      <c r="R36" s="277"/>
      <c r="S36" s="278"/>
      <c r="T36" s="279"/>
      <c r="U36" s="279"/>
      <c r="V36" s="279"/>
      <c r="W36" s="279"/>
      <c r="X36" s="279"/>
      <c r="Y36" s="279"/>
      <c r="Z36" s="279"/>
      <c r="AA36" s="279"/>
      <c r="AB36" s="279"/>
      <c r="AC36" s="279"/>
      <c r="AD36" s="279"/>
      <c r="AE36" s="279"/>
      <c r="AF36" s="279"/>
      <c r="AG36" s="280"/>
      <c r="AH36" s="281"/>
      <c r="AI36" s="282"/>
      <c r="AJ36" s="283"/>
    </row>
    <row r="37" spans="1:36" s="22" customFormat="1" x14ac:dyDescent="0.25">
      <c r="A37" s="28" t="str">
        <f>IF(H37&lt;&gt;"",MAX($A$7:A36)+1,"")</f>
        <v/>
      </c>
      <c r="B37" s="243" t="str">
        <f t="shared" si="3"/>
        <v/>
      </c>
      <c r="C37" s="273" t="str">
        <f t="shared" si="4"/>
        <v/>
      </c>
      <c r="D37" s="246"/>
      <c r="E37" s="284"/>
      <c r="F37" s="284"/>
      <c r="G37" s="248"/>
      <c r="H37" s="241"/>
      <c r="I37" s="285"/>
      <c r="J37" s="286"/>
      <c r="K37" s="287"/>
      <c r="L37" s="288"/>
      <c r="M37" s="289"/>
      <c r="N37" s="290"/>
      <c r="O37" s="274"/>
      <c r="P37" s="275"/>
      <c r="Q37" s="276"/>
      <c r="R37" s="277"/>
      <c r="S37" s="278"/>
      <c r="T37" s="279"/>
      <c r="U37" s="279"/>
      <c r="V37" s="279"/>
      <c r="W37" s="279"/>
      <c r="X37" s="279"/>
      <c r="Y37" s="279"/>
      <c r="Z37" s="279"/>
      <c r="AA37" s="279"/>
      <c r="AB37" s="279"/>
      <c r="AC37" s="279"/>
      <c r="AD37" s="279"/>
      <c r="AE37" s="279"/>
      <c r="AF37" s="279"/>
      <c r="AG37" s="280"/>
      <c r="AH37" s="281"/>
      <c r="AI37" s="282"/>
      <c r="AJ37" s="283"/>
    </row>
    <row r="38" spans="1:36" s="22" customFormat="1" x14ac:dyDescent="0.25">
      <c r="A38" s="28" t="str">
        <f>IF(H38&lt;&gt;"",MAX($A$7:A37)+1,"")</f>
        <v/>
      </c>
      <c r="B38" s="243" t="str">
        <f t="shared" si="3"/>
        <v/>
      </c>
      <c r="C38" s="273" t="str">
        <f t="shared" si="4"/>
        <v/>
      </c>
      <c r="D38" s="246"/>
      <c r="E38" s="284"/>
      <c r="F38" s="284"/>
      <c r="G38" s="248"/>
      <c r="H38" s="241"/>
      <c r="I38" s="285"/>
      <c r="J38" s="286"/>
      <c r="K38" s="287"/>
      <c r="L38" s="288"/>
      <c r="M38" s="289"/>
      <c r="N38" s="290"/>
      <c r="O38" s="274"/>
      <c r="P38" s="275"/>
      <c r="Q38" s="276"/>
      <c r="R38" s="277"/>
      <c r="S38" s="278"/>
      <c r="T38" s="279"/>
      <c r="U38" s="279"/>
      <c r="V38" s="279"/>
      <c r="W38" s="279"/>
      <c r="X38" s="279"/>
      <c r="Y38" s="279"/>
      <c r="Z38" s="279"/>
      <c r="AA38" s="279"/>
      <c r="AB38" s="279"/>
      <c r="AC38" s="279"/>
      <c r="AD38" s="279"/>
      <c r="AE38" s="279"/>
      <c r="AF38" s="279"/>
      <c r="AG38" s="280"/>
      <c r="AH38" s="281"/>
      <c r="AI38" s="282"/>
      <c r="AJ38" s="283"/>
    </row>
    <row r="39" spans="1:36" s="22" customFormat="1" x14ac:dyDescent="0.25">
      <c r="A39" s="28" t="str">
        <f>IF(H39&lt;&gt;"",MAX($A$7:A38)+1,"")</f>
        <v/>
      </c>
      <c r="B39" s="243" t="str">
        <f t="shared" si="3"/>
        <v/>
      </c>
      <c r="C39" s="273" t="str">
        <f t="shared" si="4"/>
        <v/>
      </c>
      <c r="D39" s="246"/>
      <c r="E39" s="284"/>
      <c r="F39" s="284"/>
      <c r="G39" s="248"/>
      <c r="H39" s="241"/>
      <c r="I39" s="285"/>
      <c r="J39" s="286"/>
      <c r="K39" s="287"/>
      <c r="L39" s="288"/>
      <c r="M39" s="289"/>
      <c r="N39" s="290"/>
      <c r="O39" s="274"/>
      <c r="P39" s="275"/>
      <c r="Q39" s="276"/>
      <c r="R39" s="277"/>
      <c r="S39" s="278"/>
      <c r="T39" s="279"/>
      <c r="U39" s="279"/>
      <c r="V39" s="279"/>
      <c r="W39" s="279"/>
      <c r="X39" s="279"/>
      <c r="Y39" s="279"/>
      <c r="Z39" s="279"/>
      <c r="AA39" s="279"/>
      <c r="AB39" s="279"/>
      <c r="AC39" s="279"/>
      <c r="AD39" s="279"/>
      <c r="AE39" s="279"/>
      <c r="AF39" s="279"/>
      <c r="AG39" s="280"/>
      <c r="AH39" s="281"/>
      <c r="AI39" s="282"/>
      <c r="AJ39" s="283"/>
    </row>
    <row r="40" spans="1:36" s="22" customFormat="1" x14ac:dyDescent="0.25">
      <c r="A40" s="28" t="str">
        <f>IF(H40&lt;&gt;"",MAX($A$7:A39)+1,"")</f>
        <v/>
      </c>
      <c r="B40" s="243" t="str">
        <f t="shared" si="3"/>
        <v/>
      </c>
      <c r="C40" s="273" t="str">
        <f t="shared" si="4"/>
        <v/>
      </c>
      <c r="D40" s="246"/>
      <c r="E40" s="284"/>
      <c r="F40" s="284"/>
      <c r="G40" s="248"/>
      <c r="H40" s="241"/>
      <c r="I40" s="285"/>
      <c r="J40" s="286"/>
      <c r="K40" s="287"/>
      <c r="L40" s="288"/>
      <c r="M40" s="289"/>
      <c r="N40" s="290"/>
      <c r="O40" s="274"/>
      <c r="P40" s="275"/>
      <c r="Q40" s="276"/>
      <c r="R40" s="277"/>
      <c r="S40" s="278"/>
      <c r="T40" s="279"/>
      <c r="U40" s="279"/>
      <c r="V40" s="279"/>
      <c r="W40" s="279"/>
      <c r="X40" s="279"/>
      <c r="Y40" s="279"/>
      <c r="Z40" s="279"/>
      <c r="AA40" s="279"/>
      <c r="AB40" s="279"/>
      <c r="AC40" s="279"/>
      <c r="AD40" s="279"/>
      <c r="AE40" s="279"/>
      <c r="AF40" s="279"/>
      <c r="AG40" s="280"/>
      <c r="AH40" s="281"/>
      <c r="AI40" s="282"/>
      <c r="AJ40" s="283"/>
    </row>
    <row r="41" spans="1:36" s="22" customFormat="1" x14ac:dyDescent="0.25">
      <c r="A41" s="28" t="str">
        <f>IF(H41&lt;&gt;"",MAX($A$7:A40)+1,"")</f>
        <v/>
      </c>
      <c r="B41" s="243" t="str">
        <f t="shared" si="3"/>
        <v/>
      </c>
      <c r="C41" s="273" t="str">
        <f t="shared" si="4"/>
        <v/>
      </c>
      <c r="D41" s="246"/>
      <c r="E41" s="284"/>
      <c r="F41" s="284"/>
      <c r="G41" s="248"/>
      <c r="H41" s="241"/>
      <c r="I41" s="285"/>
      <c r="J41" s="286"/>
      <c r="K41" s="287"/>
      <c r="L41" s="288"/>
      <c r="M41" s="289"/>
      <c r="N41" s="290"/>
      <c r="O41" s="274"/>
      <c r="P41" s="275"/>
      <c r="Q41" s="276"/>
      <c r="R41" s="277"/>
      <c r="S41" s="278"/>
      <c r="T41" s="279"/>
      <c r="U41" s="279"/>
      <c r="V41" s="279"/>
      <c r="W41" s="279"/>
      <c r="X41" s="279"/>
      <c r="Y41" s="279"/>
      <c r="Z41" s="279"/>
      <c r="AA41" s="279"/>
      <c r="AB41" s="279"/>
      <c r="AC41" s="279"/>
      <c r="AD41" s="279"/>
      <c r="AE41" s="279"/>
      <c r="AF41" s="279"/>
      <c r="AG41" s="280"/>
      <c r="AH41" s="281"/>
      <c r="AI41" s="282"/>
      <c r="AJ41" s="283"/>
    </row>
    <row r="42" spans="1:36" s="22" customFormat="1" x14ac:dyDescent="0.25">
      <c r="A42" s="28" t="str">
        <f>IF(H42&lt;&gt;"",MAX($A$7:A41)+1,"")</f>
        <v/>
      </c>
      <c r="B42" s="243" t="str">
        <f t="shared" si="3"/>
        <v/>
      </c>
      <c r="C42" s="273" t="str">
        <f t="shared" si="4"/>
        <v/>
      </c>
      <c r="D42" s="246"/>
      <c r="E42" s="284"/>
      <c r="F42" s="284"/>
      <c r="G42" s="248"/>
      <c r="H42" s="241"/>
      <c r="I42" s="285"/>
      <c r="J42" s="286"/>
      <c r="K42" s="287"/>
      <c r="L42" s="288"/>
      <c r="M42" s="289"/>
      <c r="N42" s="290"/>
      <c r="O42" s="274"/>
      <c r="P42" s="275"/>
      <c r="Q42" s="276"/>
      <c r="R42" s="277"/>
      <c r="S42" s="278"/>
      <c r="T42" s="279"/>
      <c r="U42" s="279"/>
      <c r="V42" s="279"/>
      <c r="W42" s="279"/>
      <c r="X42" s="279"/>
      <c r="Y42" s="279"/>
      <c r="Z42" s="279"/>
      <c r="AA42" s="279"/>
      <c r="AB42" s="279"/>
      <c r="AC42" s="279"/>
      <c r="AD42" s="279"/>
      <c r="AE42" s="279"/>
      <c r="AF42" s="279"/>
      <c r="AG42" s="280"/>
      <c r="AH42" s="281"/>
      <c r="AI42" s="282"/>
      <c r="AJ42" s="283"/>
    </row>
    <row r="43" spans="1:36" s="22" customFormat="1" x14ac:dyDescent="0.25">
      <c r="A43" s="28" t="str">
        <f>IF(H43&lt;&gt;"",MAX($A$7:A42)+1,"")</f>
        <v/>
      </c>
      <c r="B43" s="243" t="str">
        <f t="shared" si="3"/>
        <v/>
      </c>
      <c r="C43" s="273" t="str">
        <f t="shared" si="4"/>
        <v/>
      </c>
      <c r="D43" s="246"/>
      <c r="E43" s="284"/>
      <c r="F43" s="284"/>
      <c r="G43" s="248"/>
      <c r="H43" s="241"/>
      <c r="I43" s="285"/>
      <c r="J43" s="286"/>
      <c r="K43" s="287"/>
      <c r="L43" s="288"/>
      <c r="M43" s="289"/>
      <c r="N43" s="290"/>
      <c r="O43" s="274"/>
      <c r="P43" s="275"/>
      <c r="Q43" s="276"/>
      <c r="R43" s="277"/>
      <c r="S43" s="278"/>
      <c r="T43" s="279"/>
      <c r="U43" s="279"/>
      <c r="V43" s="279"/>
      <c r="W43" s="279"/>
      <c r="X43" s="279"/>
      <c r="Y43" s="279"/>
      <c r="Z43" s="279"/>
      <c r="AA43" s="279"/>
      <c r="AB43" s="279"/>
      <c r="AC43" s="279"/>
      <c r="AD43" s="279"/>
      <c r="AE43" s="279"/>
      <c r="AF43" s="279"/>
      <c r="AG43" s="280"/>
      <c r="AH43" s="281"/>
      <c r="AI43" s="282"/>
      <c r="AJ43" s="283"/>
    </row>
    <row r="44" spans="1:36" s="22" customFormat="1" x14ac:dyDescent="0.25">
      <c r="A44" s="28" t="str">
        <f>IF(H44&lt;&gt;"",MAX($A$7:A43)+1,"")</f>
        <v/>
      </c>
      <c r="B44" s="243" t="str">
        <f t="shared" si="3"/>
        <v/>
      </c>
      <c r="C44" s="273" t="str">
        <f t="shared" si="4"/>
        <v/>
      </c>
      <c r="D44" s="246"/>
      <c r="E44" s="284"/>
      <c r="F44" s="284"/>
      <c r="G44" s="248"/>
      <c r="H44" s="241"/>
      <c r="I44" s="285"/>
      <c r="J44" s="286"/>
      <c r="K44" s="287"/>
      <c r="L44" s="288"/>
      <c r="M44" s="289"/>
      <c r="N44" s="290"/>
      <c r="O44" s="274"/>
      <c r="P44" s="275"/>
      <c r="Q44" s="276"/>
      <c r="R44" s="277"/>
      <c r="S44" s="278"/>
      <c r="T44" s="279"/>
      <c r="U44" s="279"/>
      <c r="V44" s="279"/>
      <c r="W44" s="279"/>
      <c r="X44" s="279"/>
      <c r="Y44" s="279"/>
      <c r="Z44" s="279"/>
      <c r="AA44" s="279"/>
      <c r="AB44" s="279"/>
      <c r="AC44" s="279"/>
      <c r="AD44" s="279"/>
      <c r="AE44" s="279"/>
      <c r="AF44" s="279"/>
      <c r="AG44" s="280"/>
      <c r="AH44" s="281"/>
      <c r="AI44" s="282"/>
      <c r="AJ44" s="283"/>
    </row>
    <row r="45" spans="1:36" s="22" customFormat="1" x14ac:dyDescent="0.25">
      <c r="A45" s="28" t="str">
        <f>IF(H45&lt;&gt;"",MAX($A$7:A44)+1,"")</f>
        <v/>
      </c>
      <c r="B45" s="243" t="str">
        <f t="shared" si="3"/>
        <v/>
      </c>
      <c r="C45" s="273" t="str">
        <f t="shared" si="4"/>
        <v/>
      </c>
      <c r="D45" s="246"/>
      <c r="E45" s="284"/>
      <c r="F45" s="284"/>
      <c r="G45" s="248"/>
      <c r="H45" s="241"/>
      <c r="I45" s="285"/>
      <c r="J45" s="286"/>
      <c r="K45" s="287"/>
      <c r="L45" s="288"/>
      <c r="M45" s="289"/>
      <c r="N45" s="290"/>
      <c r="O45" s="274"/>
      <c r="P45" s="275"/>
      <c r="Q45" s="276"/>
      <c r="R45" s="277"/>
      <c r="S45" s="278"/>
      <c r="T45" s="279"/>
      <c r="U45" s="279"/>
      <c r="V45" s="279"/>
      <c r="W45" s="279"/>
      <c r="X45" s="279"/>
      <c r="Y45" s="279"/>
      <c r="Z45" s="279"/>
      <c r="AA45" s="279"/>
      <c r="AB45" s="279"/>
      <c r="AC45" s="279"/>
      <c r="AD45" s="279"/>
      <c r="AE45" s="279"/>
      <c r="AF45" s="279"/>
      <c r="AG45" s="280"/>
      <c r="AH45" s="281"/>
      <c r="AI45" s="282"/>
      <c r="AJ45" s="283"/>
    </row>
    <row r="46" spans="1:36" s="22" customFormat="1" x14ac:dyDescent="0.25">
      <c r="A46" s="28" t="str">
        <f>IF(H46&lt;&gt;"",MAX($A$7:A45)+1,"")</f>
        <v/>
      </c>
      <c r="B46" s="243" t="str">
        <f t="shared" si="3"/>
        <v/>
      </c>
      <c r="C46" s="273" t="str">
        <f t="shared" si="4"/>
        <v/>
      </c>
      <c r="D46" s="246"/>
      <c r="E46" s="284"/>
      <c r="F46" s="284"/>
      <c r="G46" s="248"/>
      <c r="H46" s="241"/>
      <c r="I46" s="285"/>
      <c r="J46" s="286"/>
      <c r="K46" s="287"/>
      <c r="L46" s="288"/>
      <c r="M46" s="289"/>
      <c r="N46" s="290"/>
      <c r="O46" s="274"/>
      <c r="P46" s="275"/>
      <c r="Q46" s="276"/>
      <c r="R46" s="277"/>
      <c r="S46" s="278"/>
      <c r="T46" s="279"/>
      <c r="U46" s="279"/>
      <c r="V46" s="279"/>
      <c r="W46" s="279"/>
      <c r="X46" s="279"/>
      <c r="Y46" s="279"/>
      <c r="Z46" s="279"/>
      <c r="AA46" s="279"/>
      <c r="AB46" s="279"/>
      <c r="AC46" s="279"/>
      <c r="AD46" s="279"/>
      <c r="AE46" s="279"/>
      <c r="AF46" s="279"/>
      <c r="AG46" s="280"/>
      <c r="AH46" s="281"/>
      <c r="AI46" s="282"/>
      <c r="AJ46" s="283"/>
    </row>
    <row r="47" spans="1:36" s="22" customFormat="1" x14ac:dyDescent="0.25">
      <c r="A47" s="28" t="str">
        <f>IF(H47&lt;&gt;"",MAX($A$7:A46)+1,"")</f>
        <v/>
      </c>
      <c r="B47" s="243" t="str">
        <f t="shared" si="3"/>
        <v/>
      </c>
      <c r="C47" s="273" t="str">
        <f t="shared" si="4"/>
        <v/>
      </c>
      <c r="D47" s="246"/>
      <c r="E47" s="284"/>
      <c r="F47" s="284"/>
      <c r="G47" s="248"/>
      <c r="H47" s="241"/>
      <c r="I47" s="285"/>
      <c r="J47" s="286"/>
      <c r="K47" s="287"/>
      <c r="L47" s="288"/>
      <c r="M47" s="289"/>
      <c r="N47" s="290"/>
      <c r="O47" s="274"/>
      <c r="P47" s="275"/>
      <c r="Q47" s="276"/>
      <c r="R47" s="277"/>
      <c r="S47" s="278"/>
      <c r="T47" s="279"/>
      <c r="U47" s="279"/>
      <c r="V47" s="279"/>
      <c r="W47" s="279"/>
      <c r="X47" s="279"/>
      <c r="Y47" s="279"/>
      <c r="Z47" s="279"/>
      <c r="AA47" s="279"/>
      <c r="AB47" s="279"/>
      <c r="AC47" s="279"/>
      <c r="AD47" s="279"/>
      <c r="AE47" s="279"/>
      <c r="AF47" s="279"/>
      <c r="AG47" s="280"/>
      <c r="AH47" s="281"/>
      <c r="AI47" s="282"/>
      <c r="AJ47" s="283"/>
    </row>
    <row r="48" spans="1:36" s="22" customFormat="1" x14ac:dyDescent="0.25">
      <c r="A48" s="28" t="str">
        <f>IF(H48&lt;&gt;"",MAX($A$7:A47)+1,"")</f>
        <v/>
      </c>
      <c r="B48" s="243" t="str">
        <f t="shared" si="3"/>
        <v/>
      </c>
      <c r="C48" s="273" t="str">
        <f t="shared" si="4"/>
        <v/>
      </c>
      <c r="D48" s="246"/>
      <c r="E48" s="284"/>
      <c r="F48" s="284"/>
      <c r="G48" s="248"/>
      <c r="H48" s="241"/>
      <c r="I48" s="285"/>
      <c r="J48" s="286"/>
      <c r="K48" s="287"/>
      <c r="L48" s="288"/>
      <c r="M48" s="289"/>
      <c r="N48" s="290"/>
      <c r="O48" s="274"/>
      <c r="P48" s="275"/>
      <c r="Q48" s="276"/>
      <c r="R48" s="277"/>
      <c r="S48" s="278"/>
      <c r="T48" s="279"/>
      <c r="U48" s="279"/>
      <c r="V48" s="279"/>
      <c r="W48" s="279"/>
      <c r="X48" s="279"/>
      <c r="Y48" s="279"/>
      <c r="Z48" s="279"/>
      <c r="AA48" s="279"/>
      <c r="AB48" s="279"/>
      <c r="AC48" s="279"/>
      <c r="AD48" s="279"/>
      <c r="AE48" s="279"/>
      <c r="AF48" s="279"/>
      <c r="AG48" s="280"/>
      <c r="AH48" s="281"/>
      <c r="AI48" s="282"/>
      <c r="AJ48" s="283"/>
    </row>
    <row r="49" spans="1:36" s="22" customFormat="1" x14ac:dyDescent="0.25">
      <c r="A49" s="28" t="str">
        <f>IF(H49&lt;&gt;"",MAX($A$7:A48)+1,"")</f>
        <v/>
      </c>
      <c r="B49" s="243" t="str">
        <f t="shared" si="3"/>
        <v/>
      </c>
      <c r="C49" s="273" t="str">
        <f t="shared" si="4"/>
        <v/>
      </c>
      <c r="D49" s="246"/>
      <c r="E49" s="284"/>
      <c r="F49" s="284"/>
      <c r="G49" s="248"/>
      <c r="H49" s="241"/>
      <c r="I49" s="285"/>
      <c r="J49" s="286"/>
      <c r="K49" s="287"/>
      <c r="L49" s="288"/>
      <c r="M49" s="289"/>
      <c r="N49" s="290"/>
      <c r="O49" s="274"/>
      <c r="P49" s="275"/>
      <c r="Q49" s="276"/>
      <c r="R49" s="277"/>
      <c r="S49" s="278"/>
      <c r="T49" s="279"/>
      <c r="U49" s="279"/>
      <c r="V49" s="279"/>
      <c r="W49" s="279"/>
      <c r="X49" s="279"/>
      <c r="Y49" s="279"/>
      <c r="Z49" s="279"/>
      <c r="AA49" s="279"/>
      <c r="AB49" s="279"/>
      <c r="AC49" s="279"/>
      <c r="AD49" s="279"/>
      <c r="AE49" s="279"/>
      <c r="AF49" s="279"/>
      <c r="AG49" s="280"/>
      <c r="AH49" s="281"/>
      <c r="AI49" s="282"/>
      <c r="AJ49" s="283"/>
    </row>
    <row r="50" spans="1:36" s="22" customFormat="1" x14ac:dyDescent="0.25">
      <c r="A50" s="28" t="str">
        <f>IF(H50&lt;&gt;"",MAX($A$7:A49)+1,"")</f>
        <v/>
      </c>
      <c r="B50" s="243" t="str">
        <f t="shared" si="3"/>
        <v/>
      </c>
      <c r="C50" s="273" t="str">
        <f t="shared" si="4"/>
        <v/>
      </c>
      <c r="D50" s="246"/>
      <c r="E50" s="284"/>
      <c r="F50" s="284"/>
      <c r="G50" s="248"/>
      <c r="H50" s="241"/>
      <c r="I50" s="285"/>
      <c r="J50" s="286"/>
      <c r="K50" s="287"/>
      <c r="L50" s="288"/>
      <c r="M50" s="289"/>
      <c r="N50" s="290"/>
      <c r="O50" s="274"/>
      <c r="P50" s="275"/>
      <c r="Q50" s="276"/>
      <c r="R50" s="277"/>
      <c r="S50" s="278"/>
      <c r="T50" s="279"/>
      <c r="U50" s="279"/>
      <c r="V50" s="279"/>
      <c r="W50" s="279"/>
      <c r="X50" s="279"/>
      <c r="Y50" s="279"/>
      <c r="Z50" s="279"/>
      <c r="AA50" s="279"/>
      <c r="AB50" s="279"/>
      <c r="AC50" s="279"/>
      <c r="AD50" s="279"/>
      <c r="AE50" s="279"/>
      <c r="AF50" s="279"/>
      <c r="AG50" s="280"/>
      <c r="AH50" s="281"/>
      <c r="AI50" s="282"/>
      <c r="AJ50" s="283"/>
    </row>
    <row r="51" spans="1:36" s="22" customFormat="1" x14ac:dyDescent="0.25">
      <c r="A51" s="28" t="str">
        <f>IF(H51&lt;&gt;"",MAX($A$7:A50)+1,"")</f>
        <v/>
      </c>
      <c r="B51" s="243" t="str">
        <f t="shared" si="3"/>
        <v/>
      </c>
      <c r="C51" s="273" t="str">
        <f t="shared" si="4"/>
        <v/>
      </c>
      <c r="D51" s="246"/>
      <c r="E51" s="284"/>
      <c r="F51" s="284"/>
      <c r="G51" s="248"/>
      <c r="H51" s="241"/>
      <c r="I51" s="285"/>
      <c r="J51" s="286"/>
      <c r="K51" s="287"/>
      <c r="L51" s="288"/>
      <c r="M51" s="289"/>
      <c r="N51" s="290"/>
      <c r="O51" s="274"/>
      <c r="P51" s="275"/>
      <c r="Q51" s="276"/>
      <c r="R51" s="277"/>
      <c r="S51" s="278"/>
      <c r="T51" s="279"/>
      <c r="U51" s="279"/>
      <c r="V51" s="279"/>
      <c r="W51" s="279"/>
      <c r="X51" s="279"/>
      <c r="Y51" s="279"/>
      <c r="Z51" s="279"/>
      <c r="AA51" s="279"/>
      <c r="AB51" s="279"/>
      <c r="AC51" s="279"/>
      <c r="AD51" s="279"/>
      <c r="AE51" s="279"/>
      <c r="AF51" s="279"/>
      <c r="AG51" s="280"/>
      <c r="AH51" s="281"/>
      <c r="AI51" s="282"/>
      <c r="AJ51" s="283"/>
    </row>
    <row r="52" spans="1:36" s="22" customFormat="1" x14ac:dyDescent="0.25">
      <c r="A52" s="28" t="str">
        <f>IF(H52&lt;&gt;"",MAX($A$7:A51)+1,"")</f>
        <v/>
      </c>
      <c r="B52" s="243" t="str">
        <f t="shared" si="3"/>
        <v/>
      </c>
      <c r="C52" s="273" t="str">
        <f t="shared" si="4"/>
        <v/>
      </c>
      <c r="D52" s="246"/>
      <c r="E52" s="284"/>
      <c r="F52" s="284"/>
      <c r="G52" s="248"/>
      <c r="H52" s="241"/>
      <c r="I52" s="285"/>
      <c r="J52" s="286"/>
      <c r="K52" s="287"/>
      <c r="L52" s="288"/>
      <c r="M52" s="289"/>
      <c r="N52" s="290"/>
      <c r="O52" s="274"/>
      <c r="P52" s="275"/>
      <c r="Q52" s="276"/>
      <c r="R52" s="277"/>
      <c r="S52" s="278"/>
      <c r="T52" s="279"/>
      <c r="U52" s="279"/>
      <c r="V52" s="279"/>
      <c r="W52" s="279"/>
      <c r="X52" s="279"/>
      <c r="Y52" s="279"/>
      <c r="Z52" s="279"/>
      <c r="AA52" s="279"/>
      <c r="AB52" s="279"/>
      <c r="AC52" s="279"/>
      <c r="AD52" s="279"/>
      <c r="AE52" s="279"/>
      <c r="AF52" s="279"/>
      <c r="AG52" s="280"/>
      <c r="AH52" s="281"/>
      <c r="AI52" s="282"/>
      <c r="AJ52" s="283"/>
    </row>
    <row r="53" spans="1:36" s="22" customFormat="1" x14ac:dyDescent="0.25">
      <c r="A53" s="28" t="str">
        <f>IF(H53&lt;&gt;"",MAX($A$7:A52)+1,"")</f>
        <v/>
      </c>
      <c r="B53" s="243" t="str">
        <f t="shared" si="3"/>
        <v/>
      </c>
      <c r="C53" s="273" t="str">
        <f t="shared" si="4"/>
        <v/>
      </c>
      <c r="D53" s="246"/>
      <c r="E53" s="284"/>
      <c r="F53" s="284"/>
      <c r="G53" s="248"/>
      <c r="H53" s="241"/>
      <c r="I53" s="285"/>
      <c r="J53" s="286"/>
      <c r="K53" s="287"/>
      <c r="L53" s="288"/>
      <c r="M53" s="289"/>
      <c r="N53" s="290"/>
      <c r="O53" s="274"/>
      <c r="P53" s="275"/>
      <c r="Q53" s="276"/>
      <c r="R53" s="277"/>
      <c r="S53" s="278"/>
      <c r="T53" s="279"/>
      <c r="U53" s="279"/>
      <c r="V53" s="279"/>
      <c r="W53" s="279"/>
      <c r="X53" s="279"/>
      <c r="Y53" s="279"/>
      <c r="Z53" s="279"/>
      <c r="AA53" s="279"/>
      <c r="AB53" s="279"/>
      <c r="AC53" s="279"/>
      <c r="AD53" s="279"/>
      <c r="AE53" s="279"/>
      <c r="AF53" s="279"/>
      <c r="AG53" s="280"/>
      <c r="AH53" s="281"/>
      <c r="AI53" s="282"/>
      <c r="AJ53" s="283"/>
    </row>
    <row r="54" spans="1:36" s="22" customFormat="1" x14ac:dyDescent="0.25">
      <c r="A54" s="28" t="str">
        <f>IF(H54&lt;&gt;"",MAX($A$7:A53)+1,"")</f>
        <v/>
      </c>
      <c r="B54" s="243" t="str">
        <f t="shared" si="3"/>
        <v/>
      </c>
      <c r="C54" s="273" t="str">
        <f t="shared" si="4"/>
        <v/>
      </c>
      <c r="D54" s="246"/>
      <c r="E54" s="284"/>
      <c r="F54" s="284"/>
      <c r="G54" s="248"/>
      <c r="H54" s="241"/>
      <c r="I54" s="285"/>
      <c r="J54" s="286"/>
      <c r="K54" s="287"/>
      <c r="L54" s="288"/>
      <c r="M54" s="289"/>
      <c r="N54" s="290"/>
      <c r="O54" s="274"/>
      <c r="P54" s="275"/>
      <c r="Q54" s="276"/>
      <c r="R54" s="277"/>
      <c r="S54" s="278"/>
      <c r="T54" s="279"/>
      <c r="U54" s="279"/>
      <c r="V54" s="279"/>
      <c r="W54" s="279"/>
      <c r="X54" s="279"/>
      <c r="Y54" s="279"/>
      <c r="Z54" s="279"/>
      <c r="AA54" s="279"/>
      <c r="AB54" s="279"/>
      <c r="AC54" s="279"/>
      <c r="AD54" s="279"/>
      <c r="AE54" s="279"/>
      <c r="AF54" s="279"/>
      <c r="AG54" s="280"/>
      <c r="AH54" s="281"/>
      <c r="AI54" s="282"/>
      <c r="AJ54" s="283"/>
    </row>
    <row r="55" spans="1:36" s="22" customFormat="1" x14ac:dyDescent="0.25">
      <c r="A55" s="28" t="str">
        <f>IF(H55&lt;&gt;"",MAX($A$7:A54)+1,"")</f>
        <v/>
      </c>
      <c r="B55" s="243" t="str">
        <f t="shared" si="3"/>
        <v/>
      </c>
      <c r="C55" s="273" t="str">
        <f t="shared" si="4"/>
        <v/>
      </c>
      <c r="D55" s="246"/>
      <c r="E55" s="284"/>
      <c r="F55" s="284"/>
      <c r="G55" s="248"/>
      <c r="H55" s="241"/>
      <c r="I55" s="285"/>
      <c r="J55" s="286"/>
      <c r="K55" s="287"/>
      <c r="L55" s="288"/>
      <c r="M55" s="289"/>
      <c r="N55" s="290"/>
      <c r="O55" s="274"/>
      <c r="P55" s="275"/>
      <c r="Q55" s="276"/>
      <c r="R55" s="277"/>
      <c r="S55" s="278"/>
      <c r="T55" s="279"/>
      <c r="U55" s="279"/>
      <c r="V55" s="279"/>
      <c r="W55" s="279"/>
      <c r="X55" s="279"/>
      <c r="Y55" s="279"/>
      <c r="Z55" s="279"/>
      <c r="AA55" s="279"/>
      <c r="AB55" s="279"/>
      <c r="AC55" s="279"/>
      <c r="AD55" s="279"/>
      <c r="AE55" s="279"/>
      <c r="AF55" s="279"/>
      <c r="AG55" s="280"/>
      <c r="AH55" s="281"/>
      <c r="AI55" s="282"/>
      <c r="AJ55" s="283"/>
    </row>
    <row r="56" spans="1:36" s="22" customFormat="1" x14ac:dyDescent="0.25">
      <c r="A56" s="28" t="str">
        <f>IF(H56&lt;&gt;"",MAX($A$7:A55)+1,"")</f>
        <v/>
      </c>
      <c r="B56" s="243" t="str">
        <f t="shared" si="3"/>
        <v/>
      </c>
      <c r="C56" s="273" t="str">
        <f t="shared" si="4"/>
        <v/>
      </c>
      <c r="D56" s="246"/>
      <c r="E56" s="284"/>
      <c r="F56" s="284"/>
      <c r="G56" s="248"/>
      <c r="H56" s="241"/>
      <c r="I56" s="285"/>
      <c r="J56" s="286"/>
      <c r="K56" s="287"/>
      <c r="L56" s="288"/>
      <c r="M56" s="289"/>
      <c r="N56" s="290"/>
      <c r="O56" s="274"/>
      <c r="P56" s="275"/>
      <c r="Q56" s="276"/>
      <c r="R56" s="277"/>
      <c r="S56" s="278"/>
      <c r="T56" s="279"/>
      <c r="U56" s="279"/>
      <c r="V56" s="279"/>
      <c r="W56" s="279"/>
      <c r="X56" s="279"/>
      <c r="Y56" s="279"/>
      <c r="Z56" s="279"/>
      <c r="AA56" s="279"/>
      <c r="AB56" s="279"/>
      <c r="AC56" s="279"/>
      <c r="AD56" s="279"/>
      <c r="AE56" s="279"/>
      <c r="AF56" s="279"/>
      <c r="AG56" s="280"/>
      <c r="AH56" s="281"/>
      <c r="AI56" s="282"/>
      <c r="AJ56" s="283"/>
    </row>
    <row r="57" spans="1:36" s="22" customFormat="1" x14ac:dyDescent="0.25">
      <c r="A57" s="28" t="str">
        <f>IF(H57&lt;&gt;"",MAX($A$7:A56)+1,"")</f>
        <v/>
      </c>
      <c r="B57" s="243" t="str">
        <f t="shared" si="3"/>
        <v/>
      </c>
      <c r="C57" s="273" t="str">
        <f t="shared" si="4"/>
        <v/>
      </c>
      <c r="D57" s="246"/>
      <c r="E57" s="284"/>
      <c r="F57" s="284"/>
      <c r="G57" s="248"/>
      <c r="H57" s="241"/>
      <c r="I57" s="285"/>
      <c r="J57" s="286"/>
      <c r="K57" s="287"/>
      <c r="L57" s="288"/>
      <c r="M57" s="289"/>
      <c r="N57" s="290"/>
      <c r="O57" s="274"/>
      <c r="P57" s="275"/>
      <c r="Q57" s="276"/>
      <c r="R57" s="277"/>
      <c r="S57" s="278"/>
      <c r="T57" s="279"/>
      <c r="U57" s="279"/>
      <c r="V57" s="279"/>
      <c r="W57" s="279"/>
      <c r="X57" s="279"/>
      <c r="Y57" s="279"/>
      <c r="Z57" s="279"/>
      <c r="AA57" s="279"/>
      <c r="AB57" s="279"/>
      <c r="AC57" s="279"/>
      <c r="AD57" s="279"/>
      <c r="AE57" s="279"/>
      <c r="AF57" s="279"/>
      <c r="AG57" s="280"/>
      <c r="AH57" s="281"/>
      <c r="AI57" s="282"/>
      <c r="AJ57" s="283"/>
    </row>
    <row r="58" spans="1:36" s="22" customFormat="1" x14ac:dyDescent="0.25">
      <c r="A58" s="28" t="str">
        <f>IF(H58&lt;&gt;"",MAX($A$7:A57)+1,"")</f>
        <v/>
      </c>
      <c r="B58" s="243" t="str">
        <f t="shared" si="3"/>
        <v/>
      </c>
      <c r="C58" s="273" t="str">
        <f t="shared" si="4"/>
        <v/>
      </c>
      <c r="D58" s="246"/>
      <c r="E58" s="284"/>
      <c r="F58" s="284"/>
      <c r="G58" s="248"/>
      <c r="H58" s="241"/>
      <c r="I58" s="285"/>
      <c r="J58" s="286"/>
      <c r="K58" s="287"/>
      <c r="L58" s="288"/>
      <c r="M58" s="289"/>
      <c r="N58" s="290"/>
      <c r="O58" s="274"/>
      <c r="P58" s="275"/>
      <c r="Q58" s="276"/>
      <c r="R58" s="277"/>
      <c r="S58" s="278"/>
      <c r="T58" s="279"/>
      <c r="U58" s="279"/>
      <c r="V58" s="279"/>
      <c r="W58" s="279"/>
      <c r="X58" s="279"/>
      <c r="Y58" s="279"/>
      <c r="Z58" s="279"/>
      <c r="AA58" s="279"/>
      <c r="AB58" s="279"/>
      <c r="AC58" s="279"/>
      <c r="AD58" s="279"/>
      <c r="AE58" s="279"/>
      <c r="AF58" s="279"/>
      <c r="AG58" s="280"/>
      <c r="AH58" s="281"/>
      <c r="AI58" s="282"/>
      <c r="AJ58" s="283"/>
    </row>
    <row r="59" spans="1:36" s="22" customFormat="1" x14ac:dyDescent="0.25">
      <c r="A59" s="28" t="str">
        <f>IF(H59&lt;&gt;"",MAX($A$7:A58)+1,"")</f>
        <v/>
      </c>
      <c r="B59" s="243" t="str">
        <f t="shared" si="3"/>
        <v/>
      </c>
      <c r="C59" s="273" t="str">
        <f t="shared" si="4"/>
        <v/>
      </c>
      <c r="D59" s="246"/>
      <c r="E59" s="284"/>
      <c r="F59" s="284"/>
      <c r="G59" s="248"/>
      <c r="H59" s="241"/>
      <c r="I59" s="285"/>
      <c r="J59" s="286"/>
      <c r="K59" s="287"/>
      <c r="L59" s="288"/>
      <c r="M59" s="289"/>
      <c r="N59" s="290"/>
      <c r="O59" s="274"/>
      <c r="P59" s="275"/>
      <c r="Q59" s="276"/>
      <c r="R59" s="277"/>
      <c r="S59" s="278"/>
      <c r="T59" s="279"/>
      <c r="U59" s="279"/>
      <c r="V59" s="279"/>
      <c r="W59" s="279"/>
      <c r="X59" s="279"/>
      <c r="Y59" s="279"/>
      <c r="Z59" s="279"/>
      <c r="AA59" s="279"/>
      <c r="AB59" s="279"/>
      <c r="AC59" s="279"/>
      <c r="AD59" s="279"/>
      <c r="AE59" s="279"/>
      <c r="AF59" s="279"/>
      <c r="AG59" s="280"/>
      <c r="AH59" s="281"/>
      <c r="AI59" s="282"/>
      <c r="AJ59" s="283"/>
    </row>
    <row r="60" spans="1:36" s="22" customFormat="1" x14ac:dyDescent="0.25">
      <c r="A60" s="28" t="str">
        <f>IF(H60&lt;&gt;"",MAX($A$7:A59)+1,"")</f>
        <v/>
      </c>
      <c r="B60" s="243" t="str">
        <f t="shared" si="3"/>
        <v/>
      </c>
      <c r="C60" s="273" t="str">
        <f t="shared" si="4"/>
        <v/>
      </c>
      <c r="D60" s="246"/>
      <c r="E60" s="284"/>
      <c r="F60" s="284"/>
      <c r="G60" s="248"/>
      <c r="H60" s="241"/>
      <c r="I60" s="285"/>
      <c r="J60" s="286"/>
      <c r="K60" s="287"/>
      <c r="L60" s="288"/>
      <c r="M60" s="289"/>
      <c r="N60" s="290"/>
      <c r="O60" s="274"/>
      <c r="P60" s="275"/>
      <c r="Q60" s="276"/>
      <c r="R60" s="277"/>
      <c r="S60" s="278"/>
      <c r="T60" s="279"/>
      <c r="U60" s="279"/>
      <c r="V60" s="279"/>
      <c r="W60" s="279"/>
      <c r="X60" s="279"/>
      <c r="Y60" s="279"/>
      <c r="Z60" s="279"/>
      <c r="AA60" s="279"/>
      <c r="AB60" s="279"/>
      <c r="AC60" s="279"/>
      <c r="AD60" s="279"/>
      <c r="AE60" s="279"/>
      <c r="AF60" s="279"/>
      <c r="AG60" s="280"/>
      <c r="AH60" s="281"/>
      <c r="AI60" s="282"/>
      <c r="AJ60" s="283"/>
    </row>
    <row r="61" spans="1:36" s="22" customFormat="1" x14ac:dyDescent="0.25">
      <c r="A61" s="28" t="str">
        <f>IF(H61&lt;&gt;"",MAX($A$7:A60)+1,"")</f>
        <v/>
      </c>
      <c r="B61" s="243" t="str">
        <f t="shared" si="3"/>
        <v/>
      </c>
      <c r="C61" s="273" t="str">
        <f t="shared" si="4"/>
        <v/>
      </c>
      <c r="D61" s="246"/>
      <c r="E61" s="284"/>
      <c r="F61" s="284"/>
      <c r="G61" s="248"/>
      <c r="H61" s="241"/>
      <c r="I61" s="285"/>
      <c r="J61" s="286"/>
      <c r="K61" s="287"/>
      <c r="L61" s="288"/>
      <c r="M61" s="289"/>
      <c r="N61" s="290"/>
      <c r="O61" s="274"/>
      <c r="P61" s="275"/>
      <c r="Q61" s="276"/>
      <c r="R61" s="277"/>
      <c r="S61" s="278"/>
      <c r="T61" s="279"/>
      <c r="U61" s="279"/>
      <c r="V61" s="279"/>
      <c r="W61" s="279"/>
      <c r="X61" s="279"/>
      <c r="Y61" s="279"/>
      <c r="Z61" s="279"/>
      <c r="AA61" s="279"/>
      <c r="AB61" s="279"/>
      <c r="AC61" s="279"/>
      <c r="AD61" s="279"/>
      <c r="AE61" s="279"/>
      <c r="AF61" s="279"/>
      <c r="AG61" s="280"/>
      <c r="AH61" s="281"/>
      <c r="AI61" s="282"/>
      <c r="AJ61" s="283"/>
    </row>
    <row r="62" spans="1:36" s="22" customFormat="1" x14ac:dyDescent="0.25">
      <c r="A62" s="28" t="str">
        <f>IF(H62&lt;&gt;"",MAX($A$7:A61)+1,"")</f>
        <v/>
      </c>
      <c r="B62" s="243" t="str">
        <f t="shared" si="3"/>
        <v/>
      </c>
      <c r="C62" s="273" t="str">
        <f t="shared" si="4"/>
        <v/>
      </c>
      <c r="D62" s="246"/>
      <c r="E62" s="284"/>
      <c r="F62" s="284"/>
      <c r="G62" s="248"/>
      <c r="H62" s="241"/>
      <c r="I62" s="285"/>
      <c r="J62" s="286"/>
      <c r="K62" s="287"/>
      <c r="L62" s="288"/>
      <c r="M62" s="289"/>
      <c r="N62" s="290"/>
      <c r="O62" s="274"/>
      <c r="P62" s="275"/>
      <c r="Q62" s="276"/>
      <c r="R62" s="277"/>
      <c r="S62" s="278"/>
      <c r="T62" s="279"/>
      <c r="U62" s="279"/>
      <c r="V62" s="279"/>
      <c r="W62" s="279"/>
      <c r="X62" s="279"/>
      <c r="Y62" s="279"/>
      <c r="Z62" s="279"/>
      <c r="AA62" s="279"/>
      <c r="AB62" s="279"/>
      <c r="AC62" s="279"/>
      <c r="AD62" s="279"/>
      <c r="AE62" s="279"/>
      <c r="AF62" s="279"/>
      <c r="AG62" s="280"/>
      <c r="AH62" s="281"/>
      <c r="AI62" s="282"/>
      <c r="AJ62" s="283"/>
    </row>
    <row r="63" spans="1:36" s="22" customFormat="1" x14ac:dyDescent="0.25">
      <c r="A63" s="28" t="str">
        <f>IF(H63&lt;&gt;"",MAX($A$7:A62)+1,"")</f>
        <v/>
      </c>
      <c r="B63" s="243" t="str">
        <f t="shared" si="3"/>
        <v/>
      </c>
      <c r="C63" s="273" t="str">
        <f t="shared" si="4"/>
        <v/>
      </c>
      <c r="D63" s="246"/>
      <c r="E63" s="284"/>
      <c r="F63" s="284"/>
      <c r="G63" s="248"/>
      <c r="H63" s="241"/>
      <c r="I63" s="285"/>
      <c r="J63" s="286"/>
      <c r="K63" s="287"/>
      <c r="L63" s="288"/>
      <c r="M63" s="289"/>
      <c r="N63" s="290"/>
      <c r="O63" s="274"/>
      <c r="P63" s="275"/>
      <c r="Q63" s="276"/>
      <c r="R63" s="277"/>
      <c r="S63" s="278"/>
      <c r="T63" s="279"/>
      <c r="U63" s="279"/>
      <c r="V63" s="279"/>
      <c r="W63" s="279"/>
      <c r="X63" s="279"/>
      <c r="Y63" s="279"/>
      <c r="Z63" s="279"/>
      <c r="AA63" s="279"/>
      <c r="AB63" s="279"/>
      <c r="AC63" s="279"/>
      <c r="AD63" s="279"/>
      <c r="AE63" s="279"/>
      <c r="AF63" s="279"/>
      <c r="AG63" s="280"/>
      <c r="AH63" s="281"/>
      <c r="AI63" s="282"/>
      <c r="AJ63" s="283"/>
    </row>
    <row r="64" spans="1:36" s="22" customFormat="1" x14ac:dyDescent="0.25">
      <c r="A64" s="28" t="str">
        <f>IF(H64&lt;&gt;"",MAX($A$7:A63)+1,"")</f>
        <v/>
      </c>
      <c r="B64" s="243" t="str">
        <f t="shared" si="3"/>
        <v/>
      </c>
      <c r="C64" s="273" t="str">
        <f t="shared" si="4"/>
        <v/>
      </c>
      <c r="D64" s="246"/>
      <c r="E64" s="284"/>
      <c r="F64" s="284"/>
      <c r="G64" s="248"/>
      <c r="H64" s="241"/>
      <c r="I64" s="285"/>
      <c r="J64" s="286"/>
      <c r="K64" s="287"/>
      <c r="L64" s="288"/>
      <c r="M64" s="289"/>
      <c r="N64" s="290"/>
      <c r="O64" s="274"/>
      <c r="P64" s="275"/>
      <c r="Q64" s="276"/>
      <c r="R64" s="277"/>
      <c r="S64" s="278"/>
      <c r="T64" s="279"/>
      <c r="U64" s="279"/>
      <c r="V64" s="279"/>
      <c r="W64" s="279"/>
      <c r="X64" s="279"/>
      <c r="Y64" s="279"/>
      <c r="Z64" s="279"/>
      <c r="AA64" s="279"/>
      <c r="AB64" s="279"/>
      <c r="AC64" s="279"/>
      <c r="AD64" s="279"/>
      <c r="AE64" s="279"/>
      <c r="AF64" s="279"/>
      <c r="AG64" s="280"/>
      <c r="AH64" s="281"/>
      <c r="AI64" s="282"/>
      <c r="AJ64" s="283"/>
    </row>
    <row r="65" spans="1:36" s="22" customFormat="1" x14ac:dyDescent="0.25">
      <c r="A65" s="28" t="str">
        <f>IF(H65&lt;&gt;"",MAX($A$7:A64)+1,"")</f>
        <v/>
      </c>
      <c r="B65" s="243" t="str">
        <f t="shared" si="3"/>
        <v/>
      </c>
      <c r="C65" s="273" t="str">
        <f t="shared" si="4"/>
        <v/>
      </c>
      <c r="D65" s="246"/>
      <c r="E65" s="284"/>
      <c r="F65" s="284"/>
      <c r="G65" s="248"/>
      <c r="H65" s="241"/>
      <c r="I65" s="285"/>
      <c r="J65" s="286"/>
      <c r="K65" s="287"/>
      <c r="L65" s="288"/>
      <c r="M65" s="289"/>
      <c r="N65" s="290"/>
      <c r="O65" s="274"/>
      <c r="P65" s="275"/>
      <c r="Q65" s="276"/>
      <c r="R65" s="277"/>
      <c r="S65" s="278"/>
      <c r="T65" s="279"/>
      <c r="U65" s="279"/>
      <c r="V65" s="279"/>
      <c r="W65" s="279"/>
      <c r="X65" s="279"/>
      <c r="Y65" s="279"/>
      <c r="Z65" s="279"/>
      <c r="AA65" s="279"/>
      <c r="AB65" s="279"/>
      <c r="AC65" s="279"/>
      <c r="AD65" s="279"/>
      <c r="AE65" s="279"/>
      <c r="AF65" s="279"/>
      <c r="AG65" s="280"/>
      <c r="AH65" s="281"/>
      <c r="AI65" s="282"/>
      <c r="AJ65" s="283"/>
    </row>
    <row r="66" spans="1:36" s="22" customFormat="1" x14ac:dyDescent="0.25">
      <c r="A66" s="28" t="str">
        <f>IF(H66&lt;&gt;"",MAX($A$7:A65)+1,"")</f>
        <v/>
      </c>
      <c r="B66" s="243" t="str">
        <f t="shared" si="3"/>
        <v/>
      </c>
      <c r="C66" s="273" t="str">
        <f t="shared" si="4"/>
        <v/>
      </c>
      <c r="D66" s="246"/>
      <c r="E66" s="284"/>
      <c r="F66" s="284"/>
      <c r="G66" s="248"/>
      <c r="H66" s="241"/>
      <c r="I66" s="285"/>
      <c r="J66" s="286"/>
      <c r="K66" s="287"/>
      <c r="L66" s="288"/>
      <c r="M66" s="289"/>
      <c r="N66" s="290"/>
      <c r="O66" s="274"/>
      <c r="P66" s="275"/>
      <c r="Q66" s="276"/>
      <c r="R66" s="277"/>
      <c r="S66" s="278"/>
      <c r="T66" s="279"/>
      <c r="U66" s="279"/>
      <c r="V66" s="279"/>
      <c r="W66" s="279"/>
      <c r="X66" s="279"/>
      <c r="Y66" s="279"/>
      <c r="Z66" s="279"/>
      <c r="AA66" s="279"/>
      <c r="AB66" s="279"/>
      <c r="AC66" s="279"/>
      <c r="AD66" s="279"/>
      <c r="AE66" s="279"/>
      <c r="AF66" s="279"/>
      <c r="AG66" s="280"/>
      <c r="AH66" s="281"/>
      <c r="AI66" s="282"/>
      <c r="AJ66" s="283"/>
    </row>
    <row r="67" spans="1:36" s="22" customFormat="1" x14ac:dyDescent="0.25">
      <c r="A67" s="28" t="str">
        <f>IF(H67&lt;&gt;"",MAX($A$7:A66)+1,"")</f>
        <v/>
      </c>
      <c r="B67" s="243" t="str">
        <f t="shared" si="3"/>
        <v/>
      </c>
      <c r="C67" s="273" t="str">
        <f t="shared" si="4"/>
        <v/>
      </c>
      <c r="D67" s="246"/>
      <c r="E67" s="284"/>
      <c r="F67" s="284"/>
      <c r="G67" s="248"/>
      <c r="H67" s="241"/>
      <c r="I67" s="285"/>
      <c r="J67" s="286"/>
      <c r="K67" s="287"/>
      <c r="L67" s="288"/>
      <c r="M67" s="289"/>
      <c r="N67" s="290"/>
      <c r="O67" s="274"/>
      <c r="P67" s="275"/>
      <c r="Q67" s="276"/>
      <c r="R67" s="277"/>
      <c r="S67" s="278"/>
      <c r="T67" s="279"/>
      <c r="U67" s="279"/>
      <c r="V67" s="279"/>
      <c r="W67" s="279"/>
      <c r="X67" s="279"/>
      <c r="Y67" s="279"/>
      <c r="Z67" s="279"/>
      <c r="AA67" s="279"/>
      <c r="AB67" s="279"/>
      <c r="AC67" s="279"/>
      <c r="AD67" s="279"/>
      <c r="AE67" s="279"/>
      <c r="AF67" s="279"/>
      <c r="AG67" s="280"/>
      <c r="AH67" s="281"/>
      <c r="AI67" s="282"/>
      <c r="AJ67" s="283"/>
    </row>
    <row r="68" spans="1:36" s="22" customFormat="1" x14ac:dyDescent="0.25">
      <c r="A68" s="28" t="str">
        <f>IF(H68&lt;&gt;"",MAX($A$7:A67)+1,"")</f>
        <v/>
      </c>
      <c r="B68" s="243" t="str">
        <f t="shared" si="3"/>
        <v/>
      </c>
      <c r="C68" s="273" t="str">
        <f t="shared" si="4"/>
        <v/>
      </c>
      <c r="D68" s="246"/>
      <c r="E68" s="284"/>
      <c r="F68" s="284"/>
      <c r="G68" s="248"/>
      <c r="H68" s="241"/>
      <c r="I68" s="285"/>
      <c r="J68" s="286"/>
      <c r="K68" s="287"/>
      <c r="L68" s="288"/>
      <c r="M68" s="289"/>
      <c r="N68" s="290"/>
      <c r="O68" s="274"/>
      <c r="P68" s="275"/>
      <c r="Q68" s="276"/>
      <c r="R68" s="277"/>
      <c r="S68" s="278"/>
      <c r="T68" s="279"/>
      <c r="U68" s="279"/>
      <c r="V68" s="279"/>
      <c r="W68" s="279"/>
      <c r="X68" s="279"/>
      <c r="Y68" s="279"/>
      <c r="Z68" s="279"/>
      <c r="AA68" s="279"/>
      <c r="AB68" s="279"/>
      <c r="AC68" s="279"/>
      <c r="AD68" s="279"/>
      <c r="AE68" s="279"/>
      <c r="AF68" s="279"/>
      <c r="AG68" s="280"/>
      <c r="AH68" s="281"/>
      <c r="AI68" s="282"/>
      <c r="AJ68" s="283"/>
    </row>
    <row r="69" spans="1:36" s="22" customFormat="1" x14ac:dyDescent="0.25">
      <c r="A69" s="28" t="str">
        <f>IF(H69&lt;&gt;"",MAX($A$7:A68)+1,"")</f>
        <v/>
      </c>
      <c r="B69" s="243" t="str">
        <f t="shared" si="3"/>
        <v/>
      </c>
      <c r="C69" s="273" t="str">
        <f t="shared" si="4"/>
        <v/>
      </c>
      <c r="D69" s="246"/>
      <c r="E69" s="284"/>
      <c r="F69" s="284"/>
      <c r="G69" s="248"/>
      <c r="H69" s="241"/>
      <c r="I69" s="285"/>
      <c r="J69" s="286"/>
      <c r="K69" s="287"/>
      <c r="L69" s="288"/>
      <c r="M69" s="289"/>
      <c r="N69" s="290"/>
      <c r="O69" s="274"/>
      <c r="P69" s="275"/>
      <c r="Q69" s="276"/>
      <c r="R69" s="277"/>
      <c r="S69" s="278"/>
      <c r="T69" s="279"/>
      <c r="U69" s="279"/>
      <c r="V69" s="279"/>
      <c r="W69" s="279"/>
      <c r="X69" s="279"/>
      <c r="Y69" s="279"/>
      <c r="Z69" s="279"/>
      <c r="AA69" s="279"/>
      <c r="AB69" s="279"/>
      <c r="AC69" s="279"/>
      <c r="AD69" s="279"/>
      <c r="AE69" s="279"/>
      <c r="AF69" s="279"/>
      <c r="AG69" s="280"/>
      <c r="AH69" s="281"/>
      <c r="AI69" s="282"/>
      <c r="AJ69" s="283"/>
    </row>
    <row r="70" spans="1:36" s="22" customFormat="1" x14ac:dyDescent="0.25">
      <c r="A70" s="28" t="str">
        <f>IF(H70&lt;&gt;"",MAX($A$7:A69)+1,"")</f>
        <v/>
      </c>
      <c r="B70" s="243" t="str">
        <f t="shared" si="3"/>
        <v/>
      </c>
      <c r="C70" s="273" t="str">
        <f t="shared" si="4"/>
        <v/>
      </c>
      <c r="D70" s="246"/>
      <c r="E70" s="284"/>
      <c r="F70" s="284"/>
      <c r="G70" s="248"/>
      <c r="H70" s="241"/>
      <c r="I70" s="285"/>
      <c r="J70" s="286"/>
      <c r="K70" s="287"/>
      <c r="L70" s="288"/>
      <c r="M70" s="289"/>
      <c r="N70" s="290"/>
      <c r="O70" s="274"/>
      <c r="P70" s="275"/>
      <c r="Q70" s="276"/>
      <c r="R70" s="277"/>
      <c r="S70" s="278"/>
      <c r="T70" s="279"/>
      <c r="U70" s="279"/>
      <c r="V70" s="279"/>
      <c r="W70" s="279"/>
      <c r="X70" s="279"/>
      <c r="Y70" s="279"/>
      <c r="Z70" s="279"/>
      <c r="AA70" s="279"/>
      <c r="AB70" s="279"/>
      <c r="AC70" s="279"/>
      <c r="AD70" s="279"/>
      <c r="AE70" s="279"/>
      <c r="AF70" s="279"/>
      <c r="AG70" s="280"/>
      <c r="AH70" s="281"/>
      <c r="AI70" s="282"/>
      <c r="AJ70" s="283"/>
    </row>
    <row r="71" spans="1:36" s="22" customFormat="1" x14ac:dyDescent="0.25">
      <c r="A71" s="28" t="str">
        <f>IF(H71&lt;&gt;"",MAX($A$7:A70)+1,"")</f>
        <v/>
      </c>
      <c r="B71" s="243" t="str">
        <f t="shared" ref="B71:B134" si="5">IF(A71="","",PREF_PREGUNTA&amp;" - "&amp;IF(MAX(A:A)&gt;99,IF(A71&lt;100,"0",""),"")&amp;IF(A71&lt;10,"0","")&amp;A71&amp;IF(G71&lt;&gt;""," "&amp;G71,""))</f>
        <v/>
      </c>
      <c r="C71" s="273" t="str">
        <f t="shared" ref="C71:C134" si="6">IF(COUNTA(I71:N71)-D71=0,"",COUNTA(I71:N71)-D71)</f>
        <v/>
      </c>
      <c r="D71" s="246"/>
      <c r="E71" s="284"/>
      <c r="F71" s="284"/>
      <c r="G71" s="248"/>
      <c r="H71" s="241"/>
      <c r="I71" s="285"/>
      <c r="J71" s="286"/>
      <c r="K71" s="287"/>
      <c r="L71" s="288"/>
      <c r="M71" s="289"/>
      <c r="N71" s="290"/>
      <c r="O71" s="274"/>
      <c r="P71" s="275"/>
      <c r="Q71" s="276"/>
      <c r="R71" s="277"/>
      <c r="S71" s="278"/>
      <c r="T71" s="279"/>
      <c r="U71" s="279"/>
      <c r="V71" s="279"/>
      <c r="W71" s="279"/>
      <c r="X71" s="279"/>
      <c r="Y71" s="279"/>
      <c r="Z71" s="279"/>
      <c r="AA71" s="279"/>
      <c r="AB71" s="279"/>
      <c r="AC71" s="279"/>
      <c r="AD71" s="279"/>
      <c r="AE71" s="279"/>
      <c r="AF71" s="279"/>
      <c r="AG71" s="280"/>
      <c r="AH71" s="281"/>
      <c r="AI71" s="282"/>
      <c r="AJ71" s="283"/>
    </row>
    <row r="72" spans="1:36" s="22" customFormat="1" x14ac:dyDescent="0.25">
      <c r="A72" s="28" t="str">
        <f>IF(H72&lt;&gt;"",MAX($A$7:A71)+1,"")</f>
        <v/>
      </c>
      <c r="B72" s="243" t="str">
        <f t="shared" si="5"/>
        <v/>
      </c>
      <c r="C72" s="273" t="str">
        <f t="shared" si="6"/>
        <v/>
      </c>
      <c r="D72" s="246"/>
      <c r="E72" s="284"/>
      <c r="F72" s="284"/>
      <c r="G72" s="248"/>
      <c r="H72" s="241"/>
      <c r="I72" s="285"/>
      <c r="J72" s="286"/>
      <c r="K72" s="287"/>
      <c r="L72" s="288"/>
      <c r="M72" s="289"/>
      <c r="N72" s="290"/>
      <c r="O72" s="274"/>
      <c r="P72" s="275"/>
      <c r="Q72" s="276"/>
      <c r="R72" s="277"/>
      <c r="S72" s="278"/>
      <c r="T72" s="279"/>
      <c r="U72" s="279"/>
      <c r="V72" s="279"/>
      <c r="W72" s="279"/>
      <c r="X72" s="279"/>
      <c r="Y72" s="279"/>
      <c r="Z72" s="279"/>
      <c r="AA72" s="279"/>
      <c r="AB72" s="279"/>
      <c r="AC72" s="279"/>
      <c r="AD72" s="279"/>
      <c r="AE72" s="279"/>
      <c r="AF72" s="279"/>
      <c r="AG72" s="280"/>
      <c r="AH72" s="281"/>
      <c r="AI72" s="282"/>
      <c r="AJ72" s="283"/>
    </row>
    <row r="73" spans="1:36" s="22" customFormat="1" x14ac:dyDescent="0.25">
      <c r="A73" s="28" t="str">
        <f>IF(H73&lt;&gt;"",MAX($A$7:A72)+1,"")</f>
        <v/>
      </c>
      <c r="B73" s="243" t="str">
        <f t="shared" si="5"/>
        <v/>
      </c>
      <c r="C73" s="273" t="str">
        <f t="shared" si="6"/>
        <v/>
      </c>
      <c r="D73" s="246"/>
      <c r="E73" s="284"/>
      <c r="F73" s="284"/>
      <c r="G73" s="248"/>
      <c r="H73" s="241"/>
      <c r="I73" s="285"/>
      <c r="J73" s="286"/>
      <c r="K73" s="287"/>
      <c r="L73" s="288"/>
      <c r="M73" s="289"/>
      <c r="N73" s="290"/>
      <c r="O73" s="274"/>
      <c r="P73" s="275"/>
      <c r="Q73" s="276"/>
      <c r="R73" s="277"/>
      <c r="S73" s="278"/>
      <c r="T73" s="279"/>
      <c r="U73" s="279"/>
      <c r="V73" s="279"/>
      <c r="W73" s="279"/>
      <c r="X73" s="279"/>
      <c r="Y73" s="279"/>
      <c r="Z73" s="279"/>
      <c r="AA73" s="279"/>
      <c r="AB73" s="279"/>
      <c r="AC73" s="279"/>
      <c r="AD73" s="279"/>
      <c r="AE73" s="279"/>
      <c r="AF73" s="279"/>
      <c r="AG73" s="280"/>
      <c r="AH73" s="281"/>
      <c r="AI73" s="282"/>
      <c r="AJ73" s="283"/>
    </row>
    <row r="74" spans="1:36" s="22" customFormat="1" x14ac:dyDescent="0.25">
      <c r="A74" s="28" t="str">
        <f>IF(H74&lt;&gt;"",MAX($A$7:A73)+1,"")</f>
        <v/>
      </c>
      <c r="B74" s="243" t="str">
        <f t="shared" si="5"/>
        <v/>
      </c>
      <c r="C74" s="273" t="str">
        <f t="shared" si="6"/>
        <v/>
      </c>
      <c r="D74" s="246"/>
      <c r="E74" s="284"/>
      <c r="F74" s="284"/>
      <c r="G74" s="248"/>
      <c r="H74" s="241"/>
      <c r="I74" s="285"/>
      <c r="J74" s="286"/>
      <c r="K74" s="287"/>
      <c r="L74" s="288"/>
      <c r="M74" s="289"/>
      <c r="N74" s="290"/>
      <c r="O74" s="274"/>
      <c r="P74" s="275"/>
      <c r="Q74" s="276"/>
      <c r="R74" s="277"/>
      <c r="S74" s="278"/>
      <c r="T74" s="279"/>
      <c r="U74" s="279"/>
      <c r="V74" s="279"/>
      <c r="W74" s="279"/>
      <c r="X74" s="279"/>
      <c r="Y74" s="279"/>
      <c r="Z74" s="279"/>
      <c r="AA74" s="279"/>
      <c r="AB74" s="279"/>
      <c r="AC74" s="279"/>
      <c r="AD74" s="279"/>
      <c r="AE74" s="279"/>
      <c r="AF74" s="279"/>
      <c r="AG74" s="280"/>
      <c r="AH74" s="281"/>
      <c r="AI74" s="282"/>
      <c r="AJ74" s="283"/>
    </row>
    <row r="75" spans="1:36" s="22" customFormat="1" x14ac:dyDescent="0.25">
      <c r="A75" s="28" t="str">
        <f>IF(H75&lt;&gt;"",MAX($A$7:A74)+1,"")</f>
        <v/>
      </c>
      <c r="B75" s="243" t="str">
        <f t="shared" si="5"/>
        <v/>
      </c>
      <c r="C75" s="273" t="str">
        <f t="shared" si="6"/>
        <v/>
      </c>
      <c r="D75" s="246"/>
      <c r="E75" s="284"/>
      <c r="F75" s="284"/>
      <c r="G75" s="248"/>
      <c r="H75" s="241"/>
      <c r="I75" s="285"/>
      <c r="J75" s="286"/>
      <c r="K75" s="287"/>
      <c r="L75" s="288"/>
      <c r="M75" s="289"/>
      <c r="N75" s="290"/>
      <c r="O75" s="274"/>
      <c r="P75" s="275"/>
      <c r="Q75" s="276"/>
      <c r="R75" s="277"/>
      <c r="S75" s="278"/>
      <c r="T75" s="279"/>
      <c r="U75" s="279"/>
      <c r="V75" s="279"/>
      <c r="W75" s="279"/>
      <c r="X75" s="279"/>
      <c r="Y75" s="279"/>
      <c r="Z75" s="279"/>
      <c r="AA75" s="279"/>
      <c r="AB75" s="279"/>
      <c r="AC75" s="279"/>
      <c r="AD75" s="279"/>
      <c r="AE75" s="279"/>
      <c r="AF75" s="279"/>
      <c r="AG75" s="280"/>
      <c r="AH75" s="281"/>
      <c r="AI75" s="282"/>
      <c r="AJ75" s="283"/>
    </row>
    <row r="76" spans="1:36" s="22" customFormat="1" x14ac:dyDescent="0.25">
      <c r="A76" s="28" t="str">
        <f>IF(H76&lt;&gt;"",MAX($A$7:A75)+1,"")</f>
        <v/>
      </c>
      <c r="B76" s="243" t="str">
        <f t="shared" si="5"/>
        <v/>
      </c>
      <c r="C76" s="273" t="str">
        <f t="shared" si="6"/>
        <v/>
      </c>
      <c r="D76" s="246"/>
      <c r="E76" s="284"/>
      <c r="F76" s="284"/>
      <c r="G76" s="248"/>
      <c r="H76" s="241"/>
      <c r="I76" s="285"/>
      <c r="J76" s="286"/>
      <c r="K76" s="287"/>
      <c r="L76" s="288"/>
      <c r="M76" s="289"/>
      <c r="N76" s="290"/>
      <c r="O76" s="274"/>
      <c r="P76" s="275"/>
      <c r="Q76" s="276"/>
      <c r="R76" s="277"/>
      <c r="S76" s="278"/>
      <c r="T76" s="279"/>
      <c r="U76" s="279"/>
      <c r="V76" s="279"/>
      <c r="W76" s="279"/>
      <c r="X76" s="279"/>
      <c r="Y76" s="279"/>
      <c r="Z76" s="279"/>
      <c r="AA76" s="279"/>
      <c r="AB76" s="279"/>
      <c r="AC76" s="279"/>
      <c r="AD76" s="279"/>
      <c r="AE76" s="279"/>
      <c r="AF76" s="279"/>
      <c r="AG76" s="280"/>
      <c r="AH76" s="281"/>
      <c r="AI76" s="282"/>
      <c r="AJ76" s="283"/>
    </row>
    <row r="77" spans="1:36" s="22" customFormat="1" x14ac:dyDescent="0.25">
      <c r="A77" s="28" t="str">
        <f>IF(H77&lt;&gt;"",MAX($A$7:A76)+1,"")</f>
        <v/>
      </c>
      <c r="B77" s="243" t="str">
        <f t="shared" si="5"/>
        <v/>
      </c>
      <c r="C77" s="273" t="str">
        <f t="shared" si="6"/>
        <v/>
      </c>
      <c r="D77" s="246"/>
      <c r="E77" s="284"/>
      <c r="F77" s="284"/>
      <c r="G77" s="248"/>
      <c r="H77" s="241"/>
      <c r="I77" s="285"/>
      <c r="J77" s="286"/>
      <c r="K77" s="287"/>
      <c r="L77" s="288"/>
      <c r="M77" s="289"/>
      <c r="N77" s="290"/>
      <c r="O77" s="274"/>
      <c r="P77" s="275"/>
      <c r="Q77" s="276"/>
      <c r="R77" s="277"/>
      <c r="S77" s="278"/>
      <c r="T77" s="279"/>
      <c r="U77" s="279"/>
      <c r="V77" s="279"/>
      <c r="W77" s="279"/>
      <c r="X77" s="279"/>
      <c r="Y77" s="279"/>
      <c r="Z77" s="279"/>
      <c r="AA77" s="279"/>
      <c r="AB77" s="279"/>
      <c r="AC77" s="279"/>
      <c r="AD77" s="279"/>
      <c r="AE77" s="279"/>
      <c r="AF77" s="279"/>
      <c r="AG77" s="280"/>
      <c r="AH77" s="281"/>
      <c r="AI77" s="282"/>
      <c r="AJ77" s="283"/>
    </row>
    <row r="78" spans="1:36" s="22" customFormat="1" x14ac:dyDescent="0.25">
      <c r="A78" s="28" t="str">
        <f>IF(H78&lt;&gt;"",MAX($A$7:A77)+1,"")</f>
        <v/>
      </c>
      <c r="B78" s="243" t="str">
        <f t="shared" si="5"/>
        <v/>
      </c>
      <c r="C78" s="273" t="str">
        <f t="shared" si="6"/>
        <v/>
      </c>
      <c r="D78" s="246"/>
      <c r="E78" s="284"/>
      <c r="F78" s="284"/>
      <c r="G78" s="248"/>
      <c r="H78" s="241"/>
      <c r="I78" s="285"/>
      <c r="J78" s="286"/>
      <c r="K78" s="287"/>
      <c r="L78" s="288"/>
      <c r="M78" s="289"/>
      <c r="N78" s="290"/>
      <c r="O78" s="274"/>
      <c r="P78" s="275"/>
      <c r="Q78" s="276"/>
      <c r="R78" s="277"/>
      <c r="S78" s="278"/>
      <c r="T78" s="279"/>
      <c r="U78" s="279"/>
      <c r="V78" s="279"/>
      <c r="W78" s="279"/>
      <c r="X78" s="279"/>
      <c r="Y78" s="279"/>
      <c r="Z78" s="279"/>
      <c r="AA78" s="279"/>
      <c r="AB78" s="279"/>
      <c r="AC78" s="279"/>
      <c r="AD78" s="279"/>
      <c r="AE78" s="279"/>
      <c r="AF78" s="279"/>
      <c r="AG78" s="280"/>
      <c r="AH78" s="281"/>
      <c r="AI78" s="282"/>
      <c r="AJ78" s="283"/>
    </row>
    <row r="79" spans="1:36" s="22" customFormat="1" x14ac:dyDescent="0.25">
      <c r="A79" s="28" t="str">
        <f>IF(H79&lt;&gt;"",MAX($A$7:A78)+1,"")</f>
        <v/>
      </c>
      <c r="B79" s="243" t="str">
        <f t="shared" si="5"/>
        <v/>
      </c>
      <c r="C79" s="273" t="str">
        <f t="shared" si="6"/>
        <v/>
      </c>
      <c r="D79" s="246"/>
      <c r="E79" s="284"/>
      <c r="F79" s="284"/>
      <c r="G79" s="248"/>
      <c r="H79" s="241"/>
      <c r="I79" s="285"/>
      <c r="J79" s="286"/>
      <c r="K79" s="287"/>
      <c r="L79" s="288"/>
      <c r="M79" s="289"/>
      <c r="N79" s="290"/>
      <c r="O79" s="274"/>
      <c r="P79" s="275"/>
      <c r="Q79" s="276"/>
      <c r="R79" s="277"/>
      <c r="S79" s="278"/>
      <c r="T79" s="279"/>
      <c r="U79" s="279"/>
      <c r="V79" s="279"/>
      <c r="W79" s="279"/>
      <c r="X79" s="279"/>
      <c r="Y79" s="279"/>
      <c r="Z79" s="279"/>
      <c r="AA79" s="279"/>
      <c r="AB79" s="279"/>
      <c r="AC79" s="279"/>
      <c r="AD79" s="279"/>
      <c r="AE79" s="279"/>
      <c r="AF79" s="279"/>
      <c r="AG79" s="280"/>
      <c r="AH79" s="281"/>
      <c r="AI79" s="282"/>
      <c r="AJ79" s="283"/>
    </row>
    <row r="80" spans="1:36" s="22" customFormat="1" x14ac:dyDescent="0.25">
      <c r="A80" s="28" t="str">
        <f>IF(H80&lt;&gt;"",MAX($A$7:A79)+1,"")</f>
        <v/>
      </c>
      <c r="B80" s="243" t="str">
        <f t="shared" si="5"/>
        <v/>
      </c>
      <c r="C80" s="273" t="str">
        <f t="shared" si="6"/>
        <v/>
      </c>
      <c r="D80" s="246"/>
      <c r="E80" s="284"/>
      <c r="F80" s="284"/>
      <c r="G80" s="248"/>
      <c r="H80" s="241"/>
      <c r="I80" s="285"/>
      <c r="J80" s="286"/>
      <c r="K80" s="287"/>
      <c r="L80" s="288"/>
      <c r="M80" s="289"/>
      <c r="N80" s="290"/>
      <c r="O80" s="274"/>
      <c r="P80" s="275"/>
      <c r="Q80" s="276"/>
      <c r="R80" s="277"/>
      <c r="S80" s="278"/>
      <c r="T80" s="279"/>
      <c r="U80" s="279"/>
      <c r="V80" s="279"/>
      <c r="W80" s="279"/>
      <c r="X80" s="279"/>
      <c r="Y80" s="279"/>
      <c r="Z80" s="279"/>
      <c r="AA80" s="279"/>
      <c r="AB80" s="279"/>
      <c r="AC80" s="279"/>
      <c r="AD80" s="279"/>
      <c r="AE80" s="279"/>
      <c r="AF80" s="279"/>
      <c r="AG80" s="280"/>
      <c r="AH80" s="281"/>
      <c r="AI80" s="282"/>
      <c r="AJ80" s="283"/>
    </row>
    <row r="81" spans="1:36" s="22" customFormat="1" x14ac:dyDescent="0.25">
      <c r="A81" s="28" t="str">
        <f>IF(H81&lt;&gt;"",MAX($A$7:A80)+1,"")</f>
        <v/>
      </c>
      <c r="B81" s="243" t="str">
        <f t="shared" si="5"/>
        <v/>
      </c>
      <c r="C81" s="273" t="str">
        <f t="shared" si="6"/>
        <v/>
      </c>
      <c r="D81" s="246"/>
      <c r="E81" s="284"/>
      <c r="F81" s="284"/>
      <c r="G81" s="248"/>
      <c r="H81" s="241"/>
      <c r="I81" s="285"/>
      <c r="J81" s="286"/>
      <c r="K81" s="287"/>
      <c r="L81" s="288"/>
      <c r="M81" s="289"/>
      <c r="N81" s="290"/>
      <c r="O81" s="274"/>
      <c r="P81" s="275"/>
      <c r="Q81" s="276"/>
      <c r="R81" s="277"/>
      <c r="S81" s="278"/>
      <c r="T81" s="279"/>
      <c r="U81" s="279"/>
      <c r="V81" s="279"/>
      <c r="W81" s="279"/>
      <c r="X81" s="279"/>
      <c r="Y81" s="279"/>
      <c r="Z81" s="279"/>
      <c r="AA81" s="279"/>
      <c r="AB81" s="279"/>
      <c r="AC81" s="279"/>
      <c r="AD81" s="279"/>
      <c r="AE81" s="279"/>
      <c r="AF81" s="279"/>
      <c r="AG81" s="280"/>
      <c r="AH81" s="281"/>
      <c r="AI81" s="282"/>
      <c r="AJ81" s="283"/>
    </row>
    <row r="82" spans="1:36" s="22" customFormat="1" x14ac:dyDescent="0.25">
      <c r="A82" s="28" t="str">
        <f>IF(H82&lt;&gt;"",MAX($A$7:A81)+1,"")</f>
        <v/>
      </c>
      <c r="B82" s="243" t="str">
        <f t="shared" si="5"/>
        <v/>
      </c>
      <c r="C82" s="273" t="str">
        <f t="shared" si="6"/>
        <v/>
      </c>
      <c r="D82" s="246"/>
      <c r="E82" s="284"/>
      <c r="F82" s="284"/>
      <c r="G82" s="248"/>
      <c r="H82" s="241"/>
      <c r="I82" s="285"/>
      <c r="J82" s="286"/>
      <c r="K82" s="287"/>
      <c r="L82" s="288"/>
      <c r="M82" s="289"/>
      <c r="N82" s="290"/>
      <c r="O82" s="274"/>
      <c r="P82" s="275"/>
      <c r="Q82" s="276"/>
      <c r="R82" s="277"/>
      <c r="S82" s="278"/>
      <c r="T82" s="279"/>
      <c r="U82" s="279"/>
      <c r="V82" s="279"/>
      <c r="W82" s="279"/>
      <c r="X82" s="279"/>
      <c r="Y82" s="279"/>
      <c r="Z82" s="279"/>
      <c r="AA82" s="279"/>
      <c r="AB82" s="279"/>
      <c r="AC82" s="279"/>
      <c r="AD82" s="279"/>
      <c r="AE82" s="279"/>
      <c r="AF82" s="279"/>
      <c r="AG82" s="280"/>
      <c r="AH82" s="281"/>
      <c r="AI82" s="282"/>
      <c r="AJ82" s="283"/>
    </row>
    <row r="83" spans="1:36" s="22" customFormat="1" x14ac:dyDescent="0.25">
      <c r="A83" s="28" t="str">
        <f>IF(H83&lt;&gt;"",MAX($A$7:A82)+1,"")</f>
        <v/>
      </c>
      <c r="B83" s="243" t="str">
        <f t="shared" si="5"/>
        <v/>
      </c>
      <c r="C83" s="273" t="str">
        <f t="shared" si="6"/>
        <v/>
      </c>
      <c r="D83" s="246"/>
      <c r="E83" s="284"/>
      <c r="F83" s="284"/>
      <c r="G83" s="248"/>
      <c r="H83" s="241"/>
      <c r="I83" s="285"/>
      <c r="J83" s="286"/>
      <c r="K83" s="287"/>
      <c r="L83" s="288"/>
      <c r="M83" s="289"/>
      <c r="N83" s="290"/>
      <c r="O83" s="274"/>
      <c r="P83" s="275"/>
      <c r="Q83" s="276"/>
      <c r="R83" s="277"/>
      <c r="S83" s="278"/>
      <c r="T83" s="279"/>
      <c r="U83" s="279"/>
      <c r="V83" s="279"/>
      <c r="W83" s="279"/>
      <c r="X83" s="279"/>
      <c r="Y83" s="279"/>
      <c r="Z83" s="279"/>
      <c r="AA83" s="279"/>
      <c r="AB83" s="279"/>
      <c r="AC83" s="279"/>
      <c r="AD83" s="279"/>
      <c r="AE83" s="279"/>
      <c r="AF83" s="279"/>
      <c r="AG83" s="280"/>
      <c r="AH83" s="281"/>
      <c r="AI83" s="282"/>
      <c r="AJ83" s="283"/>
    </row>
    <row r="84" spans="1:36" s="22" customFormat="1" x14ac:dyDescent="0.25">
      <c r="A84" s="28" t="str">
        <f>IF(H84&lt;&gt;"",MAX($A$7:A83)+1,"")</f>
        <v/>
      </c>
      <c r="B84" s="243" t="str">
        <f t="shared" si="5"/>
        <v/>
      </c>
      <c r="C84" s="273" t="str">
        <f t="shared" si="6"/>
        <v/>
      </c>
      <c r="D84" s="246"/>
      <c r="E84" s="284"/>
      <c r="F84" s="284"/>
      <c r="G84" s="248"/>
      <c r="H84" s="241"/>
      <c r="I84" s="285"/>
      <c r="J84" s="286"/>
      <c r="K84" s="287"/>
      <c r="L84" s="288"/>
      <c r="M84" s="289"/>
      <c r="N84" s="290"/>
      <c r="O84" s="274"/>
      <c r="P84" s="275"/>
      <c r="Q84" s="276"/>
      <c r="R84" s="277"/>
      <c r="S84" s="278"/>
      <c r="T84" s="279"/>
      <c r="U84" s="279"/>
      <c r="V84" s="279"/>
      <c r="W84" s="279"/>
      <c r="X84" s="279"/>
      <c r="Y84" s="279"/>
      <c r="Z84" s="279"/>
      <c r="AA84" s="279"/>
      <c r="AB84" s="279"/>
      <c r="AC84" s="279"/>
      <c r="AD84" s="279"/>
      <c r="AE84" s="279"/>
      <c r="AF84" s="279"/>
      <c r="AG84" s="280"/>
      <c r="AH84" s="281"/>
      <c r="AI84" s="282"/>
      <c r="AJ84" s="283"/>
    </row>
    <row r="85" spans="1:36" s="22" customFormat="1" x14ac:dyDescent="0.25">
      <c r="A85" s="28" t="str">
        <f>IF(H85&lt;&gt;"",MAX($A$7:A84)+1,"")</f>
        <v/>
      </c>
      <c r="B85" s="243" t="str">
        <f t="shared" si="5"/>
        <v/>
      </c>
      <c r="C85" s="273" t="str">
        <f t="shared" si="6"/>
        <v/>
      </c>
      <c r="D85" s="246"/>
      <c r="E85" s="284"/>
      <c r="F85" s="284"/>
      <c r="G85" s="248"/>
      <c r="H85" s="241"/>
      <c r="I85" s="285"/>
      <c r="J85" s="286"/>
      <c r="K85" s="287"/>
      <c r="L85" s="288"/>
      <c r="M85" s="289"/>
      <c r="N85" s="290"/>
      <c r="O85" s="274"/>
      <c r="P85" s="275"/>
      <c r="Q85" s="276"/>
      <c r="R85" s="277"/>
      <c r="S85" s="278"/>
      <c r="T85" s="279"/>
      <c r="U85" s="279"/>
      <c r="V85" s="279"/>
      <c r="W85" s="279"/>
      <c r="X85" s="279"/>
      <c r="Y85" s="279"/>
      <c r="Z85" s="279"/>
      <c r="AA85" s="279"/>
      <c r="AB85" s="279"/>
      <c r="AC85" s="279"/>
      <c r="AD85" s="279"/>
      <c r="AE85" s="279"/>
      <c r="AF85" s="279"/>
      <c r="AG85" s="280"/>
      <c r="AH85" s="281"/>
      <c r="AI85" s="282"/>
      <c r="AJ85" s="283"/>
    </row>
    <row r="86" spans="1:36" s="22" customFormat="1" x14ac:dyDescent="0.25">
      <c r="A86" s="28" t="str">
        <f>IF(H86&lt;&gt;"",MAX($A$7:A85)+1,"")</f>
        <v/>
      </c>
      <c r="B86" s="243" t="str">
        <f t="shared" si="5"/>
        <v/>
      </c>
      <c r="C86" s="273" t="str">
        <f t="shared" si="6"/>
        <v/>
      </c>
      <c r="D86" s="246"/>
      <c r="E86" s="284"/>
      <c r="F86" s="284"/>
      <c r="G86" s="248"/>
      <c r="H86" s="241"/>
      <c r="I86" s="285"/>
      <c r="J86" s="286"/>
      <c r="K86" s="287"/>
      <c r="L86" s="288"/>
      <c r="M86" s="289"/>
      <c r="N86" s="290"/>
      <c r="O86" s="274"/>
      <c r="P86" s="275"/>
      <c r="Q86" s="276"/>
      <c r="R86" s="277"/>
      <c r="S86" s="278"/>
      <c r="T86" s="279"/>
      <c r="U86" s="279"/>
      <c r="V86" s="279"/>
      <c r="W86" s="279"/>
      <c r="X86" s="279"/>
      <c r="Y86" s="279"/>
      <c r="Z86" s="279"/>
      <c r="AA86" s="279"/>
      <c r="AB86" s="279"/>
      <c r="AC86" s="279"/>
      <c r="AD86" s="279"/>
      <c r="AE86" s="279"/>
      <c r="AF86" s="279"/>
      <c r="AG86" s="280"/>
      <c r="AH86" s="281"/>
      <c r="AI86" s="282"/>
      <c r="AJ86" s="283"/>
    </row>
    <row r="87" spans="1:36" s="22" customFormat="1" x14ac:dyDescent="0.25">
      <c r="A87" s="28" t="str">
        <f>IF(H87&lt;&gt;"",MAX($A$7:A86)+1,"")</f>
        <v/>
      </c>
      <c r="B87" s="243" t="str">
        <f t="shared" si="5"/>
        <v/>
      </c>
      <c r="C87" s="273" t="str">
        <f t="shared" si="6"/>
        <v/>
      </c>
      <c r="D87" s="246"/>
      <c r="E87" s="284"/>
      <c r="F87" s="284"/>
      <c r="G87" s="248"/>
      <c r="H87" s="241"/>
      <c r="I87" s="285"/>
      <c r="J87" s="286"/>
      <c r="K87" s="287"/>
      <c r="L87" s="288"/>
      <c r="M87" s="289"/>
      <c r="N87" s="290"/>
      <c r="O87" s="274"/>
      <c r="P87" s="275"/>
      <c r="Q87" s="276"/>
      <c r="R87" s="277"/>
      <c r="S87" s="278"/>
      <c r="T87" s="279"/>
      <c r="U87" s="279"/>
      <c r="V87" s="279"/>
      <c r="W87" s="279"/>
      <c r="X87" s="279"/>
      <c r="Y87" s="279"/>
      <c r="Z87" s="279"/>
      <c r="AA87" s="279"/>
      <c r="AB87" s="279"/>
      <c r="AC87" s="279"/>
      <c r="AD87" s="279"/>
      <c r="AE87" s="279"/>
      <c r="AF87" s="279"/>
      <c r="AG87" s="280"/>
      <c r="AH87" s="281"/>
      <c r="AI87" s="282"/>
      <c r="AJ87" s="283"/>
    </row>
    <row r="88" spans="1:36" s="22" customFormat="1" x14ac:dyDescent="0.25">
      <c r="A88" s="28" t="str">
        <f>IF(H88&lt;&gt;"",MAX($A$7:A87)+1,"")</f>
        <v/>
      </c>
      <c r="B88" s="243" t="str">
        <f t="shared" si="5"/>
        <v/>
      </c>
      <c r="C88" s="273" t="str">
        <f t="shared" si="6"/>
        <v/>
      </c>
      <c r="D88" s="246"/>
      <c r="E88" s="284"/>
      <c r="F88" s="284"/>
      <c r="G88" s="248"/>
      <c r="H88" s="241"/>
      <c r="I88" s="285"/>
      <c r="J88" s="286"/>
      <c r="K88" s="287"/>
      <c r="L88" s="288"/>
      <c r="M88" s="289"/>
      <c r="N88" s="290"/>
      <c r="O88" s="274"/>
      <c r="P88" s="275"/>
      <c r="Q88" s="276"/>
      <c r="R88" s="277"/>
      <c r="S88" s="278"/>
      <c r="T88" s="279"/>
      <c r="U88" s="279"/>
      <c r="V88" s="279"/>
      <c r="W88" s="279"/>
      <c r="X88" s="279"/>
      <c r="Y88" s="279"/>
      <c r="Z88" s="279"/>
      <c r="AA88" s="279"/>
      <c r="AB88" s="279"/>
      <c r="AC88" s="279"/>
      <c r="AD88" s="279"/>
      <c r="AE88" s="279"/>
      <c r="AF88" s="279"/>
      <c r="AG88" s="280"/>
      <c r="AH88" s="281"/>
      <c r="AI88" s="282"/>
      <c r="AJ88" s="283"/>
    </row>
    <row r="89" spans="1:36" s="22" customFormat="1" x14ac:dyDescent="0.25">
      <c r="A89" s="28" t="str">
        <f>IF(H89&lt;&gt;"",MAX($A$7:A88)+1,"")</f>
        <v/>
      </c>
      <c r="B89" s="243" t="str">
        <f t="shared" si="5"/>
        <v/>
      </c>
      <c r="C89" s="273" t="str">
        <f t="shared" si="6"/>
        <v/>
      </c>
      <c r="D89" s="246"/>
      <c r="E89" s="284"/>
      <c r="F89" s="284"/>
      <c r="G89" s="248"/>
      <c r="H89" s="241"/>
      <c r="I89" s="285"/>
      <c r="J89" s="286"/>
      <c r="K89" s="287"/>
      <c r="L89" s="288"/>
      <c r="M89" s="289"/>
      <c r="N89" s="290"/>
      <c r="O89" s="274"/>
      <c r="P89" s="275"/>
      <c r="Q89" s="276"/>
      <c r="R89" s="277"/>
      <c r="S89" s="278"/>
      <c r="T89" s="279"/>
      <c r="U89" s="279"/>
      <c r="V89" s="279"/>
      <c r="W89" s="279"/>
      <c r="X89" s="279"/>
      <c r="Y89" s="279"/>
      <c r="Z89" s="279"/>
      <c r="AA89" s="279"/>
      <c r="AB89" s="279"/>
      <c r="AC89" s="279"/>
      <c r="AD89" s="279"/>
      <c r="AE89" s="279"/>
      <c r="AF89" s="279"/>
      <c r="AG89" s="280"/>
      <c r="AH89" s="281"/>
      <c r="AI89" s="282"/>
      <c r="AJ89" s="283"/>
    </row>
    <row r="90" spans="1:36" s="22" customFormat="1" x14ac:dyDescent="0.25">
      <c r="A90" s="28" t="str">
        <f>IF(H90&lt;&gt;"",MAX($A$7:A89)+1,"")</f>
        <v/>
      </c>
      <c r="B90" s="243" t="str">
        <f t="shared" si="5"/>
        <v/>
      </c>
      <c r="C90" s="273" t="str">
        <f t="shared" si="6"/>
        <v/>
      </c>
      <c r="D90" s="246"/>
      <c r="E90" s="284"/>
      <c r="F90" s="284"/>
      <c r="G90" s="248"/>
      <c r="H90" s="241"/>
      <c r="I90" s="285"/>
      <c r="J90" s="286"/>
      <c r="K90" s="287"/>
      <c r="L90" s="288"/>
      <c r="M90" s="289"/>
      <c r="N90" s="290"/>
      <c r="O90" s="274"/>
      <c r="P90" s="275"/>
      <c r="Q90" s="276"/>
      <c r="R90" s="277"/>
      <c r="S90" s="278"/>
      <c r="T90" s="279"/>
      <c r="U90" s="279"/>
      <c r="V90" s="279"/>
      <c r="W90" s="279"/>
      <c r="X90" s="279"/>
      <c r="Y90" s="279"/>
      <c r="Z90" s="279"/>
      <c r="AA90" s="279"/>
      <c r="AB90" s="279"/>
      <c r="AC90" s="279"/>
      <c r="AD90" s="279"/>
      <c r="AE90" s="279"/>
      <c r="AF90" s="279"/>
      <c r="AG90" s="280"/>
      <c r="AH90" s="281"/>
      <c r="AI90" s="282"/>
      <c r="AJ90" s="283"/>
    </row>
    <row r="91" spans="1:36" s="22" customFormat="1" x14ac:dyDescent="0.25">
      <c r="A91" s="28" t="str">
        <f>IF(H91&lt;&gt;"",MAX($A$7:A90)+1,"")</f>
        <v/>
      </c>
      <c r="B91" s="243" t="str">
        <f t="shared" si="5"/>
        <v/>
      </c>
      <c r="C91" s="273" t="str">
        <f t="shared" si="6"/>
        <v/>
      </c>
      <c r="D91" s="246"/>
      <c r="E91" s="284"/>
      <c r="F91" s="284"/>
      <c r="G91" s="248"/>
      <c r="H91" s="241"/>
      <c r="I91" s="285"/>
      <c r="J91" s="286"/>
      <c r="K91" s="287"/>
      <c r="L91" s="288"/>
      <c r="M91" s="289"/>
      <c r="N91" s="290"/>
      <c r="O91" s="274"/>
      <c r="P91" s="275"/>
      <c r="Q91" s="276"/>
      <c r="R91" s="277"/>
      <c r="S91" s="278"/>
      <c r="T91" s="279"/>
      <c r="U91" s="279"/>
      <c r="V91" s="279"/>
      <c r="W91" s="279"/>
      <c r="X91" s="279"/>
      <c r="Y91" s="279"/>
      <c r="Z91" s="279"/>
      <c r="AA91" s="279"/>
      <c r="AB91" s="279"/>
      <c r="AC91" s="279"/>
      <c r="AD91" s="279"/>
      <c r="AE91" s="279"/>
      <c r="AF91" s="279"/>
      <c r="AG91" s="280"/>
      <c r="AH91" s="281"/>
      <c r="AI91" s="282"/>
      <c r="AJ91" s="283"/>
    </row>
    <row r="92" spans="1:36" s="22" customFormat="1" x14ac:dyDescent="0.25">
      <c r="A92" s="28" t="str">
        <f>IF(H92&lt;&gt;"",MAX($A$7:A91)+1,"")</f>
        <v/>
      </c>
      <c r="B92" s="243" t="str">
        <f t="shared" si="5"/>
        <v/>
      </c>
      <c r="C92" s="273" t="str">
        <f t="shared" si="6"/>
        <v/>
      </c>
      <c r="D92" s="246"/>
      <c r="E92" s="284"/>
      <c r="F92" s="284"/>
      <c r="G92" s="248"/>
      <c r="H92" s="241"/>
      <c r="I92" s="285"/>
      <c r="J92" s="286"/>
      <c r="K92" s="287"/>
      <c r="L92" s="288"/>
      <c r="M92" s="289"/>
      <c r="N92" s="290"/>
      <c r="O92" s="274"/>
      <c r="P92" s="275"/>
      <c r="Q92" s="276"/>
      <c r="R92" s="277"/>
      <c r="S92" s="278"/>
      <c r="T92" s="279"/>
      <c r="U92" s="279"/>
      <c r="V92" s="279"/>
      <c r="W92" s="279"/>
      <c r="X92" s="279"/>
      <c r="Y92" s="279"/>
      <c r="Z92" s="279"/>
      <c r="AA92" s="279"/>
      <c r="AB92" s="279"/>
      <c r="AC92" s="279"/>
      <c r="AD92" s="279"/>
      <c r="AE92" s="279"/>
      <c r="AF92" s="279"/>
      <c r="AG92" s="280"/>
      <c r="AH92" s="281"/>
      <c r="AI92" s="282"/>
      <c r="AJ92" s="283"/>
    </row>
    <row r="93" spans="1:36" s="22" customFormat="1" x14ac:dyDescent="0.25">
      <c r="A93" s="28" t="str">
        <f>IF(H93&lt;&gt;"",MAX($A$7:A92)+1,"")</f>
        <v/>
      </c>
      <c r="B93" s="243" t="str">
        <f t="shared" si="5"/>
        <v/>
      </c>
      <c r="C93" s="273" t="str">
        <f t="shared" si="6"/>
        <v/>
      </c>
      <c r="D93" s="246"/>
      <c r="E93" s="284"/>
      <c r="F93" s="284"/>
      <c r="G93" s="248"/>
      <c r="H93" s="241"/>
      <c r="I93" s="285"/>
      <c r="J93" s="286"/>
      <c r="K93" s="287"/>
      <c r="L93" s="288"/>
      <c r="M93" s="289"/>
      <c r="N93" s="290"/>
      <c r="O93" s="274"/>
      <c r="P93" s="275"/>
      <c r="Q93" s="276"/>
      <c r="R93" s="277"/>
      <c r="S93" s="278"/>
      <c r="T93" s="279"/>
      <c r="U93" s="279"/>
      <c r="V93" s="279"/>
      <c r="W93" s="279"/>
      <c r="X93" s="279"/>
      <c r="Y93" s="279"/>
      <c r="Z93" s="279"/>
      <c r="AA93" s="279"/>
      <c r="AB93" s="279"/>
      <c r="AC93" s="279"/>
      <c r="AD93" s="279"/>
      <c r="AE93" s="279"/>
      <c r="AF93" s="279"/>
      <c r="AG93" s="280"/>
      <c r="AH93" s="281"/>
      <c r="AI93" s="282"/>
      <c r="AJ93" s="283"/>
    </row>
    <row r="94" spans="1:36" s="22" customFormat="1" x14ac:dyDescent="0.25">
      <c r="A94" s="28" t="str">
        <f>IF(H94&lt;&gt;"",MAX($A$7:A93)+1,"")</f>
        <v/>
      </c>
      <c r="B94" s="243" t="str">
        <f t="shared" si="5"/>
        <v/>
      </c>
      <c r="C94" s="273" t="str">
        <f t="shared" si="6"/>
        <v/>
      </c>
      <c r="D94" s="246"/>
      <c r="E94" s="284"/>
      <c r="F94" s="284"/>
      <c r="G94" s="248"/>
      <c r="H94" s="241"/>
      <c r="I94" s="285"/>
      <c r="J94" s="286"/>
      <c r="K94" s="287"/>
      <c r="L94" s="288"/>
      <c r="M94" s="289"/>
      <c r="N94" s="290"/>
      <c r="O94" s="274"/>
      <c r="P94" s="275"/>
      <c r="Q94" s="276"/>
      <c r="R94" s="277"/>
      <c r="S94" s="278"/>
      <c r="T94" s="279"/>
      <c r="U94" s="279"/>
      <c r="V94" s="279"/>
      <c r="W94" s="279"/>
      <c r="X94" s="279"/>
      <c r="Y94" s="279"/>
      <c r="Z94" s="279"/>
      <c r="AA94" s="279"/>
      <c r="AB94" s="279"/>
      <c r="AC94" s="279"/>
      <c r="AD94" s="279"/>
      <c r="AE94" s="279"/>
      <c r="AF94" s="279"/>
      <c r="AG94" s="280"/>
      <c r="AH94" s="281"/>
      <c r="AI94" s="282"/>
      <c r="AJ94" s="283"/>
    </row>
    <row r="95" spans="1:36" s="22" customFormat="1" x14ac:dyDescent="0.25">
      <c r="A95" s="28" t="str">
        <f>IF(H95&lt;&gt;"",MAX($A$7:A94)+1,"")</f>
        <v/>
      </c>
      <c r="B95" s="243" t="str">
        <f t="shared" si="5"/>
        <v/>
      </c>
      <c r="C95" s="273" t="str">
        <f t="shared" si="6"/>
        <v/>
      </c>
      <c r="D95" s="246"/>
      <c r="E95" s="284"/>
      <c r="F95" s="284"/>
      <c r="G95" s="248"/>
      <c r="H95" s="241"/>
      <c r="I95" s="285"/>
      <c r="J95" s="286"/>
      <c r="K95" s="287"/>
      <c r="L95" s="288"/>
      <c r="M95" s="289"/>
      <c r="N95" s="290"/>
      <c r="O95" s="274"/>
      <c r="P95" s="275"/>
      <c r="Q95" s="276"/>
      <c r="R95" s="277"/>
      <c r="S95" s="278"/>
      <c r="T95" s="279"/>
      <c r="U95" s="279"/>
      <c r="V95" s="279"/>
      <c r="W95" s="279"/>
      <c r="X95" s="279"/>
      <c r="Y95" s="279"/>
      <c r="Z95" s="279"/>
      <c r="AA95" s="279"/>
      <c r="AB95" s="279"/>
      <c r="AC95" s="279"/>
      <c r="AD95" s="279"/>
      <c r="AE95" s="279"/>
      <c r="AF95" s="279"/>
      <c r="AG95" s="280"/>
      <c r="AH95" s="281"/>
      <c r="AI95" s="282"/>
      <c r="AJ95" s="283"/>
    </row>
    <row r="96" spans="1:36" s="22" customFormat="1" x14ac:dyDescent="0.25">
      <c r="A96" s="28" t="str">
        <f>IF(H96&lt;&gt;"",MAX($A$7:A95)+1,"")</f>
        <v/>
      </c>
      <c r="B96" s="243" t="str">
        <f t="shared" si="5"/>
        <v/>
      </c>
      <c r="C96" s="273" t="str">
        <f t="shared" si="6"/>
        <v/>
      </c>
      <c r="D96" s="246"/>
      <c r="E96" s="284"/>
      <c r="F96" s="284"/>
      <c r="G96" s="248"/>
      <c r="H96" s="241"/>
      <c r="I96" s="285"/>
      <c r="J96" s="286"/>
      <c r="K96" s="287"/>
      <c r="L96" s="288"/>
      <c r="M96" s="289"/>
      <c r="N96" s="290"/>
      <c r="O96" s="274"/>
      <c r="P96" s="275"/>
      <c r="Q96" s="276"/>
      <c r="R96" s="277"/>
      <c r="S96" s="278"/>
      <c r="T96" s="279"/>
      <c r="U96" s="279"/>
      <c r="V96" s="279"/>
      <c r="W96" s="279"/>
      <c r="X96" s="279"/>
      <c r="Y96" s="279"/>
      <c r="Z96" s="279"/>
      <c r="AA96" s="279"/>
      <c r="AB96" s="279"/>
      <c r="AC96" s="279"/>
      <c r="AD96" s="279"/>
      <c r="AE96" s="279"/>
      <c r="AF96" s="279"/>
      <c r="AG96" s="280"/>
      <c r="AH96" s="281"/>
      <c r="AI96" s="282"/>
      <c r="AJ96" s="283"/>
    </row>
    <row r="97" spans="1:36" s="22" customFormat="1" x14ac:dyDescent="0.25">
      <c r="A97" s="28" t="str">
        <f>IF(H97&lt;&gt;"",MAX($A$7:A96)+1,"")</f>
        <v/>
      </c>
      <c r="B97" s="243" t="str">
        <f t="shared" si="5"/>
        <v/>
      </c>
      <c r="C97" s="273" t="str">
        <f t="shared" si="6"/>
        <v/>
      </c>
      <c r="D97" s="246"/>
      <c r="E97" s="284"/>
      <c r="F97" s="284"/>
      <c r="G97" s="248"/>
      <c r="H97" s="241"/>
      <c r="I97" s="285"/>
      <c r="J97" s="286"/>
      <c r="K97" s="287"/>
      <c r="L97" s="288"/>
      <c r="M97" s="289"/>
      <c r="N97" s="290"/>
      <c r="O97" s="274"/>
      <c r="P97" s="275"/>
      <c r="Q97" s="276"/>
      <c r="R97" s="277"/>
      <c r="S97" s="278"/>
      <c r="T97" s="279"/>
      <c r="U97" s="279"/>
      <c r="V97" s="279"/>
      <c r="W97" s="279"/>
      <c r="X97" s="279"/>
      <c r="Y97" s="279"/>
      <c r="Z97" s="279"/>
      <c r="AA97" s="279"/>
      <c r="AB97" s="279"/>
      <c r="AC97" s="279"/>
      <c r="AD97" s="279"/>
      <c r="AE97" s="279"/>
      <c r="AF97" s="279"/>
      <c r="AG97" s="280"/>
      <c r="AH97" s="281"/>
      <c r="AI97" s="282"/>
      <c r="AJ97" s="283"/>
    </row>
    <row r="98" spans="1:36" s="22" customFormat="1" x14ac:dyDescent="0.25">
      <c r="A98" s="28" t="str">
        <f>IF(H98&lt;&gt;"",MAX($A$7:A97)+1,"")</f>
        <v/>
      </c>
      <c r="B98" s="243" t="str">
        <f t="shared" si="5"/>
        <v/>
      </c>
      <c r="C98" s="273" t="str">
        <f t="shared" si="6"/>
        <v/>
      </c>
      <c r="D98" s="246"/>
      <c r="E98" s="284"/>
      <c r="F98" s="284"/>
      <c r="G98" s="248"/>
      <c r="H98" s="241"/>
      <c r="I98" s="285"/>
      <c r="J98" s="286"/>
      <c r="K98" s="287"/>
      <c r="L98" s="288"/>
      <c r="M98" s="289"/>
      <c r="N98" s="290"/>
      <c r="O98" s="274"/>
      <c r="P98" s="275"/>
      <c r="Q98" s="276"/>
      <c r="R98" s="277"/>
      <c r="S98" s="278"/>
      <c r="T98" s="279"/>
      <c r="U98" s="279"/>
      <c r="V98" s="279"/>
      <c r="W98" s="279"/>
      <c r="X98" s="279"/>
      <c r="Y98" s="279"/>
      <c r="Z98" s="279"/>
      <c r="AA98" s="279"/>
      <c r="AB98" s="279"/>
      <c r="AC98" s="279"/>
      <c r="AD98" s="279"/>
      <c r="AE98" s="279"/>
      <c r="AF98" s="279"/>
      <c r="AG98" s="280"/>
      <c r="AH98" s="281"/>
      <c r="AI98" s="282"/>
      <c r="AJ98" s="283"/>
    </row>
    <row r="99" spans="1:36" s="22" customFormat="1" x14ac:dyDescent="0.25">
      <c r="A99" s="28" t="str">
        <f>IF(H99&lt;&gt;"",MAX($A$7:A98)+1,"")</f>
        <v/>
      </c>
      <c r="B99" s="243" t="str">
        <f t="shared" si="5"/>
        <v/>
      </c>
      <c r="C99" s="273" t="str">
        <f t="shared" si="6"/>
        <v/>
      </c>
      <c r="D99" s="246"/>
      <c r="E99" s="284"/>
      <c r="F99" s="284"/>
      <c r="G99" s="248"/>
      <c r="H99" s="241"/>
      <c r="I99" s="285"/>
      <c r="J99" s="286"/>
      <c r="K99" s="287"/>
      <c r="L99" s="288"/>
      <c r="M99" s="289"/>
      <c r="N99" s="290"/>
      <c r="O99" s="274"/>
      <c r="P99" s="275"/>
      <c r="Q99" s="276"/>
      <c r="R99" s="277"/>
      <c r="S99" s="278"/>
      <c r="T99" s="279"/>
      <c r="U99" s="279"/>
      <c r="V99" s="279"/>
      <c r="W99" s="279"/>
      <c r="X99" s="279"/>
      <c r="Y99" s="279"/>
      <c r="Z99" s="279"/>
      <c r="AA99" s="279"/>
      <c r="AB99" s="279"/>
      <c r="AC99" s="279"/>
      <c r="AD99" s="279"/>
      <c r="AE99" s="279"/>
      <c r="AF99" s="279"/>
      <c r="AG99" s="280"/>
      <c r="AH99" s="281"/>
      <c r="AI99" s="282"/>
      <c r="AJ99" s="283"/>
    </row>
    <row r="100" spans="1:36" s="22" customFormat="1" x14ac:dyDescent="0.25">
      <c r="A100" s="28" t="str">
        <f>IF(H100&lt;&gt;"",MAX($A$7:A99)+1,"")</f>
        <v/>
      </c>
      <c r="B100" s="243" t="str">
        <f t="shared" si="5"/>
        <v/>
      </c>
      <c r="C100" s="273" t="str">
        <f t="shared" si="6"/>
        <v/>
      </c>
      <c r="D100" s="246"/>
      <c r="E100" s="284"/>
      <c r="F100" s="284"/>
      <c r="G100" s="248"/>
      <c r="H100" s="241"/>
      <c r="I100" s="285"/>
      <c r="J100" s="286"/>
      <c r="K100" s="287"/>
      <c r="L100" s="288"/>
      <c r="M100" s="289"/>
      <c r="N100" s="290"/>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row>
    <row r="101" spans="1:36" s="22" customFormat="1" x14ac:dyDescent="0.25">
      <c r="A101" s="28" t="str">
        <f>IF(H101&lt;&gt;"",MAX($A$7:A100)+1,"")</f>
        <v/>
      </c>
      <c r="B101" s="243" t="str">
        <f t="shared" si="5"/>
        <v/>
      </c>
      <c r="C101" s="273" t="str">
        <f t="shared" si="6"/>
        <v/>
      </c>
      <c r="D101" s="246"/>
      <c r="E101" s="284"/>
      <c r="F101" s="284"/>
      <c r="G101" s="248"/>
      <c r="H101" s="241"/>
      <c r="I101" s="285"/>
      <c r="J101" s="286"/>
      <c r="K101" s="287"/>
      <c r="L101" s="288"/>
      <c r="M101" s="289"/>
      <c r="N101" s="290"/>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row>
    <row r="102" spans="1:36" s="22" customFormat="1" x14ac:dyDescent="0.25">
      <c r="A102" s="28" t="str">
        <f>IF(H102&lt;&gt;"",MAX($A$7:A101)+1,"")</f>
        <v/>
      </c>
      <c r="B102" s="243" t="str">
        <f t="shared" si="5"/>
        <v/>
      </c>
      <c r="C102" s="273" t="str">
        <f t="shared" si="6"/>
        <v/>
      </c>
      <c r="D102" s="246"/>
      <c r="E102" s="284"/>
      <c r="F102" s="284"/>
      <c r="G102" s="248"/>
      <c r="H102" s="241"/>
      <c r="I102" s="285"/>
      <c r="J102" s="286"/>
      <c r="K102" s="287"/>
      <c r="L102" s="288"/>
      <c r="M102" s="289"/>
      <c r="N102" s="290"/>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row>
    <row r="103" spans="1:36" s="22" customFormat="1" x14ac:dyDescent="0.25">
      <c r="A103" s="28" t="str">
        <f>IF(H103&lt;&gt;"",MAX($A$7:A102)+1,"")</f>
        <v/>
      </c>
      <c r="B103" s="243" t="str">
        <f t="shared" si="5"/>
        <v/>
      </c>
      <c r="C103" s="273" t="str">
        <f t="shared" si="6"/>
        <v/>
      </c>
      <c r="D103" s="246"/>
      <c r="E103" s="284"/>
      <c r="F103" s="284"/>
      <c r="G103" s="248"/>
      <c r="H103" s="241"/>
      <c r="I103" s="285"/>
      <c r="J103" s="286"/>
      <c r="K103" s="287"/>
      <c r="L103" s="288"/>
      <c r="M103" s="289"/>
      <c r="N103" s="290"/>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row>
    <row r="104" spans="1:36" s="22" customFormat="1" x14ac:dyDescent="0.25">
      <c r="A104" s="28" t="str">
        <f>IF(H104&lt;&gt;"",MAX($A$7:A103)+1,"")</f>
        <v/>
      </c>
      <c r="B104" s="243" t="str">
        <f t="shared" si="5"/>
        <v/>
      </c>
      <c r="C104" s="273" t="str">
        <f t="shared" si="6"/>
        <v/>
      </c>
      <c r="D104" s="246"/>
      <c r="E104" s="284"/>
      <c r="F104" s="284"/>
      <c r="G104" s="248"/>
      <c r="H104" s="241"/>
      <c r="I104" s="285"/>
      <c r="J104" s="286"/>
      <c r="K104" s="287"/>
      <c r="L104" s="288"/>
      <c r="M104" s="289"/>
      <c r="N104" s="290"/>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row>
    <row r="105" spans="1:36" s="22" customFormat="1" x14ac:dyDescent="0.25">
      <c r="A105" s="28" t="str">
        <f>IF(H105&lt;&gt;"",MAX($A$7:A104)+1,"")</f>
        <v/>
      </c>
      <c r="B105" s="243" t="str">
        <f t="shared" si="5"/>
        <v/>
      </c>
      <c r="C105" s="273" t="str">
        <f t="shared" si="6"/>
        <v/>
      </c>
      <c r="D105" s="246"/>
      <c r="E105" s="284"/>
      <c r="F105" s="284"/>
      <c r="G105" s="248"/>
      <c r="H105" s="241"/>
      <c r="I105" s="285"/>
      <c r="J105" s="286"/>
      <c r="K105" s="287"/>
      <c r="L105" s="288"/>
      <c r="M105" s="289"/>
      <c r="N105" s="290"/>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row>
    <row r="106" spans="1:36" s="22" customFormat="1" x14ac:dyDescent="0.25">
      <c r="A106" s="28" t="str">
        <f>IF(H106&lt;&gt;"",MAX($A$7:A105)+1,"")</f>
        <v/>
      </c>
      <c r="B106" s="243" t="str">
        <f t="shared" si="5"/>
        <v/>
      </c>
      <c r="C106" s="273" t="str">
        <f t="shared" si="6"/>
        <v/>
      </c>
      <c r="D106" s="246"/>
      <c r="E106" s="284"/>
      <c r="F106" s="284"/>
      <c r="G106" s="248"/>
      <c r="H106" s="241"/>
      <c r="I106" s="285"/>
      <c r="J106" s="286"/>
      <c r="K106" s="287"/>
      <c r="L106" s="288"/>
      <c r="M106" s="289"/>
      <c r="N106" s="290"/>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row>
    <row r="107" spans="1:36" s="22" customFormat="1" x14ac:dyDescent="0.25">
      <c r="A107" s="28" t="str">
        <f>IF(H107&lt;&gt;"",MAX($A$7:A106)+1,"")</f>
        <v/>
      </c>
      <c r="B107" s="243" t="str">
        <f t="shared" si="5"/>
        <v/>
      </c>
      <c r="C107" s="273" t="str">
        <f t="shared" si="6"/>
        <v/>
      </c>
      <c r="D107" s="246"/>
      <c r="E107" s="284"/>
      <c r="F107" s="284"/>
      <c r="G107" s="248"/>
      <c r="H107" s="241"/>
      <c r="I107" s="285"/>
      <c r="J107" s="286"/>
      <c r="K107" s="287"/>
      <c r="L107" s="288"/>
      <c r="M107" s="289"/>
      <c r="N107" s="290"/>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row>
    <row r="108" spans="1:36" s="22" customFormat="1" x14ac:dyDescent="0.25">
      <c r="A108" s="28" t="str">
        <f>IF(H108&lt;&gt;"",MAX($A$7:A107)+1,"")</f>
        <v/>
      </c>
      <c r="B108" s="243" t="str">
        <f t="shared" si="5"/>
        <v/>
      </c>
      <c r="C108" s="273" t="str">
        <f t="shared" si="6"/>
        <v/>
      </c>
      <c r="D108" s="246"/>
      <c r="E108" s="284"/>
      <c r="F108" s="284"/>
      <c r="G108" s="248"/>
      <c r="H108" s="241"/>
      <c r="I108" s="285"/>
      <c r="J108" s="286"/>
      <c r="K108" s="287"/>
      <c r="L108" s="288"/>
      <c r="M108" s="289"/>
      <c r="N108" s="290"/>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row>
    <row r="109" spans="1:36" s="22" customFormat="1" x14ac:dyDescent="0.25">
      <c r="A109" s="28" t="str">
        <f>IF(H109&lt;&gt;"",MAX($A$7:A108)+1,"")</f>
        <v/>
      </c>
      <c r="B109" s="243" t="str">
        <f t="shared" si="5"/>
        <v/>
      </c>
      <c r="C109" s="273" t="str">
        <f t="shared" si="6"/>
        <v/>
      </c>
      <c r="D109" s="246"/>
      <c r="E109" s="284"/>
      <c r="F109" s="284"/>
      <c r="G109" s="248"/>
      <c r="H109" s="241"/>
      <c r="I109" s="285"/>
      <c r="J109" s="286"/>
      <c r="K109" s="287"/>
      <c r="L109" s="288"/>
      <c r="M109" s="289"/>
      <c r="N109" s="290"/>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row>
    <row r="110" spans="1:36" s="22" customFormat="1" x14ac:dyDescent="0.25">
      <c r="A110" s="28" t="str">
        <f>IF(H110&lt;&gt;"",MAX($A$7:A109)+1,"")</f>
        <v/>
      </c>
      <c r="B110" s="243" t="str">
        <f t="shared" si="5"/>
        <v/>
      </c>
      <c r="C110" s="273" t="str">
        <f t="shared" si="6"/>
        <v/>
      </c>
      <c r="D110" s="246"/>
      <c r="E110" s="284"/>
      <c r="F110" s="284"/>
      <c r="G110" s="248"/>
      <c r="H110" s="241"/>
      <c r="I110" s="285"/>
      <c r="J110" s="286"/>
      <c r="K110" s="287"/>
      <c r="L110" s="288"/>
      <c r="M110" s="289"/>
      <c r="N110" s="290"/>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row>
    <row r="111" spans="1:36" s="22" customFormat="1" x14ac:dyDescent="0.25">
      <c r="A111" s="28" t="str">
        <f>IF(H111&lt;&gt;"",MAX($A$7:A110)+1,"")</f>
        <v/>
      </c>
      <c r="B111" s="243" t="str">
        <f t="shared" si="5"/>
        <v/>
      </c>
      <c r="C111" s="273" t="str">
        <f t="shared" si="6"/>
        <v/>
      </c>
      <c r="D111" s="246"/>
      <c r="E111" s="284"/>
      <c r="F111" s="284"/>
      <c r="G111" s="248"/>
      <c r="H111" s="241"/>
      <c r="I111" s="285"/>
      <c r="J111" s="286"/>
      <c r="K111" s="287"/>
      <c r="L111" s="288"/>
      <c r="M111" s="289"/>
      <c r="N111" s="290"/>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row>
    <row r="112" spans="1:36" s="22" customFormat="1" x14ac:dyDescent="0.25">
      <c r="A112" s="28" t="str">
        <f>IF(H112&lt;&gt;"",MAX($A$7:A111)+1,"")</f>
        <v/>
      </c>
      <c r="B112" s="243" t="str">
        <f t="shared" si="5"/>
        <v/>
      </c>
      <c r="C112" s="273" t="str">
        <f t="shared" si="6"/>
        <v/>
      </c>
      <c r="D112" s="246"/>
      <c r="E112" s="284"/>
      <c r="F112" s="284"/>
      <c r="G112" s="248"/>
      <c r="H112" s="241"/>
      <c r="I112" s="285"/>
      <c r="J112" s="286"/>
      <c r="K112" s="287"/>
      <c r="L112" s="288"/>
      <c r="M112" s="289"/>
      <c r="N112" s="290"/>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row>
    <row r="113" spans="1:36" s="22" customFormat="1" x14ac:dyDescent="0.25">
      <c r="A113" s="28" t="str">
        <f>IF(H113&lt;&gt;"",MAX($A$7:A112)+1,"")</f>
        <v/>
      </c>
      <c r="B113" s="243" t="str">
        <f t="shared" si="5"/>
        <v/>
      </c>
      <c r="C113" s="273" t="str">
        <f t="shared" si="6"/>
        <v/>
      </c>
      <c r="D113" s="246"/>
      <c r="E113" s="284"/>
      <c r="F113" s="284"/>
      <c r="G113" s="248"/>
      <c r="H113" s="241"/>
      <c r="I113" s="285"/>
      <c r="J113" s="286"/>
      <c r="K113" s="287"/>
      <c r="L113" s="288"/>
      <c r="M113" s="289"/>
      <c r="N113" s="290"/>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row>
    <row r="114" spans="1:36" s="22" customFormat="1" x14ac:dyDescent="0.25">
      <c r="A114" s="28" t="str">
        <f>IF(H114&lt;&gt;"",MAX($A$7:A113)+1,"")</f>
        <v/>
      </c>
      <c r="B114" s="243" t="str">
        <f t="shared" si="5"/>
        <v/>
      </c>
      <c r="C114" s="273" t="str">
        <f t="shared" si="6"/>
        <v/>
      </c>
      <c r="D114" s="246"/>
      <c r="E114" s="284"/>
      <c r="F114" s="284"/>
      <c r="G114" s="248"/>
      <c r="H114" s="241"/>
      <c r="I114" s="285"/>
      <c r="J114" s="286"/>
      <c r="K114" s="287"/>
      <c r="L114" s="288"/>
      <c r="M114" s="289"/>
      <c r="N114" s="290"/>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row>
    <row r="115" spans="1:36" s="22" customFormat="1" x14ac:dyDescent="0.25">
      <c r="A115" s="28" t="str">
        <f>IF(H115&lt;&gt;"",MAX($A$7:A114)+1,"")</f>
        <v/>
      </c>
      <c r="B115" s="243" t="str">
        <f t="shared" si="5"/>
        <v/>
      </c>
      <c r="C115" s="273" t="str">
        <f t="shared" si="6"/>
        <v/>
      </c>
      <c r="D115" s="246"/>
      <c r="E115" s="284"/>
      <c r="F115" s="284"/>
      <c r="G115" s="248"/>
      <c r="H115" s="241"/>
      <c r="I115" s="285"/>
      <c r="J115" s="286"/>
      <c r="K115" s="287"/>
      <c r="L115" s="288"/>
      <c r="M115" s="289"/>
      <c r="N115" s="290"/>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row>
    <row r="116" spans="1:36" s="22" customFormat="1" x14ac:dyDescent="0.25">
      <c r="A116" s="28" t="str">
        <f>IF(H116&lt;&gt;"",MAX($A$7:A115)+1,"")</f>
        <v/>
      </c>
      <c r="B116" s="243" t="str">
        <f t="shared" si="5"/>
        <v/>
      </c>
      <c r="C116" s="273" t="str">
        <f t="shared" si="6"/>
        <v/>
      </c>
      <c r="D116" s="246"/>
      <c r="E116" s="284"/>
      <c r="F116" s="284"/>
      <c r="G116" s="248"/>
      <c r="H116" s="241"/>
      <c r="I116" s="285"/>
      <c r="J116" s="286"/>
      <c r="K116" s="287"/>
      <c r="L116" s="288"/>
      <c r="M116" s="289"/>
      <c r="N116" s="290"/>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row>
    <row r="117" spans="1:36" s="22" customFormat="1" x14ac:dyDescent="0.25">
      <c r="A117" s="28" t="str">
        <f>IF(H117&lt;&gt;"",MAX($A$7:A116)+1,"")</f>
        <v/>
      </c>
      <c r="B117" s="243" t="str">
        <f t="shared" si="5"/>
        <v/>
      </c>
      <c r="C117" s="273" t="str">
        <f t="shared" si="6"/>
        <v/>
      </c>
      <c r="D117" s="246"/>
      <c r="E117" s="284"/>
      <c r="F117" s="284"/>
      <c r="G117" s="248"/>
      <c r="H117" s="241"/>
      <c r="I117" s="285"/>
      <c r="J117" s="286"/>
      <c r="K117" s="287"/>
      <c r="L117" s="288"/>
      <c r="M117" s="289"/>
      <c r="N117" s="290"/>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row>
    <row r="118" spans="1:36" s="22" customFormat="1" x14ac:dyDescent="0.25">
      <c r="A118" s="28" t="str">
        <f>IF(H118&lt;&gt;"",MAX($A$7:A117)+1,"")</f>
        <v/>
      </c>
      <c r="B118" s="243" t="str">
        <f t="shared" si="5"/>
        <v/>
      </c>
      <c r="C118" s="273" t="str">
        <f t="shared" si="6"/>
        <v/>
      </c>
      <c r="D118" s="246"/>
      <c r="E118" s="284"/>
      <c r="F118" s="284"/>
      <c r="G118" s="248"/>
      <c r="H118" s="241"/>
      <c r="I118" s="285"/>
      <c r="J118" s="286"/>
      <c r="K118" s="287"/>
      <c r="L118" s="288"/>
      <c r="M118" s="289"/>
      <c r="N118" s="290"/>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row>
    <row r="119" spans="1:36" s="22" customFormat="1" x14ac:dyDescent="0.25">
      <c r="A119" s="28" t="str">
        <f>IF(H119&lt;&gt;"",MAX($A$7:A118)+1,"")</f>
        <v/>
      </c>
      <c r="B119" s="243" t="str">
        <f t="shared" si="5"/>
        <v/>
      </c>
      <c r="C119" s="273" t="str">
        <f t="shared" si="6"/>
        <v/>
      </c>
      <c r="D119" s="246"/>
      <c r="E119" s="284"/>
      <c r="F119" s="284"/>
      <c r="G119" s="248"/>
      <c r="H119" s="241"/>
      <c r="I119" s="285"/>
      <c r="J119" s="286"/>
      <c r="K119" s="287"/>
      <c r="L119" s="288"/>
      <c r="M119" s="289"/>
      <c r="N119" s="290"/>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row>
    <row r="120" spans="1:36" s="22" customFormat="1" x14ac:dyDescent="0.25">
      <c r="A120" s="28" t="str">
        <f>IF(H120&lt;&gt;"",MAX($A$7:A119)+1,"")</f>
        <v/>
      </c>
      <c r="B120" s="243" t="str">
        <f t="shared" si="5"/>
        <v/>
      </c>
      <c r="C120" s="273" t="str">
        <f t="shared" si="6"/>
        <v/>
      </c>
      <c r="D120" s="246"/>
      <c r="E120" s="284"/>
      <c r="F120" s="284"/>
      <c r="G120" s="248"/>
      <c r="H120" s="241"/>
      <c r="I120" s="285"/>
      <c r="J120" s="286"/>
      <c r="K120" s="287"/>
      <c r="L120" s="288"/>
      <c r="M120" s="289"/>
      <c r="N120" s="290"/>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row>
    <row r="121" spans="1:36" s="22" customFormat="1" x14ac:dyDescent="0.25">
      <c r="A121" s="28" t="str">
        <f>IF(H121&lt;&gt;"",MAX($A$7:A120)+1,"")</f>
        <v/>
      </c>
      <c r="B121" s="243" t="str">
        <f t="shared" si="5"/>
        <v/>
      </c>
      <c r="C121" s="273" t="str">
        <f t="shared" si="6"/>
        <v/>
      </c>
      <c r="D121" s="246"/>
      <c r="E121" s="284"/>
      <c r="F121" s="284"/>
      <c r="G121" s="248"/>
      <c r="H121" s="241"/>
      <c r="I121" s="285"/>
      <c r="J121" s="286"/>
      <c r="K121" s="287"/>
      <c r="L121" s="288"/>
      <c r="M121" s="289"/>
      <c r="N121" s="290"/>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row>
    <row r="122" spans="1:36" s="22" customFormat="1" x14ac:dyDescent="0.25">
      <c r="A122" s="28" t="str">
        <f>IF(H122&lt;&gt;"",MAX($A$7:A121)+1,"")</f>
        <v/>
      </c>
      <c r="B122" s="243" t="str">
        <f t="shared" si="5"/>
        <v/>
      </c>
      <c r="C122" s="273" t="str">
        <f t="shared" si="6"/>
        <v/>
      </c>
      <c r="D122" s="246"/>
      <c r="E122" s="284"/>
      <c r="F122" s="284"/>
      <c r="G122" s="248"/>
      <c r="H122" s="241"/>
      <c r="I122" s="285"/>
      <c r="J122" s="286"/>
      <c r="K122" s="287"/>
      <c r="L122" s="288"/>
      <c r="M122" s="289"/>
      <c r="N122" s="290"/>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row>
    <row r="123" spans="1:36" s="22" customFormat="1" x14ac:dyDescent="0.25">
      <c r="A123" s="28" t="str">
        <f>IF(H123&lt;&gt;"",MAX($A$7:A122)+1,"")</f>
        <v/>
      </c>
      <c r="B123" s="243" t="str">
        <f t="shared" si="5"/>
        <v/>
      </c>
      <c r="C123" s="273" t="str">
        <f t="shared" si="6"/>
        <v/>
      </c>
      <c r="D123" s="246"/>
      <c r="E123" s="284"/>
      <c r="F123" s="284"/>
      <c r="G123" s="248"/>
      <c r="H123" s="241"/>
      <c r="I123" s="285"/>
      <c r="J123" s="286"/>
      <c r="K123" s="287"/>
      <c r="L123" s="288"/>
      <c r="M123" s="289"/>
      <c r="N123" s="290"/>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row>
    <row r="124" spans="1:36" s="22" customFormat="1" x14ac:dyDescent="0.25">
      <c r="A124" s="28" t="str">
        <f>IF(H124&lt;&gt;"",MAX($A$7:A123)+1,"")</f>
        <v/>
      </c>
      <c r="B124" s="243" t="str">
        <f t="shared" si="5"/>
        <v/>
      </c>
      <c r="C124" s="273" t="str">
        <f t="shared" si="6"/>
        <v/>
      </c>
      <c r="D124" s="246"/>
      <c r="E124" s="284"/>
      <c r="F124" s="284"/>
      <c r="G124" s="248"/>
      <c r="H124" s="241"/>
      <c r="I124" s="285"/>
      <c r="J124" s="286"/>
      <c r="K124" s="287"/>
      <c r="L124" s="288"/>
      <c r="M124" s="289"/>
      <c r="N124" s="290"/>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row>
    <row r="125" spans="1:36" s="22" customFormat="1" x14ac:dyDescent="0.25">
      <c r="A125" s="28" t="str">
        <f>IF(H125&lt;&gt;"",MAX($A$7:A124)+1,"")</f>
        <v/>
      </c>
      <c r="B125" s="243" t="str">
        <f t="shared" si="5"/>
        <v/>
      </c>
      <c r="C125" s="273" t="str">
        <f t="shared" si="6"/>
        <v/>
      </c>
      <c r="D125" s="246"/>
      <c r="E125" s="284"/>
      <c r="F125" s="284"/>
      <c r="G125" s="248"/>
      <c r="H125" s="241"/>
      <c r="I125" s="285"/>
      <c r="J125" s="286"/>
      <c r="K125" s="287"/>
      <c r="L125" s="288"/>
      <c r="M125" s="289"/>
      <c r="N125" s="290"/>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row>
    <row r="126" spans="1:36" s="22" customFormat="1" x14ac:dyDescent="0.25">
      <c r="A126" s="28" t="str">
        <f>IF(H126&lt;&gt;"",MAX($A$7:A125)+1,"")</f>
        <v/>
      </c>
      <c r="B126" s="243" t="str">
        <f t="shared" si="5"/>
        <v/>
      </c>
      <c r="C126" s="273" t="str">
        <f t="shared" si="6"/>
        <v/>
      </c>
      <c r="D126" s="246"/>
      <c r="E126" s="284"/>
      <c r="F126" s="284"/>
      <c r="G126" s="248"/>
      <c r="H126" s="241"/>
      <c r="I126" s="285"/>
      <c r="J126" s="286"/>
      <c r="K126" s="287"/>
      <c r="L126" s="288"/>
      <c r="M126" s="289"/>
      <c r="N126" s="290"/>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row>
    <row r="127" spans="1:36" s="22" customFormat="1" x14ac:dyDescent="0.25">
      <c r="A127" s="28" t="str">
        <f>IF(H127&lt;&gt;"",MAX($A$7:A126)+1,"")</f>
        <v/>
      </c>
      <c r="B127" s="243" t="str">
        <f t="shared" si="5"/>
        <v/>
      </c>
      <c r="C127" s="273" t="str">
        <f t="shared" si="6"/>
        <v/>
      </c>
      <c r="D127" s="246"/>
      <c r="E127" s="284"/>
      <c r="F127" s="284"/>
      <c r="G127" s="248"/>
      <c r="H127" s="241"/>
      <c r="I127" s="285"/>
      <c r="J127" s="286"/>
      <c r="K127" s="287"/>
      <c r="L127" s="288"/>
      <c r="M127" s="289"/>
      <c r="N127" s="290"/>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row>
    <row r="128" spans="1:36" s="22" customFormat="1" x14ac:dyDescent="0.25">
      <c r="A128" s="28" t="str">
        <f>IF(H128&lt;&gt;"",MAX($A$7:A127)+1,"")</f>
        <v/>
      </c>
      <c r="B128" s="243" t="str">
        <f t="shared" si="5"/>
        <v/>
      </c>
      <c r="C128" s="273" t="str">
        <f t="shared" si="6"/>
        <v/>
      </c>
      <c r="D128" s="246"/>
      <c r="E128" s="284"/>
      <c r="F128" s="284"/>
      <c r="G128" s="248"/>
      <c r="H128" s="241"/>
      <c r="I128" s="285"/>
      <c r="J128" s="286"/>
      <c r="K128" s="287"/>
      <c r="L128" s="288"/>
      <c r="M128" s="289"/>
      <c r="N128" s="290"/>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row>
    <row r="129" spans="1:36" s="22" customFormat="1" x14ac:dyDescent="0.25">
      <c r="A129" s="28" t="str">
        <f>IF(H129&lt;&gt;"",MAX($A$7:A128)+1,"")</f>
        <v/>
      </c>
      <c r="B129" s="243" t="str">
        <f t="shared" si="5"/>
        <v/>
      </c>
      <c r="C129" s="273" t="str">
        <f t="shared" si="6"/>
        <v/>
      </c>
      <c r="D129" s="246"/>
      <c r="E129" s="284"/>
      <c r="F129" s="284"/>
      <c r="G129" s="248"/>
      <c r="H129" s="241"/>
      <c r="I129" s="285"/>
      <c r="J129" s="286"/>
      <c r="K129" s="287"/>
      <c r="L129" s="288"/>
      <c r="M129" s="289"/>
      <c r="N129" s="290"/>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row>
    <row r="130" spans="1:36" s="22" customFormat="1" x14ac:dyDescent="0.25">
      <c r="A130" s="28" t="str">
        <f>IF(H130&lt;&gt;"",MAX($A$7:A129)+1,"")</f>
        <v/>
      </c>
      <c r="B130" s="243" t="str">
        <f t="shared" si="5"/>
        <v/>
      </c>
      <c r="C130" s="273" t="str">
        <f t="shared" si="6"/>
        <v/>
      </c>
      <c r="D130" s="246"/>
      <c r="E130" s="284"/>
      <c r="F130" s="284"/>
      <c r="G130" s="248"/>
      <c r="H130" s="241"/>
      <c r="I130" s="285"/>
      <c r="J130" s="286"/>
      <c r="K130" s="287"/>
      <c r="L130" s="288"/>
      <c r="M130" s="289"/>
      <c r="N130" s="290"/>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row>
    <row r="131" spans="1:36" s="22" customFormat="1" x14ac:dyDescent="0.25">
      <c r="A131" s="28" t="str">
        <f>IF(H131&lt;&gt;"",MAX($A$7:A130)+1,"")</f>
        <v/>
      </c>
      <c r="B131" s="243" t="str">
        <f t="shared" si="5"/>
        <v/>
      </c>
      <c r="C131" s="273" t="str">
        <f t="shared" si="6"/>
        <v/>
      </c>
      <c r="D131" s="246"/>
      <c r="E131" s="284"/>
      <c r="F131" s="284"/>
      <c r="G131" s="248"/>
      <c r="H131" s="241"/>
      <c r="I131" s="285"/>
      <c r="J131" s="286"/>
      <c r="K131" s="287"/>
      <c r="L131" s="288"/>
      <c r="M131" s="289"/>
      <c r="N131" s="290"/>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row>
    <row r="132" spans="1:36" s="22" customFormat="1" x14ac:dyDescent="0.25">
      <c r="A132" s="28" t="str">
        <f>IF(H132&lt;&gt;"",MAX($A$7:A131)+1,"")</f>
        <v/>
      </c>
      <c r="B132" s="243" t="str">
        <f t="shared" si="5"/>
        <v/>
      </c>
      <c r="C132" s="273" t="str">
        <f t="shared" si="6"/>
        <v/>
      </c>
      <c r="D132" s="246"/>
      <c r="E132" s="284"/>
      <c r="F132" s="284"/>
      <c r="G132" s="248"/>
      <c r="H132" s="241"/>
      <c r="I132" s="285"/>
      <c r="J132" s="286"/>
      <c r="K132" s="287"/>
      <c r="L132" s="288"/>
      <c r="M132" s="289"/>
      <c r="N132" s="290"/>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row>
    <row r="133" spans="1:36" s="22" customFormat="1" x14ac:dyDescent="0.25">
      <c r="A133" s="28" t="str">
        <f>IF(H133&lt;&gt;"",MAX($A$7:A132)+1,"")</f>
        <v/>
      </c>
      <c r="B133" s="243" t="str">
        <f t="shared" si="5"/>
        <v/>
      </c>
      <c r="C133" s="273" t="str">
        <f t="shared" si="6"/>
        <v/>
      </c>
      <c r="D133" s="246"/>
      <c r="E133" s="284"/>
      <c r="F133" s="284"/>
      <c r="G133" s="248"/>
      <c r="H133" s="241"/>
      <c r="I133" s="285"/>
      <c r="J133" s="286"/>
      <c r="K133" s="287"/>
      <c r="L133" s="288"/>
      <c r="M133" s="289"/>
      <c r="N133" s="290"/>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row>
    <row r="134" spans="1:36" s="22" customFormat="1" x14ac:dyDescent="0.25">
      <c r="A134" s="28" t="str">
        <f>IF(H134&lt;&gt;"",MAX($A$7:A133)+1,"")</f>
        <v/>
      </c>
      <c r="B134" s="243" t="str">
        <f t="shared" si="5"/>
        <v/>
      </c>
      <c r="C134" s="273" t="str">
        <f t="shared" si="6"/>
        <v/>
      </c>
      <c r="D134" s="246"/>
      <c r="E134" s="284"/>
      <c r="F134" s="284"/>
      <c r="G134" s="248"/>
      <c r="H134" s="241"/>
      <c r="I134" s="285"/>
      <c r="J134" s="286"/>
      <c r="K134" s="287"/>
      <c r="L134" s="288"/>
      <c r="M134" s="289"/>
      <c r="N134" s="290"/>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row>
    <row r="135" spans="1:36" s="22" customFormat="1" x14ac:dyDescent="0.25">
      <c r="A135" s="28" t="str">
        <f>IF(H135&lt;&gt;"",MAX($A$7:A134)+1,"")</f>
        <v/>
      </c>
      <c r="B135" s="243" t="str">
        <f t="shared" ref="B135:B198" si="7">IF(A135="","",PREF_PREGUNTA&amp;" - "&amp;IF(MAX(A:A)&gt;99,IF(A135&lt;100,"0",""),"")&amp;IF(A135&lt;10,"0","")&amp;A135&amp;IF(G135&lt;&gt;""," "&amp;G135,""))</f>
        <v/>
      </c>
      <c r="C135" s="273" t="str">
        <f t="shared" ref="C135:C198" si="8">IF(COUNTA(I135:N135)-D135=0,"",COUNTA(I135:N135)-D135)</f>
        <v/>
      </c>
      <c r="D135" s="246"/>
      <c r="E135" s="284"/>
      <c r="F135" s="284"/>
      <c r="G135" s="248"/>
      <c r="H135" s="241"/>
      <c r="I135" s="285"/>
      <c r="J135" s="286"/>
      <c r="K135" s="287"/>
      <c r="L135" s="288"/>
      <c r="M135" s="289"/>
      <c r="N135" s="290"/>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row>
    <row r="136" spans="1:36" s="22" customFormat="1" x14ac:dyDescent="0.25">
      <c r="A136" s="28" t="str">
        <f>IF(H136&lt;&gt;"",MAX($A$7:A135)+1,"")</f>
        <v/>
      </c>
      <c r="B136" s="243" t="str">
        <f t="shared" si="7"/>
        <v/>
      </c>
      <c r="C136" s="273" t="str">
        <f t="shared" si="8"/>
        <v/>
      </c>
      <c r="D136" s="246"/>
      <c r="E136" s="284"/>
      <c r="F136" s="284"/>
      <c r="G136" s="248"/>
      <c r="H136" s="241"/>
      <c r="I136" s="285"/>
      <c r="J136" s="286"/>
      <c r="K136" s="287"/>
      <c r="L136" s="288"/>
      <c r="M136" s="289"/>
      <c r="N136" s="290"/>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row>
    <row r="137" spans="1:36" s="22" customFormat="1" x14ac:dyDescent="0.25">
      <c r="A137" s="28" t="str">
        <f>IF(H137&lt;&gt;"",MAX($A$7:A136)+1,"")</f>
        <v/>
      </c>
      <c r="B137" s="243" t="str">
        <f t="shared" si="7"/>
        <v/>
      </c>
      <c r="C137" s="273" t="str">
        <f t="shared" si="8"/>
        <v/>
      </c>
      <c r="D137" s="246"/>
      <c r="E137" s="284"/>
      <c r="F137" s="284"/>
      <c r="G137" s="248"/>
      <c r="H137" s="241"/>
      <c r="I137" s="285"/>
      <c r="J137" s="286"/>
      <c r="K137" s="287"/>
      <c r="L137" s="288"/>
      <c r="M137" s="289"/>
      <c r="N137" s="290"/>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row>
    <row r="138" spans="1:36" s="22" customFormat="1" x14ac:dyDescent="0.25">
      <c r="A138" s="28" t="str">
        <f>IF(H138&lt;&gt;"",MAX($A$7:A137)+1,"")</f>
        <v/>
      </c>
      <c r="B138" s="243" t="str">
        <f t="shared" si="7"/>
        <v/>
      </c>
      <c r="C138" s="273" t="str">
        <f t="shared" si="8"/>
        <v/>
      </c>
      <c r="D138" s="246"/>
      <c r="E138" s="284"/>
      <c r="F138" s="284"/>
      <c r="G138" s="248"/>
      <c r="H138" s="241"/>
      <c r="I138" s="285"/>
      <c r="J138" s="286"/>
      <c r="K138" s="287"/>
      <c r="L138" s="288"/>
      <c r="M138" s="289"/>
      <c r="N138" s="290"/>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row>
    <row r="139" spans="1:36" s="22" customFormat="1" x14ac:dyDescent="0.25">
      <c r="A139" s="28" t="str">
        <f>IF(H139&lt;&gt;"",MAX($A$7:A138)+1,"")</f>
        <v/>
      </c>
      <c r="B139" s="243" t="str">
        <f t="shared" si="7"/>
        <v/>
      </c>
      <c r="C139" s="273" t="str">
        <f t="shared" si="8"/>
        <v/>
      </c>
      <c r="D139" s="246"/>
      <c r="E139" s="284"/>
      <c r="F139" s="284"/>
      <c r="G139" s="248"/>
      <c r="H139" s="241"/>
      <c r="I139" s="285"/>
      <c r="J139" s="286"/>
      <c r="K139" s="287"/>
      <c r="L139" s="288"/>
      <c r="M139" s="289"/>
      <c r="N139" s="290"/>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row>
    <row r="140" spans="1:36" s="22" customFormat="1" x14ac:dyDescent="0.25">
      <c r="A140" s="28" t="str">
        <f>IF(H140&lt;&gt;"",MAX($A$7:A139)+1,"")</f>
        <v/>
      </c>
      <c r="B140" s="243" t="str">
        <f t="shared" si="7"/>
        <v/>
      </c>
      <c r="C140" s="273" t="str">
        <f t="shared" si="8"/>
        <v/>
      </c>
      <c r="D140" s="246"/>
      <c r="E140" s="284"/>
      <c r="F140" s="284"/>
      <c r="G140" s="248"/>
      <c r="H140" s="241"/>
      <c r="I140" s="285"/>
      <c r="J140" s="286"/>
      <c r="K140" s="287"/>
      <c r="L140" s="288"/>
      <c r="M140" s="289"/>
      <c r="N140" s="290"/>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row>
    <row r="141" spans="1:36" s="22" customFormat="1" x14ac:dyDescent="0.25">
      <c r="A141" s="28" t="str">
        <f>IF(H141&lt;&gt;"",MAX($A$7:A140)+1,"")</f>
        <v/>
      </c>
      <c r="B141" s="243" t="str">
        <f t="shared" si="7"/>
        <v/>
      </c>
      <c r="C141" s="273" t="str">
        <f t="shared" si="8"/>
        <v/>
      </c>
      <c r="D141" s="246"/>
      <c r="E141" s="284"/>
      <c r="F141" s="284"/>
      <c r="G141" s="248"/>
      <c r="H141" s="241"/>
      <c r="I141" s="285"/>
      <c r="J141" s="286"/>
      <c r="K141" s="287"/>
      <c r="L141" s="288"/>
      <c r="M141" s="289"/>
      <c r="N141" s="290"/>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row>
    <row r="142" spans="1:36" s="22" customFormat="1" x14ac:dyDescent="0.25">
      <c r="A142" s="28" t="str">
        <f>IF(H142&lt;&gt;"",MAX($A$7:A141)+1,"")</f>
        <v/>
      </c>
      <c r="B142" s="243" t="str">
        <f t="shared" si="7"/>
        <v/>
      </c>
      <c r="C142" s="273" t="str">
        <f t="shared" si="8"/>
        <v/>
      </c>
      <c r="D142" s="246"/>
      <c r="E142" s="284"/>
      <c r="F142" s="284"/>
      <c r="G142" s="248"/>
      <c r="H142" s="241"/>
      <c r="I142" s="285"/>
      <c r="J142" s="286"/>
      <c r="K142" s="287"/>
      <c r="L142" s="288"/>
      <c r="M142" s="289"/>
      <c r="N142" s="290"/>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row>
    <row r="143" spans="1:36" s="22" customFormat="1" x14ac:dyDescent="0.25">
      <c r="A143" s="28" t="str">
        <f>IF(H143&lt;&gt;"",MAX($A$7:A142)+1,"")</f>
        <v/>
      </c>
      <c r="B143" s="243" t="str">
        <f t="shared" si="7"/>
        <v/>
      </c>
      <c r="C143" s="273" t="str">
        <f t="shared" si="8"/>
        <v/>
      </c>
      <c r="D143" s="246"/>
      <c r="E143" s="284"/>
      <c r="F143" s="284"/>
      <c r="G143" s="248"/>
      <c r="H143" s="241"/>
      <c r="I143" s="285"/>
      <c r="J143" s="286"/>
      <c r="K143" s="287"/>
      <c r="L143" s="288"/>
      <c r="M143" s="289"/>
      <c r="N143" s="290"/>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row>
    <row r="144" spans="1:36" s="22" customFormat="1" x14ac:dyDescent="0.25">
      <c r="A144" s="28" t="str">
        <f>IF(H144&lt;&gt;"",MAX($A$7:A143)+1,"")</f>
        <v/>
      </c>
      <c r="B144" s="243" t="str">
        <f t="shared" si="7"/>
        <v/>
      </c>
      <c r="C144" s="273" t="str">
        <f t="shared" si="8"/>
        <v/>
      </c>
      <c r="D144" s="246"/>
      <c r="E144" s="284"/>
      <c r="F144" s="284"/>
      <c r="G144" s="248"/>
      <c r="H144" s="241"/>
      <c r="I144" s="285"/>
      <c r="J144" s="286"/>
      <c r="K144" s="287"/>
      <c r="L144" s="288"/>
      <c r="M144" s="289"/>
      <c r="N144" s="290"/>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row>
    <row r="145" spans="1:36" s="22" customFormat="1" x14ac:dyDescent="0.25">
      <c r="A145" s="28" t="str">
        <f>IF(H145&lt;&gt;"",MAX($A$7:A144)+1,"")</f>
        <v/>
      </c>
      <c r="B145" s="243" t="str">
        <f t="shared" si="7"/>
        <v/>
      </c>
      <c r="C145" s="273" t="str">
        <f t="shared" si="8"/>
        <v/>
      </c>
      <c r="D145" s="246"/>
      <c r="E145" s="284"/>
      <c r="F145" s="284"/>
      <c r="G145" s="248"/>
      <c r="H145" s="241"/>
      <c r="I145" s="285"/>
      <c r="J145" s="286"/>
      <c r="K145" s="287"/>
      <c r="L145" s="288"/>
      <c r="M145" s="289"/>
      <c r="N145" s="290"/>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row>
    <row r="146" spans="1:36" s="22" customFormat="1" x14ac:dyDescent="0.25">
      <c r="A146" s="28" t="str">
        <f>IF(H146&lt;&gt;"",MAX($A$7:A145)+1,"")</f>
        <v/>
      </c>
      <c r="B146" s="243" t="str">
        <f t="shared" si="7"/>
        <v/>
      </c>
      <c r="C146" s="273" t="str">
        <f t="shared" si="8"/>
        <v/>
      </c>
      <c r="D146" s="246"/>
      <c r="E146" s="284"/>
      <c r="F146" s="284"/>
      <c r="G146" s="248"/>
      <c r="H146" s="241"/>
      <c r="I146" s="285"/>
      <c r="J146" s="286"/>
      <c r="K146" s="287"/>
      <c r="L146" s="288"/>
      <c r="M146" s="289"/>
      <c r="N146" s="290"/>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row>
    <row r="147" spans="1:36" s="22" customFormat="1" x14ac:dyDescent="0.25">
      <c r="A147" s="28" t="str">
        <f>IF(H147&lt;&gt;"",MAX($A$7:A146)+1,"")</f>
        <v/>
      </c>
      <c r="B147" s="243" t="str">
        <f t="shared" si="7"/>
        <v/>
      </c>
      <c r="C147" s="273" t="str">
        <f t="shared" si="8"/>
        <v/>
      </c>
      <c r="D147" s="246"/>
      <c r="E147" s="284"/>
      <c r="F147" s="284"/>
      <c r="G147" s="248"/>
      <c r="H147" s="241"/>
      <c r="I147" s="285"/>
      <c r="J147" s="286"/>
      <c r="K147" s="287"/>
      <c r="L147" s="288"/>
      <c r="M147" s="289"/>
      <c r="N147" s="290"/>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row>
    <row r="148" spans="1:36" s="22" customFormat="1" x14ac:dyDescent="0.25">
      <c r="A148" s="28" t="str">
        <f>IF(H148&lt;&gt;"",MAX($A$7:A147)+1,"")</f>
        <v/>
      </c>
      <c r="B148" s="243" t="str">
        <f t="shared" si="7"/>
        <v/>
      </c>
      <c r="C148" s="273" t="str">
        <f t="shared" si="8"/>
        <v/>
      </c>
      <c r="D148" s="246"/>
      <c r="E148" s="284"/>
      <c r="F148" s="284"/>
      <c r="G148" s="248"/>
      <c r="H148" s="241"/>
      <c r="I148" s="285"/>
      <c r="J148" s="286"/>
      <c r="K148" s="287"/>
      <c r="L148" s="288"/>
      <c r="M148" s="289"/>
      <c r="N148" s="290"/>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row>
    <row r="149" spans="1:36" s="22" customFormat="1" x14ac:dyDescent="0.25">
      <c r="A149" s="28" t="str">
        <f>IF(H149&lt;&gt;"",MAX($A$7:A148)+1,"")</f>
        <v/>
      </c>
      <c r="B149" s="243" t="str">
        <f t="shared" si="7"/>
        <v/>
      </c>
      <c r="C149" s="273" t="str">
        <f t="shared" si="8"/>
        <v/>
      </c>
      <c r="D149" s="246"/>
      <c r="E149" s="284"/>
      <c r="F149" s="284"/>
      <c r="G149" s="248"/>
      <c r="H149" s="241"/>
      <c r="I149" s="285"/>
      <c r="J149" s="286"/>
      <c r="K149" s="287"/>
      <c r="L149" s="288"/>
      <c r="M149" s="289"/>
      <c r="N149" s="290"/>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row>
    <row r="150" spans="1:36" s="22" customFormat="1" x14ac:dyDescent="0.25">
      <c r="A150" s="28" t="str">
        <f>IF(H150&lt;&gt;"",MAX($A$7:A149)+1,"")</f>
        <v/>
      </c>
      <c r="B150" s="243" t="str">
        <f t="shared" si="7"/>
        <v/>
      </c>
      <c r="C150" s="273" t="str">
        <f t="shared" si="8"/>
        <v/>
      </c>
      <c r="D150" s="246"/>
      <c r="E150" s="284"/>
      <c r="F150" s="284"/>
      <c r="G150" s="248"/>
      <c r="H150" s="241"/>
      <c r="I150" s="285"/>
      <c r="J150" s="286"/>
      <c r="K150" s="287"/>
      <c r="L150" s="288"/>
      <c r="M150" s="289"/>
      <c r="N150" s="290"/>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row>
    <row r="151" spans="1:36" s="22" customFormat="1" x14ac:dyDescent="0.25">
      <c r="A151" s="28" t="str">
        <f>IF(H151&lt;&gt;"",MAX($A$7:A150)+1,"")</f>
        <v/>
      </c>
      <c r="B151" s="243" t="str">
        <f t="shared" si="7"/>
        <v/>
      </c>
      <c r="C151" s="273" t="str">
        <f t="shared" si="8"/>
        <v/>
      </c>
      <c r="D151" s="246"/>
      <c r="E151" s="284"/>
      <c r="F151" s="284"/>
      <c r="G151" s="248"/>
      <c r="H151" s="241"/>
      <c r="I151" s="285"/>
      <c r="J151" s="286"/>
      <c r="K151" s="287"/>
      <c r="L151" s="288"/>
      <c r="M151" s="289"/>
      <c r="N151" s="290"/>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row>
    <row r="152" spans="1:36" s="22" customFormat="1" x14ac:dyDescent="0.25">
      <c r="A152" s="28" t="str">
        <f>IF(H152&lt;&gt;"",MAX($A$7:A151)+1,"")</f>
        <v/>
      </c>
      <c r="B152" s="243" t="str">
        <f t="shared" si="7"/>
        <v/>
      </c>
      <c r="C152" s="273" t="str">
        <f t="shared" si="8"/>
        <v/>
      </c>
      <c r="D152" s="246"/>
      <c r="E152" s="284"/>
      <c r="F152" s="284"/>
      <c r="G152" s="248"/>
      <c r="H152" s="241"/>
      <c r="I152" s="285"/>
      <c r="J152" s="286"/>
      <c r="K152" s="287"/>
      <c r="L152" s="288"/>
      <c r="M152" s="289"/>
      <c r="N152" s="290"/>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row>
    <row r="153" spans="1:36" s="22" customFormat="1" x14ac:dyDescent="0.25">
      <c r="A153" s="28" t="str">
        <f>IF(H153&lt;&gt;"",MAX($A$7:A152)+1,"")</f>
        <v/>
      </c>
      <c r="B153" s="243" t="str">
        <f t="shared" si="7"/>
        <v/>
      </c>
      <c r="C153" s="273" t="str">
        <f t="shared" si="8"/>
        <v/>
      </c>
      <c r="D153" s="246"/>
      <c r="E153" s="284"/>
      <c r="F153" s="284"/>
      <c r="G153" s="248"/>
      <c r="H153" s="241"/>
      <c r="I153" s="285"/>
      <c r="J153" s="286"/>
      <c r="K153" s="287"/>
      <c r="L153" s="288"/>
      <c r="M153" s="289"/>
      <c r="N153" s="290"/>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row>
    <row r="154" spans="1:36" s="22" customFormat="1" x14ac:dyDescent="0.25">
      <c r="A154" s="28" t="str">
        <f>IF(H154&lt;&gt;"",MAX($A$7:A153)+1,"")</f>
        <v/>
      </c>
      <c r="B154" s="243" t="str">
        <f t="shared" si="7"/>
        <v/>
      </c>
      <c r="C154" s="273" t="str">
        <f t="shared" si="8"/>
        <v/>
      </c>
      <c r="D154" s="246"/>
      <c r="E154" s="284"/>
      <c r="F154" s="284"/>
      <c r="G154" s="248"/>
      <c r="H154" s="241"/>
      <c r="I154" s="285"/>
      <c r="J154" s="286"/>
      <c r="K154" s="287"/>
      <c r="L154" s="288"/>
      <c r="M154" s="289"/>
      <c r="N154" s="290"/>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row>
    <row r="155" spans="1:36" s="22" customFormat="1" x14ac:dyDescent="0.25">
      <c r="A155" s="28" t="str">
        <f>IF(H155&lt;&gt;"",MAX($A$7:A154)+1,"")</f>
        <v/>
      </c>
      <c r="B155" s="243" t="str">
        <f t="shared" si="7"/>
        <v/>
      </c>
      <c r="C155" s="273" t="str">
        <f t="shared" si="8"/>
        <v/>
      </c>
      <c r="D155" s="246"/>
      <c r="E155" s="284"/>
      <c r="F155" s="284"/>
      <c r="G155" s="248"/>
      <c r="H155" s="241"/>
      <c r="I155" s="285"/>
      <c r="J155" s="286"/>
      <c r="K155" s="287"/>
      <c r="L155" s="288"/>
      <c r="M155" s="289"/>
      <c r="N155" s="290"/>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row>
    <row r="156" spans="1:36" s="22" customFormat="1" x14ac:dyDescent="0.25">
      <c r="A156" s="28" t="str">
        <f>IF(H156&lt;&gt;"",MAX($A$7:A155)+1,"")</f>
        <v/>
      </c>
      <c r="B156" s="243" t="str">
        <f t="shared" si="7"/>
        <v/>
      </c>
      <c r="C156" s="273" t="str">
        <f t="shared" si="8"/>
        <v/>
      </c>
      <c r="D156" s="246"/>
      <c r="E156" s="284"/>
      <c r="F156" s="284"/>
      <c r="G156" s="248"/>
      <c r="H156" s="241"/>
      <c r="I156" s="285"/>
      <c r="J156" s="286"/>
      <c r="K156" s="287"/>
      <c r="L156" s="288"/>
      <c r="M156" s="289"/>
      <c r="N156" s="290"/>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row>
    <row r="157" spans="1:36" s="22" customFormat="1" x14ac:dyDescent="0.25">
      <c r="A157" s="28" t="str">
        <f>IF(H157&lt;&gt;"",MAX($A$7:A156)+1,"")</f>
        <v/>
      </c>
      <c r="B157" s="243" t="str">
        <f t="shared" si="7"/>
        <v/>
      </c>
      <c r="C157" s="273" t="str">
        <f t="shared" si="8"/>
        <v/>
      </c>
      <c r="D157" s="246"/>
      <c r="E157" s="284"/>
      <c r="F157" s="284"/>
      <c r="G157" s="248"/>
      <c r="H157" s="241"/>
      <c r="I157" s="285"/>
      <c r="J157" s="286"/>
      <c r="K157" s="287"/>
      <c r="L157" s="288"/>
      <c r="M157" s="289"/>
      <c r="N157" s="290"/>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row>
    <row r="158" spans="1:36" s="22" customFormat="1" x14ac:dyDescent="0.25">
      <c r="A158" s="28" t="str">
        <f>IF(H158&lt;&gt;"",MAX($A$7:A157)+1,"")</f>
        <v/>
      </c>
      <c r="B158" s="243" t="str">
        <f t="shared" si="7"/>
        <v/>
      </c>
      <c r="C158" s="273" t="str">
        <f t="shared" si="8"/>
        <v/>
      </c>
      <c r="D158" s="246"/>
      <c r="E158" s="284"/>
      <c r="F158" s="284"/>
      <c r="G158" s="248"/>
      <c r="H158" s="241"/>
      <c r="I158" s="285"/>
      <c r="J158" s="286"/>
      <c r="K158" s="287"/>
      <c r="L158" s="288"/>
      <c r="M158" s="289"/>
      <c r="N158" s="290"/>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row>
    <row r="159" spans="1:36" s="22" customFormat="1" x14ac:dyDescent="0.25">
      <c r="A159" s="28" t="str">
        <f>IF(H159&lt;&gt;"",MAX($A$7:A158)+1,"")</f>
        <v/>
      </c>
      <c r="B159" s="243" t="str">
        <f t="shared" si="7"/>
        <v/>
      </c>
      <c r="C159" s="273" t="str">
        <f t="shared" si="8"/>
        <v/>
      </c>
      <c r="D159" s="246"/>
      <c r="E159" s="284"/>
      <c r="F159" s="284"/>
      <c r="G159" s="248"/>
      <c r="H159" s="241"/>
      <c r="I159" s="285"/>
      <c r="J159" s="286"/>
      <c r="K159" s="287"/>
      <c r="L159" s="288"/>
      <c r="M159" s="289"/>
      <c r="N159" s="290"/>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row>
    <row r="160" spans="1:36" s="22" customFormat="1" x14ac:dyDescent="0.25">
      <c r="A160" s="28" t="str">
        <f>IF(H160&lt;&gt;"",MAX($A$7:A159)+1,"")</f>
        <v/>
      </c>
      <c r="B160" s="243" t="str">
        <f t="shared" si="7"/>
        <v/>
      </c>
      <c r="C160" s="273" t="str">
        <f t="shared" si="8"/>
        <v/>
      </c>
      <c r="D160" s="246"/>
      <c r="E160" s="284"/>
      <c r="F160" s="284"/>
      <c r="G160" s="248"/>
      <c r="H160" s="241"/>
      <c r="I160" s="285"/>
      <c r="J160" s="286"/>
      <c r="K160" s="287"/>
      <c r="L160" s="288"/>
      <c r="M160" s="289"/>
      <c r="N160" s="290"/>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row>
    <row r="161" spans="1:36" s="22" customFormat="1" x14ac:dyDescent="0.25">
      <c r="A161" s="28" t="str">
        <f>IF(H161&lt;&gt;"",MAX($A$7:A160)+1,"")</f>
        <v/>
      </c>
      <c r="B161" s="243" t="str">
        <f t="shared" si="7"/>
        <v/>
      </c>
      <c r="C161" s="273" t="str">
        <f t="shared" si="8"/>
        <v/>
      </c>
      <c r="D161" s="246"/>
      <c r="E161" s="284"/>
      <c r="F161" s="284"/>
      <c r="G161" s="248"/>
      <c r="H161" s="241"/>
      <c r="I161" s="285"/>
      <c r="J161" s="286"/>
      <c r="K161" s="287"/>
      <c r="L161" s="288"/>
      <c r="M161" s="289"/>
      <c r="N161" s="290"/>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row>
    <row r="162" spans="1:36" s="22" customFormat="1" x14ac:dyDescent="0.25">
      <c r="A162" s="28" t="str">
        <f>IF(H162&lt;&gt;"",MAX($A$7:A161)+1,"")</f>
        <v/>
      </c>
      <c r="B162" s="243" t="str">
        <f t="shared" si="7"/>
        <v/>
      </c>
      <c r="C162" s="273" t="str">
        <f t="shared" si="8"/>
        <v/>
      </c>
      <c r="D162" s="246"/>
      <c r="E162" s="284"/>
      <c r="F162" s="284"/>
      <c r="G162" s="248"/>
      <c r="H162" s="241"/>
      <c r="I162" s="285"/>
      <c r="J162" s="286"/>
      <c r="K162" s="287"/>
      <c r="L162" s="288"/>
      <c r="M162" s="289"/>
      <c r="N162" s="290"/>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row>
    <row r="163" spans="1:36" s="22" customFormat="1" x14ac:dyDescent="0.25">
      <c r="A163" s="28" t="str">
        <f>IF(H163&lt;&gt;"",MAX($A$7:A162)+1,"")</f>
        <v/>
      </c>
      <c r="B163" s="243" t="str">
        <f t="shared" si="7"/>
        <v/>
      </c>
      <c r="C163" s="273" t="str">
        <f t="shared" si="8"/>
        <v/>
      </c>
      <c r="D163" s="246"/>
      <c r="E163" s="284"/>
      <c r="F163" s="284"/>
      <c r="G163" s="248"/>
      <c r="H163" s="241"/>
      <c r="I163" s="285"/>
      <c r="J163" s="286"/>
      <c r="K163" s="287"/>
      <c r="L163" s="288"/>
      <c r="M163" s="289"/>
      <c r="N163" s="290"/>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row>
    <row r="164" spans="1:36" s="22" customFormat="1" x14ac:dyDescent="0.25">
      <c r="A164" s="28" t="str">
        <f>IF(H164&lt;&gt;"",MAX($A$7:A163)+1,"")</f>
        <v/>
      </c>
      <c r="B164" s="243" t="str">
        <f t="shared" si="7"/>
        <v/>
      </c>
      <c r="C164" s="273" t="str">
        <f t="shared" si="8"/>
        <v/>
      </c>
      <c r="D164" s="246"/>
      <c r="E164" s="284"/>
      <c r="F164" s="284"/>
      <c r="G164" s="248"/>
      <c r="H164" s="241"/>
      <c r="I164" s="285"/>
      <c r="J164" s="286"/>
      <c r="K164" s="287"/>
      <c r="L164" s="288"/>
      <c r="M164" s="289"/>
      <c r="N164" s="290"/>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row>
    <row r="165" spans="1:36" s="22" customFormat="1" x14ac:dyDescent="0.25">
      <c r="A165" s="28" t="str">
        <f>IF(H165&lt;&gt;"",MAX($A$7:A164)+1,"")</f>
        <v/>
      </c>
      <c r="B165" s="243" t="str">
        <f t="shared" si="7"/>
        <v/>
      </c>
      <c r="C165" s="273" t="str">
        <f t="shared" si="8"/>
        <v/>
      </c>
      <c r="D165" s="246"/>
      <c r="E165" s="284"/>
      <c r="F165" s="284"/>
      <c r="G165" s="248"/>
      <c r="H165" s="241"/>
      <c r="I165" s="285"/>
      <c r="J165" s="286"/>
      <c r="K165" s="287"/>
      <c r="L165" s="288"/>
      <c r="M165" s="289"/>
      <c r="N165" s="290"/>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row>
    <row r="166" spans="1:36" s="22" customFormat="1" x14ac:dyDescent="0.25">
      <c r="A166" s="28" t="str">
        <f>IF(H166&lt;&gt;"",MAX($A$7:A165)+1,"")</f>
        <v/>
      </c>
      <c r="B166" s="243" t="str">
        <f t="shared" si="7"/>
        <v/>
      </c>
      <c r="C166" s="273" t="str">
        <f t="shared" si="8"/>
        <v/>
      </c>
      <c r="D166" s="246"/>
      <c r="E166" s="284"/>
      <c r="F166" s="284"/>
      <c r="G166" s="248"/>
      <c r="H166" s="241"/>
      <c r="I166" s="285"/>
      <c r="J166" s="286"/>
      <c r="K166" s="287"/>
      <c r="L166" s="288"/>
      <c r="M166" s="289"/>
      <c r="N166" s="290"/>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row>
    <row r="167" spans="1:36" s="22" customFormat="1" x14ac:dyDescent="0.25">
      <c r="A167" s="28" t="str">
        <f>IF(H167&lt;&gt;"",MAX($A$7:A166)+1,"")</f>
        <v/>
      </c>
      <c r="B167" s="243" t="str">
        <f t="shared" si="7"/>
        <v/>
      </c>
      <c r="C167" s="273" t="str">
        <f t="shared" si="8"/>
        <v/>
      </c>
      <c r="D167" s="246"/>
      <c r="E167" s="284"/>
      <c r="F167" s="284"/>
      <c r="G167" s="248"/>
      <c r="H167" s="241"/>
      <c r="I167" s="285"/>
      <c r="J167" s="286"/>
      <c r="K167" s="287"/>
      <c r="L167" s="288"/>
      <c r="M167" s="289"/>
      <c r="N167" s="290"/>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row>
    <row r="168" spans="1:36" s="22" customFormat="1" x14ac:dyDescent="0.25">
      <c r="A168" s="28" t="str">
        <f>IF(H168&lt;&gt;"",MAX($A$7:A167)+1,"")</f>
        <v/>
      </c>
      <c r="B168" s="243" t="str">
        <f t="shared" si="7"/>
        <v/>
      </c>
      <c r="C168" s="273" t="str">
        <f t="shared" si="8"/>
        <v/>
      </c>
      <c r="D168" s="246"/>
      <c r="E168" s="284"/>
      <c r="F168" s="284"/>
      <c r="G168" s="248"/>
      <c r="H168" s="241"/>
      <c r="I168" s="285"/>
      <c r="J168" s="286"/>
      <c r="K168" s="287"/>
      <c r="L168" s="288"/>
      <c r="M168" s="289"/>
      <c r="N168" s="290"/>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row>
    <row r="169" spans="1:36" s="22" customFormat="1" x14ac:dyDescent="0.25">
      <c r="A169" s="28" t="str">
        <f>IF(H169&lt;&gt;"",MAX($A$7:A168)+1,"")</f>
        <v/>
      </c>
      <c r="B169" s="243" t="str">
        <f t="shared" si="7"/>
        <v/>
      </c>
      <c r="C169" s="273" t="str">
        <f t="shared" si="8"/>
        <v/>
      </c>
      <c r="D169" s="246"/>
      <c r="E169" s="284"/>
      <c r="F169" s="284"/>
      <c r="G169" s="248"/>
      <c r="H169" s="241"/>
      <c r="I169" s="285"/>
      <c r="J169" s="286"/>
      <c r="K169" s="287"/>
      <c r="L169" s="288"/>
      <c r="M169" s="289"/>
      <c r="N169" s="290"/>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row>
    <row r="170" spans="1:36" s="22" customFormat="1" x14ac:dyDescent="0.25">
      <c r="A170" s="28" t="str">
        <f>IF(H170&lt;&gt;"",MAX($A$7:A169)+1,"")</f>
        <v/>
      </c>
      <c r="B170" s="243" t="str">
        <f t="shared" si="7"/>
        <v/>
      </c>
      <c r="C170" s="273" t="str">
        <f t="shared" si="8"/>
        <v/>
      </c>
      <c r="D170" s="246"/>
      <c r="E170" s="284"/>
      <c r="F170" s="284"/>
      <c r="G170" s="248"/>
      <c r="H170" s="241"/>
      <c r="I170" s="285"/>
      <c r="J170" s="286"/>
      <c r="K170" s="287"/>
      <c r="L170" s="288"/>
      <c r="M170" s="289"/>
      <c r="N170" s="290"/>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row>
    <row r="171" spans="1:36" s="22" customFormat="1" x14ac:dyDescent="0.25">
      <c r="A171" s="28" t="str">
        <f>IF(H171&lt;&gt;"",MAX($A$7:A170)+1,"")</f>
        <v/>
      </c>
      <c r="B171" s="243" t="str">
        <f t="shared" si="7"/>
        <v/>
      </c>
      <c r="C171" s="273" t="str">
        <f t="shared" si="8"/>
        <v/>
      </c>
      <c r="D171" s="246"/>
      <c r="E171" s="284"/>
      <c r="F171" s="284"/>
      <c r="G171" s="248"/>
      <c r="H171" s="241"/>
      <c r="I171" s="285"/>
      <c r="J171" s="286"/>
      <c r="K171" s="287"/>
      <c r="L171" s="288"/>
      <c r="M171" s="289"/>
      <c r="N171" s="290"/>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row>
    <row r="172" spans="1:36" s="22" customFormat="1" x14ac:dyDescent="0.25">
      <c r="A172" s="28" t="str">
        <f>IF(H172&lt;&gt;"",MAX($A$7:A171)+1,"")</f>
        <v/>
      </c>
      <c r="B172" s="243" t="str">
        <f t="shared" si="7"/>
        <v/>
      </c>
      <c r="C172" s="273" t="str">
        <f t="shared" si="8"/>
        <v/>
      </c>
      <c r="D172" s="246"/>
      <c r="E172" s="284"/>
      <c r="F172" s="284"/>
      <c r="G172" s="248"/>
      <c r="H172" s="241"/>
      <c r="I172" s="285"/>
      <c r="J172" s="286"/>
      <c r="K172" s="287"/>
      <c r="L172" s="288"/>
      <c r="M172" s="289"/>
      <c r="N172" s="290"/>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row>
    <row r="173" spans="1:36" s="22" customFormat="1" x14ac:dyDescent="0.25">
      <c r="A173" s="28" t="str">
        <f>IF(H173&lt;&gt;"",MAX($A$7:A172)+1,"")</f>
        <v/>
      </c>
      <c r="B173" s="243" t="str">
        <f t="shared" si="7"/>
        <v/>
      </c>
      <c r="C173" s="273" t="str">
        <f t="shared" si="8"/>
        <v/>
      </c>
      <c r="D173" s="246"/>
      <c r="E173" s="284"/>
      <c r="F173" s="284"/>
      <c r="G173" s="248"/>
      <c r="H173" s="241"/>
      <c r="I173" s="285"/>
      <c r="J173" s="286"/>
      <c r="K173" s="287"/>
      <c r="L173" s="288"/>
      <c r="M173" s="289"/>
      <c r="N173" s="290"/>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row>
    <row r="174" spans="1:36" s="22" customFormat="1" x14ac:dyDescent="0.25">
      <c r="A174" s="28" t="str">
        <f>IF(H174&lt;&gt;"",MAX($A$7:A173)+1,"")</f>
        <v/>
      </c>
      <c r="B174" s="243" t="str">
        <f t="shared" si="7"/>
        <v/>
      </c>
      <c r="C174" s="273" t="str">
        <f t="shared" si="8"/>
        <v/>
      </c>
      <c r="D174" s="246"/>
      <c r="E174" s="284"/>
      <c r="F174" s="284"/>
      <c r="G174" s="248"/>
      <c r="H174" s="241"/>
      <c r="I174" s="285"/>
      <c r="J174" s="286"/>
      <c r="K174" s="287"/>
      <c r="L174" s="288"/>
      <c r="M174" s="289"/>
      <c r="N174" s="290"/>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row>
    <row r="175" spans="1:36" s="22" customFormat="1" x14ac:dyDescent="0.25">
      <c r="A175" s="28" t="str">
        <f>IF(H175&lt;&gt;"",MAX($A$7:A174)+1,"")</f>
        <v/>
      </c>
      <c r="B175" s="243" t="str">
        <f t="shared" si="7"/>
        <v/>
      </c>
      <c r="C175" s="273" t="str">
        <f t="shared" si="8"/>
        <v/>
      </c>
      <c r="D175" s="246"/>
      <c r="E175" s="284"/>
      <c r="F175" s="284"/>
      <c r="G175" s="248"/>
      <c r="H175" s="241"/>
      <c r="I175" s="285"/>
      <c r="J175" s="286"/>
      <c r="K175" s="287"/>
      <c r="L175" s="288"/>
      <c r="M175" s="289"/>
      <c r="N175" s="290"/>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row>
    <row r="176" spans="1:36" s="22" customFormat="1" x14ac:dyDescent="0.25">
      <c r="A176" s="28" t="str">
        <f>IF(H176&lt;&gt;"",MAX($A$7:A175)+1,"")</f>
        <v/>
      </c>
      <c r="B176" s="243" t="str">
        <f t="shared" si="7"/>
        <v/>
      </c>
      <c r="C176" s="273" t="str">
        <f t="shared" si="8"/>
        <v/>
      </c>
      <c r="D176" s="246"/>
      <c r="E176" s="284"/>
      <c r="F176" s="284"/>
      <c r="G176" s="248"/>
      <c r="H176" s="241"/>
      <c r="I176" s="285"/>
      <c r="J176" s="286"/>
      <c r="K176" s="287"/>
      <c r="L176" s="288"/>
      <c r="M176" s="289"/>
      <c r="N176" s="290"/>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row>
    <row r="177" spans="1:36" s="22" customFormat="1" x14ac:dyDescent="0.25">
      <c r="A177" s="28" t="str">
        <f>IF(H177&lt;&gt;"",MAX($A$7:A176)+1,"")</f>
        <v/>
      </c>
      <c r="B177" s="243" t="str">
        <f t="shared" si="7"/>
        <v/>
      </c>
      <c r="C177" s="273" t="str">
        <f t="shared" si="8"/>
        <v/>
      </c>
      <c r="D177" s="246"/>
      <c r="E177" s="284"/>
      <c r="F177" s="284"/>
      <c r="G177" s="248"/>
      <c r="H177" s="241"/>
      <c r="I177" s="285"/>
      <c r="J177" s="286"/>
      <c r="K177" s="287"/>
      <c r="L177" s="288"/>
      <c r="M177" s="289"/>
      <c r="N177" s="290"/>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row>
    <row r="178" spans="1:36" s="22" customFormat="1" x14ac:dyDescent="0.25">
      <c r="A178" s="28" t="str">
        <f>IF(H178&lt;&gt;"",MAX($A$7:A177)+1,"")</f>
        <v/>
      </c>
      <c r="B178" s="243" t="str">
        <f t="shared" si="7"/>
        <v/>
      </c>
      <c r="C178" s="273" t="str">
        <f t="shared" si="8"/>
        <v/>
      </c>
      <c r="D178" s="246"/>
      <c r="E178" s="284"/>
      <c r="F178" s="284"/>
      <c r="G178" s="248"/>
      <c r="H178" s="241"/>
      <c r="I178" s="285"/>
      <c r="J178" s="286"/>
      <c r="K178" s="287"/>
      <c r="L178" s="288"/>
      <c r="M178" s="289"/>
      <c r="N178" s="290"/>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row>
    <row r="179" spans="1:36" s="22" customFormat="1" x14ac:dyDescent="0.25">
      <c r="A179" s="28" t="str">
        <f>IF(H179&lt;&gt;"",MAX($A$7:A178)+1,"")</f>
        <v/>
      </c>
      <c r="B179" s="243" t="str">
        <f t="shared" si="7"/>
        <v/>
      </c>
      <c r="C179" s="273" t="str">
        <f t="shared" si="8"/>
        <v/>
      </c>
      <c r="D179" s="246"/>
      <c r="E179" s="284"/>
      <c r="F179" s="284"/>
      <c r="G179" s="248"/>
      <c r="H179" s="241"/>
      <c r="I179" s="285"/>
      <c r="J179" s="286"/>
      <c r="K179" s="287"/>
      <c r="L179" s="288"/>
      <c r="M179" s="289"/>
      <c r="N179" s="290"/>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row>
    <row r="180" spans="1:36" s="22" customFormat="1" x14ac:dyDescent="0.25">
      <c r="A180" s="28" t="str">
        <f>IF(H180&lt;&gt;"",MAX($A$7:A179)+1,"")</f>
        <v/>
      </c>
      <c r="B180" s="243" t="str">
        <f t="shared" si="7"/>
        <v/>
      </c>
      <c r="C180" s="273" t="str">
        <f t="shared" si="8"/>
        <v/>
      </c>
      <c r="D180" s="246"/>
      <c r="E180" s="284"/>
      <c r="F180" s="284"/>
      <c r="G180" s="248"/>
      <c r="H180" s="241"/>
      <c r="I180" s="285"/>
      <c r="J180" s="286"/>
      <c r="K180" s="287"/>
      <c r="L180" s="288"/>
      <c r="M180" s="289"/>
      <c r="N180" s="290"/>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row>
    <row r="181" spans="1:36" s="22" customFormat="1" x14ac:dyDescent="0.25">
      <c r="A181" s="28" t="str">
        <f>IF(H181&lt;&gt;"",MAX($A$7:A180)+1,"")</f>
        <v/>
      </c>
      <c r="B181" s="243" t="str">
        <f t="shared" si="7"/>
        <v/>
      </c>
      <c r="C181" s="273" t="str">
        <f t="shared" si="8"/>
        <v/>
      </c>
      <c r="D181" s="246"/>
      <c r="E181" s="284"/>
      <c r="F181" s="284"/>
      <c r="G181" s="248"/>
      <c r="H181" s="241"/>
      <c r="I181" s="285"/>
      <c r="J181" s="286"/>
      <c r="K181" s="287"/>
      <c r="L181" s="288"/>
      <c r="M181" s="289"/>
      <c r="N181" s="290"/>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row>
    <row r="182" spans="1:36" s="22" customFormat="1" x14ac:dyDescent="0.25">
      <c r="A182" s="28" t="str">
        <f>IF(H182&lt;&gt;"",MAX($A$7:A181)+1,"")</f>
        <v/>
      </c>
      <c r="B182" s="243" t="str">
        <f t="shared" si="7"/>
        <v/>
      </c>
      <c r="C182" s="273" t="str">
        <f t="shared" si="8"/>
        <v/>
      </c>
      <c r="D182" s="246"/>
      <c r="E182" s="284"/>
      <c r="F182" s="284"/>
      <c r="G182" s="248"/>
      <c r="H182" s="241"/>
      <c r="I182" s="285"/>
      <c r="J182" s="286"/>
      <c r="K182" s="287"/>
      <c r="L182" s="288"/>
      <c r="M182" s="289"/>
      <c r="N182" s="290"/>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row>
    <row r="183" spans="1:36" s="22" customFormat="1" x14ac:dyDescent="0.25">
      <c r="A183" s="28" t="str">
        <f>IF(H183&lt;&gt;"",MAX($A$7:A182)+1,"")</f>
        <v/>
      </c>
      <c r="B183" s="243" t="str">
        <f t="shared" si="7"/>
        <v/>
      </c>
      <c r="C183" s="273" t="str">
        <f t="shared" si="8"/>
        <v/>
      </c>
      <c r="D183" s="246"/>
      <c r="E183" s="284"/>
      <c r="F183" s="284"/>
      <c r="G183" s="248"/>
      <c r="H183" s="241"/>
      <c r="I183" s="285"/>
      <c r="J183" s="286"/>
      <c r="K183" s="287"/>
      <c r="L183" s="288"/>
      <c r="M183" s="289"/>
      <c r="N183" s="290"/>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row>
    <row r="184" spans="1:36" s="22" customFormat="1" x14ac:dyDescent="0.25">
      <c r="A184" s="28" t="str">
        <f>IF(H184&lt;&gt;"",MAX($A$7:A183)+1,"")</f>
        <v/>
      </c>
      <c r="B184" s="243" t="str">
        <f t="shared" si="7"/>
        <v/>
      </c>
      <c r="C184" s="273" t="str">
        <f t="shared" si="8"/>
        <v/>
      </c>
      <c r="D184" s="246"/>
      <c r="E184" s="284"/>
      <c r="F184" s="284"/>
      <c r="G184" s="248"/>
      <c r="H184" s="241"/>
      <c r="I184" s="285"/>
      <c r="J184" s="286"/>
      <c r="K184" s="287"/>
      <c r="L184" s="288"/>
      <c r="M184" s="289"/>
      <c r="N184" s="290"/>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row>
    <row r="185" spans="1:36" s="22" customFormat="1" x14ac:dyDescent="0.25">
      <c r="A185" s="28" t="str">
        <f>IF(H185&lt;&gt;"",MAX($A$7:A184)+1,"")</f>
        <v/>
      </c>
      <c r="B185" s="243" t="str">
        <f t="shared" si="7"/>
        <v/>
      </c>
      <c r="C185" s="273" t="str">
        <f t="shared" si="8"/>
        <v/>
      </c>
      <c r="D185" s="246"/>
      <c r="E185" s="284"/>
      <c r="F185" s="284"/>
      <c r="G185" s="248"/>
      <c r="H185" s="241"/>
      <c r="I185" s="285"/>
      <c r="J185" s="286"/>
      <c r="K185" s="287"/>
      <c r="L185" s="288"/>
      <c r="M185" s="289"/>
      <c r="N185" s="290"/>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row>
    <row r="186" spans="1:36" s="22" customFormat="1" x14ac:dyDescent="0.25">
      <c r="A186" s="28" t="str">
        <f>IF(H186&lt;&gt;"",MAX($A$7:A185)+1,"")</f>
        <v/>
      </c>
      <c r="B186" s="243" t="str">
        <f t="shared" si="7"/>
        <v/>
      </c>
      <c r="C186" s="273" t="str">
        <f t="shared" si="8"/>
        <v/>
      </c>
      <c r="D186" s="246"/>
      <c r="E186" s="284"/>
      <c r="F186" s="284"/>
      <c r="G186" s="248"/>
      <c r="H186" s="241"/>
      <c r="I186" s="285"/>
      <c r="J186" s="286"/>
      <c r="K186" s="287"/>
      <c r="L186" s="288"/>
      <c r="M186" s="289"/>
      <c r="N186" s="290"/>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row>
    <row r="187" spans="1:36" s="22" customFormat="1" x14ac:dyDescent="0.25">
      <c r="A187" s="28" t="str">
        <f>IF(H187&lt;&gt;"",MAX($A$7:A186)+1,"")</f>
        <v/>
      </c>
      <c r="B187" s="243" t="str">
        <f t="shared" si="7"/>
        <v/>
      </c>
      <c r="C187" s="273" t="str">
        <f t="shared" si="8"/>
        <v/>
      </c>
      <c r="D187" s="246"/>
      <c r="E187" s="284"/>
      <c r="F187" s="284"/>
      <c r="G187" s="248"/>
      <c r="H187" s="241"/>
      <c r="I187" s="285"/>
      <c r="J187" s="286"/>
      <c r="K187" s="287"/>
      <c r="L187" s="288"/>
      <c r="M187" s="289"/>
      <c r="N187" s="290"/>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row>
    <row r="188" spans="1:36" s="22" customFormat="1" x14ac:dyDescent="0.25">
      <c r="A188" s="28" t="str">
        <f>IF(H188&lt;&gt;"",MAX($A$7:A187)+1,"")</f>
        <v/>
      </c>
      <c r="B188" s="243" t="str">
        <f t="shared" si="7"/>
        <v/>
      </c>
      <c r="C188" s="273" t="str">
        <f t="shared" si="8"/>
        <v/>
      </c>
      <c r="D188" s="246"/>
      <c r="E188" s="284"/>
      <c r="F188" s="284"/>
      <c r="G188" s="248"/>
      <c r="H188" s="241"/>
      <c r="I188" s="285"/>
      <c r="J188" s="286"/>
      <c r="K188" s="287"/>
      <c r="L188" s="288"/>
      <c r="M188" s="289"/>
      <c r="N188" s="290"/>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row>
    <row r="189" spans="1:36" s="22" customFormat="1" x14ac:dyDescent="0.25">
      <c r="A189" s="28" t="str">
        <f>IF(H189&lt;&gt;"",MAX($A$7:A188)+1,"")</f>
        <v/>
      </c>
      <c r="B189" s="243" t="str">
        <f t="shared" si="7"/>
        <v/>
      </c>
      <c r="C189" s="273" t="str">
        <f t="shared" si="8"/>
        <v/>
      </c>
      <c r="D189" s="246"/>
      <c r="E189" s="284"/>
      <c r="F189" s="284"/>
      <c r="G189" s="248"/>
      <c r="H189" s="241"/>
      <c r="I189" s="285"/>
      <c r="J189" s="286"/>
      <c r="K189" s="287"/>
      <c r="L189" s="288"/>
      <c r="M189" s="289"/>
      <c r="N189" s="290"/>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row>
    <row r="190" spans="1:36" s="22" customFormat="1" x14ac:dyDescent="0.25">
      <c r="A190" s="28" t="str">
        <f>IF(H190&lt;&gt;"",MAX($A$7:A189)+1,"")</f>
        <v/>
      </c>
      <c r="B190" s="243" t="str">
        <f t="shared" si="7"/>
        <v/>
      </c>
      <c r="C190" s="273" t="str">
        <f t="shared" si="8"/>
        <v/>
      </c>
      <c r="D190" s="246"/>
      <c r="E190" s="284"/>
      <c r="F190" s="284"/>
      <c r="G190" s="248"/>
      <c r="H190" s="241"/>
      <c r="I190" s="285"/>
      <c r="J190" s="286"/>
      <c r="K190" s="287"/>
      <c r="L190" s="288"/>
      <c r="M190" s="289"/>
      <c r="N190" s="290"/>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row>
    <row r="191" spans="1:36" s="22" customFormat="1" x14ac:dyDescent="0.25">
      <c r="A191" s="28" t="str">
        <f>IF(H191&lt;&gt;"",MAX($A$7:A190)+1,"")</f>
        <v/>
      </c>
      <c r="B191" s="243" t="str">
        <f t="shared" si="7"/>
        <v/>
      </c>
      <c r="C191" s="273" t="str">
        <f t="shared" si="8"/>
        <v/>
      </c>
      <c r="D191" s="246"/>
      <c r="E191" s="284"/>
      <c r="F191" s="284"/>
      <c r="G191" s="248"/>
      <c r="H191" s="241"/>
      <c r="I191" s="285"/>
      <c r="J191" s="286"/>
      <c r="K191" s="287"/>
      <c r="L191" s="288"/>
      <c r="M191" s="289"/>
      <c r="N191" s="290"/>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row>
    <row r="192" spans="1:36" s="22" customFormat="1" x14ac:dyDescent="0.25">
      <c r="A192" s="28" t="str">
        <f>IF(H192&lt;&gt;"",MAX($A$7:A191)+1,"")</f>
        <v/>
      </c>
      <c r="B192" s="243" t="str">
        <f t="shared" si="7"/>
        <v/>
      </c>
      <c r="C192" s="273" t="str">
        <f t="shared" si="8"/>
        <v/>
      </c>
      <c r="D192" s="246"/>
      <c r="E192" s="284"/>
      <c r="F192" s="284"/>
      <c r="G192" s="248"/>
      <c r="H192" s="241"/>
      <c r="I192" s="285"/>
      <c r="J192" s="286"/>
      <c r="K192" s="287"/>
      <c r="L192" s="288"/>
      <c r="M192" s="289"/>
      <c r="N192" s="290"/>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row>
    <row r="193" spans="1:36" s="22" customFormat="1" x14ac:dyDescent="0.25">
      <c r="A193" s="28" t="str">
        <f>IF(H193&lt;&gt;"",MAX($A$7:A192)+1,"")</f>
        <v/>
      </c>
      <c r="B193" s="243" t="str">
        <f t="shared" si="7"/>
        <v/>
      </c>
      <c r="C193" s="273" t="str">
        <f t="shared" si="8"/>
        <v/>
      </c>
      <c r="D193" s="246"/>
      <c r="E193" s="284"/>
      <c r="F193" s="284"/>
      <c r="G193" s="248"/>
      <c r="H193" s="241"/>
      <c r="I193" s="285"/>
      <c r="J193" s="286"/>
      <c r="K193" s="287"/>
      <c r="L193" s="288"/>
      <c r="M193" s="289"/>
      <c r="N193" s="290"/>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row>
    <row r="194" spans="1:36" s="22" customFormat="1" x14ac:dyDescent="0.25">
      <c r="A194" s="28" t="str">
        <f>IF(H194&lt;&gt;"",MAX($A$7:A193)+1,"")</f>
        <v/>
      </c>
      <c r="B194" s="243" t="str">
        <f t="shared" si="7"/>
        <v/>
      </c>
      <c r="C194" s="273" t="str">
        <f t="shared" si="8"/>
        <v/>
      </c>
      <c r="D194" s="246"/>
      <c r="E194" s="284"/>
      <c r="F194" s="284"/>
      <c r="G194" s="248"/>
      <c r="H194" s="241"/>
      <c r="I194" s="285"/>
      <c r="J194" s="286"/>
      <c r="K194" s="287"/>
      <c r="L194" s="288"/>
      <c r="M194" s="289"/>
      <c r="N194" s="290"/>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row>
    <row r="195" spans="1:36" s="22" customFormat="1" x14ac:dyDescent="0.25">
      <c r="A195" s="28" t="str">
        <f>IF(H195&lt;&gt;"",MAX($A$7:A194)+1,"")</f>
        <v/>
      </c>
      <c r="B195" s="243" t="str">
        <f t="shared" si="7"/>
        <v/>
      </c>
      <c r="C195" s="273" t="str">
        <f t="shared" si="8"/>
        <v/>
      </c>
      <c r="D195" s="246"/>
      <c r="E195" s="284"/>
      <c r="F195" s="284"/>
      <c r="G195" s="248"/>
      <c r="H195" s="241"/>
      <c r="I195" s="285"/>
      <c r="J195" s="286"/>
      <c r="K195" s="287"/>
      <c r="L195" s="288"/>
      <c r="M195" s="289"/>
      <c r="N195" s="290"/>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row>
    <row r="196" spans="1:36" s="22" customFormat="1" x14ac:dyDescent="0.25">
      <c r="A196" s="28" t="str">
        <f>IF(H196&lt;&gt;"",MAX($A$7:A195)+1,"")</f>
        <v/>
      </c>
      <c r="B196" s="243" t="str">
        <f t="shared" si="7"/>
        <v/>
      </c>
      <c r="C196" s="273" t="str">
        <f t="shared" si="8"/>
        <v/>
      </c>
      <c r="D196" s="246"/>
      <c r="E196" s="284"/>
      <c r="F196" s="284"/>
      <c r="G196" s="248"/>
      <c r="H196" s="241"/>
      <c r="I196" s="285"/>
      <c r="J196" s="286"/>
      <c r="K196" s="287"/>
      <c r="L196" s="288"/>
      <c r="M196" s="289"/>
      <c r="N196" s="290"/>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row>
    <row r="197" spans="1:36" s="22" customFormat="1" x14ac:dyDescent="0.25">
      <c r="A197" s="28" t="str">
        <f>IF(H197&lt;&gt;"",MAX($A$7:A196)+1,"")</f>
        <v/>
      </c>
      <c r="B197" s="243" t="str">
        <f t="shared" si="7"/>
        <v/>
      </c>
      <c r="C197" s="273" t="str">
        <f t="shared" si="8"/>
        <v/>
      </c>
      <c r="D197" s="246"/>
      <c r="E197" s="284"/>
      <c r="F197" s="284"/>
      <c r="G197" s="248"/>
      <c r="H197" s="241"/>
      <c r="I197" s="285"/>
      <c r="J197" s="286"/>
      <c r="K197" s="287"/>
      <c r="L197" s="288"/>
      <c r="M197" s="289"/>
      <c r="N197" s="290"/>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row>
    <row r="198" spans="1:36" s="22" customFormat="1" x14ac:dyDescent="0.25">
      <c r="A198" s="28" t="str">
        <f>IF(H198&lt;&gt;"",MAX($A$7:A197)+1,"")</f>
        <v/>
      </c>
      <c r="B198" s="243" t="str">
        <f t="shared" si="7"/>
        <v/>
      </c>
      <c r="C198" s="273" t="str">
        <f t="shared" si="8"/>
        <v/>
      </c>
      <c r="D198" s="246"/>
      <c r="E198" s="284"/>
      <c r="F198" s="284"/>
      <c r="G198" s="248"/>
      <c r="H198" s="241"/>
      <c r="I198" s="285"/>
      <c r="J198" s="286"/>
      <c r="K198" s="287"/>
      <c r="L198" s="288"/>
      <c r="M198" s="289"/>
      <c r="N198" s="290"/>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row>
    <row r="199" spans="1:36" s="22" customFormat="1" x14ac:dyDescent="0.25">
      <c r="A199" s="28" t="str">
        <f>IF(H199&lt;&gt;"",MAX($A$7:A198)+1,"")</f>
        <v/>
      </c>
      <c r="B199" s="243" t="str">
        <f t="shared" ref="B199:B262" si="9">IF(A199="","",PREF_PREGUNTA&amp;" - "&amp;IF(MAX(A:A)&gt;99,IF(A199&lt;100,"0",""),"")&amp;IF(A199&lt;10,"0","")&amp;A199&amp;IF(G199&lt;&gt;""," "&amp;G199,""))</f>
        <v/>
      </c>
      <c r="C199" s="273" t="str">
        <f t="shared" ref="C199:C262" si="10">IF(COUNTA(I199:N199)-D199=0,"",COUNTA(I199:N199)-D199)</f>
        <v/>
      </c>
      <c r="D199" s="246"/>
      <c r="E199" s="284"/>
      <c r="F199" s="284"/>
      <c r="G199" s="248"/>
      <c r="H199" s="241"/>
      <c r="I199" s="285"/>
      <c r="J199" s="286"/>
      <c r="K199" s="287"/>
      <c r="L199" s="288"/>
      <c r="M199" s="289"/>
      <c r="N199" s="290"/>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row>
    <row r="200" spans="1:36" s="22" customFormat="1" x14ac:dyDescent="0.25">
      <c r="A200" s="28" t="str">
        <f>IF(H200&lt;&gt;"",MAX($A$7:A199)+1,"")</f>
        <v/>
      </c>
      <c r="B200" s="243" t="str">
        <f t="shared" si="9"/>
        <v/>
      </c>
      <c r="C200" s="273" t="str">
        <f t="shared" si="10"/>
        <v/>
      </c>
      <c r="D200" s="246"/>
      <c r="E200" s="284"/>
      <c r="F200" s="284"/>
      <c r="G200" s="248"/>
      <c r="H200" s="241"/>
      <c r="I200" s="285"/>
      <c r="J200" s="286"/>
      <c r="K200" s="287"/>
      <c r="L200" s="288"/>
      <c r="M200" s="289"/>
      <c r="N200" s="290"/>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row>
    <row r="201" spans="1:36" s="22" customFormat="1" x14ac:dyDescent="0.25">
      <c r="A201" s="28" t="str">
        <f>IF(H201&lt;&gt;"",MAX($A$7:A200)+1,"")</f>
        <v/>
      </c>
      <c r="B201" s="243" t="str">
        <f t="shared" si="9"/>
        <v/>
      </c>
      <c r="C201" s="273" t="str">
        <f t="shared" si="10"/>
        <v/>
      </c>
      <c r="D201" s="246"/>
      <c r="E201" s="284"/>
      <c r="F201" s="284"/>
      <c r="G201" s="248"/>
      <c r="H201" s="241"/>
      <c r="I201" s="285"/>
      <c r="J201" s="286"/>
      <c r="K201" s="287"/>
      <c r="L201" s="288"/>
      <c r="M201" s="289"/>
      <c r="N201" s="290"/>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row>
    <row r="202" spans="1:36" s="22" customFormat="1" x14ac:dyDescent="0.25">
      <c r="A202" s="28" t="str">
        <f>IF(H202&lt;&gt;"",MAX($A$7:A201)+1,"")</f>
        <v/>
      </c>
      <c r="B202" s="243" t="str">
        <f t="shared" si="9"/>
        <v/>
      </c>
      <c r="C202" s="273" t="str">
        <f t="shared" si="10"/>
        <v/>
      </c>
      <c r="D202" s="246"/>
      <c r="E202" s="284"/>
      <c r="F202" s="284"/>
      <c r="G202" s="248"/>
      <c r="H202" s="241"/>
      <c r="I202" s="285"/>
      <c r="J202" s="286"/>
      <c r="K202" s="287"/>
      <c r="L202" s="288"/>
      <c r="M202" s="289"/>
      <c r="N202" s="290"/>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row>
    <row r="203" spans="1:36" s="22" customFormat="1" x14ac:dyDescent="0.25">
      <c r="A203" s="28" t="str">
        <f>IF(H203&lt;&gt;"",MAX($A$7:A202)+1,"")</f>
        <v/>
      </c>
      <c r="B203" s="243" t="str">
        <f t="shared" si="9"/>
        <v/>
      </c>
      <c r="C203" s="273" t="str">
        <f t="shared" si="10"/>
        <v/>
      </c>
      <c r="D203" s="246"/>
      <c r="E203" s="284"/>
      <c r="F203" s="284"/>
      <c r="G203" s="248"/>
      <c r="H203" s="241"/>
      <c r="I203" s="285"/>
      <c r="J203" s="286"/>
      <c r="K203" s="287"/>
      <c r="L203" s="288"/>
      <c r="M203" s="289"/>
      <c r="N203" s="290"/>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row>
    <row r="204" spans="1:36" s="22" customFormat="1" x14ac:dyDescent="0.25">
      <c r="A204" s="28" t="str">
        <f>IF(H204&lt;&gt;"",MAX($A$7:A203)+1,"")</f>
        <v/>
      </c>
      <c r="B204" s="243" t="str">
        <f t="shared" si="9"/>
        <v/>
      </c>
      <c r="C204" s="273" t="str">
        <f t="shared" si="10"/>
        <v/>
      </c>
      <c r="D204" s="246"/>
      <c r="E204" s="284"/>
      <c r="F204" s="284"/>
      <c r="G204" s="248"/>
      <c r="H204" s="241"/>
      <c r="I204" s="285"/>
      <c r="J204" s="286"/>
      <c r="K204" s="287"/>
      <c r="L204" s="288"/>
      <c r="M204" s="289"/>
      <c r="N204" s="290"/>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row>
    <row r="205" spans="1:36" s="22" customFormat="1" x14ac:dyDescent="0.25">
      <c r="A205" s="28" t="str">
        <f>IF(H205&lt;&gt;"",MAX($A$7:A204)+1,"")</f>
        <v/>
      </c>
      <c r="B205" s="243" t="str">
        <f t="shared" si="9"/>
        <v/>
      </c>
      <c r="C205" s="273" t="str">
        <f t="shared" si="10"/>
        <v/>
      </c>
      <c r="D205" s="246"/>
      <c r="E205" s="284"/>
      <c r="F205" s="284"/>
      <c r="G205" s="248"/>
      <c r="H205" s="241"/>
      <c r="I205" s="285"/>
      <c r="J205" s="286"/>
      <c r="K205" s="287"/>
      <c r="L205" s="288"/>
      <c r="M205" s="289"/>
      <c r="N205" s="290"/>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row>
    <row r="206" spans="1:36" s="22" customFormat="1" x14ac:dyDescent="0.25">
      <c r="A206" s="28" t="str">
        <f>IF(H206&lt;&gt;"",MAX($A$7:A205)+1,"")</f>
        <v/>
      </c>
      <c r="B206" s="243" t="str">
        <f t="shared" si="9"/>
        <v/>
      </c>
      <c r="C206" s="273" t="str">
        <f t="shared" si="10"/>
        <v/>
      </c>
      <c r="D206" s="246"/>
      <c r="E206" s="284"/>
      <c r="F206" s="284"/>
      <c r="G206" s="248"/>
      <c r="H206" s="241"/>
      <c r="I206" s="285"/>
      <c r="J206" s="286"/>
      <c r="K206" s="287"/>
      <c r="L206" s="288"/>
      <c r="M206" s="289"/>
      <c r="N206" s="290"/>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row>
    <row r="207" spans="1:36" s="22" customFormat="1" x14ac:dyDescent="0.25">
      <c r="A207" s="28" t="str">
        <f>IF(H207&lt;&gt;"",MAX($A$7:A206)+1,"")</f>
        <v/>
      </c>
      <c r="B207" s="243" t="str">
        <f t="shared" si="9"/>
        <v/>
      </c>
      <c r="C207" s="273" t="str">
        <f t="shared" si="10"/>
        <v/>
      </c>
      <c r="D207" s="246"/>
      <c r="E207" s="284"/>
      <c r="F207" s="284"/>
      <c r="G207" s="248"/>
      <c r="H207" s="241"/>
      <c r="I207" s="285"/>
      <c r="J207" s="286"/>
      <c r="K207" s="287"/>
      <c r="L207" s="288"/>
      <c r="M207" s="289"/>
      <c r="N207" s="290"/>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row>
    <row r="208" spans="1:36" s="22" customFormat="1" x14ac:dyDescent="0.25">
      <c r="A208" s="28" t="str">
        <f>IF(H208&lt;&gt;"",MAX($A$7:A207)+1,"")</f>
        <v/>
      </c>
      <c r="B208" s="243" t="str">
        <f t="shared" si="9"/>
        <v/>
      </c>
      <c r="C208" s="273" t="str">
        <f t="shared" si="10"/>
        <v/>
      </c>
      <c r="D208" s="246"/>
      <c r="E208" s="284"/>
      <c r="F208" s="284"/>
      <c r="G208" s="248"/>
      <c r="H208" s="241"/>
      <c r="I208" s="285"/>
      <c r="J208" s="286"/>
      <c r="K208" s="287"/>
      <c r="L208" s="288"/>
      <c r="M208" s="289"/>
      <c r="N208" s="290"/>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row>
    <row r="209" spans="1:36" s="22" customFormat="1" x14ac:dyDescent="0.25">
      <c r="A209" s="28" t="str">
        <f>IF(H209&lt;&gt;"",MAX($A$7:A208)+1,"")</f>
        <v/>
      </c>
      <c r="B209" s="243" t="str">
        <f t="shared" si="9"/>
        <v/>
      </c>
      <c r="C209" s="273" t="str">
        <f t="shared" si="10"/>
        <v/>
      </c>
      <c r="D209" s="246"/>
      <c r="E209" s="284"/>
      <c r="F209" s="284"/>
      <c r="G209" s="248"/>
      <c r="H209" s="241"/>
      <c r="I209" s="285"/>
      <c r="J209" s="286"/>
      <c r="K209" s="287"/>
      <c r="L209" s="288"/>
      <c r="M209" s="289"/>
      <c r="N209" s="290"/>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row>
    <row r="210" spans="1:36" s="22" customFormat="1" x14ac:dyDescent="0.25">
      <c r="A210" s="28" t="str">
        <f>IF(H210&lt;&gt;"",MAX($A$7:A209)+1,"")</f>
        <v/>
      </c>
      <c r="B210" s="243" t="str">
        <f t="shared" si="9"/>
        <v/>
      </c>
      <c r="C210" s="273" t="str">
        <f t="shared" si="10"/>
        <v/>
      </c>
      <c r="D210" s="246"/>
      <c r="E210" s="284"/>
      <c r="F210" s="284"/>
      <c r="G210" s="248"/>
      <c r="H210" s="241"/>
      <c r="I210" s="285"/>
      <c r="J210" s="286"/>
      <c r="K210" s="287"/>
      <c r="L210" s="288"/>
      <c r="M210" s="289"/>
      <c r="N210" s="290"/>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row>
    <row r="211" spans="1:36" s="22" customFormat="1" x14ac:dyDescent="0.25">
      <c r="A211" s="28" t="str">
        <f>IF(H211&lt;&gt;"",MAX($A$7:A210)+1,"")</f>
        <v/>
      </c>
      <c r="B211" s="243" t="str">
        <f t="shared" si="9"/>
        <v/>
      </c>
      <c r="C211" s="273" t="str">
        <f t="shared" si="10"/>
        <v/>
      </c>
      <c r="D211" s="246"/>
      <c r="E211" s="284"/>
      <c r="F211" s="284"/>
      <c r="G211" s="248"/>
      <c r="H211" s="241"/>
      <c r="I211" s="285"/>
      <c r="J211" s="286"/>
      <c r="K211" s="287"/>
      <c r="L211" s="288"/>
      <c r="M211" s="289"/>
      <c r="N211" s="290"/>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row>
    <row r="212" spans="1:36" s="22" customFormat="1" x14ac:dyDescent="0.25">
      <c r="A212" s="28" t="str">
        <f>IF(H212&lt;&gt;"",MAX($A$7:A211)+1,"")</f>
        <v/>
      </c>
      <c r="B212" s="243" t="str">
        <f t="shared" si="9"/>
        <v/>
      </c>
      <c r="C212" s="273" t="str">
        <f t="shared" si="10"/>
        <v/>
      </c>
      <c r="D212" s="246"/>
      <c r="E212" s="284"/>
      <c r="F212" s="284"/>
      <c r="G212" s="248"/>
      <c r="H212" s="241"/>
      <c r="I212" s="285"/>
      <c r="J212" s="286"/>
      <c r="K212" s="287"/>
      <c r="L212" s="288"/>
      <c r="M212" s="289"/>
      <c r="N212" s="290"/>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row>
    <row r="213" spans="1:36" s="22" customFormat="1" x14ac:dyDescent="0.25">
      <c r="A213" s="28" t="str">
        <f>IF(H213&lt;&gt;"",MAX($A$7:A212)+1,"")</f>
        <v/>
      </c>
      <c r="B213" s="243" t="str">
        <f t="shared" si="9"/>
        <v/>
      </c>
      <c r="C213" s="273" t="str">
        <f t="shared" si="10"/>
        <v/>
      </c>
      <c r="D213" s="246"/>
      <c r="E213" s="284"/>
      <c r="F213" s="284"/>
      <c r="G213" s="248"/>
      <c r="H213" s="241"/>
      <c r="I213" s="285"/>
      <c r="J213" s="286"/>
      <c r="K213" s="287"/>
      <c r="L213" s="288"/>
      <c r="M213" s="289"/>
      <c r="N213" s="290"/>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row>
    <row r="214" spans="1:36" s="22" customFormat="1" x14ac:dyDescent="0.25">
      <c r="A214" s="28" t="str">
        <f>IF(H214&lt;&gt;"",MAX($A$7:A213)+1,"")</f>
        <v/>
      </c>
      <c r="B214" s="243" t="str">
        <f t="shared" si="9"/>
        <v/>
      </c>
      <c r="C214" s="273" t="str">
        <f t="shared" si="10"/>
        <v/>
      </c>
      <c r="D214" s="246"/>
      <c r="E214" s="284"/>
      <c r="F214" s="284"/>
      <c r="G214" s="248"/>
      <c r="H214" s="241"/>
      <c r="I214" s="285"/>
      <c r="J214" s="286"/>
      <c r="K214" s="287"/>
      <c r="L214" s="288"/>
      <c r="M214" s="289"/>
      <c r="N214" s="290"/>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row>
    <row r="215" spans="1:36" s="22" customFormat="1" x14ac:dyDescent="0.25">
      <c r="A215" s="28" t="str">
        <f>IF(H215&lt;&gt;"",MAX($A$7:A214)+1,"")</f>
        <v/>
      </c>
      <c r="B215" s="243" t="str">
        <f t="shared" si="9"/>
        <v/>
      </c>
      <c r="C215" s="273" t="str">
        <f t="shared" si="10"/>
        <v/>
      </c>
      <c r="D215" s="246"/>
      <c r="E215" s="284"/>
      <c r="F215" s="284"/>
      <c r="G215" s="248"/>
      <c r="H215" s="241"/>
      <c r="I215" s="285"/>
      <c r="J215" s="286"/>
      <c r="K215" s="287"/>
      <c r="L215" s="288"/>
      <c r="M215" s="289"/>
      <c r="N215" s="290"/>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row>
    <row r="216" spans="1:36" s="22" customFormat="1" x14ac:dyDescent="0.25">
      <c r="A216" s="28" t="str">
        <f>IF(H216&lt;&gt;"",MAX($A$7:A215)+1,"")</f>
        <v/>
      </c>
      <c r="B216" s="243" t="str">
        <f t="shared" si="9"/>
        <v/>
      </c>
      <c r="C216" s="273" t="str">
        <f t="shared" si="10"/>
        <v/>
      </c>
      <c r="D216" s="246"/>
      <c r="E216" s="284"/>
      <c r="F216" s="284"/>
      <c r="G216" s="248"/>
      <c r="H216" s="241"/>
      <c r="I216" s="285"/>
      <c r="J216" s="286"/>
      <c r="K216" s="287"/>
      <c r="L216" s="288"/>
      <c r="M216" s="289"/>
      <c r="N216" s="290"/>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row>
    <row r="217" spans="1:36" s="22" customFormat="1" x14ac:dyDescent="0.25">
      <c r="A217" s="28" t="str">
        <f>IF(H217&lt;&gt;"",MAX($A$7:A216)+1,"")</f>
        <v/>
      </c>
      <c r="B217" s="243" t="str">
        <f t="shared" si="9"/>
        <v/>
      </c>
      <c r="C217" s="273" t="str">
        <f t="shared" si="10"/>
        <v/>
      </c>
      <c r="D217" s="246"/>
      <c r="E217" s="284"/>
      <c r="F217" s="284"/>
      <c r="G217" s="248"/>
      <c r="H217" s="241"/>
      <c r="I217" s="285"/>
      <c r="J217" s="286"/>
      <c r="K217" s="287"/>
      <c r="L217" s="288"/>
      <c r="M217" s="289"/>
      <c r="N217" s="290"/>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row>
    <row r="218" spans="1:36" s="22" customFormat="1" x14ac:dyDescent="0.25">
      <c r="A218" s="28" t="str">
        <f>IF(H218&lt;&gt;"",MAX($A$7:A217)+1,"")</f>
        <v/>
      </c>
      <c r="B218" s="243" t="str">
        <f t="shared" si="9"/>
        <v/>
      </c>
      <c r="C218" s="273" t="str">
        <f t="shared" si="10"/>
        <v/>
      </c>
      <c r="D218" s="246"/>
      <c r="E218" s="284"/>
      <c r="F218" s="284"/>
      <c r="G218" s="248"/>
      <c r="H218" s="241"/>
      <c r="I218" s="285"/>
      <c r="J218" s="286"/>
      <c r="K218" s="287"/>
      <c r="L218" s="288"/>
      <c r="M218" s="289"/>
      <c r="N218" s="290"/>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row>
    <row r="219" spans="1:36" s="22" customFormat="1" x14ac:dyDescent="0.25">
      <c r="A219" s="28" t="str">
        <f>IF(H219&lt;&gt;"",MAX($A$7:A218)+1,"")</f>
        <v/>
      </c>
      <c r="B219" s="243" t="str">
        <f t="shared" si="9"/>
        <v/>
      </c>
      <c r="C219" s="273" t="str">
        <f t="shared" si="10"/>
        <v/>
      </c>
      <c r="D219" s="246"/>
      <c r="E219" s="284"/>
      <c r="F219" s="284"/>
      <c r="G219" s="248"/>
      <c r="H219" s="241"/>
      <c r="I219" s="285"/>
      <c r="J219" s="286"/>
      <c r="K219" s="287"/>
      <c r="L219" s="288"/>
      <c r="M219" s="289"/>
      <c r="N219" s="290"/>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row>
    <row r="220" spans="1:36" s="22" customFormat="1" x14ac:dyDescent="0.25">
      <c r="A220" s="28" t="str">
        <f>IF(H220&lt;&gt;"",MAX($A$7:A219)+1,"")</f>
        <v/>
      </c>
      <c r="B220" s="243" t="str">
        <f t="shared" si="9"/>
        <v/>
      </c>
      <c r="C220" s="273" t="str">
        <f t="shared" si="10"/>
        <v/>
      </c>
      <c r="D220" s="246"/>
      <c r="E220" s="284"/>
      <c r="F220" s="284"/>
      <c r="G220" s="248"/>
      <c r="H220" s="241"/>
      <c r="I220" s="285"/>
      <c r="J220" s="286"/>
      <c r="K220" s="287"/>
      <c r="L220" s="288"/>
      <c r="M220" s="289"/>
      <c r="N220" s="290"/>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row>
    <row r="221" spans="1:36" s="22" customFormat="1" x14ac:dyDescent="0.25">
      <c r="A221" s="28" t="str">
        <f>IF(H221&lt;&gt;"",MAX($A$7:A220)+1,"")</f>
        <v/>
      </c>
      <c r="B221" s="243" t="str">
        <f t="shared" si="9"/>
        <v/>
      </c>
      <c r="C221" s="273" t="str">
        <f t="shared" si="10"/>
        <v/>
      </c>
      <c r="D221" s="246"/>
      <c r="E221" s="284"/>
      <c r="F221" s="284"/>
      <c r="G221" s="248"/>
      <c r="H221" s="241"/>
      <c r="I221" s="285"/>
      <c r="J221" s="286"/>
      <c r="K221" s="287"/>
      <c r="L221" s="288"/>
      <c r="M221" s="289"/>
      <c r="N221" s="290"/>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row>
    <row r="222" spans="1:36" s="22" customFormat="1" x14ac:dyDescent="0.25">
      <c r="A222" s="28" t="str">
        <f>IF(H222&lt;&gt;"",MAX($A$7:A221)+1,"")</f>
        <v/>
      </c>
      <c r="B222" s="243" t="str">
        <f t="shared" si="9"/>
        <v/>
      </c>
      <c r="C222" s="273" t="str">
        <f t="shared" si="10"/>
        <v/>
      </c>
      <c r="D222" s="246"/>
      <c r="E222" s="284"/>
      <c r="F222" s="284"/>
      <c r="G222" s="248"/>
      <c r="H222" s="241"/>
      <c r="I222" s="285"/>
      <c r="J222" s="286"/>
      <c r="K222" s="287"/>
      <c r="L222" s="288"/>
      <c r="M222" s="289"/>
      <c r="N222" s="290"/>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row>
    <row r="223" spans="1:36" s="22" customFormat="1" x14ac:dyDescent="0.25">
      <c r="A223" s="28" t="str">
        <f>IF(H223&lt;&gt;"",MAX($A$7:A222)+1,"")</f>
        <v/>
      </c>
      <c r="B223" s="243" t="str">
        <f t="shared" si="9"/>
        <v/>
      </c>
      <c r="C223" s="273" t="str">
        <f t="shared" si="10"/>
        <v/>
      </c>
      <c r="D223" s="246"/>
      <c r="E223" s="284"/>
      <c r="F223" s="284"/>
      <c r="G223" s="248"/>
      <c r="H223" s="241"/>
      <c r="I223" s="285"/>
      <c r="J223" s="286"/>
      <c r="K223" s="287"/>
      <c r="L223" s="288"/>
      <c r="M223" s="289"/>
      <c r="N223" s="290"/>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row>
    <row r="224" spans="1:36" s="22" customFormat="1" x14ac:dyDescent="0.25">
      <c r="A224" s="28" t="str">
        <f>IF(H224&lt;&gt;"",MAX($A$7:A223)+1,"")</f>
        <v/>
      </c>
      <c r="B224" s="243" t="str">
        <f t="shared" si="9"/>
        <v/>
      </c>
      <c r="C224" s="273" t="str">
        <f t="shared" si="10"/>
        <v/>
      </c>
      <c r="D224" s="246"/>
      <c r="E224" s="284"/>
      <c r="F224" s="284"/>
      <c r="G224" s="248"/>
      <c r="H224" s="241"/>
      <c r="I224" s="285"/>
      <c r="J224" s="286"/>
      <c r="K224" s="287"/>
      <c r="L224" s="288"/>
      <c r="M224" s="289"/>
      <c r="N224" s="290"/>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row>
    <row r="225" spans="1:36" s="22" customFormat="1" x14ac:dyDescent="0.25">
      <c r="A225" s="28" t="str">
        <f>IF(H225&lt;&gt;"",MAX($A$7:A224)+1,"")</f>
        <v/>
      </c>
      <c r="B225" s="243" t="str">
        <f t="shared" si="9"/>
        <v/>
      </c>
      <c r="C225" s="273" t="str">
        <f t="shared" si="10"/>
        <v/>
      </c>
      <c r="D225" s="246"/>
      <c r="E225" s="284"/>
      <c r="F225" s="284"/>
      <c r="G225" s="248"/>
      <c r="H225" s="241"/>
      <c r="I225" s="285"/>
      <c r="J225" s="286"/>
      <c r="K225" s="287"/>
      <c r="L225" s="288"/>
      <c r="M225" s="289"/>
      <c r="N225" s="290"/>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row>
    <row r="226" spans="1:36" s="22" customFormat="1" x14ac:dyDescent="0.25">
      <c r="A226" s="28" t="str">
        <f>IF(H226&lt;&gt;"",MAX($A$7:A225)+1,"")</f>
        <v/>
      </c>
      <c r="B226" s="243" t="str">
        <f t="shared" si="9"/>
        <v/>
      </c>
      <c r="C226" s="273" t="str">
        <f t="shared" si="10"/>
        <v/>
      </c>
      <c r="D226" s="246"/>
      <c r="E226" s="284"/>
      <c r="F226" s="284"/>
      <c r="G226" s="248"/>
      <c r="H226" s="241"/>
      <c r="I226" s="285"/>
      <c r="J226" s="286"/>
      <c r="K226" s="287"/>
      <c r="L226" s="288"/>
      <c r="M226" s="289"/>
      <c r="N226" s="290"/>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row>
    <row r="227" spans="1:36" s="22" customFormat="1" x14ac:dyDescent="0.25">
      <c r="A227" s="28" t="str">
        <f>IF(H227&lt;&gt;"",MAX($A$7:A226)+1,"")</f>
        <v/>
      </c>
      <c r="B227" s="243" t="str">
        <f t="shared" si="9"/>
        <v/>
      </c>
      <c r="C227" s="273" t="str">
        <f t="shared" si="10"/>
        <v/>
      </c>
      <c r="D227" s="246"/>
      <c r="E227" s="284"/>
      <c r="F227" s="284"/>
      <c r="G227" s="248"/>
      <c r="H227" s="241"/>
      <c r="I227" s="285"/>
      <c r="J227" s="286"/>
      <c r="K227" s="287"/>
      <c r="L227" s="288"/>
      <c r="M227" s="289"/>
      <c r="N227" s="290"/>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row>
    <row r="228" spans="1:36" s="22" customFormat="1" x14ac:dyDescent="0.25">
      <c r="A228" s="28" t="str">
        <f>IF(H228&lt;&gt;"",MAX($A$7:A227)+1,"")</f>
        <v/>
      </c>
      <c r="B228" s="243" t="str">
        <f t="shared" si="9"/>
        <v/>
      </c>
      <c r="C228" s="273" t="str">
        <f t="shared" si="10"/>
        <v/>
      </c>
      <c r="D228" s="246"/>
      <c r="E228" s="284"/>
      <c r="F228" s="284"/>
      <c r="G228" s="248"/>
      <c r="H228" s="241"/>
      <c r="I228" s="285"/>
      <c r="J228" s="286"/>
      <c r="K228" s="287"/>
      <c r="L228" s="288"/>
      <c r="M228" s="289"/>
      <c r="N228" s="290"/>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row>
    <row r="229" spans="1:36" s="22" customFormat="1" x14ac:dyDescent="0.25">
      <c r="A229" s="28" t="str">
        <f>IF(H229&lt;&gt;"",MAX($A$7:A228)+1,"")</f>
        <v/>
      </c>
      <c r="B229" s="243" t="str">
        <f t="shared" si="9"/>
        <v/>
      </c>
      <c r="C229" s="273" t="str">
        <f t="shared" si="10"/>
        <v/>
      </c>
      <c r="D229" s="246"/>
      <c r="E229" s="284"/>
      <c r="F229" s="284"/>
      <c r="G229" s="248"/>
      <c r="H229" s="241"/>
      <c r="I229" s="285"/>
      <c r="J229" s="286"/>
      <c r="K229" s="287"/>
      <c r="L229" s="288"/>
      <c r="M229" s="289"/>
      <c r="N229" s="290"/>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row>
    <row r="230" spans="1:36" s="22" customFormat="1" x14ac:dyDescent="0.25">
      <c r="A230" s="28" t="str">
        <f>IF(H230&lt;&gt;"",MAX($A$7:A229)+1,"")</f>
        <v/>
      </c>
      <c r="B230" s="243" t="str">
        <f t="shared" si="9"/>
        <v/>
      </c>
      <c r="C230" s="273" t="str">
        <f t="shared" si="10"/>
        <v/>
      </c>
      <c r="D230" s="246"/>
      <c r="E230" s="284"/>
      <c r="F230" s="284"/>
      <c r="G230" s="248"/>
      <c r="H230" s="241"/>
      <c r="I230" s="285"/>
      <c r="J230" s="286"/>
      <c r="K230" s="287"/>
      <c r="L230" s="288"/>
      <c r="M230" s="289"/>
      <c r="N230" s="290"/>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row>
    <row r="231" spans="1:36" s="22" customFormat="1" x14ac:dyDescent="0.25">
      <c r="A231" s="28" t="str">
        <f>IF(H231&lt;&gt;"",MAX($A$7:A230)+1,"")</f>
        <v/>
      </c>
      <c r="B231" s="243" t="str">
        <f t="shared" si="9"/>
        <v/>
      </c>
      <c r="C231" s="273" t="str">
        <f t="shared" si="10"/>
        <v/>
      </c>
      <c r="D231" s="246"/>
      <c r="E231" s="284"/>
      <c r="F231" s="284"/>
      <c r="G231" s="248"/>
      <c r="H231" s="241"/>
      <c r="I231" s="285"/>
      <c r="J231" s="286"/>
      <c r="K231" s="287"/>
      <c r="L231" s="288"/>
      <c r="M231" s="289"/>
      <c r="N231" s="290"/>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row>
    <row r="232" spans="1:36" s="22" customFormat="1" x14ac:dyDescent="0.25">
      <c r="A232" s="28" t="str">
        <f>IF(H232&lt;&gt;"",MAX($A$7:A231)+1,"")</f>
        <v/>
      </c>
      <c r="B232" s="243" t="str">
        <f t="shared" si="9"/>
        <v/>
      </c>
      <c r="C232" s="273" t="str">
        <f t="shared" si="10"/>
        <v/>
      </c>
      <c r="D232" s="246"/>
      <c r="E232" s="284"/>
      <c r="F232" s="284"/>
      <c r="G232" s="248"/>
      <c r="H232" s="241"/>
      <c r="I232" s="285"/>
      <c r="J232" s="286"/>
      <c r="K232" s="287"/>
      <c r="L232" s="288"/>
      <c r="M232" s="289"/>
      <c r="N232" s="290"/>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row>
    <row r="233" spans="1:36" s="22" customFormat="1" x14ac:dyDescent="0.25">
      <c r="A233" s="28" t="str">
        <f>IF(H233&lt;&gt;"",MAX($A$7:A232)+1,"")</f>
        <v/>
      </c>
      <c r="B233" s="243" t="str">
        <f t="shared" si="9"/>
        <v/>
      </c>
      <c r="C233" s="273" t="str">
        <f t="shared" si="10"/>
        <v/>
      </c>
      <c r="D233" s="246"/>
      <c r="E233" s="284"/>
      <c r="F233" s="284"/>
      <c r="G233" s="248"/>
      <c r="H233" s="241"/>
      <c r="I233" s="285"/>
      <c r="J233" s="286"/>
      <c r="K233" s="287"/>
      <c r="L233" s="288"/>
      <c r="M233" s="289"/>
      <c r="N233" s="290"/>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row>
    <row r="234" spans="1:36" s="22" customFormat="1" x14ac:dyDescent="0.25">
      <c r="A234" s="28" t="str">
        <f>IF(H234&lt;&gt;"",MAX($A$7:A233)+1,"")</f>
        <v/>
      </c>
      <c r="B234" s="243" t="str">
        <f t="shared" si="9"/>
        <v/>
      </c>
      <c r="C234" s="273" t="str">
        <f t="shared" si="10"/>
        <v/>
      </c>
      <c r="D234" s="246"/>
      <c r="E234" s="284"/>
      <c r="F234" s="284"/>
      <c r="G234" s="248"/>
      <c r="H234" s="241"/>
      <c r="I234" s="285"/>
      <c r="J234" s="286"/>
      <c r="K234" s="287"/>
      <c r="L234" s="288"/>
      <c r="M234" s="289"/>
      <c r="N234" s="290"/>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row>
    <row r="235" spans="1:36" s="22" customFormat="1" x14ac:dyDescent="0.25">
      <c r="A235" s="28" t="str">
        <f>IF(H235&lt;&gt;"",MAX($A$7:A234)+1,"")</f>
        <v/>
      </c>
      <c r="B235" s="243" t="str">
        <f t="shared" si="9"/>
        <v/>
      </c>
      <c r="C235" s="273" t="str">
        <f t="shared" si="10"/>
        <v/>
      </c>
      <c r="D235" s="246"/>
      <c r="E235" s="284"/>
      <c r="F235" s="284"/>
      <c r="G235" s="248"/>
      <c r="H235" s="241"/>
      <c r="I235" s="285"/>
      <c r="J235" s="286"/>
      <c r="K235" s="287"/>
      <c r="L235" s="288"/>
      <c r="M235" s="289"/>
      <c r="N235" s="290"/>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row>
    <row r="236" spans="1:36" s="22" customFormat="1" x14ac:dyDescent="0.25">
      <c r="A236" s="28" t="str">
        <f>IF(H236&lt;&gt;"",MAX($A$7:A235)+1,"")</f>
        <v/>
      </c>
      <c r="B236" s="243" t="str">
        <f t="shared" si="9"/>
        <v/>
      </c>
      <c r="C236" s="273" t="str">
        <f t="shared" si="10"/>
        <v/>
      </c>
      <c r="D236" s="246"/>
      <c r="E236" s="284"/>
      <c r="F236" s="284"/>
      <c r="G236" s="248"/>
      <c r="H236" s="241"/>
      <c r="I236" s="285"/>
      <c r="J236" s="286"/>
      <c r="K236" s="287"/>
      <c r="L236" s="288"/>
      <c r="M236" s="289"/>
      <c r="N236" s="290"/>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row>
    <row r="237" spans="1:36" s="22" customFormat="1" x14ac:dyDescent="0.25">
      <c r="A237" s="28" t="str">
        <f>IF(H237&lt;&gt;"",MAX($A$7:A236)+1,"")</f>
        <v/>
      </c>
      <c r="B237" s="243" t="str">
        <f t="shared" si="9"/>
        <v/>
      </c>
      <c r="C237" s="273" t="str">
        <f t="shared" si="10"/>
        <v/>
      </c>
      <c r="D237" s="246"/>
      <c r="E237" s="284"/>
      <c r="F237" s="284"/>
      <c r="G237" s="248"/>
      <c r="H237" s="241"/>
      <c r="I237" s="285"/>
      <c r="J237" s="286"/>
      <c r="K237" s="287"/>
      <c r="L237" s="288"/>
      <c r="M237" s="289"/>
      <c r="N237" s="290"/>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row>
    <row r="238" spans="1:36" s="22" customFormat="1" x14ac:dyDescent="0.25">
      <c r="A238" s="28" t="str">
        <f>IF(H238&lt;&gt;"",MAX($A$7:A237)+1,"")</f>
        <v/>
      </c>
      <c r="B238" s="243" t="str">
        <f t="shared" si="9"/>
        <v/>
      </c>
      <c r="C238" s="273" t="str">
        <f t="shared" si="10"/>
        <v/>
      </c>
      <c r="D238" s="246"/>
      <c r="E238" s="284"/>
      <c r="F238" s="284"/>
      <c r="G238" s="248"/>
      <c r="H238" s="241"/>
      <c r="I238" s="285"/>
      <c r="J238" s="286"/>
      <c r="K238" s="287"/>
      <c r="L238" s="288"/>
      <c r="M238" s="289"/>
      <c r="N238" s="290"/>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row>
    <row r="239" spans="1:36" s="22" customFormat="1" x14ac:dyDescent="0.25">
      <c r="A239" s="28" t="str">
        <f>IF(H239&lt;&gt;"",MAX($A$7:A238)+1,"")</f>
        <v/>
      </c>
      <c r="B239" s="243" t="str">
        <f t="shared" si="9"/>
        <v/>
      </c>
      <c r="C239" s="273" t="str">
        <f t="shared" si="10"/>
        <v/>
      </c>
      <c r="D239" s="246"/>
      <c r="E239" s="284"/>
      <c r="F239" s="284"/>
      <c r="G239" s="248"/>
      <c r="H239" s="241"/>
      <c r="I239" s="285"/>
      <c r="J239" s="286"/>
      <c r="K239" s="287"/>
      <c r="L239" s="288"/>
      <c r="M239" s="289"/>
      <c r="N239" s="290"/>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row>
    <row r="240" spans="1:36" s="22" customFormat="1" x14ac:dyDescent="0.25">
      <c r="A240" s="28" t="str">
        <f>IF(H240&lt;&gt;"",MAX($A$7:A239)+1,"")</f>
        <v/>
      </c>
      <c r="B240" s="243" t="str">
        <f t="shared" si="9"/>
        <v/>
      </c>
      <c r="C240" s="273" t="str">
        <f t="shared" si="10"/>
        <v/>
      </c>
      <c r="D240" s="246"/>
      <c r="E240" s="284"/>
      <c r="F240" s="284"/>
      <c r="G240" s="248"/>
      <c r="H240" s="241"/>
      <c r="I240" s="285"/>
      <c r="J240" s="286"/>
      <c r="K240" s="287"/>
      <c r="L240" s="288"/>
      <c r="M240" s="289"/>
      <c r="N240" s="290"/>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row>
    <row r="241" spans="1:36" s="22" customFormat="1" x14ac:dyDescent="0.25">
      <c r="A241" s="28" t="str">
        <f>IF(H241&lt;&gt;"",MAX($A$7:A240)+1,"")</f>
        <v/>
      </c>
      <c r="B241" s="243" t="str">
        <f t="shared" si="9"/>
        <v/>
      </c>
      <c r="C241" s="273" t="str">
        <f t="shared" si="10"/>
        <v/>
      </c>
      <c r="D241" s="246"/>
      <c r="E241" s="284"/>
      <c r="F241" s="284"/>
      <c r="G241" s="248"/>
      <c r="H241" s="241"/>
      <c r="I241" s="285"/>
      <c r="J241" s="286"/>
      <c r="K241" s="287"/>
      <c r="L241" s="288"/>
      <c r="M241" s="289"/>
      <c r="N241" s="290"/>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row>
    <row r="242" spans="1:36" s="22" customFormat="1" x14ac:dyDescent="0.25">
      <c r="A242" s="28" t="str">
        <f>IF(H242&lt;&gt;"",MAX($A$7:A241)+1,"")</f>
        <v/>
      </c>
      <c r="B242" s="243" t="str">
        <f t="shared" si="9"/>
        <v/>
      </c>
      <c r="C242" s="273" t="str">
        <f t="shared" si="10"/>
        <v/>
      </c>
      <c r="D242" s="246"/>
      <c r="E242" s="284"/>
      <c r="F242" s="284"/>
      <c r="G242" s="248"/>
      <c r="H242" s="241"/>
      <c r="I242" s="285"/>
      <c r="J242" s="286"/>
      <c r="K242" s="287"/>
      <c r="L242" s="288"/>
      <c r="M242" s="289"/>
      <c r="N242" s="290"/>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row>
    <row r="243" spans="1:36" s="22" customFormat="1" x14ac:dyDescent="0.25">
      <c r="A243" s="28" t="str">
        <f>IF(H243&lt;&gt;"",MAX($A$7:A242)+1,"")</f>
        <v/>
      </c>
      <c r="B243" s="243" t="str">
        <f t="shared" si="9"/>
        <v/>
      </c>
      <c r="C243" s="273" t="str">
        <f t="shared" si="10"/>
        <v/>
      </c>
      <c r="D243" s="246"/>
      <c r="E243" s="284"/>
      <c r="F243" s="284"/>
      <c r="G243" s="248"/>
      <c r="H243" s="241"/>
      <c r="I243" s="285"/>
      <c r="J243" s="286"/>
      <c r="K243" s="287"/>
      <c r="L243" s="288"/>
      <c r="M243" s="289"/>
      <c r="N243" s="290"/>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row>
    <row r="244" spans="1:36" s="22" customFormat="1" x14ac:dyDescent="0.25">
      <c r="A244" s="28" t="str">
        <f>IF(H244&lt;&gt;"",MAX($A$7:A243)+1,"")</f>
        <v/>
      </c>
      <c r="B244" s="243" t="str">
        <f t="shared" si="9"/>
        <v/>
      </c>
      <c r="C244" s="273" t="str">
        <f t="shared" si="10"/>
        <v/>
      </c>
      <c r="D244" s="246"/>
      <c r="E244" s="284"/>
      <c r="F244" s="284"/>
      <c r="G244" s="248"/>
      <c r="H244" s="241"/>
      <c r="I244" s="285"/>
      <c r="J244" s="286"/>
      <c r="K244" s="287"/>
      <c r="L244" s="288"/>
      <c r="M244" s="289"/>
      <c r="N244" s="290"/>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row>
    <row r="245" spans="1:36" s="22" customFormat="1" x14ac:dyDescent="0.25">
      <c r="A245" s="28" t="str">
        <f>IF(H245&lt;&gt;"",MAX($A$7:A244)+1,"")</f>
        <v/>
      </c>
      <c r="B245" s="243" t="str">
        <f t="shared" si="9"/>
        <v/>
      </c>
      <c r="C245" s="273" t="str">
        <f t="shared" si="10"/>
        <v/>
      </c>
      <c r="D245" s="246"/>
      <c r="E245" s="284"/>
      <c r="F245" s="284"/>
      <c r="G245" s="248"/>
      <c r="H245" s="241"/>
      <c r="I245" s="285"/>
      <c r="J245" s="286"/>
      <c r="K245" s="287"/>
      <c r="L245" s="288"/>
      <c r="M245" s="289"/>
      <c r="N245" s="290"/>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row>
    <row r="246" spans="1:36" s="22" customFormat="1" x14ac:dyDescent="0.25">
      <c r="A246" s="28" t="str">
        <f>IF(H246&lt;&gt;"",MAX($A$7:A245)+1,"")</f>
        <v/>
      </c>
      <c r="B246" s="243" t="str">
        <f t="shared" si="9"/>
        <v/>
      </c>
      <c r="C246" s="273" t="str">
        <f t="shared" si="10"/>
        <v/>
      </c>
      <c r="D246" s="246"/>
      <c r="E246" s="284"/>
      <c r="F246" s="284"/>
      <c r="G246" s="248"/>
      <c r="H246" s="241"/>
      <c r="I246" s="285"/>
      <c r="J246" s="286"/>
      <c r="K246" s="287"/>
      <c r="L246" s="288"/>
      <c r="M246" s="289"/>
      <c r="N246" s="290"/>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row>
    <row r="247" spans="1:36" s="22" customFormat="1" x14ac:dyDescent="0.25">
      <c r="A247" s="28" t="str">
        <f>IF(H247&lt;&gt;"",MAX($A$7:A246)+1,"")</f>
        <v/>
      </c>
      <c r="B247" s="243" t="str">
        <f t="shared" si="9"/>
        <v/>
      </c>
      <c r="C247" s="273" t="str">
        <f t="shared" si="10"/>
        <v/>
      </c>
      <c r="D247" s="246"/>
      <c r="E247" s="284"/>
      <c r="F247" s="284"/>
      <c r="G247" s="248"/>
      <c r="H247" s="241"/>
      <c r="I247" s="285"/>
      <c r="J247" s="286"/>
      <c r="K247" s="287"/>
      <c r="L247" s="288"/>
      <c r="M247" s="289"/>
      <c r="N247" s="290"/>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row>
    <row r="248" spans="1:36" s="22" customFormat="1" x14ac:dyDescent="0.25">
      <c r="A248" s="28" t="str">
        <f>IF(H248&lt;&gt;"",MAX($A$7:A247)+1,"")</f>
        <v/>
      </c>
      <c r="B248" s="243" t="str">
        <f t="shared" si="9"/>
        <v/>
      </c>
      <c r="C248" s="273" t="str">
        <f t="shared" si="10"/>
        <v/>
      </c>
      <c r="D248" s="246"/>
      <c r="E248" s="284"/>
      <c r="F248" s="284"/>
      <c r="G248" s="248"/>
      <c r="H248" s="241"/>
      <c r="I248" s="285"/>
      <c r="J248" s="286"/>
      <c r="K248" s="287"/>
      <c r="L248" s="288"/>
      <c r="M248" s="289"/>
      <c r="N248" s="290"/>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row>
    <row r="249" spans="1:36" s="22" customFormat="1" x14ac:dyDescent="0.25">
      <c r="A249" s="28" t="str">
        <f>IF(H249&lt;&gt;"",MAX($A$7:A248)+1,"")</f>
        <v/>
      </c>
      <c r="B249" s="243" t="str">
        <f t="shared" si="9"/>
        <v/>
      </c>
      <c r="C249" s="273" t="str">
        <f t="shared" si="10"/>
        <v/>
      </c>
      <c r="D249" s="246"/>
      <c r="E249" s="284"/>
      <c r="F249" s="284"/>
      <c r="G249" s="248"/>
      <c r="H249" s="241"/>
      <c r="I249" s="285"/>
      <c r="J249" s="286"/>
      <c r="K249" s="287"/>
      <c r="L249" s="288"/>
      <c r="M249" s="289"/>
      <c r="N249" s="290"/>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row>
    <row r="250" spans="1:36" s="22" customFormat="1" x14ac:dyDescent="0.25">
      <c r="A250" s="28" t="str">
        <f>IF(H250&lt;&gt;"",MAX($A$7:A249)+1,"")</f>
        <v/>
      </c>
      <c r="B250" s="243" t="str">
        <f t="shared" si="9"/>
        <v/>
      </c>
      <c r="C250" s="273" t="str">
        <f t="shared" si="10"/>
        <v/>
      </c>
      <c r="D250" s="246"/>
      <c r="E250" s="284"/>
      <c r="F250" s="284"/>
      <c r="G250" s="248"/>
      <c r="H250" s="241"/>
      <c r="I250" s="285"/>
      <c r="J250" s="286"/>
      <c r="K250" s="287"/>
      <c r="L250" s="288"/>
      <c r="M250" s="289"/>
      <c r="N250" s="290"/>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row>
    <row r="251" spans="1:36" s="22" customFormat="1" x14ac:dyDescent="0.25">
      <c r="A251" s="28" t="str">
        <f>IF(H251&lt;&gt;"",MAX($A$7:A250)+1,"")</f>
        <v/>
      </c>
      <c r="B251" s="243" t="str">
        <f t="shared" si="9"/>
        <v/>
      </c>
      <c r="C251" s="273" t="str">
        <f t="shared" si="10"/>
        <v/>
      </c>
      <c r="D251" s="246"/>
      <c r="E251" s="284"/>
      <c r="F251" s="284"/>
      <c r="G251" s="248"/>
      <c r="H251" s="241"/>
      <c r="I251" s="285"/>
      <c r="J251" s="286"/>
      <c r="K251" s="287"/>
      <c r="L251" s="288"/>
      <c r="M251" s="289"/>
      <c r="N251" s="290"/>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row>
    <row r="252" spans="1:36" s="22" customFormat="1" x14ac:dyDescent="0.25">
      <c r="A252" s="28" t="str">
        <f>IF(H252&lt;&gt;"",MAX($A$7:A251)+1,"")</f>
        <v/>
      </c>
      <c r="B252" s="243" t="str">
        <f t="shared" si="9"/>
        <v/>
      </c>
      <c r="C252" s="273" t="str">
        <f t="shared" si="10"/>
        <v/>
      </c>
      <c r="D252" s="246"/>
      <c r="E252" s="284"/>
      <c r="F252" s="284"/>
      <c r="G252" s="248"/>
      <c r="H252" s="241"/>
      <c r="I252" s="285"/>
      <c r="J252" s="286"/>
      <c r="K252" s="287"/>
      <c r="L252" s="288"/>
      <c r="M252" s="289"/>
      <c r="N252" s="290"/>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row>
    <row r="253" spans="1:36" s="22" customFormat="1" x14ac:dyDescent="0.25">
      <c r="A253" s="28" t="str">
        <f>IF(H253&lt;&gt;"",MAX($A$7:A252)+1,"")</f>
        <v/>
      </c>
      <c r="B253" s="243" t="str">
        <f t="shared" si="9"/>
        <v/>
      </c>
      <c r="C253" s="273" t="str">
        <f t="shared" si="10"/>
        <v/>
      </c>
      <c r="D253" s="246"/>
      <c r="E253" s="284"/>
      <c r="F253" s="284"/>
      <c r="G253" s="248"/>
      <c r="H253" s="241"/>
      <c r="I253" s="285"/>
      <c r="J253" s="286"/>
      <c r="K253" s="287"/>
      <c r="L253" s="288"/>
      <c r="M253" s="289"/>
      <c r="N253" s="290"/>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row>
    <row r="254" spans="1:36" s="22" customFormat="1" x14ac:dyDescent="0.25">
      <c r="A254" s="28" t="str">
        <f>IF(H254&lt;&gt;"",MAX($A$7:A253)+1,"")</f>
        <v/>
      </c>
      <c r="B254" s="243" t="str">
        <f t="shared" si="9"/>
        <v/>
      </c>
      <c r="C254" s="273" t="str">
        <f t="shared" si="10"/>
        <v/>
      </c>
      <c r="D254" s="246"/>
      <c r="E254" s="284"/>
      <c r="F254" s="284"/>
      <c r="G254" s="248"/>
      <c r="H254" s="241"/>
      <c r="I254" s="285"/>
      <c r="J254" s="286"/>
      <c r="K254" s="287"/>
      <c r="L254" s="288"/>
      <c r="M254" s="289"/>
      <c r="N254" s="290"/>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row>
    <row r="255" spans="1:36" s="22" customFormat="1" x14ac:dyDescent="0.25">
      <c r="A255" s="28" t="str">
        <f>IF(H255&lt;&gt;"",MAX($A$7:A254)+1,"")</f>
        <v/>
      </c>
      <c r="B255" s="243" t="str">
        <f t="shared" si="9"/>
        <v/>
      </c>
      <c r="C255" s="273" t="str">
        <f t="shared" si="10"/>
        <v/>
      </c>
      <c r="D255" s="246"/>
      <c r="E255" s="284"/>
      <c r="F255" s="284"/>
      <c r="G255" s="248"/>
      <c r="H255" s="241"/>
      <c r="I255" s="285"/>
      <c r="J255" s="286"/>
      <c r="K255" s="287"/>
      <c r="L255" s="288"/>
      <c r="M255" s="289"/>
      <c r="N255" s="290"/>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row>
    <row r="256" spans="1:36" s="22" customFormat="1" x14ac:dyDescent="0.25">
      <c r="A256" s="28" t="str">
        <f>IF(H256&lt;&gt;"",MAX($A$7:A255)+1,"")</f>
        <v/>
      </c>
      <c r="B256" s="243" t="str">
        <f t="shared" si="9"/>
        <v/>
      </c>
      <c r="C256" s="273" t="str">
        <f t="shared" si="10"/>
        <v/>
      </c>
      <c r="D256" s="246"/>
      <c r="E256" s="284"/>
      <c r="F256" s="284"/>
      <c r="G256" s="248"/>
      <c r="H256" s="241"/>
      <c r="I256" s="285"/>
      <c r="J256" s="286"/>
      <c r="K256" s="287"/>
      <c r="L256" s="288"/>
      <c r="M256" s="289"/>
      <c r="N256" s="290"/>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row>
    <row r="257" spans="1:36" s="22" customFormat="1" x14ac:dyDescent="0.25">
      <c r="A257" s="28" t="str">
        <f>IF(H257&lt;&gt;"",MAX($A$7:A256)+1,"")</f>
        <v/>
      </c>
      <c r="B257" s="243" t="str">
        <f t="shared" si="9"/>
        <v/>
      </c>
      <c r="C257" s="273" t="str">
        <f t="shared" si="10"/>
        <v/>
      </c>
      <c r="D257" s="246"/>
      <c r="E257" s="284"/>
      <c r="F257" s="284"/>
      <c r="G257" s="248"/>
      <c r="H257" s="241"/>
      <c r="I257" s="285"/>
      <c r="J257" s="286"/>
      <c r="K257" s="287"/>
      <c r="L257" s="288"/>
      <c r="M257" s="289"/>
      <c r="N257" s="290"/>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row>
    <row r="258" spans="1:36" s="22" customFormat="1" x14ac:dyDescent="0.25">
      <c r="A258" s="28" t="str">
        <f>IF(H258&lt;&gt;"",MAX($A$7:A257)+1,"")</f>
        <v/>
      </c>
      <c r="B258" s="243" t="str">
        <f t="shared" si="9"/>
        <v/>
      </c>
      <c r="C258" s="273" t="str">
        <f t="shared" si="10"/>
        <v/>
      </c>
      <c r="D258" s="246"/>
      <c r="E258" s="284"/>
      <c r="F258" s="284"/>
      <c r="G258" s="248"/>
      <c r="H258" s="241"/>
      <c r="I258" s="285"/>
      <c r="J258" s="286"/>
      <c r="K258" s="287"/>
      <c r="L258" s="288"/>
      <c r="M258" s="289"/>
      <c r="N258" s="290"/>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row>
    <row r="259" spans="1:36" s="22" customFormat="1" x14ac:dyDescent="0.25">
      <c r="A259" s="28" t="str">
        <f>IF(H259&lt;&gt;"",MAX($A$7:A258)+1,"")</f>
        <v/>
      </c>
      <c r="B259" s="243" t="str">
        <f t="shared" si="9"/>
        <v/>
      </c>
      <c r="C259" s="273" t="str">
        <f t="shared" si="10"/>
        <v/>
      </c>
      <c r="D259" s="246"/>
      <c r="E259" s="284"/>
      <c r="F259" s="284"/>
      <c r="G259" s="248"/>
      <c r="H259" s="241"/>
      <c r="I259" s="285"/>
      <c r="J259" s="286"/>
      <c r="K259" s="287"/>
      <c r="L259" s="288"/>
      <c r="M259" s="289"/>
      <c r="N259" s="290"/>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row>
    <row r="260" spans="1:36" s="22" customFormat="1" x14ac:dyDescent="0.25">
      <c r="A260" s="28" t="str">
        <f>IF(H260&lt;&gt;"",MAX($A$7:A259)+1,"")</f>
        <v/>
      </c>
      <c r="B260" s="243" t="str">
        <f t="shared" si="9"/>
        <v/>
      </c>
      <c r="C260" s="273" t="str">
        <f t="shared" si="10"/>
        <v/>
      </c>
      <c r="D260" s="246"/>
      <c r="E260" s="284"/>
      <c r="F260" s="284"/>
      <c r="G260" s="248"/>
      <c r="H260" s="241"/>
      <c r="I260" s="285"/>
      <c r="J260" s="286"/>
      <c r="K260" s="287"/>
      <c r="L260" s="288"/>
      <c r="M260" s="289"/>
      <c r="N260" s="290"/>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row>
    <row r="261" spans="1:36" s="22" customFormat="1" x14ac:dyDescent="0.25">
      <c r="A261" s="28" t="str">
        <f>IF(H261&lt;&gt;"",MAX($A$7:A260)+1,"")</f>
        <v/>
      </c>
      <c r="B261" s="243" t="str">
        <f t="shared" si="9"/>
        <v/>
      </c>
      <c r="C261" s="273" t="str">
        <f t="shared" si="10"/>
        <v/>
      </c>
      <c r="D261" s="246"/>
      <c r="E261" s="284"/>
      <c r="F261" s="284"/>
      <c r="G261" s="248"/>
      <c r="H261" s="241"/>
      <c r="I261" s="285"/>
      <c r="J261" s="286"/>
      <c r="K261" s="287"/>
      <c r="L261" s="288"/>
      <c r="M261" s="289"/>
      <c r="N261" s="290"/>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row>
    <row r="262" spans="1:36" s="22" customFormat="1" x14ac:dyDescent="0.25">
      <c r="A262" s="28" t="str">
        <f>IF(H262&lt;&gt;"",MAX($A$7:A261)+1,"")</f>
        <v/>
      </c>
      <c r="B262" s="243" t="str">
        <f t="shared" si="9"/>
        <v/>
      </c>
      <c r="C262" s="273" t="str">
        <f t="shared" si="10"/>
        <v/>
      </c>
      <c r="D262" s="246"/>
      <c r="E262" s="284"/>
      <c r="F262" s="284"/>
      <c r="G262" s="248"/>
      <c r="H262" s="241"/>
      <c r="I262" s="285"/>
      <c r="J262" s="286"/>
      <c r="K262" s="287"/>
      <c r="L262" s="288"/>
      <c r="M262" s="289"/>
      <c r="N262" s="290"/>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row>
    <row r="263" spans="1:36" s="22" customFormat="1" x14ac:dyDescent="0.25">
      <c r="A263" s="28" t="str">
        <f>IF(H263&lt;&gt;"",MAX($A$7:A262)+1,"")</f>
        <v/>
      </c>
      <c r="B263" s="243" t="str">
        <f t="shared" ref="B263:B326" si="11">IF(A263="","",PREF_PREGUNTA&amp;" - "&amp;IF(MAX(A:A)&gt;99,IF(A263&lt;100,"0",""),"")&amp;IF(A263&lt;10,"0","")&amp;A263&amp;IF(G263&lt;&gt;""," "&amp;G263,""))</f>
        <v/>
      </c>
      <c r="C263" s="273" t="str">
        <f t="shared" ref="C263:C326" si="12">IF(COUNTA(I263:N263)-D263=0,"",COUNTA(I263:N263)-D263)</f>
        <v/>
      </c>
      <c r="D263" s="246"/>
      <c r="E263" s="284"/>
      <c r="F263" s="284"/>
      <c r="G263" s="248"/>
      <c r="H263" s="241"/>
      <c r="I263" s="285"/>
      <c r="J263" s="286"/>
      <c r="K263" s="287"/>
      <c r="L263" s="288"/>
      <c r="M263" s="289"/>
      <c r="N263" s="290"/>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row>
    <row r="264" spans="1:36" s="22" customFormat="1" x14ac:dyDescent="0.25">
      <c r="A264" s="28" t="str">
        <f>IF(H264&lt;&gt;"",MAX($A$7:A263)+1,"")</f>
        <v/>
      </c>
      <c r="B264" s="243" t="str">
        <f t="shared" si="11"/>
        <v/>
      </c>
      <c r="C264" s="273" t="str">
        <f t="shared" si="12"/>
        <v/>
      </c>
      <c r="D264" s="246"/>
      <c r="E264" s="284"/>
      <c r="F264" s="284"/>
      <c r="G264" s="248"/>
      <c r="H264" s="241"/>
      <c r="I264" s="285"/>
      <c r="J264" s="286"/>
      <c r="K264" s="287"/>
      <c r="L264" s="288"/>
      <c r="M264" s="289"/>
      <c r="N264" s="290"/>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row>
    <row r="265" spans="1:36" s="22" customFormat="1" x14ac:dyDescent="0.25">
      <c r="A265" s="28" t="str">
        <f>IF(H265&lt;&gt;"",MAX($A$7:A264)+1,"")</f>
        <v/>
      </c>
      <c r="B265" s="243" t="str">
        <f t="shared" si="11"/>
        <v/>
      </c>
      <c r="C265" s="273" t="str">
        <f t="shared" si="12"/>
        <v/>
      </c>
      <c r="D265" s="246"/>
      <c r="E265" s="284"/>
      <c r="F265" s="284"/>
      <c r="G265" s="248"/>
      <c r="H265" s="241"/>
      <c r="I265" s="285"/>
      <c r="J265" s="286"/>
      <c r="K265" s="287"/>
      <c r="L265" s="288"/>
      <c r="M265" s="289"/>
      <c r="N265" s="290"/>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row>
    <row r="266" spans="1:36" s="22" customFormat="1" x14ac:dyDescent="0.25">
      <c r="A266" s="28" t="str">
        <f>IF(H266&lt;&gt;"",MAX($A$7:A265)+1,"")</f>
        <v/>
      </c>
      <c r="B266" s="243" t="str">
        <f t="shared" si="11"/>
        <v/>
      </c>
      <c r="C266" s="273" t="str">
        <f t="shared" si="12"/>
        <v/>
      </c>
      <c r="D266" s="246"/>
      <c r="E266" s="284"/>
      <c r="F266" s="284"/>
      <c r="G266" s="248"/>
      <c r="H266" s="241"/>
      <c r="I266" s="285"/>
      <c r="J266" s="286"/>
      <c r="K266" s="287"/>
      <c r="L266" s="288"/>
      <c r="M266" s="289"/>
      <c r="N266" s="290"/>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row>
    <row r="267" spans="1:36" s="22" customFormat="1" x14ac:dyDescent="0.25">
      <c r="A267" s="28" t="str">
        <f>IF(H267&lt;&gt;"",MAX($A$7:A266)+1,"")</f>
        <v/>
      </c>
      <c r="B267" s="243" t="str">
        <f t="shared" si="11"/>
        <v/>
      </c>
      <c r="C267" s="273" t="str">
        <f t="shared" si="12"/>
        <v/>
      </c>
      <c r="D267" s="246"/>
      <c r="E267" s="284"/>
      <c r="F267" s="284"/>
      <c r="G267" s="248"/>
      <c r="H267" s="241"/>
      <c r="I267" s="285"/>
      <c r="J267" s="286"/>
      <c r="K267" s="287"/>
      <c r="L267" s="288"/>
      <c r="M267" s="289"/>
      <c r="N267" s="290"/>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row>
    <row r="268" spans="1:36" s="22" customFormat="1" x14ac:dyDescent="0.25">
      <c r="A268" s="28" t="str">
        <f>IF(H268&lt;&gt;"",MAX($A$7:A267)+1,"")</f>
        <v/>
      </c>
      <c r="B268" s="243" t="str">
        <f t="shared" si="11"/>
        <v/>
      </c>
      <c r="C268" s="273" t="str">
        <f t="shared" si="12"/>
        <v/>
      </c>
      <c r="D268" s="246"/>
      <c r="E268" s="284"/>
      <c r="F268" s="284"/>
      <c r="G268" s="248"/>
      <c r="H268" s="241"/>
      <c r="I268" s="285"/>
      <c r="J268" s="286"/>
      <c r="K268" s="287"/>
      <c r="L268" s="288"/>
      <c r="M268" s="289"/>
      <c r="N268" s="290"/>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row>
    <row r="269" spans="1:36" s="22" customFormat="1" x14ac:dyDescent="0.25">
      <c r="A269" s="28" t="str">
        <f>IF(H269&lt;&gt;"",MAX($A$7:A268)+1,"")</f>
        <v/>
      </c>
      <c r="B269" s="243" t="str">
        <f t="shared" si="11"/>
        <v/>
      </c>
      <c r="C269" s="273" t="str">
        <f t="shared" si="12"/>
        <v/>
      </c>
      <c r="D269" s="246"/>
      <c r="E269" s="284"/>
      <c r="F269" s="284"/>
      <c r="G269" s="248"/>
      <c r="H269" s="241"/>
      <c r="I269" s="285"/>
      <c r="J269" s="286"/>
      <c r="K269" s="287"/>
      <c r="L269" s="288"/>
      <c r="M269" s="289"/>
      <c r="N269" s="290"/>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row>
    <row r="270" spans="1:36" s="22" customFormat="1" x14ac:dyDescent="0.25">
      <c r="A270" s="28" t="str">
        <f>IF(H270&lt;&gt;"",MAX($A$7:A269)+1,"")</f>
        <v/>
      </c>
      <c r="B270" s="243" t="str">
        <f t="shared" si="11"/>
        <v/>
      </c>
      <c r="C270" s="273" t="str">
        <f t="shared" si="12"/>
        <v/>
      </c>
      <c r="D270" s="246"/>
      <c r="E270" s="284"/>
      <c r="F270" s="284"/>
      <c r="G270" s="248"/>
      <c r="H270" s="241"/>
      <c r="I270" s="285"/>
      <c r="J270" s="286"/>
      <c r="K270" s="287"/>
      <c r="L270" s="288"/>
      <c r="M270" s="289"/>
      <c r="N270" s="290"/>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row>
    <row r="271" spans="1:36" s="22" customFormat="1" x14ac:dyDescent="0.25">
      <c r="A271" s="28" t="str">
        <f>IF(H271&lt;&gt;"",MAX($A$7:A270)+1,"")</f>
        <v/>
      </c>
      <c r="B271" s="243" t="str">
        <f t="shared" si="11"/>
        <v/>
      </c>
      <c r="C271" s="273" t="str">
        <f t="shared" si="12"/>
        <v/>
      </c>
      <c r="D271" s="246"/>
      <c r="E271" s="284"/>
      <c r="F271" s="284"/>
      <c r="G271" s="248"/>
      <c r="H271" s="241"/>
      <c r="I271" s="285"/>
      <c r="J271" s="286"/>
      <c r="K271" s="287"/>
      <c r="L271" s="288"/>
      <c r="M271" s="289"/>
      <c r="N271" s="290"/>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row>
    <row r="272" spans="1:36" s="22" customFormat="1" x14ac:dyDescent="0.25">
      <c r="A272" s="28" t="str">
        <f>IF(H272&lt;&gt;"",MAX($A$7:A271)+1,"")</f>
        <v/>
      </c>
      <c r="B272" s="243" t="str">
        <f t="shared" si="11"/>
        <v/>
      </c>
      <c r="C272" s="273" t="str">
        <f t="shared" si="12"/>
        <v/>
      </c>
      <c r="D272" s="246"/>
      <c r="E272" s="284"/>
      <c r="F272" s="284"/>
      <c r="G272" s="248"/>
      <c r="H272" s="241"/>
      <c r="I272" s="285"/>
      <c r="J272" s="286"/>
      <c r="K272" s="287"/>
      <c r="L272" s="288"/>
      <c r="M272" s="289"/>
      <c r="N272" s="290"/>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row>
    <row r="273" spans="1:36" s="22" customFormat="1" x14ac:dyDescent="0.25">
      <c r="A273" s="28" t="str">
        <f>IF(H273&lt;&gt;"",MAX($A$7:A272)+1,"")</f>
        <v/>
      </c>
      <c r="B273" s="243" t="str">
        <f t="shared" si="11"/>
        <v/>
      </c>
      <c r="C273" s="273" t="str">
        <f t="shared" si="12"/>
        <v/>
      </c>
      <c r="D273" s="246"/>
      <c r="E273" s="284"/>
      <c r="F273" s="284"/>
      <c r="G273" s="248"/>
      <c r="H273" s="241"/>
      <c r="I273" s="285"/>
      <c r="J273" s="286"/>
      <c r="K273" s="287"/>
      <c r="L273" s="288"/>
      <c r="M273" s="289"/>
      <c r="N273" s="290"/>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row>
    <row r="274" spans="1:36" s="22" customFormat="1" x14ac:dyDescent="0.25">
      <c r="A274" s="28" t="str">
        <f>IF(H274&lt;&gt;"",MAX($A$7:A273)+1,"")</f>
        <v/>
      </c>
      <c r="B274" s="243" t="str">
        <f t="shared" si="11"/>
        <v/>
      </c>
      <c r="C274" s="273" t="str">
        <f t="shared" si="12"/>
        <v/>
      </c>
      <c r="D274" s="246"/>
      <c r="E274" s="284"/>
      <c r="F274" s="284"/>
      <c r="G274" s="248"/>
      <c r="H274" s="241"/>
      <c r="I274" s="285"/>
      <c r="J274" s="286"/>
      <c r="K274" s="287"/>
      <c r="L274" s="288"/>
      <c r="M274" s="289"/>
      <c r="N274" s="290"/>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row>
    <row r="275" spans="1:36" s="22" customFormat="1" x14ac:dyDescent="0.25">
      <c r="A275" s="28" t="str">
        <f>IF(H275&lt;&gt;"",MAX($A$7:A274)+1,"")</f>
        <v/>
      </c>
      <c r="B275" s="243" t="str">
        <f t="shared" si="11"/>
        <v/>
      </c>
      <c r="C275" s="273" t="str">
        <f t="shared" si="12"/>
        <v/>
      </c>
      <c r="D275" s="246"/>
      <c r="E275" s="284"/>
      <c r="F275" s="284"/>
      <c r="G275" s="248"/>
      <c r="H275" s="241"/>
      <c r="I275" s="285"/>
      <c r="J275" s="286"/>
      <c r="K275" s="287"/>
      <c r="L275" s="288"/>
      <c r="M275" s="289"/>
      <c r="N275" s="290"/>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row>
    <row r="276" spans="1:36" s="22" customFormat="1" x14ac:dyDescent="0.25">
      <c r="A276" s="28" t="str">
        <f>IF(H276&lt;&gt;"",MAX($A$7:A275)+1,"")</f>
        <v/>
      </c>
      <c r="B276" s="243" t="str">
        <f t="shared" si="11"/>
        <v/>
      </c>
      <c r="C276" s="273" t="str">
        <f t="shared" si="12"/>
        <v/>
      </c>
      <c r="D276" s="246"/>
      <c r="E276" s="284"/>
      <c r="F276" s="284"/>
      <c r="G276" s="248"/>
      <c r="H276" s="241"/>
      <c r="I276" s="285"/>
      <c r="J276" s="286"/>
      <c r="K276" s="287"/>
      <c r="L276" s="288"/>
      <c r="M276" s="289"/>
      <c r="N276" s="290"/>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row>
    <row r="277" spans="1:36" s="22" customFormat="1" x14ac:dyDescent="0.25">
      <c r="A277" s="28" t="str">
        <f>IF(H277&lt;&gt;"",MAX($A$7:A276)+1,"")</f>
        <v/>
      </c>
      <c r="B277" s="243" t="str">
        <f t="shared" si="11"/>
        <v/>
      </c>
      <c r="C277" s="273" t="str">
        <f t="shared" si="12"/>
        <v/>
      </c>
      <c r="D277" s="246"/>
      <c r="E277" s="284"/>
      <c r="F277" s="284"/>
      <c r="G277" s="248"/>
      <c r="H277" s="241"/>
      <c r="I277" s="285"/>
      <c r="J277" s="286"/>
      <c r="K277" s="287"/>
      <c r="L277" s="288"/>
      <c r="M277" s="289"/>
      <c r="N277" s="290"/>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row>
    <row r="278" spans="1:36" s="22" customFormat="1" x14ac:dyDescent="0.25">
      <c r="A278" s="28" t="str">
        <f>IF(H278&lt;&gt;"",MAX($A$7:A277)+1,"")</f>
        <v/>
      </c>
      <c r="B278" s="243" t="str">
        <f t="shared" si="11"/>
        <v/>
      </c>
      <c r="C278" s="273" t="str">
        <f t="shared" si="12"/>
        <v/>
      </c>
      <c r="D278" s="246"/>
      <c r="E278" s="284"/>
      <c r="F278" s="284"/>
      <c r="G278" s="248"/>
      <c r="H278" s="241"/>
      <c r="I278" s="285"/>
      <c r="J278" s="286"/>
      <c r="K278" s="287"/>
      <c r="L278" s="288"/>
      <c r="M278" s="289"/>
      <c r="N278" s="290"/>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row>
    <row r="279" spans="1:36" s="22" customFormat="1" x14ac:dyDescent="0.25">
      <c r="A279" s="28" t="str">
        <f>IF(H279&lt;&gt;"",MAX($A$7:A278)+1,"")</f>
        <v/>
      </c>
      <c r="B279" s="243" t="str">
        <f t="shared" si="11"/>
        <v/>
      </c>
      <c r="C279" s="273" t="str">
        <f t="shared" si="12"/>
        <v/>
      </c>
      <c r="D279" s="246"/>
      <c r="E279" s="284"/>
      <c r="F279" s="284"/>
      <c r="G279" s="248"/>
      <c r="H279" s="241"/>
      <c r="I279" s="285"/>
      <c r="J279" s="286"/>
      <c r="K279" s="287"/>
      <c r="L279" s="288"/>
      <c r="M279" s="289"/>
      <c r="N279" s="290"/>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row>
    <row r="280" spans="1:36" s="22" customFormat="1" x14ac:dyDescent="0.25">
      <c r="A280" s="28" t="str">
        <f>IF(H280&lt;&gt;"",MAX($A$7:A279)+1,"")</f>
        <v/>
      </c>
      <c r="B280" s="243" t="str">
        <f t="shared" si="11"/>
        <v/>
      </c>
      <c r="C280" s="273" t="str">
        <f t="shared" si="12"/>
        <v/>
      </c>
      <c r="D280" s="246"/>
      <c r="E280" s="284"/>
      <c r="F280" s="284"/>
      <c r="G280" s="248"/>
      <c r="H280" s="241"/>
      <c r="I280" s="285"/>
      <c r="J280" s="286"/>
      <c r="K280" s="287"/>
      <c r="L280" s="288"/>
      <c r="M280" s="289"/>
      <c r="N280" s="290"/>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row>
    <row r="281" spans="1:36" s="22" customFormat="1" x14ac:dyDescent="0.25">
      <c r="A281" s="28" t="str">
        <f>IF(H281&lt;&gt;"",MAX($A$7:A280)+1,"")</f>
        <v/>
      </c>
      <c r="B281" s="243" t="str">
        <f t="shared" si="11"/>
        <v/>
      </c>
      <c r="C281" s="273" t="str">
        <f t="shared" si="12"/>
        <v/>
      </c>
      <c r="D281" s="246"/>
      <c r="E281" s="284"/>
      <c r="F281" s="284"/>
      <c r="G281" s="248"/>
      <c r="H281" s="241"/>
      <c r="I281" s="285"/>
      <c r="J281" s="286"/>
      <c r="K281" s="287"/>
      <c r="L281" s="288"/>
      <c r="M281" s="289"/>
      <c r="N281" s="290"/>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row>
    <row r="282" spans="1:36" s="22" customFormat="1" x14ac:dyDescent="0.25">
      <c r="A282" s="28" t="str">
        <f>IF(H282&lt;&gt;"",MAX($A$7:A281)+1,"")</f>
        <v/>
      </c>
      <c r="B282" s="243" t="str">
        <f t="shared" si="11"/>
        <v/>
      </c>
      <c r="C282" s="273" t="str">
        <f t="shared" si="12"/>
        <v/>
      </c>
      <c r="D282" s="246"/>
      <c r="E282" s="284"/>
      <c r="F282" s="284"/>
      <c r="G282" s="248"/>
      <c r="H282" s="241"/>
      <c r="I282" s="285"/>
      <c r="J282" s="286"/>
      <c r="K282" s="287"/>
      <c r="L282" s="288"/>
      <c r="M282" s="289"/>
      <c r="N282" s="290"/>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row>
    <row r="283" spans="1:36" s="22" customFormat="1" x14ac:dyDescent="0.25">
      <c r="A283" s="28" t="str">
        <f>IF(H283&lt;&gt;"",MAX($A$7:A282)+1,"")</f>
        <v/>
      </c>
      <c r="B283" s="243" t="str">
        <f t="shared" si="11"/>
        <v/>
      </c>
      <c r="C283" s="273" t="str">
        <f t="shared" si="12"/>
        <v/>
      </c>
      <c r="D283" s="246"/>
      <c r="E283" s="284"/>
      <c r="F283" s="284"/>
      <c r="G283" s="248"/>
      <c r="H283" s="241"/>
      <c r="I283" s="285"/>
      <c r="J283" s="286"/>
      <c r="K283" s="287"/>
      <c r="L283" s="288"/>
      <c r="M283" s="289"/>
      <c r="N283" s="290"/>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row>
    <row r="284" spans="1:36" s="22" customFormat="1" x14ac:dyDescent="0.25">
      <c r="A284" s="28" t="str">
        <f>IF(H284&lt;&gt;"",MAX($A$7:A283)+1,"")</f>
        <v/>
      </c>
      <c r="B284" s="243" t="str">
        <f t="shared" si="11"/>
        <v/>
      </c>
      <c r="C284" s="273" t="str">
        <f t="shared" si="12"/>
        <v/>
      </c>
      <c r="D284" s="246"/>
      <c r="E284" s="284"/>
      <c r="F284" s="284"/>
      <c r="G284" s="248"/>
      <c r="H284" s="241"/>
      <c r="I284" s="285"/>
      <c r="J284" s="286"/>
      <c r="K284" s="287"/>
      <c r="L284" s="288"/>
      <c r="M284" s="289"/>
      <c r="N284" s="290"/>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row>
    <row r="285" spans="1:36" s="22" customFormat="1" x14ac:dyDescent="0.25">
      <c r="A285" s="28" t="str">
        <f>IF(H285&lt;&gt;"",MAX($A$7:A284)+1,"")</f>
        <v/>
      </c>
      <c r="B285" s="243" t="str">
        <f t="shared" si="11"/>
        <v/>
      </c>
      <c r="C285" s="273" t="str">
        <f t="shared" si="12"/>
        <v/>
      </c>
      <c r="D285" s="246"/>
      <c r="E285" s="284"/>
      <c r="F285" s="284"/>
      <c r="G285" s="248"/>
      <c r="H285" s="241"/>
      <c r="I285" s="285"/>
      <c r="J285" s="286"/>
      <c r="K285" s="287"/>
      <c r="L285" s="288"/>
      <c r="M285" s="289"/>
      <c r="N285" s="290"/>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row>
    <row r="286" spans="1:36" s="22" customFormat="1" x14ac:dyDescent="0.25">
      <c r="A286" s="28" t="str">
        <f>IF(H286&lt;&gt;"",MAX($A$7:A285)+1,"")</f>
        <v/>
      </c>
      <c r="B286" s="243" t="str">
        <f t="shared" si="11"/>
        <v/>
      </c>
      <c r="C286" s="273" t="str">
        <f t="shared" si="12"/>
        <v/>
      </c>
      <c r="D286" s="246"/>
      <c r="E286" s="284"/>
      <c r="F286" s="284"/>
      <c r="G286" s="248"/>
      <c r="H286" s="241"/>
      <c r="I286" s="285"/>
      <c r="J286" s="286"/>
      <c r="K286" s="287"/>
      <c r="L286" s="288"/>
      <c r="M286" s="289"/>
      <c r="N286" s="290"/>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row>
    <row r="287" spans="1:36" s="22" customFormat="1" x14ac:dyDescent="0.25">
      <c r="A287" s="28" t="str">
        <f>IF(H287&lt;&gt;"",MAX($A$7:A286)+1,"")</f>
        <v/>
      </c>
      <c r="B287" s="243" t="str">
        <f t="shared" si="11"/>
        <v/>
      </c>
      <c r="C287" s="273" t="str">
        <f t="shared" si="12"/>
        <v/>
      </c>
      <c r="D287" s="246"/>
      <c r="E287" s="284"/>
      <c r="F287" s="284"/>
      <c r="G287" s="248"/>
      <c r="H287" s="241"/>
      <c r="I287" s="285"/>
      <c r="J287" s="286"/>
      <c r="K287" s="287"/>
      <c r="L287" s="288"/>
      <c r="M287" s="289"/>
      <c r="N287" s="290"/>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row>
    <row r="288" spans="1:36" s="22" customFormat="1" x14ac:dyDescent="0.25">
      <c r="A288" s="28" t="str">
        <f>IF(H288&lt;&gt;"",MAX($A$7:A287)+1,"")</f>
        <v/>
      </c>
      <c r="B288" s="243" t="str">
        <f t="shared" si="11"/>
        <v/>
      </c>
      <c r="C288" s="273" t="str">
        <f t="shared" si="12"/>
        <v/>
      </c>
      <c r="D288" s="246"/>
      <c r="E288" s="284"/>
      <c r="F288" s="284"/>
      <c r="G288" s="248"/>
      <c r="H288" s="241"/>
      <c r="I288" s="285"/>
      <c r="J288" s="286"/>
      <c r="K288" s="287"/>
      <c r="L288" s="288"/>
      <c r="M288" s="289"/>
      <c r="N288" s="290"/>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row>
    <row r="289" spans="1:36" s="22" customFormat="1" x14ac:dyDescent="0.25">
      <c r="A289" s="28" t="str">
        <f>IF(H289&lt;&gt;"",MAX($A$7:A288)+1,"")</f>
        <v/>
      </c>
      <c r="B289" s="243" t="str">
        <f t="shared" si="11"/>
        <v/>
      </c>
      <c r="C289" s="273" t="str">
        <f t="shared" si="12"/>
        <v/>
      </c>
      <c r="D289" s="246"/>
      <c r="E289" s="284"/>
      <c r="F289" s="284"/>
      <c r="G289" s="248"/>
      <c r="H289" s="241"/>
      <c r="I289" s="285"/>
      <c r="J289" s="286"/>
      <c r="K289" s="287"/>
      <c r="L289" s="288"/>
      <c r="M289" s="289"/>
      <c r="N289" s="290"/>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row>
    <row r="290" spans="1:36" s="22" customFormat="1" x14ac:dyDescent="0.25">
      <c r="A290" s="28" t="str">
        <f>IF(H290&lt;&gt;"",MAX($A$7:A289)+1,"")</f>
        <v/>
      </c>
      <c r="B290" s="243" t="str">
        <f t="shared" si="11"/>
        <v/>
      </c>
      <c r="C290" s="273" t="str">
        <f t="shared" si="12"/>
        <v/>
      </c>
      <c r="D290" s="246"/>
      <c r="E290" s="284"/>
      <c r="F290" s="284"/>
      <c r="G290" s="248"/>
      <c r="H290" s="241"/>
      <c r="I290" s="285"/>
      <c r="J290" s="286"/>
      <c r="K290" s="287"/>
      <c r="L290" s="288"/>
      <c r="M290" s="289"/>
      <c r="N290" s="290"/>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row>
    <row r="291" spans="1:36" s="22" customFormat="1" x14ac:dyDescent="0.25">
      <c r="A291" s="28" t="str">
        <f>IF(H291&lt;&gt;"",MAX($A$7:A290)+1,"")</f>
        <v/>
      </c>
      <c r="B291" s="243" t="str">
        <f t="shared" si="11"/>
        <v/>
      </c>
      <c r="C291" s="273" t="str">
        <f t="shared" si="12"/>
        <v/>
      </c>
      <c r="D291" s="246"/>
      <c r="E291" s="284"/>
      <c r="F291" s="284"/>
      <c r="G291" s="248"/>
      <c r="H291" s="241"/>
      <c r="I291" s="285"/>
      <c r="J291" s="286"/>
      <c r="K291" s="287"/>
      <c r="L291" s="288"/>
      <c r="M291" s="289"/>
      <c r="N291" s="290"/>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row>
    <row r="292" spans="1:36" s="22" customFormat="1" x14ac:dyDescent="0.25">
      <c r="A292" s="28" t="str">
        <f>IF(H292&lt;&gt;"",MAX($A$7:A291)+1,"")</f>
        <v/>
      </c>
      <c r="B292" s="243" t="str">
        <f t="shared" si="11"/>
        <v/>
      </c>
      <c r="C292" s="273" t="str">
        <f t="shared" si="12"/>
        <v/>
      </c>
      <c r="D292" s="246"/>
      <c r="E292" s="284"/>
      <c r="F292" s="284"/>
      <c r="G292" s="248"/>
      <c r="H292" s="241"/>
      <c r="I292" s="285"/>
      <c r="J292" s="286"/>
      <c r="K292" s="287"/>
      <c r="L292" s="288"/>
      <c r="M292" s="289"/>
      <c r="N292" s="290"/>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row>
    <row r="293" spans="1:36" s="22" customFormat="1" x14ac:dyDescent="0.25">
      <c r="A293" s="28" t="str">
        <f>IF(H293&lt;&gt;"",MAX($A$7:A292)+1,"")</f>
        <v/>
      </c>
      <c r="B293" s="243" t="str">
        <f t="shared" si="11"/>
        <v/>
      </c>
      <c r="C293" s="273" t="str">
        <f t="shared" si="12"/>
        <v/>
      </c>
      <c r="D293" s="246"/>
      <c r="E293" s="284"/>
      <c r="F293" s="284"/>
      <c r="G293" s="248"/>
      <c r="H293" s="241"/>
      <c r="I293" s="285"/>
      <c r="J293" s="286"/>
      <c r="K293" s="287"/>
      <c r="L293" s="288"/>
      <c r="M293" s="289"/>
      <c r="N293" s="290"/>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row>
    <row r="294" spans="1:36" s="22" customFormat="1" x14ac:dyDescent="0.25">
      <c r="A294" s="28" t="str">
        <f>IF(H294&lt;&gt;"",MAX($A$7:A293)+1,"")</f>
        <v/>
      </c>
      <c r="B294" s="243" t="str">
        <f t="shared" si="11"/>
        <v/>
      </c>
      <c r="C294" s="273" t="str">
        <f t="shared" si="12"/>
        <v/>
      </c>
      <c r="D294" s="246"/>
      <c r="E294" s="284"/>
      <c r="F294" s="284"/>
      <c r="G294" s="248"/>
      <c r="H294" s="241"/>
      <c r="I294" s="285"/>
      <c r="J294" s="286"/>
      <c r="K294" s="287"/>
      <c r="L294" s="288"/>
      <c r="M294" s="289"/>
      <c r="N294" s="290"/>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row>
    <row r="295" spans="1:36" s="22" customFormat="1" x14ac:dyDescent="0.25">
      <c r="A295" s="28" t="str">
        <f>IF(H295&lt;&gt;"",MAX($A$7:A294)+1,"")</f>
        <v/>
      </c>
      <c r="B295" s="243" t="str">
        <f t="shared" si="11"/>
        <v/>
      </c>
      <c r="C295" s="273" t="str">
        <f t="shared" si="12"/>
        <v/>
      </c>
      <c r="D295" s="246"/>
      <c r="E295" s="284"/>
      <c r="F295" s="284"/>
      <c r="G295" s="248"/>
      <c r="H295" s="241"/>
      <c r="I295" s="285"/>
      <c r="J295" s="286"/>
      <c r="K295" s="287"/>
      <c r="L295" s="288"/>
      <c r="M295" s="289"/>
      <c r="N295" s="290"/>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row>
    <row r="296" spans="1:36" s="22" customFormat="1" x14ac:dyDescent="0.25">
      <c r="A296" s="28" t="str">
        <f>IF(H296&lt;&gt;"",MAX($A$7:A295)+1,"")</f>
        <v/>
      </c>
      <c r="B296" s="243" t="str">
        <f t="shared" si="11"/>
        <v/>
      </c>
      <c r="C296" s="273" t="str">
        <f t="shared" si="12"/>
        <v/>
      </c>
      <c r="D296" s="246"/>
      <c r="E296" s="284"/>
      <c r="F296" s="284"/>
      <c r="G296" s="248"/>
      <c r="H296" s="241"/>
      <c r="I296" s="285"/>
      <c r="J296" s="286"/>
      <c r="K296" s="287"/>
      <c r="L296" s="288"/>
      <c r="M296" s="289"/>
      <c r="N296" s="290"/>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row>
    <row r="297" spans="1:36" s="22" customFormat="1" x14ac:dyDescent="0.25">
      <c r="A297" s="28" t="str">
        <f>IF(H297&lt;&gt;"",MAX($A$7:A296)+1,"")</f>
        <v/>
      </c>
      <c r="B297" s="243" t="str">
        <f t="shared" si="11"/>
        <v/>
      </c>
      <c r="C297" s="273" t="str">
        <f t="shared" si="12"/>
        <v/>
      </c>
      <c r="D297" s="246"/>
      <c r="E297" s="284"/>
      <c r="F297" s="284"/>
      <c r="G297" s="248"/>
      <c r="H297" s="241"/>
      <c r="I297" s="285"/>
      <c r="J297" s="286"/>
      <c r="K297" s="287"/>
      <c r="L297" s="288"/>
      <c r="M297" s="289"/>
      <c r="N297" s="290"/>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row>
    <row r="298" spans="1:36" s="22" customFormat="1" x14ac:dyDescent="0.25">
      <c r="A298" s="28" t="str">
        <f>IF(H298&lt;&gt;"",MAX($A$7:A297)+1,"")</f>
        <v/>
      </c>
      <c r="B298" s="243" t="str">
        <f t="shared" si="11"/>
        <v/>
      </c>
      <c r="C298" s="273" t="str">
        <f t="shared" si="12"/>
        <v/>
      </c>
      <c r="D298" s="246"/>
      <c r="E298" s="284"/>
      <c r="F298" s="284"/>
      <c r="G298" s="248"/>
      <c r="H298" s="241"/>
      <c r="I298" s="285"/>
      <c r="J298" s="286"/>
      <c r="K298" s="287"/>
      <c r="L298" s="288"/>
      <c r="M298" s="289"/>
      <c r="N298" s="290"/>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row>
    <row r="299" spans="1:36" s="22" customFormat="1" x14ac:dyDescent="0.25">
      <c r="A299" s="28" t="str">
        <f>IF(H299&lt;&gt;"",MAX($A$7:A298)+1,"")</f>
        <v/>
      </c>
      <c r="B299" s="243" t="str">
        <f t="shared" si="11"/>
        <v/>
      </c>
      <c r="C299" s="273" t="str">
        <f t="shared" si="12"/>
        <v/>
      </c>
      <c r="D299" s="246"/>
      <c r="E299" s="284"/>
      <c r="F299" s="284"/>
      <c r="G299" s="248"/>
      <c r="H299" s="241"/>
      <c r="I299" s="285"/>
      <c r="J299" s="286"/>
      <c r="K299" s="287"/>
      <c r="L299" s="288"/>
      <c r="M299" s="289"/>
      <c r="N299" s="290"/>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row>
    <row r="300" spans="1:36" s="22" customFormat="1" x14ac:dyDescent="0.25">
      <c r="A300" s="28" t="str">
        <f>IF(H300&lt;&gt;"",MAX($A$7:A299)+1,"")</f>
        <v/>
      </c>
      <c r="B300" s="243" t="str">
        <f t="shared" si="11"/>
        <v/>
      </c>
      <c r="C300" s="273" t="str">
        <f t="shared" si="12"/>
        <v/>
      </c>
      <c r="D300" s="246"/>
      <c r="E300" s="284"/>
      <c r="F300" s="284"/>
      <c r="G300" s="248"/>
      <c r="H300" s="241"/>
      <c r="I300" s="285"/>
      <c r="J300" s="286"/>
      <c r="K300" s="287"/>
      <c r="L300" s="288"/>
      <c r="M300" s="289"/>
      <c r="N300" s="290"/>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row>
    <row r="301" spans="1:36" s="22" customFormat="1" x14ac:dyDescent="0.25">
      <c r="A301" s="28" t="str">
        <f>IF(H301&lt;&gt;"",MAX($A$7:A300)+1,"")</f>
        <v/>
      </c>
      <c r="B301" s="243" t="str">
        <f t="shared" si="11"/>
        <v/>
      </c>
      <c r="C301" s="273" t="str">
        <f t="shared" si="12"/>
        <v/>
      </c>
      <c r="D301" s="246"/>
      <c r="E301" s="284"/>
      <c r="F301" s="284"/>
      <c r="G301" s="248"/>
      <c r="H301" s="241"/>
      <c r="I301" s="285"/>
      <c r="J301" s="286"/>
      <c r="K301" s="287"/>
      <c r="L301" s="288"/>
      <c r="M301" s="289"/>
      <c r="N301" s="290"/>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row>
    <row r="302" spans="1:36" s="22" customFormat="1" x14ac:dyDescent="0.25">
      <c r="A302" s="28" t="str">
        <f>IF(H302&lt;&gt;"",MAX($A$7:A301)+1,"")</f>
        <v/>
      </c>
      <c r="B302" s="243" t="str">
        <f t="shared" si="11"/>
        <v/>
      </c>
      <c r="C302" s="273" t="str">
        <f t="shared" si="12"/>
        <v/>
      </c>
      <c r="D302" s="246"/>
      <c r="E302" s="284"/>
      <c r="F302" s="284"/>
      <c r="G302" s="248"/>
      <c r="H302" s="241"/>
      <c r="I302" s="285"/>
      <c r="J302" s="286"/>
      <c r="K302" s="287"/>
      <c r="L302" s="288"/>
      <c r="M302" s="289"/>
      <c r="N302" s="290"/>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row>
    <row r="303" spans="1:36" s="22" customFormat="1" x14ac:dyDescent="0.25">
      <c r="A303" s="28" t="str">
        <f>IF(H303&lt;&gt;"",MAX($A$7:A302)+1,"")</f>
        <v/>
      </c>
      <c r="B303" s="243" t="str">
        <f t="shared" si="11"/>
        <v/>
      </c>
      <c r="C303" s="273" t="str">
        <f t="shared" si="12"/>
        <v/>
      </c>
      <c r="D303" s="246"/>
      <c r="E303" s="284"/>
      <c r="F303" s="284"/>
      <c r="G303" s="248"/>
      <c r="H303" s="241"/>
      <c r="I303" s="285"/>
      <c r="J303" s="286"/>
      <c r="K303" s="287"/>
      <c r="L303" s="288"/>
      <c r="M303" s="289"/>
      <c r="N303" s="290"/>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row>
    <row r="304" spans="1:36" s="22" customFormat="1" x14ac:dyDescent="0.25">
      <c r="A304" s="28" t="str">
        <f>IF(H304&lt;&gt;"",MAX($A$7:A303)+1,"")</f>
        <v/>
      </c>
      <c r="B304" s="243" t="str">
        <f t="shared" si="11"/>
        <v/>
      </c>
      <c r="C304" s="273" t="str">
        <f t="shared" si="12"/>
        <v/>
      </c>
      <c r="D304" s="246"/>
      <c r="E304" s="284"/>
      <c r="F304" s="284"/>
      <c r="G304" s="248"/>
      <c r="H304" s="241"/>
      <c r="I304" s="285"/>
      <c r="J304" s="286"/>
      <c r="K304" s="287"/>
      <c r="L304" s="288"/>
      <c r="M304" s="289"/>
      <c r="N304" s="290"/>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row>
    <row r="305" spans="1:36" s="22" customFormat="1" x14ac:dyDescent="0.25">
      <c r="A305" s="28" t="str">
        <f>IF(H305&lt;&gt;"",MAX($A$7:A304)+1,"")</f>
        <v/>
      </c>
      <c r="B305" s="243" t="str">
        <f t="shared" si="11"/>
        <v/>
      </c>
      <c r="C305" s="273" t="str">
        <f t="shared" si="12"/>
        <v/>
      </c>
      <c r="D305" s="246"/>
      <c r="E305" s="284"/>
      <c r="F305" s="284"/>
      <c r="G305" s="248"/>
      <c r="H305" s="241"/>
      <c r="I305" s="285"/>
      <c r="J305" s="286"/>
      <c r="K305" s="287"/>
      <c r="L305" s="288"/>
      <c r="M305" s="289"/>
      <c r="N305" s="290"/>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row>
    <row r="306" spans="1:36" s="22" customFormat="1" x14ac:dyDescent="0.25">
      <c r="A306" s="28" t="str">
        <f>IF(H306&lt;&gt;"",MAX($A$7:A305)+1,"")</f>
        <v/>
      </c>
      <c r="B306" s="243" t="str">
        <f t="shared" si="11"/>
        <v/>
      </c>
      <c r="C306" s="273" t="str">
        <f t="shared" si="12"/>
        <v/>
      </c>
      <c r="D306" s="246"/>
      <c r="E306" s="284"/>
      <c r="F306" s="284"/>
      <c r="G306" s="248"/>
      <c r="H306" s="241"/>
      <c r="I306" s="285"/>
      <c r="J306" s="286"/>
      <c r="K306" s="287"/>
      <c r="L306" s="288"/>
      <c r="M306" s="289"/>
      <c r="N306" s="290"/>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row>
    <row r="307" spans="1:36" s="22" customFormat="1" x14ac:dyDescent="0.25">
      <c r="A307" s="28" t="str">
        <f>IF(H307&lt;&gt;"",MAX($A$7:A306)+1,"")</f>
        <v/>
      </c>
      <c r="B307" s="243" t="str">
        <f t="shared" si="11"/>
        <v/>
      </c>
      <c r="C307" s="273" t="str">
        <f t="shared" si="12"/>
        <v/>
      </c>
      <c r="D307" s="246"/>
      <c r="E307" s="284"/>
      <c r="F307" s="284"/>
      <c r="G307" s="248"/>
      <c r="H307" s="241"/>
      <c r="I307" s="285"/>
      <c r="J307" s="286"/>
      <c r="K307" s="287"/>
      <c r="L307" s="288"/>
      <c r="M307" s="289"/>
      <c r="N307" s="290"/>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row>
    <row r="308" spans="1:36" s="22" customFormat="1" x14ac:dyDescent="0.25">
      <c r="A308" s="28" t="str">
        <f>IF(H308&lt;&gt;"",MAX($A$7:A307)+1,"")</f>
        <v/>
      </c>
      <c r="B308" s="243" t="str">
        <f t="shared" si="11"/>
        <v/>
      </c>
      <c r="C308" s="273" t="str">
        <f t="shared" si="12"/>
        <v/>
      </c>
      <c r="D308" s="246"/>
      <c r="E308" s="284"/>
      <c r="F308" s="284"/>
      <c r="G308" s="248"/>
      <c r="H308" s="241"/>
      <c r="I308" s="285"/>
      <c r="J308" s="286"/>
      <c r="K308" s="287"/>
      <c r="L308" s="288"/>
      <c r="M308" s="289"/>
      <c r="N308" s="290"/>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row>
    <row r="309" spans="1:36" s="22" customFormat="1" x14ac:dyDescent="0.25">
      <c r="A309" s="28" t="str">
        <f>IF(H309&lt;&gt;"",MAX($A$7:A308)+1,"")</f>
        <v/>
      </c>
      <c r="B309" s="243" t="str">
        <f t="shared" si="11"/>
        <v/>
      </c>
      <c r="C309" s="273" t="str">
        <f t="shared" si="12"/>
        <v/>
      </c>
      <c r="D309" s="246"/>
      <c r="E309" s="284"/>
      <c r="F309" s="284"/>
      <c r="G309" s="248"/>
      <c r="H309" s="241"/>
      <c r="I309" s="285"/>
      <c r="J309" s="286"/>
      <c r="K309" s="287"/>
      <c r="L309" s="288"/>
      <c r="M309" s="289"/>
      <c r="N309" s="290"/>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row>
    <row r="310" spans="1:36" s="22" customFormat="1" x14ac:dyDescent="0.25">
      <c r="A310" s="28" t="str">
        <f>IF(H310&lt;&gt;"",MAX($A$7:A309)+1,"")</f>
        <v/>
      </c>
      <c r="B310" s="243" t="str">
        <f t="shared" si="11"/>
        <v/>
      </c>
      <c r="C310" s="273" t="str">
        <f t="shared" si="12"/>
        <v/>
      </c>
      <c r="D310" s="246"/>
      <c r="E310" s="284"/>
      <c r="F310" s="284"/>
      <c r="G310" s="248"/>
      <c r="H310" s="241"/>
      <c r="I310" s="285"/>
      <c r="J310" s="286"/>
      <c r="K310" s="287"/>
      <c r="L310" s="288"/>
      <c r="M310" s="289"/>
      <c r="N310" s="290"/>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row>
    <row r="311" spans="1:36" s="22" customFormat="1" x14ac:dyDescent="0.25">
      <c r="A311" s="28" t="str">
        <f>IF(H311&lt;&gt;"",MAX($A$7:A310)+1,"")</f>
        <v/>
      </c>
      <c r="B311" s="243" t="str">
        <f t="shared" si="11"/>
        <v/>
      </c>
      <c r="C311" s="273" t="str">
        <f t="shared" si="12"/>
        <v/>
      </c>
      <c r="D311" s="246"/>
      <c r="E311" s="284"/>
      <c r="F311" s="284"/>
      <c r="G311" s="248"/>
      <c r="H311" s="241"/>
      <c r="I311" s="285"/>
      <c r="J311" s="286"/>
      <c r="K311" s="287"/>
      <c r="L311" s="288"/>
      <c r="M311" s="289"/>
      <c r="N311" s="290"/>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row>
    <row r="312" spans="1:36" s="22" customFormat="1" x14ac:dyDescent="0.25">
      <c r="A312" s="28" t="str">
        <f>IF(H312&lt;&gt;"",MAX($A$7:A311)+1,"")</f>
        <v/>
      </c>
      <c r="B312" s="243" t="str">
        <f t="shared" si="11"/>
        <v/>
      </c>
      <c r="C312" s="273" t="str">
        <f t="shared" si="12"/>
        <v/>
      </c>
      <c r="D312" s="246"/>
      <c r="E312" s="284"/>
      <c r="F312" s="284"/>
      <c r="G312" s="248"/>
      <c r="H312" s="241"/>
      <c r="I312" s="285"/>
      <c r="J312" s="286"/>
      <c r="K312" s="287"/>
      <c r="L312" s="288"/>
      <c r="M312" s="289"/>
      <c r="N312" s="290"/>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row>
    <row r="313" spans="1:36" s="22" customFormat="1" x14ac:dyDescent="0.25">
      <c r="A313" s="28" t="str">
        <f>IF(H313&lt;&gt;"",MAX($A$7:A312)+1,"")</f>
        <v/>
      </c>
      <c r="B313" s="243" t="str">
        <f t="shared" si="11"/>
        <v/>
      </c>
      <c r="C313" s="273" t="str">
        <f t="shared" si="12"/>
        <v/>
      </c>
      <c r="D313" s="246"/>
      <c r="E313" s="284"/>
      <c r="F313" s="284"/>
      <c r="G313" s="248"/>
      <c r="H313" s="241"/>
      <c r="I313" s="285"/>
      <c r="J313" s="286"/>
      <c r="K313" s="287"/>
      <c r="L313" s="288"/>
      <c r="M313" s="289"/>
      <c r="N313" s="290"/>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row>
    <row r="314" spans="1:36" s="22" customFormat="1" x14ac:dyDescent="0.25">
      <c r="A314" s="28" t="str">
        <f>IF(H314&lt;&gt;"",MAX($A$7:A313)+1,"")</f>
        <v/>
      </c>
      <c r="B314" s="243" t="str">
        <f t="shared" si="11"/>
        <v/>
      </c>
      <c r="C314" s="273" t="str">
        <f t="shared" si="12"/>
        <v/>
      </c>
      <c r="D314" s="246"/>
      <c r="E314" s="284"/>
      <c r="F314" s="284"/>
      <c r="G314" s="248"/>
      <c r="H314" s="241"/>
      <c r="I314" s="285"/>
      <c r="J314" s="286"/>
      <c r="K314" s="287"/>
      <c r="L314" s="288"/>
      <c r="M314" s="289"/>
      <c r="N314" s="290"/>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row>
    <row r="315" spans="1:36" s="22" customFormat="1" x14ac:dyDescent="0.25">
      <c r="A315" s="28" t="str">
        <f>IF(H315&lt;&gt;"",MAX($A$7:A314)+1,"")</f>
        <v/>
      </c>
      <c r="B315" s="243" t="str">
        <f t="shared" si="11"/>
        <v/>
      </c>
      <c r="C315" s="273" t="str">
        <f t="shared" si="12"/>
        <v/>
      </c>
      <c r="D315" s="246"/>
      <c r="E315" s="284"/>
      <c r="F315" s="284"/>
      <c r="G315" s="248"/>
      <c r="H315" s="241"/>
      <c r="I315" s="285"/>
      <c r="J315" s="286"/>
      <c r="K315" s="287"/>
      <c r="L315" s="288"/>
      <c r="M315" s="289"/>
      <c r="N315" s="290"/>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row>
    <row r="316" spans="1:36" s="22" customFormat="1" x14ac:dyDescent="0.25">
      <c r="A316" s="28" t="str">
        <f>IF(H316&lt;&gt;"",MAX($A$7:A315)+1,"")</f>
        <v/>
      </c>
      <c r="B316" s="243" t="str">
        <f t="shared" si="11"/>
        <v/>
      </c>
      <c r="C316" s="273" t="str">
        <f t="shared" si="12"/>
        <v/>
      </c>
      <c r="D316" s="246"/>
      <c r="E316" s="284"/>
      <c r="F316" s="284"/>
      <c r="G316" s="248"/>
      <c r="H316" s="241"/>
      <c r="I316" s="285"/>
      <c r="J316" s="286"/>
      <c r="K316" s="287"/>
      <c r="L316" s="288"/>
      <c r="M316" s="289"/>
      <c r="N316" s="290"/>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row>
    <row r="317" spans="1:36" s="22" customFormat="1" x14ac:dyDescent="0.25">
      <c r="A317" s="28" t="str">
        <f>IF(H317&lt;&gt;"",MAX($A$7:A316)+1,"")</f>
        <v/>
      </c>
      <c r="B317" s="243" t="str">
        <f t="shared" si="11"/>
        <v/>
      </c>
      <c r="C317" s="273" t="str">
        <f t="shared" si="12"/>
        <v/>
      </c>
      <c r="D317" s="246"/>
      <c r="E317" s="284"/>
      <c r="F317" s="284"/>
      <c r="G317" s="248"/>
      <c r="H317" s="241"/>
      <c r="I317" s="285"/>
      <c r="J317" s="286"/>
      <c r="K317" s="287"/>
      <c r="L317" s="288"/>
      <c r="M317" s="289"/>
      <c r="N317" s="290"/>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row>
    <row r="318" spans="1:36" s="22" customFormat="1" x14ac:dyDescent="0.25">
      <c r="A318" s="28" t="str">
        <f>IF(H318&lt;&gt;"",MAX($A$7:A317)+1,"")</f>
        <v/>
      </c>
      <c r="B318" s="243" t="str">
        <f t="shared" si="11"/>
        <v/>
      </c>
      <c r="C318" s="273" t="str">
        <f t="shared" si="12"/>
        <v/>
      </c>
      <c r="D318" s="246"/>
      <c r="E318" s="284"/>
      <c r="F318" s="284"/>
      <c r="G318" s="248"/>
      <c r="H318" s="241"/>
      <c r="I318" s="285"/>
      <c r="J318" s="286"/>
      <c r="K318" s="287"/>
      <c r="L318" s="288"/>
      <c r="M318" s="289"/>
      <c r="N318" s="290"/>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row>
    <row r="319" spans="1:36" s="22" customFormat="1" x14ac:dyDescent="0.25">
      <c r="A319" s="28" t="str">
        <f>IF(H319&lt;&gt;"",MAX($A$7:A318)+1,"")</f>
        <v/>
      </c>
      <c r="B319" s="243" t="str">
        <f t="shared" si="11"/>
        <v/>
      </c>
      <c r="C319" s="273" t="str">
        <f t="shared" si="12"/>
        <v/>
      </c>
      <c r="D319" s="246"/>
      <c r="E319" s="284"/>
      <c r="F319" s="284"/>
      <c r="G319" s="248"/>
      <c r="H319" s="241"/>
      <c r="I319" s="285"/>
      <c r="J319" s="286"/>
      <c r="K319" s="287"/>
      <c r="L319" s="288"/>
      <c r="M319" s="289"/>
      <c r="N319" s="290"/>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row>
    <row r="320" spans="1:36" s="22" customFormat="1" x14ac:dyDescent="0.25">
      <c r="A320" s="28" t="str">
        <f>IF(H320&lt;&gt;"",MAX($A$7:A319)+1,"")</f>
        <v/>
      </c>
      <c r="B320" s="243" t="str">
        <f t="shared" si="11"/>
        <v/>
      </c>
      <c r="C320" s="273" t="str">
        <f t="shared" si="12"/>
        <v/>
      </c>
      <c r="D320" s="246"/>
      <c r="E320" s="284"/>
      <c r="F320" s="284"/>
      <c r="G320" s="248"/>
      <c r="H320" s="241"/>
      <c r="I320" s="285"/>
      <c r="J320" s="286"/>
      <c r="K320" s="287"/>
      <c r="L320" s="288"/>
      <c r="M320" s="289"/>
      <c r="N320" s="290"/>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row>
    <row r="321" spans="1:36" s="22" customFormat="1" x14ac:dyDescent="0.25">
      <c r="A321" s="28" t="str">
        <f>IF(H321&lt;&gt;"",MAX($A$7:A320)+1,"")</f>
        <v/>
      </c>
      <c r="B321" s="243" t="str">
        <f t="shared" si="11"/>
        <v/>
      </c>
      <c r="C321" s="273" t="str">
        <f t="shared" si="12"/>
        <v/>
      </c>
      <c r="D321" s="246"/>
      <c r="E321" s="284"/>
      <c r="F321" s="284"/>
      <c r="G321" s="248"/>
      <c r="H321" s="241"/>
      <c r="I321" s="285"/>
      <c r="J321" s="286"/>
      <c r="K321" s="287"/>
      <c r="L321" s="288"/>
      <c r="M321" s="289"/>
      <c r="N321" s="290"/>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row>
    <row r="322" spans="1:36" s="22" customFormat="1" x14ac:dyDescent="0.25">
      <c r="A322" s="28" t="str">
        <f>IF(H322&lt;&gt;"",MAX($A$7:A321)+1,"")</f>
        <v/>
      </c>
      <c r="B322" s="243" t="str">
        <f t="shared" si="11"/>
        <v/>
      </c>
      <c r="C322" s="273" t="str">
        <f t="shared" si="12"/>
        <v/>
      </c>
      <c r="D322" s="246"/>
      <c r="E322" s="284"/>
      <c r="F322" s="284"/>
      <c r="G322" s="248"/>
      <c r="H322" s="241"/>
      <c r="I322" s="285"/>
      <c r="J322" s="286"/>
      <c r="K322" s="287"/>
      <c r="L322" s="288"/>
      <c r="M322" s="289"/>
      <c r="N322" s="290"/>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row>
    <row r="323" spans="1:36" s="22" customFormat="1" x14ac:dyDescent="0.25">
      <c r="A323" s="28" t="str">
        <f>IF(H323&lt;&gt;"",MAX($A$7:A322)+1,"")</f>
        <v/>
      </c>
      <c r="B323" s="243" t="str">
        <f t="shared" si="11"/>
        <v/>
      </c>
      <c r="C323" s="273" t="str">
        <f t="shared" si="12"/>
        <v/>
      </c>
      <c r="D323" s="246"/>
      <c r="E323" s="284"/>
      <c r="F323" s="284"/>
      <c r="G323" s="248"/>
      <c r="H323" s="241"/>
      <c r="I323" s="285"/>
      <c r="J323" s="286"/>
      <c r="K323" s="287"/>
      <c r="L323" s="288"/>
      <c r="M323" s="289"/>
      <c r="N323" s="290"/>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row>
    <row r="324" spans="1:36" s="22" customFormat="1" x14ac:dyDescent="0.25">
      <c r="A324" s="28" t="str">
        <f>IF(H324&lt;&gt;"",MAX($A$7:A323)+1,"")</f>
        <v/>
      </c>
      <c r="B324" s="243" t="str">
        <f t="shared" si="11"/>
        <v/>
      </c>
      <c r="C324" s="273" t="str">
        <f t="shared" si="12"/>
        <v/>
      </c>
      <c r="D324" s="246"/>
      <c r="E324" s="284"/>
      <c r="F324" s="284"/>
      <c r="G324" s="248"/>
      <c r="H324" s="241"/>
      <c r="I324" s="285"/>
      <c r="J324" s="286"/>
      <c r="K324" s="287"/>
      <c r="L324" s="288"/>
      <c r="M324" s="289"/>
      <c r="N324" s="290"/>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row>
    <row r="325" spans="1:36" s="22" customFormat="1" x14ac:dyDescent="0.25">
      <c r="A325" s="28" t="str">
        <f>IF(H325&lt;&gt;"",MAX($A$7:A324)+1,"")</f>
        <v/>
      </c>
      <c r="B325" s="243" t="str">
        <f t="shared" si="11"/>
        <v/>
      </c>
      <c r="C325" s="273" t="str">
        <f t="shared" si="12"/>
        <v/>
      </c>
      <c r="D325" s="246"/>
      <c r="E325" s="284"/>
      <c r="F325" s="284"/>
      <c r="G325" s="248"/>
      <c r="H325" s="241"/>
      <c r="I325" s="285"/>
      <c r="J325" s="286"/>
      <c r="K325" s="287"/>
      <c r="L325" s="288"/>
      <c r="M325" s="289"/>
      <c r="N325" s="290"/>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row>
    <row r="326" spans="1:36" s="22" customFormat="1" x14ac:dyDescent="0.25">
      <c r="A326" s="28" t="str">
        <f>IF(H326&lt;&gt;"",MAX($A$7:A325)+1,"")</f>
        <v/>
      </c>
      <c r="B326" s="243" t="str">
        <f t="shared" si="11"/>
        <v/>
      </c>
      <c r="C326" s="273" t="str">
        <f t="shared" si="12"/>
        <v/>
      </c>
      <c r="D326" s="246"/>
      <c r="E326" s="284"/>
      <c r="F326" s="284"/>
      <c r="G326" s="248"/>
      <c r="H326" s="241"/>
      <c r="I326" s="285"/>
      <c r="J326" s="286"/>
      <c r="K326" s="287"/>
      <c r="L326" s="288"/>
      <c r="M326" s="289"/>
      <c r="N326" s="290"/>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row>
    <row r="327" spans="1:36" s="22" customFormat="1" x14ac:dyDescent="0.25">
      <c r="A327" s="28" t="str">
        <f>IF(H327&lt;&gt;"",MAX($A$7:A326)+1,"")</f>
        <v/>
      </c>
      <c r="B327" s="243" t="str">
        <f t="shared" ref="B327:B390" si="13">IF(A327="","",PREF_PREGUNTA&amp;" - "&amp;IF(MAX(A:A)&gt;99,IF(A327&lt;100,"0",""),"")&amp;IF(A327&lt;10,"0","")&amp;A327&amp;IF(G327&lt;&gt;""," "&amp;G327,""))</f>
        <v/>
      </c>
      <c r="C327" s="273" t="str">
        <f t="shared" ref="C327:C390" si="14">IF(COUNTA(I327:N327)-D327=0,"",COUNTA(I327:N327)-D327)</f>
        <v/>
      </c>
      <c r="D327" s="246"/>
      <c r="E327" s="284"/>
      <c r="F327" s="284"/>
      <c r="G327" s="248"/>
      <c r="H327" s="241"/>
      <c r="I327" s="285"/>
      <c r="J327" s="286"/>
      <c r="K327" s="287"/>
      <c r="L327" s="288"/>
      <c r="M327" s="289"/>
      <c r="N327" s="290"/>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row>
    <row r="328" spans="1:36" s="22" customFormat="1" x14ac:dyDescent="0.25">
      <c r="A328" s="28" t="str">
        <f>IF(H328&lt;&gt;"",MAX($A$7:A327)+1,"")</f>
        <v/>
      </c>
      <c r="B328" s="243" t="str">
        <f t="shared" si="13"/>
        <v/>
      </c>
      <c r="C328" s="273" t="str">
        <f t="shared" si="14"/>
        <v/>
      </c>
      <c r="D328" s="246"/>
      <c r="E328" s="284"/>
      <c r="F328" s="284"/>
      <c r="G328" s="248"/>
      <c r="H328" s="241"/>
      <c r="I328" s="285"/>
      <c r="J328" s="286"/>
      <c r="K328" s="287"/>
      <c r="L328" s="288"/>
      <c r="M328" s="289"/>
      <c r="N328" s="290"/>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row>
    <row r="329" spans="1:36" s="22" customFormat="1" x14ac:dyDescent="0.25">
      <c r="A329" s="28" t="str">
        <f>IF(H329&lt;&gt;"",MAX($A$7:A328)+1,"")</f>
        <v/>
      </c>
      <c r="B329" s="243" t="str">
        <f t="shared" si="13"/>
        <v/>
      </c>
      <c r="C329" s="273" t="str">
        <f t="shared" si="14"/>
        <v/>
      </c>
      <c r="D329" s="246"/>
      <c r="E329" s="284"/>
      <c r="F329" s="284"/>
      <c r="G329" s="248"/>
      <c r="H329" s="241"/>
      <c r="I329" s="285"/>
      <c r="J329" s="286"/>
      <c r="K329" s="287"/>
      <c r="L329" s="288"/>
      <c r="M329" s="289"/>
      <c r="N329" s="290"/>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row>
    <row r="330" spans="1:36" s="22" customFormat="1" x14ac:dyDescent="0.25">
      <c r="A330" s="28" t="str">
        <f>IF(H330&lt;&gt;"",MAX($A$7:A329)+1,"")</f>
        <v/>
      </c>
      <c r="B330" s="243" t="str">
        <f t="shared" si="13"/>
        <v/>
      </c>
      <c r="C330" s="273" t="str">
        <f t="shared" si="14"/>
        <v/>
      </c>
      <c r="D330" s="246"/>
      <c r="E330" s="284"/>
      <c r="F330" s="284"/>
      <c r="G330" s="248"/>
      <c r="H330" s="241"/>
      <c r="I330" s="285"/>
      <c r="J330" s="286"/>
      <c r="K330" s="287"/>
      <c r="L330" s="288"/>
      <c r="M330" s="289"/>
      <c r="N330" s="290"/>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row>
    <row r="331" spans="1:36" s="22" customFormat="1" x14ac:dyDescent="0.25">
      <c r="A331" s="28" t="str">
        <f>IF(H331&lt;&gt;"",MAX($A$7:A330)+1,"")</f>
        <v/>
      </c>
      <c r="B331" s="243" t="str">
        <f t="shared" si="13"/>
        <v/>
      </c>
      <c r="C331" s="273" t="str">
        <f t="shared" si="14"/>
        <v/>
      </c>
      <c r="D331" s="246"/>
      <c r="E331" s="284"/>
      <c r="F331" s="284"/>
      <c r="G331" s="248"/>
      <c r="H331" s="241"/>
      <c r="I331" s="285"/>
      <c r="J331" s="286"/>
      <c r="K331" s="287"/>
      <c r="L331" s="288"/>
      <c r="M331" s="289"/>
      <c r="N331" s="290"/>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row>
    <row r="332" spans="1:36" s="22" customFormat="1" x14ac:dyDescent="0.25">
      <c r="A332" s="28" t="str">
        <f>IF(H332&lt;&gt;"",MAX($A$7:A331)+1,"")</f>
        <v/>
      </c>
      <c r="B332" s="243" t="str">
        <f t="shared" si="13"/>
        <v/>
      </c>
      <c r="C332" s="273" t="str">
        <f t="shared" si="14"/>
        <v/>
      </c>
      <c r="D332" s="246"/>
      <c r="E332" s="284"/>
      <c r="F332" s="284"/>
      <c r="G332" s="248"/>
      <c r="H332" s="241"/>
      <c r="I332" s="285"/>
      <c r="J332" s="286"/>
      <c r="K332" s="287"/>
      <c r="L332" s="288"/>
      <c r="M332" s="289"/>
      <c r="N332" s="290"/>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row>
    <row r="333" spans="1:36" s="22" customFormat="1" x14ac:dyDescent="0.25">
      <c r="A333" s="28" t="str">
        <f>IF(H333&lt;&gt;"",MAX($A$7:A332)+1,"")</f>
        <v/>
      </c>
      <c r="B333" s="243" t="str">
        <f t="shared" si="13"/>
        <v/>
      </c>
      <c r="C333" s="273" t="str">
        <f t="shared" si="14"/>
        <v/>
      </c>
      <c r="D333" s="246"/>
      <c r="E333" s="284"/>
      <c r="F333" s="284"/>
      <c r="G333" s="248"/>
      <c r="H333" s="241"/>
      <c r="I333" s="285"/>
      <c r="J333" s="286"/>
      <c r="K333" s="287"/>
      <c r="L333" s="288"/>
      <c r="M333" s="289"/>
      <c r="N333" s="290"/>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row>
    <row r="334" spans="1:36" s="22" customFormat="1" x14ac:dyDescent="0.25">
      <c r="A334" s="28" t="str">
        <f>IF(H334&lt;&gt;"",MAX($A$7:A333)+1,"")</f>
        <v/>
      </c>
      <c r="B334" s="243" t="str">
        <f t="shared" si="13"/>
        <v/>
      </c>
      <c r="C334" s="273" t="str">
        <f t="shared" si="14"/>
        <v/>
      </c>
      <c r="D334" s="246"/>
      <c r="E334" s="284"/>
      <c r="F334" s="284"/>
      <c r="G334" s="248"/>
      <c r="H334" s="241"/>
      <c r="I334" s="285"/>
      <c r="J334" s="286"/>
      <c r="K334" s="287"/>
      <c r="L334" s="288"/>
      <c r="M334" s="289"/>
      <c r="N334" s="290"/>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row>
    <row r="335" spans="1:36" s="22" customFormat="1" x14ac:dyDescent="0.25">
      <c r="A335" s="28" t="str">
        <f>IF(H335&lt;&gt;"",MAX($A$7:A334)+1,"")</f>
        <v/>
      </c>
      <c r="B335" s="243" t="str">
        <f t="shared" si="13"/>
        <v/>
      </c>
      <c r="C335" s="273" t="str">
        <f t="shared" si="14"/>
        <v/>
      </c>
      <c r="D335" s="246"/>
      <c r="E335" s="284"/>
      <c r="F335" s="284"/>
      <c r="G335" s="248"/>
      <c r="H335" s="241"/>
      <c r="I335" s="285"/>
      <c r="J335" s="286"/>
      <c r="K335" s="287"/>
      <c r="L335" s="288"/>
      <c r="M335" s="289"/>
      <c r="N335" s="290"/>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row>
    <row r="336" spans="1:36" s="22" customFormat="1" x14ac:dyDescent="0.25">
      <c r="A336" s="28" t="str">
        <f>IF(H336&lt;&gt;"",MAX($A$7:A335)+1,"")</f>
        <v/>
      </c>
      <c r="B336" s="243" t="str">
        <f t="shared" si="13"/>
        <v/>
      </c>
      <c r="C336" s="273" t="str">
        <f t="shared" si="14"/>
        <v/>
      </c>
      <c r="D336" s="246"/>
      <c r="E336" s="284"/>
      <c r="F336" s="284"/>
      <c r="G336" s="248"/>
      <c r="H336" s="241"/>
      <c r="I336" s="285"/>
      <c r="J336" s="286"/>
      <c r="K336" s="287"/>
      <c r="L336" s="288"/>
      <c r="M336" s="289"/>
      <c r="N336" s="290"/>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row>
    <row r="337" spans="1:36" s="22" customFormat="1" x14ac:dyDescent="0.25">
      <c r="A337" s="28" t="str">
        <f>IF(H337&lt;&gt;"",MAX($A$7:A336)+1,"")</f>
        <v/>
      </c>
      <c r="B337" s="243" t="str">
        <f t="shared" si="13"/>
        <v/>
      </c>
      <c r="C337" s="273" t="str">
        <f t="shared" si="14"/>
        <v/>
      </c>
      <c r="D337" s="246"/>
      <c r="E337" s="284"/>
      <c r="F337" s="284"/>
      <c r="G337" s="248"/>
      <c r="H337" s="241"/>
      <c r="I337" s="285"/>
      <c r="J337" s="286"/>
      <c r="K337" s="287"/>
      <c r="L337" s="288"/>
      <c r="M337" s="289"/>
      <c r="N337" s="290"/>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row>
    <row r="338" spans="1:36" s="22" customFormat="1" x14ac:dyDescent="0.25">
      <c r="A338" s="28" t="str">
        <f>IF(H338&lt;&gt;"",MAX($A$7:A337)+1,"")</f>
        <v/>
      </c>
      <c r="B338" s="243" t="str">
        <f t="shared" si="13"/>
        <v/>
      </c>
      <c r="C338" s="273" t="str">
        <f t="shared" si="14"/>
        <v/>
      </c>
      <c r="D338" s="246"/>
      <c r="E338" s="284"/>
      <c r="F338" s="284"/>
      <c r="G338" s="248"/>
      <c r="H338" s="241"/>
      <c r="I338" s="285"/>
      <c r="J338" s="286"/>
      <c r="K338" s="287"/>
      <c r="L338" s="288"/>
      <c r="M338" s="289"/>
      <c r="N338" s="290"/>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row>
    <row r="339" spans="1:36" s="22" customFormat="1" x14ac:dyDescent="0.25">
      <c r="A339" s="28" t="str">
        <f>IF(H339&lt;&gt;"",MAX($A$7:A338)+1,"")</f>
        <v/>
      </c>
      <c r="B339" s="243" t="str">
        <f t="shared" si="13"/>
        <v/>
      </c>
      <c r="C339" s="273" t="str">
        <f t="shared" si="14"/>
        <v/>
      </c>
      <c r="D339" s="246"/>
      <c r="E339" s="284"/>
      <c r="F339" s="284"/>
      <c r="G339" s="248"/>
      <c r="H339" s="241"/>
      <c r="I339" s="285"/>
      <c r="J339" s="286"/>
      <c r="K339" s="287"/>
      <c r="L339" s="288"/>
      <c r="M339" s="289"/>
      <c r="N339" s="290"/>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row>
    <row r="340" spans="1:36" s="22" customFormat="1" x14ac:dyDescent="0.25">
      <c r="A340" s="28" t="str">
        <f>IF(H340&lt;&gt;"",MAX($A$7:A339)+1,"")</f>
        <v/>
      </c>
      <c r="B340" s="243" t="str">
        <f t="shared" si="13"/>
        <v/>
      </c>
      <c r="C340" s="273" t="str">
        <f t="shared" si="14"/>
        <v/>
      </c>
      <c r="D340" s="246"/>
      <c r="E340" s="284"/>
      <c r="F340" s="284"/>
      <c r="G340" s="248"/>
      <c r="H340" s="241"/>
      <c r="I340" s="285"/>
      <c r="J340" s="286"/>
      <c r="K340" s="287"/>
      <c r="L340" s="288"/>
      <c r="M340" s="289"/>
      <c r="N340" s="290"/>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row>
    <row r="341" spans="1:36" s="22" customFormat="1" x14ac:dyDescent="0.25">
      <c r="A341" s="28" t="str">
        <f>IF(H341&lt;&gt;"",MAX($A$7:A340)+1,"")</f>
        <v/>
      </c>
      <c r="B341" s="243" t="str">
        <f t="shared" si="13"/>
        <v/>
      </c>
      <c r="C341" s="273" t="str">
        <f t="shared" si="14"/>
        <v/>
      </c>
      <c r="D341" s="246"/>
      <c r="E341" s="284"/>
      <c r="F341" s="284"/>
      <c r="G341" s="248"/>
      <c r="H341" s="241"/>
      <c r="I341" s="285"/>
      <c r="J341" s="286"/>
      <c r="K341" s="287"/>
      <c r="L341" s="288"/>
      <c r="M341" s="289"/>
      <c r="N341" s="290"/>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row>
    <row r="342" spans="1:36" s="22" customFormat="1" x14ac:dyDescent="0.25">
      <c r="A342" s="28" t="str">
        <f>IF(H342&lt;&gt;"",MAX($A$7:A341)+1,"")</f>
        <v/>
      </c>
      <c r="B342" s="243" t="str">
        <f t="shared" si="13"/>
        <v/>
      </c>
      <c r="C342" s="273" t="str">
        <f t="shared" si="14"/>
        <v/>
      </c>
      <c r="D342" s="246"/>
      <c r="E342" s="284"/>
      <c r="F342" s="284"/>
      <c r="G342" s="248"/>
      <c r="H342" s="241"/>
      <c r="I342" s="285"/>
      <c r="J342" s="286"/>
      <c r="K342" s="287"/>
      <c r="L342" s="288"/>
      <c r="M342" s="289"/>
      <c r="N342" s="290"/>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row>
    <row r="343" spans="1:36" s="22" customFormat="1" x14ac:dyDescent="0.25">
      <c r="A343" s="28" t="str">
        <f>IF(H343&lt;&gt;"",MAX($A$7:A342)+1,"")</f>
        <v/>
      </c>
      <c r="B343" s="243" t="str">
        <f t="shared" si="13"/>
        <v/>
      </c>
      <c r="C343" s="273" t="str">
        <f t="shared" si="14"/>
        <v/>
      </c>
      <c r="D343" s="246"/>
      <c r="E343" s="284"/>
      <c r="F343" s="284"/>
      <c r="G343" s="248"/>
      <c r="H343" s="241"/>
      <c r="I343" s="285"/>
      <c r="J343" s="286"/>
      <c r="K343" s="287"/>
      <c r="L343" s="288"/>
      <c r="M343" s="289"/>
      <c r="N343" s="290"/>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row>
    <row r="344" spans="1:36" s="22" customFormat="1" x14ac:dyDescent="0.25">
      <c r="A344" s="28" t="str">
        <f>IF(H344&lt;&gt;"",MAX($A$7:A343)+1,"")</f>
        <v/>
      </c>
      <c r="B344" s="243" t="str">
        <f t="shared" si="13"/>
        <v/>
      </c>
      <c r="C344" s="273" t="str">
        <f t="shared" si="14"/>
        <v/>
      </c>
      <c r="D344" s="246"/>
      <c r="E344" s="284"/>
      <c r="F344" s="284"/>
      <c r="G344" s="248"/>
      <c r="H344" s="241"/>
      <c r="I344" s="285"/>
      <c r="J344" s="286"/>
      <c r="K344" s="287"/>
      <c r="L344" s="288"/>
      <c r="M344" s="289"/>
      <c r="N344" s="290"/>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row>
    <row r="345" spans="1:36" s="22" customFormat="1" x14ac:dyDescent="0.25">
      <c r="A345" s="28" t="str">
        <f>IF(H345&lt;&gt;"",MAX($A$7:A344)+1,"")</f>
        <v/>
      </c>
      <c r="B345" s="243" t="str">
        <f t="shared" si="13"/>
        <v/>
      </c>
      <c r="C345" s="273" t="str">
        <f t="shared" si="14"/>
        <v/>
      </c>
      <c r="D345" s="246"/>
      <c r="E345" s="284"/>
      <c r="F345" s="284"/>
      <c r="G345" s="248"/>
      <c r="H345" s="241"/>
      <c r="I345" s="285"/>
      <c r="J345" s="286"/>
      <c r="K345" s="287"/>
      <c r="L345" s="288"/>
      <c r="M345" s="289"/>
      <c r="N345" s="290"/>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row>
    <row r="346" spans="1:36" s="22" customFormat="1" x14ac:dyDescent="0.25">
      <c r="A346" s="28" t="str">
        <f>IF(H346&lt;&gt;"",MAX($A$7:A345)+1,"")</f>
        <v/>
      </c>
      <c r="B346" s="243" t="str">
        <f t="shared" si="13"/>
        <v/>
      </c>
      <c r="C346" s="273" t="str">
        <f t="shared" si="14"/>
        <v/>
      </c>
      <c r="D346" s="246"/>
      <c r="E346" s="284"/>
      <c r="F346" s="284"/>
      <c r="G346" s="248"/>
      <c r="H346" s="241"/>
      <c r="I346" s="285"/>
      <c r="J346" s="286"/>
      <c r="K346" s="287"/>
      <c r="L346" s="288"/>
      <c r="M346" s="289"/>
      <c r="N346" s="290"/>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row>
    <row r="347" spans="1:36" s="22" customFormat="1" x14ac:dyDescent="0.25">
      <c r="A347" s="28" t="str">
        <f>IF(H347&lt;&gt;"",MAX($A$7:A346)+1,"")</f>
        <v/>
      </c>
      <c r="B347" s="243" t="str">
        <f t="shared" si="13"/>
        <v/>
      </c>
      <c r="C347" s="273" t="str">
        <f t="shared" si="14"/>
        <v/>
      </c>
      <c r="D347" s="246"/>
      <c r="E347" s="284"/>
      <c r="F347" s="284"/>
      <c r="G347" s="248"/>
      <c r="H347" s="241"/>
      <c r="I347" s="285"/>
      <c r="J347" s="286"/>
      <c r="K347" s="287"/>
      <c r="L347" s="288"/>
      <c r="M347" s="289"/>
      <c r="N347" s="290"/>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row>
    <row r="348" spans="1:36" s="22" customFormat="1" x14ac:dyDescent="0.25">
      <c r="A348" s="28" t="str">
        <f>IF(H348&lt;&gt;"",MAX($A$7:A347)+1,"")</f>
        <v/>
      </c>
      <c r="B348" s="243" t="str">
        <f t="shared" si="13"/>
        <v/>
      </c>
      <c r="C348" s="273" t="str">
        <f t="shared" si="14"/>
        <v/>
      </c>
      <c r="D348" s="246"/>
      <c r="E348" s="284"/>
      <c r="F348" s="284"/>
      <c r="G348" s="248"/>
      <c r="H348" s="241"/>
      <c r="I348" s="285"/>
      <c r="J348" s="286"/>
      <c r="K348" s="287"/>
      <c r="L348" s="288"/>
      <c r="M348" s="289"/>
      <c r="N348" s="290"/>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row>
    <row r="349" spans="1:36" s="22" customFormat="1" x14ac:dyDescent="0.25">
      <c r="A349" s="28" t="str">
        <f>IF(H349&lt;&gt;"",MAX($A$7:A348)+1,"")</f>
        <v/>
      </c>
      <c r="B349" s="243" t="str">
        <f t="shared" si="13"/>
        <v/>
      </c>
      <c r="C349" s="273" t="str">
        <f t="shared" si="14"/>
        <v/>
      </c>
      <c r="D349" s="246"/>
      <c r="E349" s="284"/>
      <c r="F349" s="284"/>
      <c r="G349" s="248"/>
      <c r="H349" s="241"/>
      <c r="I349" s="285"/>
      <c r="J349" s="286"/>
      <c r="K349" s="287"/>
      <c r="L349" s="288"/>
      <c r="M349" s="289"/>
      <c r="N349" s="290"/>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row>
    <row r="350" spans="1:36" s="22" customFormat="1" x14ac:dyDescent="0.25">
      <c r="A350" s="28" t="str">
        <f>IF(H350&lt;&gt;"",MAX($A$7:A349)+1,"")</f>
        <v/>
      </c>
      <c r="B350" s="243" t="str">
        <f t="shared" si="13"/>
        <v/>
      </c>
      <c r="C350" s="273" t="str">
        <f t="shared" si="14"/>
        <v/>
      </c>
      <c r="D350" s="246"/>
      <c r="E350" s="284"/>
      <c r="F350" s="284"/>
      <c r="G350" s="248"/>
      <c r="H350" s="241"/>
      <c r="I350" s="285"/>
      <c r="J350" s="286"/>
      <c r="K350" s="287"/>
      <c r="L350" s="288"/>
      <c r="M350" s="289"/>
      <c r="N350" s="290"/>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row>
    <row r="351" spans="1:36" s="22" customFormat="1" x14ac:dyDescent="0.25">
      <c r="A351" s="28" t="str">
        <f>IF(H351&lt;&gt;"",MAX($A$7:A350)+1,"")</f>
        <v/>
      </c>
      <c r="B351" s="243" t="str">
        <f t="shared" si="13"/>
        <v/>
      </c>
      <c r="C351" s="273" t="str">
        <f t="shared" si="14"/>
        <v/>
      </c>
      <c r="D351" s="246"/>
      <c r="E351" s="284"/>
      <c r="F351" s="284"/>
      <c r="G351" s="248"/>
      <c r="H351" s="241"/>
      <c r="I351" s="285"/>
      <c r="J351" s="286"/>
      <c r="K351" s="287"/>
      <c r="L351" s="288"/>
      <c r="M351" s="289"/>
      <c r="N351" s="290"/>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row>
    <row r="352" spans="1:36" s="22" customFormat="1" x14ac:dyDescent="0.25">
      <c r="A352" s="28" t="str">
        <f>IF(H352&lt;&gt;"",MAX($A$7:A351)+1,"")</f>
        <v/>
      </c>
      <c r="B352" s="243" t="str">
        <f t="shared" si="13"/>
        <v/>
      </c>
      <c r="C352" s="273" t="str">
        <f t="shared" si="14"/>
        <v/>
      </c>
      <c r="D352" s="246"/>
      <c r="E352" s="284"/>
      <c r="F352" s="284"/>
      <c r="G352" s="248"/>
      <c r="H352" s="241"/>
      <c r="I352" s="285"/>
      <c r="J352" s="286"/>
      <c r="K352" s="287"/>
      <c r="L352" s="288"/>
      <c r="M352" s="289"/>
      <c r="N352" s="290"/>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row>
    <row r="353" spans="1:36" s="22" customFormat="1" x14ac:dyDescent="0.25">
      <c r="A353" s="28" t="str">
        <f>IF(H353&lt;&gt;"",MAX($A$7:A352)+1,"")</f>
        <v/>
      </c>
      <c r="B353" s="243" t="str">
        <f t="shared" si="13"/>
        <v/>
      </c>
      <c r="C353" s="273" t="str">
        <f t="shared" si="14"/>
        <v/>
      </c>
      <c r="D353" s="246"/>
      <c r="E353" s="284"/>
      <c r="F353" s="284"/>
      <c r="G353" s="248"/>
      <c r="H353" s="241"/>
      <c r="I353" s="285"/>
      <c r="J353" s="286"/>
      <c r="K353" s="287"/>
      <c r="L353" s="288"/>
      <c r="M353" s="289"/>
      <c r="N353" s="290"/>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row>
    <row r="354" spans="1:36" s="22" customFormat="1" x14ac:dyDescent="0.25">
      <c r="A354" s="28" t="str">
        <f>IF(H354&lt;&gt;"",MAX($A$7:A353)+1,"")</f>
        <v/>
      </c>
      <c r="B354" s="243" t="str">
        <f t="shared" si="13"/>
        <v/>
      </c>
      <c r="C354" s="273" t="str">
        <f t="shared" si="14"/>
        <v/>
      </c>
      <c r="D354" s="246"/>
      <c r="E354" s="284"/>
      <c r="F354" s="284"/>
      <c r="G354" s="248"/>
      <c r="H354" s="241"/>
      <c r="I354" s="285"/>
      <c r="J354" s="286"/>
      <c r="K354" s="287"/>
      <c r="L354" s="288"/>
      <c r="M354" s="289"/>
      <c r="N354" s="290"/>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row>
    <row r="355" spans="1:36" s="22" customFormat="1" x14ac:dyDescent="0.25">
      <c r="A355" s="28" t="str">
        <f>IF(H355&lt;&gt;"",MAX($A$7:A354)+1,"")</f>
        <v/>
      </c>
      <c r="B355" s="243" t="str">
        <f t="shared" si="13"/>
        <v/>
      </c>
      <c r="C355" s="273" t="str">
        <f t="shared" si="14"/>
        <v/>
      </c>
      <c r="D355" s="246"/>
      <c r="E355" s="284"/>
      <c r="F355" s="284"/>
      <c r="G355" s="248"/>
      <c r="H355" s="241"/>
      <c r="I355" s="285"/>
      <c r="J355" s="286"/>
      <c r="K355" s="287"/>
      <c r="L355" s="288"/>
      <c r="M355" s="289"/>
      <c r="N355" s="290"/>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row>
    <row r="356" spans="1:36" s="22" customFormat="1" x14ac:dyDescent="0.25">
      <c r="A356" s="28" t="str">
        <f>IF(H356&lt;&gt;"",MAX($A$7:A355)+1,"")</f>
        <v/>
      </c>
      <c r="B356" s="243" t="str">
        <f t="shared" si="13"/>
        <v/>
      </c>
      <c r="C356" s="273" t="str">
        <f t="shared" si="14"/>
        <v/>
      </c>
      <c r="D356" s="246"/>
      <c r="E356" s="284"/>
      <c r="F356" s="284"/>
      <c r="G356" s="248"/>
      <c r="H356" s="241"/>
      <c r="I356" s="285"/>
      <c r="J356" s="286"/>
      <c r="K356" s="287"/>
      <c r="L356" s="288"/>
      <c r="M356" s="289"/>
      <c r="N356" s="290"/>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row>
    <row r="357" spans="1:36" s="22" customFormat="1" x14ac:dyDescent="0.25">
      <c r="A357" s="28" t="str">
        <f>IF(H357&lt;&gt;"",MAX($A$7:A356)+1,"")</f>
        <v/>
      </c>
      <c r="B357" s="243" t="str">
        <f t="shared" si="13"/>
        <v/>
      </c>
      <c r="C357" s="273" t="str">
        <f t="shared" si="14"/>
        <v/>
      </c>
      <c r="D357" s="246"/>
      <c r="E357" s="284"/>
      <c r="F357" s="284"/>
      <c r="G357" s="248"/>
      <c r="H357" s="241"/>
      <c r="I357" s="285"/>
      <c r="J357" s="286"/>
      <c r="K357" s="287"/>
      <c r="L357" s="288"/>
      <c r="M357" s="289"/>
      <c r="N357" s="290"/>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row>
    <row r="358" spans="1:36" s="22" customFormat="1" x14ac:dyDescent="0.25">
      <c r="A358" s="28" t="str">
        <f>IF(H358&lt;&gt;"",MAX($A$7:A357)+1,"")</f>
        <v/>
      </c>
      <c r="B358" s="243" t="str">
        <f t="shared" si="13"/>
        <v/>
      </c>
      <c r="C358" s="273" t="str">
        <f t="shared" si="14"/>
        <v/>
      </c>
      <c r="D358" s="246"/>
      <c r="E358" s="284"/>
      <c r="F358" s="284"/>
      <c r="G358" s="248"/>
      <c r="H358" s="241"/>
      <c r="I358" s="285"/>
      <c r="J358" s="286"/>
      <c r="K358" s="287"/>
      <c r="L358" s="288"/>
      <c r="M358" s="289"/>
      <c r="N358" s="290"/>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row>
    <row r="359" spans="1:36" s="22" customFormat="1" x14ac:dyDescent="0.25">
      <c r="A359" s="28" t="str">
        <f>IF(H359&lt;&gt;"",MAX($A$7:A358)+1,"")</f>
        <v/>
      </c>
      <c r="B359" s="243" t="str">
        <f t="shared" si="13"/>
        <v/>
      </c>
      <c r="C359" s="273" t="str">
        <f t="shared" si="14"/>
        <v/>
      </c>
      <c r="D359" s="246"/>
      <c r="E359" s="284"/>
      <c r="F359" s="284"/>
      <c r="G359" s="248"/>
      <c r="H359" s="241"/>
      <c r="I359" s="285"/>
      <c r="J359" s="286"/>
      <c r="K359" s="287"/>
      <c r="L359" s="288"/>
      <c r="M359" s="289"/>
      <c r="N359" s="290"/>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row>
    <row r="360" spans="1:36" s="22" customFormat="1" x14ac:dyDescent="0.25">
      <c r="A360" s="28" t="str">
        <f>IF(H360&lt;&gt;"",MAX($A$7:A359)+1,"")</f>
        <v/>
      </c>
      <c r="B360" s="243" t="str">
        <f t="shared" si="13"/>
        <v/>
      </c>
      <c r="C360" s="273" t="str">
        <f t="shared" si="14"/>
        <v/>
      </c>
      <c r="D360" s="246"/>
      <c r="E360" s="284"/>
      <c r="F360" s="284"/>
      <c r="G360" s="248"/>
      <c r="H360" s="241"/>
      <c r="I360" s="285"/>
      <c r="J360" s="286"/>
      <c r="K360" s="287"/>
      <c r="L360" s="288"/>
      <c r="M360" s="289"/>
      <c r="N360" s="290"/>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row>
    <row r="361" spans="1:36" s="22" customFormat="1" x14ac:dyDescent="0.25">
      <c r="A361" s="28" t="str">
        <f>IF(H361&lt;&gt;"",MAX($A$7:A360)+1,"")</f>
        <v/>
      </c>
      <c r="B361" s="243" t="str">
        <f t="shared" si="13"/>
        <v/>
      </c>
      <c r="C361" s="273" t="str">
        <f t="shared" si="14"/>
        <v/>
      </c>
      <c r="D361" s="246"/>
      <c r="E361" s="284"/>
      <c r="F361" s="284"/>
      <c r="G361" s="248"/>
      <c r="H361" s="241"/>
      <c r="I361" s="285"/>
      <c r="J361" s="286"/>
      <c r="K361" s="287"/>
      <c r="L361" s="288"/>
      <c r="M361" s="289"/>
      <c r="N361" s="290"/>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row>
    <row r="362" spans="1:36" s="22" customFormat="1" x14ac:dyDescent="0.25">
      <c r="A362" s="28" t="str">
        <f>IF(H362&lt;&gt;"",MAX($A$7:A361)+1,"")</f>
        <v/>
      </c>
      <c r="B362" s="243" t="str">
        <f t="shared" si="13"/>
        <v/>
      </c>
      <c r="C362" s="273" t="str">
        <f t="shared" si="14"/>
        <v/>
      </c>
      <c r="D362" s="246"/>
      <c r="E362" s="284"/>
      <c r="F362" s="284"/>
      <c r="G362" s="248"/>
      <c r="H362" s="241"/>
      <c r="I362" s="285"/>
      <c r="J362" s="286"/>
      <c r="K362" s="287"/>
      <c r="L362" s="288"/>
      <c r="M362" s="289"/>
      <c r="N362" s="290"/>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row>
    <row r="363" spans="1:36" s="22" customFormat="1" x14ac:dyDescent="0.25">
      <c r="A363" s="28" t="str">
        <f>IF(H363&lt;&gt;"",MAX($A$7:A362)+1,"")</f>
        <v/>
      </c>
      <c r="B363" s="243" t="str">
        <f t="shared" si="13"/>
        <v/>
      </c>
      <c r="C363" s="273" t="str">
        <f t="shared" si="14"/>
        <v/>
      </c>
      <c r="D363" s="246"/>
      <c r="E363" s="284"/>
      <c r="F363" s="284"/>
      <c r="G363" s="248"/>
      <c r="H363" s="241"/>
      <c r="I363" s="285"/>
      <c r="J363" s="286"/>
      <c r="K363" s="287"/>
      <c r="L363" s="288"/>
      <c r="M363" s="289"/>
      <c r="N363" s="290"/>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row>
    <row r="364" spans="1:36" s="22" customFormat="1" x14ac:dyDescent="0.25">
      <c r="A364" s="28" t="str">
        <f>IF(H364&lt;&gt;"",MAX($A$7:A363)+1,"")</f>
        <v/>
      </c>
      <c r="B364" s="243" t="str">
        <f t="shared" si="13"/>
        <v/>
      </c>
      <c r="C364" s="273" t="str">
        <f t="shared" si="14"/>
        <v/>
      </c>
      <c r="D364" s="246"/>
      <c r="E364" s="284"/>
      <c r="F364" s="284"/>
      <c r="G364" s="248"/>
      <c r="H364" s="241"/>
      <c r="I364" s="285"/>
      <c r="J364" s="286"/>
      <c r="K364" s="287"/>
      <c r="L364" s="288"/>
      <c r="M364" s="289"/>
      <c r="N364" s="290"/>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row>
    <row r="365" spans="1:36" s="22" customFormat="1" x14ac:dyDescent="0.25">
      <c r="A365" s="28" t="str">
        <f>IF(H365&lt;&gt;"",MAX($A$7:A364)+1,"")</f>
        <v/>
      </c>
      <c r="B365" s="243" t="str">
        <f t="shared" si="13"/>
        <v/>
      </c>
      <c r="C365" s="273" t="str">
        <f t="shared" si="14"/>
        <v/>
      </c>
      <c r="D365" s="246"/>
      <c r="E365" s="284"/>
      <c r="F365" s="284"/>
      <c r="G365" s="248"/>
      <c r="H365" s="241"/>
      <c r="I365" s="285"/>
      <c r="J365" s="286"/>
      <c r="K365" s="287"/>
      <c r="L365" s="288"/>
      <c r="M365" s="289"/>
      <c r="N365" s="290"/>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row>
    <row r="366" spans="1:36" s="22" customFormat="1" x14ac:dyDescent="0.25">
      <c r="A366" s="28" t="str">
        <f>IF(H366&lt;&gt;"",MAX($A$7:A365)+1,"")</f>
        <v/>
      </c>
      <c r="B366" s="243" t="str">
        <f t="shared" si="13"/>
        <v/>
      </c>
      <c r="C366" s="273" t="str">
        <f t="shared" si="14"/>
        <v/>
      </c>
      <c r="D366" s="246"/>
      <c r="E366" s="284"/>
      <c r="F366" s="284"/>
      <c r="G366" s="248"/>
      <c r="H366" s="241"/>
      <c r="I366" s="285"/>
      <c r="J366" s="286"/>
      <c r="K366" s="287"/>
      <c r="L366" s="288"/>
      <c r="M366" s="289"/>
      <c r="N366" s="290"/>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row>
    <row r="367" spans="1:36" s="22" customFormat="1" x14ac:dyDescent="0.25">
      <c r="A367" s="28" t="str">
        <f>IF(H367&lt;&gt;"",MAX($A$7:A366)+1,"")</f>
        <v/>
      </c>
      <c r="B367" s="243" t="str">
        <f t="shared" si="13"/>
        <v/>
      </c>
      <c r="C367" s="273" t="str">
        <f t="shared" si="14"/>
        <v/>
      </c>
      <c r="D367" s="246"/>
      <c r="E367" s="284"/>
      <c r="F367" s="284"/>
      <c r="G367" s="248"/>
      <c r="H367" s="241"/>
      <c r="I367" s="285"/>
      <c r="J367" s="286"/>
      <c r="K367" s="287"/>
      <c r="L367" s="288"/>
      <c r="M367" s="289"/>
      <c r="N367" s="290"/>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row>
    <row r="368" spans="1:36" s="22" customFormat="1" x14ac:dyDescent="0.25">
      <c r="A368" s="28" t="str">
        <f>IF(H368&lt;&gt;"",MAX($A$7:A367)+1,"")</f>
        <v/>
      </c>
      <c r="B368" s="243" t="str">
        <f t="shared" si="13"/>
        <v/>
      </c>
      <c r="C368" s="273" t="str">
        <f t="shared" si="14"/>
        <v/>
      </c>
      <c r="D368" s="246"/>
      <c r="E368" s="284"/>
      <c r="F368" s="284"/>
      <c r="G368" s="248"/>
      <c r="H368" s="241"/>
      <c r="I368" s="285"/>
      <c r="J368" s="286"/>
      <c r="K368" s="287"/>
      <c r="L368" s="288"/>
      <c r="M368" s="289"/>
      <c r="N368" s="290"/>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row>
    <row r="369" spans="1:36" s="22" customFormat="1" x14ac:dyDescent="0.25">
      <c r="A369" s="28" t="str">
        <f>IF(H369&lt;&gt;"",MAX($A$7:A368)+1,"")</f>
        <v/>
      </c>
      <c r="B369" s="243" t="str">
        <f t="shared" si="13"/>
        <v/>
      </c>
      <c r="C369" s="273" t="str">
        <f t="shared" si="14"/>
        <v/>
      </c>
      <c r="D369" s="246"/>
      <c r="E369" s="284"/>
      <c r="F369" s="284"/>
      <c r="G369" s="248"/>
      <c r="H369" s="241"/>
      <c r="I369" s="285"/>
      <c r="J369" s="286"/>
      <c r="K369" s="287"/>
      <c r="L369" s="288"/>
      <c r="M369" s="289"/>
      <c r="N369" s="290"/>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row>
    <row r="370" spans="1:36" s="22" customFormat="1" x14ac:dyDescent="0.25">
      <c r="A370" s="28" t="str">
        <f>IF(H370&lt;&gt;"",MAX($A$7:A369)+1,"")</f>
        <v/>
      </c>
      <c r="B370" s="243" t="str">
        <f t="shared" si="13"/>
        <v/>
      </c>
      <c r="C370" s="273" t="str">
        <f t="shared" si="14"/>
        <v/>
      </c>
      <c r="D370" s="246"/>
      <c r="E370" s="284"/>
      <c r="F370" s="284"/>
      <c r="G370" s="248"/>
      <c r="H370" s="241"/>
      <c r="I370" s="285"/>
      <c r="J370" s="286"/>
      <c r="K370" s="287"/>
      <c r="L370" s="288"/>
      <c r="M370" s="289"/>
      <c r="N370" s="290"/>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row>
    <row r="371" spans="1:36" s="22" customFormat="1" x14ac:dyDescent="0.25">
      <c r="A371" s="28" t="str">
        <f>IF(H371&lt;&gt;"",MAX($A$7:A370)+1,"")</f>
        <v/>
      </c>
      <c r="B371" s="243" t="str">
        <f t="shared" si="13"/>
        <v/>
      </c>
      <c r="C371" s="273" t="str">
        <f t="shared" si="14"/>
        <v/>
      </c>
      <c r="D371" s="246"/>
      <c r="E371" s="284"/>
      <c r="F371" s="284"/>
      <c r="G371" s="248"/>
      <c r="H371" s="241"/>
      <c r="I371" s="285"/>
      <c r="J371" s="286"/>
      <c r="K371" s="287"/>
      <c r="L371" s="288"/>
      <c r="M371" s="289"/>
      <c r="N371" s="290"/>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row>
    <row r="372" spans="1:36" s="22" customFormat="1" x14ac:dyDescent="0.25">
      <c r="A372" s="28" t="str">
        <f>IF(H372&lt;&gt;"",MAX($A$7:A371)+1,"")</f>
        <v/>
      </c>
      <c r="B372" s="243" t="str">
        <f t="shared" si="13"/>
        <v/>
      </c>
      <c r="C372" s="273" t="str">
        <f t="shared" si="14"/>
        <v/>
      </c>
      <c r="D372" s="246"/>
      <c r="E372" s="284"/>
      <c r="F372" s="284"/>
      <c r="G372" s="248"/>
      <c r="H372" s="241"/>
      <c r="I372" s="285"/>
      <c r="J372" s="286"/>
      <c r="K372" s="287"/>
      <c r="L372" s="288"/>
      <c r="M372" s="289"/>
      <c r="N372" s="290"/>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row>
    <row r="373" spans="1:36" s="22" customFormat="1" x14ac:dyDescent="0.25">
      <c r="A373" s="28" t="str">
        <f>IF(H373&lt;&gt;"",MAX($A$7:A372)+1,"")</f>
        <v/>
      </c>
      <c r="B373" s="243" t="str">
        <f t="shared" si="13"/>
        <v/>
      </c>
      <c r="C373" s="273" t="str">
        <f t="shared" si="14"/>
        <v/>
      </c>
      <c r="D373" s="246"/>
      <c r="E373" s="284"/>
      <c r="F373" s="284"/>
      <c r="G373" s="248"/>
      <c r="H373" s="241"/>
      <c r="I373" s="285"/>
      <c r="J373" s="286"/>
      <c r="K373" s="287"/>
      <c r="L373" s="288"/>
      <c r="M373" s="289"/>
      <c r="N373" s="290"/>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row>
    <row r="374" spans="1:36" s="22" customFormat="1" x14ac:dyDescent="0.25">
      <c r="A374" s="28" t="str">
        <f>IF(H374&lt;&gt;"",MAX($A$7:A373)+1,"")</f>
        <v/>
      </c>
      <c r="B374" s="243" t="str">
        <f t="shared" si="13"/>
        <v/>
      </c>
      <c r="C374" s="273" t="str">
        <f t="shared" si="14"/>
        <v/>
      </c>
      <c r="D374" s="246"/>
      <c r="E374" s="284"/>
      <c r="F374" s="284"/>
      <c r="G374" s="248"/>
      <c r="H374" s="241"/>
      <c r="I374" s="285"/>
      <c r="J374" s="286"/>
      <c r="K374" s="287"/>
      <c r="L374" s="288"/>
      <c r="M374" s="289"/>
      <c r="N374" s="290"/>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row>
    <row r="375" spans="1:36" s="22" customFormat="1" x14ac:dyDescent="0.25">
      <c r="A375" s="28" t="str">
        <f>IF(H375&lt;&gt;"",MAX($A$7:A374)+1,"")</f>
        <v/>
      </c>
      <c r="B375" s="243" t="str">
        <f t="shared" si="13"/>
        <v/>
      </c>
      <c r="C375" s="273" t="str">
        <f t="shared" si="14"/>
        <v/>
      </c>
      <c r="D375" s="246"/>
      <c r="E375" s="284"/>
      <c r="F375" s="284"/>
      <c r="G375" s="248"/>
      <c r="H375" s="241"/>
      <c r="I375" s="285"/>
      <c r="J375" s="286"/>
      <c r="K375" s="287"/>
      <c r="L375" s="288"/>
      <c r="M375" s="289"/>
      <c r="N375" s="290"/>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row>
    <row r="376" spans="1:36" s="22" customFormat="1" x14ac:dyDescent="0.25">
      <c r="A376" s="28" t="str">
        <f>IF(H376&lt;&gt;"",MAX($A$7:A375)+1,"")</f>
        <v/>
      </c>
      <c r="B376" s="243" t="str">
        <f t="shared" si="13"/>
        <v/>
      </c>
      <c r="C376" s="273" t="str">
        <f t="shared" si="14"/>
        <v/>
      </c>
      <c r="D376" s="246"/>
      <c r="E376" s="284"/>
      <c r="F376" s="284"/>
      <c r="G376" s="248"/>
      <c r="H376" s="241"/>
      <c r="I376" s="285"/>
      <c r="J376" s="286"/>
      <c r="K376" s="287"/>
      <c r="L376" s="288"/>
      <c r="M376" s="289"/>
      <c r="N376" s="290"/>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row>
    <row r="377" spans="1:36" s="22" customFormat="1" x14ac:dyDescent="0.25">
      <c r="A377" s="28" t="str">
        <f>IF(H377&lt;&gt;"",MAX($A$7:A376)+1,"")</f>
        <v/>
      </c>
      <c r="B377" s="243" t="str">
        <f t="shared" si="13"/>
        <v/>
      </c>
      <c r="C377" s="273" t="str">
        <f t="shared" si="14"/>
        <v/>
      </c>
      <c r="D377" s="246"/>
      <c r="E377" s="284"/>
      <c r="F377" s="284"/>
      <c r="G377" s="248"/>
      <c r="H377" s="241"/>
      <c r="I377" s="285"/>
      <c r="J377" s="286"/>
      <c r="K377" s="287"/>
      <c r="L377" s="288"/>
      <c r="M377" s="289"/>
      <c r="N377" s="290"/>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row>
    <row r="378" spans="1:36" s="22" customFormat="1" x14ac:dyDescent="0.25">
      <c r="A378" s="28" t="str">
        <f>IF(H378&lt;&gt;"",MAX($A$7:A377)+1,"")</f>
        <v/>
      </c>
      <c r="B378" s="243" t="str">
        <f t="shared" si="13"/>
        <v/>
      </c>
      <c r="C378" s="273" t="str">
        <f t="shared" si="14"/>
        <v/>
      </c>
      <c r="D378" s="246"/>
      <c r="E378" s="284"/>
      <c r="F378" s="284"/>
      <c r="G378" s="248"/>
      <c r="H378" s="241"/>
      <c r="I378" s="285"/>
      <c r="J378" s="286"/>
      <c r="K378" s="287"/>
      <c r="L378" s="288"/>
      <c r="M378" s="289"/>
      <c r="N378" s="290"/>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row>
    <row r="379" spans="1:36" s="22" customFormat="1" x14ac:dyDescent="0.25">
      <c r="A379" s="28" t="str">
        <f>IF(H379&lt;&gt;"",MAX($A$7:A378)+1,"")</f>
        <v/>
      </c>
      <c r="B379" s="243" t="str">
        <f t="shared" si="13"/>
        <v/>
      </c>
      <c r="C379" s="273" t="str">
        <f t="shared" si="14"/>
        <v/>
      </c>
      <c r="D379" s="246"/>
      <c r="E379" s="284"/>
      <c r="F379" s="284"/>
      <c r="G379" s="248"/>
      <c r="H379" s="241"/>
      <c r="I379" s="285"/>
      <c r="J379" s="286"/>
      <c r="K379" s="287"/>
      <c r="L379" s="288"/>
      <c r="M379" s="289"/>
      <c r="N379" s="290"/>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row>
    <row r="380" spans="1:36" s="22" customFormat="1" x14ac:dyDescent="0.25">
      <c r="A380" s="28" t="str">
        <f>IF(H380&lt;&gt;"",MAX($A$7:A379)+1,"")</f>
        <v/>
      </c>
      <c r="B380" s="243" t="str">
        <f t="shared" si="13"/>
        <v/>
      </c>
      <c r="C380" s="273" t="str">
        <f t="shared" si="14"/>
        <v/>
      </c>
      <c r="D380" s="246"/>
      <c r="E380" s="284"/>
      <c r="F380" s="284"/>
      <c r="G380" s="248"/>
      <c r="H380" s="241"/>
      <c r="I380" s="285"/>
      <c r="J380" s="286"/>
      <c r="K380" s="287"/>
      <c r="L380" s="288"/>
      <c r="M380" s="289"/>
      <c r="N380" s="290"/>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row>
    <row r="381" spans="1:36" s="22" customFormat="1" x14ac:dyDescent="0.25">
      <c r="A381" s="28" t="str">
        <f>IF(H381&lt;&gt;"",MAX($A$7:A380)+1,"")</f>
        <v/>
      </c>
      <c r="B381" s="243" t="str">
        <f t="shared" si="13"/>
        <v/>
      </c>
      <c r="C381" s="273" t="str">
        <f t="shared" si="14"/>
        <v/>
      </c>
      <c r="D381" s="246"/>
      <c r="E381" s="284"/>
      <c r="F381" s="284"/>
      <c r="G381" s="248"/>
      <c r="H381" s="241"/>
      <c r="I381" s="285"/>
      <c r="J381" s="286"/>
      <c r="K381" s="287"/>
      <c r="L381" s="288"/>
      <c r="M381" s="289"/>
      <c r="N381" s="290"/>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row>
    <row r="382" spans="1:36" s="22" customFormat="1" x14ac:dyDescent="0.25">
      <c r="A382" s="28" t="str">
        <f>IF(H382&lt;&gt;"",MAX($A$7:A381)+1,"")</f>
        <v/>
      </c>
      <c r="B382" s="243" t="str">
        <f t="shared" si="13"/>
        <v/>
      </c>
      <c r="C382" s="273" t="str">
        <f t="shared" si="14"/>
        <v/>
      </c>
      <c r="D382" s="246"/>
      <c r="E382" s="284"/>
      <c r="F382" s="284"/>
      <c r="G382" s="248"/>
      <c r="H382" s="241"/>
      <c r="I382" s="285"/>
      <c r="J382" s="286"/>
      <c r="K382" s="287"/>
      <c r="L382" s="288"/>
      <c r="M382" s="289"/>
      <c r="N382" s="290"/>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row>
    <row r="383" spans="1:36" s="22" customFormat="1" x14ac:dyDescent="0.25">
      <c r="A383" s="28" t="str">
        <f>IF(H383&lt;&gt;"",MAX($A$7:A382)+1,"")</f>
        <v/>
      </c>
      <c r="B383" s="243" t="str">
        <f t="shared" si="13"/>
        <v/>
      </c>
      <c r="C383" s="273" t="str">
        <f t="shared" si="14"/>
        <v/>
      </c>
      <c r="D383" s="246"/>
      <c r="E383" s="284"/>
      <c r="F383" s="284"/>
      <c r="G383" s="248"/>
      <c r="H383" s="241"/>
      <c r="I383" s="285"/>
      <c r="J383" s="286"/>
      <c r="K383" s="287"/>
      <c r="L383" s="288"/>
      <c r="M383" s="289"/>
      <c r="N383" s="290"/>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row>
    <row r="384" spans="1:36" s="22" customFormat="1" x14ac:dyDescent="0.25">
      <c r="A384" s="28" t="str">
        <f>IF(H384&lt;&gt;"",MAX($A$7:A383)+1,"")</f>
        <v/>
      </c>
      <c r="B384" s="243" t="str">
        <f t="shared" si="13"/>
        <v/>
      </c>
      <c r="C384" s="273" t="str">
        <f t="shared" si="14"/>
        <v/>
      </c>
      <c r="D384" s="246"/>
      <c r="E384" s="284"/>
      <c r="F384" s="284"/>
      <c r="G384" s="248"/>
      <c r="H384" s="241"/>
      <c r="I384" s="285"/>
      <c r="J384" s="286"/>
      <c r="K384" s="287"/>
      <c r="L384" s="288"/>
      <c r="M384" s="289"/>
      <c r="N384" s="290"/>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row>
    <row r="385" spans="1:36" s="22" customFormat="1" x14ac:dyDescent="0.25">
      <c r="A385" s="28" t="str">
        <f>IF(H385&lt;&gt;"",MAX($A$7:A384)+1,"")</f>
        <v/>
      </c>
      <c r="B385" s="243" t="str">
        <f t="shared" si="13"/>
        <v/>
      </c>
      <c r="C385" s="273" t="str">
        <f t="shared" si="14"/>
        <v/>
      </c>
      <c r="D385" s="246"/>
      <c r="E385" s="284"/>
      <c r="F385" s="284"/>
      <c r="G385" s="248"/>
      <c r="H385" s="241"/>
      <c r="I385" s="285"/>
      <c r="J385" s="286"/>
      <c r="K385" s="287"/>
      <c r="L385" s="288"/>
      <c r="M385" s="289"/>
      <c r="N385" s="290"/>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row>
    <row r="386" spans="1:36" s="22" customFormat="1" x14ac:dyDescent="0.25">
      <c r="A386" s="28" t="str">
        <f>IF(H386&lt;&gt;"",MAX($A$7:A385)+1,"")</f>
        <v/>
      </c>
      <c r="B386" s="243" t="str">
        <f t="shared" si="13"/>
        <v/>
      </c>
      <c r="C386" s="273" t="str">
        <f t="shared" si="14"/>
        <v/>
      </c>
      <c r="D386" s="246"/>
      <c r="E386" s="284"/>
      <c r="F386" s="284"/>
      <c r="G386" s="248"/>
      <c r="H386" s="241"/>
      <c r="I386" s="285"/>
      <c r="J386" s="286"/>
      <c r="K386" s="287"/>
      <c r="L386" s="288"/>
      <c r="M386" s="289"/>
      <c r="N386" s="290"/>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row>
    <row r="387" spans="1:36" s="22" customFormat="1" x14ac:dyDescent="0.25">
      <c r="A387" s="28" t="str">
        <f>IF(H387&lt;&gt;"",MAX($A$7:A386)+1,"")</f>
        <v/>
      </c>
      <c r="B387" s="243" t="str">
        <f t="shared" si="13"/>
        <v/>
      </c>
      <c r="C387" s="273" t="str">
        <f t="shared" si="14"/>
        <v/>
      </c>
      <c r="D387" s="246"/>
      <c r="E387" s="284"/>
      <c r="F387" s="284"/>
      <c r="G387" s="248"/>
      <c r="H387" s="241"/>
      <c r="I387" s="285"/>
      <c r="J387" s="286"/>
      <c r="K387" s="287"/>
      <c r="L387" s="288"/>
      <c r="M387" s="289"/>
      <c r="N387" s="290"/>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row>
    <row r="388" spans="1:36" s="22" customFormat="1" x14ac:dyDescent="0.25">
      <c r="A388" s="28" t="str">
        <f>IF(H388&lt;&gt;"",MAX($A$7:A387)+1,"")</f>
        <v/>
      </c>
      <c r="B388" s="243" t="str">
        <f t="shared" si="13"/>
        <v/>
      </c>
      <c r="C388" s="273" t="str">
        <f t="shared" si="14"/>
        <v/>
      </c>
      <c r="D388" s="246"/>
      <c r="E388" s="284"/>
      <c r="F388" s="284"/>
      <c r="G388" s="248"/>
      <c r="H388" s="241"/>
      <c r="I388" s="285"/>
      <c r="J388" s="286"/>
      <c r="K388" s="287"/>
      <c r="L388" s="288"/>
      <c r="M388" s="289"/>
      <c r="N388" s="290"/>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row>
    <row r="389" spans="1:36" s="22" customFormat="1" x14ac:dyDescent="0.25">
      <c r="A389" s="28" t="str">
        <f>IF(H389&lt;&gt;"",MAX($A$7:A388)+1,"")</f>
        <v/>
      </c>
      <c r="B389" s="243" t="str">
        <f t="shared" si="13"/>
        <v/>
      </c>
      <c r="C389" s="273" t="str">
        <f t="shared" si="14"/>
        <v/>
      </c>
      <c r="D389" s="246"/>
      <c r="E389" s="284"/>
      <c r="F389" s="284"/>
      <c r="G389" s="248"/>
      <c r="H389" s="241"/>
      <c r="I389" s="285"/>
      <c r="J389" s="286"/>
      <c r="K389" s="287"/>
      <c r="L389" s="288"/>
      <c r="M389" s="289"/>
      <c r="N389" s="290"/>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row>
    <row r="390" spans="1:36" s="22" customFormat="1" x14ac:dyDescent="0.25">
      <c r="A390" s="28" t="str">
        <f>IF(H390&lt;&gt;"",MAX($A$7:A389)+1,"")</f>
        <v/>
      </c>
      <c r="B390" s="243" t="str">
        <f t="shared" si="13"/>
        <v/>
      </c>
      <c r="C390" s="273" t="str">
        <f t="shared" si="14"/>
        <v/>
      </c>
      <c r="D390" s="246"/>
      <c r="E390" s="284"/>
      <c r="F390" s="284"/>
      <c r="G390" s="248"/>
      <c r="H390" s="241"/>
      <c r="I390" s="285"/>
      <c r="J390" s="286"/>
      <c r="K390" s="287"/>
      <c r="L390" s="288"/>
      <c r="M390" s="289"/>
      <c r="N390" s="290"/>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row>
    <row r="391" spans="1:36" s="22" customFormat="1" x14ac:dyDescent="0.25">
      <c r="A391" s="28" t="str">
        <f>IF(H391&lt;&gt;"",MAX($A$7:A390)+1,"")</f>
        <v/>
      </c>
      <c r="B391" s="243" t="str">
        <f t="shared" ref="B391:B454" si="15">IF(A391="","",PREF_PREGUNTA&amp;" - "&amp;IF(MAX(A:A)&gt;99,IF(A391&lt;100,"0",""),"")&amp;IF(A391&lt;10,"0","")&amp;A391&amp;IF(G391&lt;&gt;""," "&amp;G391,""))</f>
        <v/>
      </c>
      <c r="C391" s="273" t="str">
        <f t="shared" ref="C391:C454" si="16">IF(COUNTA(I391:N391)-D391=0,"",COUNTA(I391:N391)-D391)</f>
        <v/>
      </c>
      <c r="D391" s="246"/>
      <c r="E391" s="284"/>
      <c r="F391" s="284"/>
      <c r="G391" s="248"/>
      <c r="H391" s="241"/>
      <c r="I391" s="285"/>
      <c r="J391" s="286"/>
      <c r="K391" s="287"/>
      <c r="L391" s="288"/>
      <c r="M391" s="289"/>
      <c r="N391" s="290"/>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row>
    <row r="392" spans="1:36" s="22" customFormat="1" x14ac:dyDescent="0.25">
      <c r="A392" s="28" t="str">
        <f>IF(H392&lt;&gt;"",MAX($A$7:A391)+1,"")</f>
        <v/>
      </c>
      <c r="B392" s="243" t="str">
        <f t="shared" si="15"/>
        <v/>
      </c>
      <c r="C392" s="273" t="str">
        <f t="shared" si="16"/>
        <v/>
      </c>
      <c r="D392" s="246"/>
      <c r="E392" s="284"/>
      <c r="F392" s="284"/>
      <c r="G392" s="248"/>
      <c r="H392" s="241"/>
      <c r="I392" s="285"/>
      <c r="J392" s="286"/>
      <c r="K392" s="287"/>
      <c r="L392" s="288"/>
      <c r="M392" s="289"/>
      <c r="N392" s="290"/>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row>
    <row r="393" spans="1:36" s="22" customFormat="1" x14ac:dyDescent="0.25">
      <c r="A393" s="28" t="str">
        <f>IF(H393&lt;&gt;"",MAX($A$7:A392)+1,"")</f>
        <v/>
      </c>
      <c r="B393" s="243" t="str">
        <f t="shared" si="15"/>
        <v/>
      </c>
      <c r="C393" s="273" t="str">
        <f t="shared" si="16"/>
        <v/>
      </c>
      <c r="D393" s="246"/>
      <c r="E393" s="284"/>
      <c r="F393" s="284"/>
      <c r="G393" s="248"/>
      <c r="H393" s="241"/>
      <c r="I393" s="285"/>
      <c r="J393" s="286"/>
      <c r="K393" s="287"/>
      <c r="L393" s="288"/>
      <c r="M393" s="289"/>
      <c r="N393" s="290"/>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row>
    <row r="394" spans="1:36" s="22" customFormat="1" x14ac:dyDescent="0.25">
      <c r="A394" s="28" t="str">
        <f>IF(H394&lt;&gt;"",MAX($A$7:A393)+1,"")</f>
        <v/>
      </c>
      <c r="B394" s="243" t="str">
        <f t="shared" si="15"/>
        <v/>
      </c>
      <c r="C394" s="273" t="str">
        <f t="shared" si="16"/>
        <v/>
      </c>
      <c r="D394" s="246"/>
      <c r="E394" s="284"/>
      <c r="F394" s="284"/>
      <c r="G394" s="248"/>
      <c r="H394" s="241"/>
      <c r="I394" s="285"/>
      <c r="J394" s="286"/>
      <c r="K394" s="287"/>
      <c r="L394" s="288"/>
      <c r="M394" s="289"/>
      <c r="N394" s="290"/>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row>
    <row r="395" spans="1:36" s="22" customFormat="1" x14ac:dyDescent="0.25">
      <c r="A395" s="28" t="str">
        <f>IF(H395&lt;&gt;"",MAX($A$7:A394)+1,"")</f>
        <v/>
      </c>
      <c r="B395" s="243" t="str">
        <f t="shared" si="15"/>
        <v/>
      </c>
      <c r="C395" s="273" t="str">
        <f t="shared" si="16"/>
        <v/>
      </c>
      <c r="D395" s="246"/>
      <c r="E395" s="284"/>
      <c r="F395" s="284"/>
      <c r="G395" s="248"/>
      <c r="H395" s="241"/>
      <c r="I395" s="285"/>
      <c r="J395" s="286"/>
      <c r="K395" s="287"/>
      <c r="L395" s="288"/>
      <c r="M395" s="289"/>
      <c r="N395" s="290"/>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row>
    <row r="396" spans="1:36" s="22" customFormat="1" x14ac:dyDescent="0.25">
      <c r="A396" s="28" t="str">
        <f>IF(H396&lt;&gt;"",MAX($A$7:A395)+1,"")</f>
        <v/>
      </c>
      <c r="B396" s="243" t="str">
        <f t="shared" si="15"/>
        <v/>
      </c>
      <c r="C396" s="273" t="str">
        <f t="shared" si="16"/>
        <v/>
      </c>
      <c r="D396" s="246"/>
      <c r="E396" s="284"/>
      <c r="F396" s="284"/>
      <c r="G396" s="248"/>
      <c r="H396" s="241"/>
      <c r="I396" s="285"/>
      <c r="J396" s="286"/>
      <c r="K396" s="287"/>
      <c r="L396" s="288"/>
      <c r="M396" s="289"/>
      <c r="N396" s="290"/>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row>
    <row r="397" spans="1:36" s="22" customFormat="1" x14ac:dyDescent="0.25">
      <c r="A397" s="28" t="str">
        <f>IF(H397&lt;&gt;"",MAX($A$7:A396)+1,"")</f>
        <v/>
      </c>
      <c r="B397" s="243" t="str">
        <f t="shared" si="15"/>
        <v/>
      </c>
      <c r="C397" s="273" t="str">
        <f t="shared" si="16"/>
        <v/>
      </c>
      <c r="D397" s="246"/>
      <c r="E397" s="284"/>
      <c r="F397" s="284"/>
      <c r="G397" s="248"/>
      <c r="H397" s="241"/>
      <c r="I397" s="285"/>
      <c r="J397" s="286"/>
      <c r="K397" s="287"/>
      <c r="L397" s="288"/>
      <c r="M397" s="289"/>
      <c r="N397" s="290"/>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row>
    <row r="398" spans="1:36" s="22" customFormat="1" x14ac:dyDescent="0.25">
      <c r="A398" s="28" t="str">
        <f>IF(H398&lt;&gt;"",MAX($A$7:A397)+1,"")</f>
        <v/>
      </c>
      <c r="B398" s="243" t="str">
        <f t="shared" si="15"/>
        <v/>
      </c>
      <c r="C398" s="273" t="str">
        <f t="shared" si="16"/>
        <v/>
      </c>
      <c r="D398" s="246"/>
      <c r="E398" s="284"/>
      <c r="F398" s="284"/>
      <c r="G398" s="248"/>
      <c r="H398" s="241"/>
      <c r="I398" s="285"/>
      <c r="J398" s="286"/>
      <c r="K398" s="287"/>
      <c r="L398" s="288"/>
      <c r="M398" s="289"/>
      <c r="N398" s="290"/>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row>
    <row r="399" spans="1:36" s="22" customFormat="1" x14ac:dyDescent="0.25">
      <c r="A399" s="28" t="str">
        <f>IF(H399&lt;&gt;"",MAX($A$7:A398)+1,"")</f>
        <v/>
      </c>
      <c r="B399" s="243" t="str">
        <f t="shared" si="15"/>
        <v/>
      </c>
      <c r="C399" s="273" t="str">
        <f t="shared" si="16"/>
        <v/>
      </c>
      <c r="D399" s="246"/>
      <c r="E399" s="284"/>
      <c r="F399" s="284"/>
      <c r="G399" s="248"/>
      <c r="H399" s="241"/>
      <c r="I399" s="285"/>
      <c r="J399" s="286"/>
      <c r="K399" s="287"/>
      <c r="L399" s="288"/>
      <c r="M399" s="289"/>
      <c r="N399" s="290"/>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row>
    <row r="400" spans="1:36" s="22" customFormat="1" x14ac:dyDescent="0.25">
      <c r="A400" s="28" t="str">
        <f>IF(H400&lt;&gt;"",MAX($A$7:A399)+1,"")</f>
        <v/>
      </c>
      <c r="B400" s="243" t="str">
        <f t="shared" si="15"/>
        <v/>
      </c>
      <c r="C400" s="273" t="str">
        <f t="shared" si="16"/>
        <v/>
      </c>
      <c r="D400" s="246"/>
      <c r="E400" s="284"/>
      <c r="F400" s="284"/>
      <c r="G400" s="248"/>
      <c r="H400" s="241"/>
      <c r="I400" s="285"/>
      <c r="J400" s="286"/>
      <c r="K400" s="287"/>
      <c r="L400" s="288"/>
      <c r="M400" s="289"/>
      <c r="N400" s="290"/>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row>
    <row r="401" spans="1:36" s="22" customFormat="1" x14ac:dyDescent="0.25">
      <c r="A401" s="28" t="str">
        <f>IF(H401&lt;&gt;"",MAX($A$7:A400)+1,"")</f>
        <v/>
      </c>
      <c r="B401" s="243" t="str">
        <f t="shared" si="15"/>
        <v/>
      </c>
      <c r="C401" s="273" t="str">
        <f t="shared" si="16"/>
        <v/>
      </c>
      <c r="D401" s="246"/>
      <c r="E401" s="284"/>
      <c r="F401" s="284"/>
      <c r="G401" s="248"/>
      <c r="H401" s="241"/>
      <c r="I401" s="285"/>
      <c r="J401" s="286"/>
      <c r="K401" s="287"/>
      <c r="L401" s="288"/>
      <c r="M401" s="289"/>
      <c r="N401" s="290"/>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row>
    <row r="402" spans="1:36" s="22" customFormat="1" x14ac:dyDescent="0.25">
      <c r="A402" s="28" t="str">
        <f>IF(H402&lt;&gt;"",MAX($A$7:A401)+1,"")</f>
        <v/>
      </c>
      <c r="B402" s="243" t="str">
        <f t="shared" si="15"/>
        <v/>
      </c>
      <c r="C402" s="273" t="str">
        <f t="shared" si="16"/>
        <v/>
      </c>
      <c r="D402" s="246"/>
      <c r="E402" s="284"/>
      <c r="F402" s="284"/>
      <c r="G402" s="248"/>
      <c r="H402" s="241"/>
      <c r="I402" s="285"/>
      <c r="J402" s="286"/>
      <c r="K402" s="287"/>
      <c r="L402" s="288"/>
      <c r="M402" s="289"/>
      <c r="N402" s="290"/>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row>
    <row r="403" spans="1:36" s="22" customFormat="1" x14ac:dyDescent="0.25">
      <c r="A403" s="28" t="str">
        <f>IF(H403&lt;&gt;"",MAX($A$7:A402)+1,"")</f>
        <v/>
      </c>
      <c r="B403" s="243" t="str">
        <f t="shared" si="15"/>
        <v/>
      </c>
      <c r="C403" s="273" t="str">
        <f t="shared" si="16"/>
        <v/>
      </c>
      <c r="D403" s="246"/>
      <c r="E403" s="284"/>
      <c r="F403" s="284"/>
      <c r="G403" s="248"/>
      <c r="H403" s="241"/>
      <c r="I403" s="285"/>
      <c r="J403" s="286"/>
      <c r="K403" s="287"/>
      <c r="L403" s="288"/>
      <c r="M403" s="289"/>
      <c r="N403" s="290"/>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row>
    <row r="404" spans="1:36" s="22" customFormat="1" x14ac:dyDescent="0.25">
      <c r="A404" s="28" t="str">
        <f>IF(H404&lt;&gt;"",MAX($A$7:A403)+1,"")</f>
        <v/>
      </c>
      <c r="B404" s="243" t="str">
        <f t="shared" si="15"/>
        <v/>
      </c>
      <c r="C404" s="273" t="str">
        <f t="shared" si="16"/>
        <v/>
      </c>
      <c r="D404" s="246"/>
      <c r="E404" s="284"/>
      <c r="F404" s="284"/>
      <c r="G404" s="248"/>
      <c r="H404" s="241"/>
      <c r="I404" s="285"/>
      <c r="J404" s="286"/>
      <c r="K404" s="287"/>
      <c r="L404" s="288"/>
      <c r="M404" s="289"/>
      <c r="N404" s="290"/>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row>
    <row r="405" spans="1:36" s="22" customFormat="1" x14ac:dyDescent="0.25">
      <c r="A405" s="28" t="str">
        <f>IF(H405&lt;&gt;"",MAX($A$7:A404)+1,"")</f>
        <v/>
      </c>
      <c r="B405" s="243" t="str">
        <f t="shared" si="15"/>
        <v/>
      </c>
      <c r="C405" s="273" t="str">
        <f t="shared" si="16"/>
        <v/>
      </c>
      <c r="D405" s="246"/>
      <c r="E405" s="284"/>
      <c r="F405" s="284"/>
      <c r="G405" s="248"/>
      <c r="H405" s="241"/>
      <c r="I405" s="285"/>
      <c r="J405" s="286"/>
      <c r="K405" s="287"/>
      <c r="L405" s="288"/>
      <c r="M405" s="289"/>
      <c r="N405" s="290"/>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row>
    <row r="406" spans="1:36" s="22" customFormat="1" x14ac:dyDescent="0.25">
      <c r="A406" s="28" t="str">
        <f>IF(H406&lt;&gt;"",MAX($A$7:A405)+1,"")</f>
        <v/>
      </c>
      <c r="B406" s="243" t="str">
        <f t="shared" si="15"/>
        <v/>
      </c>
      <c r="C406" s="273" t="str">
        <f t="shared" si="16"/>
        <v/>
      </c>
      <c r="D406" s="246"/>
      <c r="E406" s="284"/>
      <c r="F406" s="284"/>
      <c r="G406" s="248"/>
      <c r="H406" s="241"/>
      <c r="I406" s="285"/>
      <c r="J406" s="286"/>
      <c r="K406" s="287"/>
      <c r="L406" s="288"/>
      <c r="M406" s="289"/>
      <c r="N406" s="290"/>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row>
    <row r="407" spans="1:36" s="22" customFormat="1" x14ac:dyDescent="0.25">
      <c r="A407" s="28" t="str">
        <f>IF(H407&lt;&gt;"",MAX($A$7:A406)+1,"")</f>
        <v/>
      </c>
      <c r="B407" s="243" t="str">
        <f t="shared" si="15"/>
        <v/>
      </c>
      <c r="C407" s="273" t="str">
        <f t="shared" si="16"/>
        <v/>
      </c>
      <c r="D407" s="246"/>
      <c r="E407" s="284"/>
      <c r="F407" s="284"/>
      <c r="G407" s="248"/>
      <c r="H407" s="241"/>
      <c r="I407" s="285"/>
      <c r="J407" s="286"/>
      <c r="K407" s="287"/>
      <c r="L407" s="288"/>
      <c r="M407" s="289"/>
      <c r="N407" s="290"/>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row>
    <row r="408" spans="1:36" s="22" customFormat="1" x14ac:dyDescent="0.25">
      <c r="A408" s="28" t="str">
        <f>IF(H408&lt;&gt;"",MAX($A$7:A407)+1,"")</f>
        <v/>
      </c>
      <c r="B408" s="243" t="str">
        <f t="shared" si="15"/>
        <v/>
      </c>
      <c r="C408" s="273" t="str">
        <f t="shared" si="16"/>
        <v/>
      </c>
      <c r="D408" s="246"/>
      <c r="E408" s="284"/>
      <c r="F408" s="284"/>
      <c r="G408" s="248"/>
      <c r="H408" s="241"/>
      <c r="I408" s="285"/>
      <c r="J408" s="286"/>
      <c r="K408" s="287"/>
      <c r="L408" s="288"/>
      <c r="M408" s="289"/>
      <c r="N408" s="290"/>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row>
    <row r="409" spans="1:36" s="22" customFormat="1" x14ac:dyDescent="0.25">
      <c r="A409" s="28" t="str">
        <f>IF(H409&lt;&gt;"",MAX($A$7:A408)+1,"")</f>
        <v/>
      </c>
      <c r="B409" s="243" t="str">
        <f t="shared" si="15"/>
        <v/>
      </c>
      <c r="C409" s="273" t="str">
        <f t="shared" si="16"/>
        <v/>
      </c>
      <c r="D409" s="246"/>
      <c r="E409" s="284"/>
      <c r="F409" s="284"/>
      <c r="G409" s="248"/>
      <c r="H409" s="241"/>
      <c r="I409" s="285"/>
      <c r="J409" s="286"/>
      <c r="K409" s="287"/>
      <c r="L409" s="288"/>
      <c r="M409" s="289"/>
      <c r="N409" s="290"/>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row>
    <row r="410" spans="1:36" s="22" customFormat="1" x14ac:dyDescent="0.25">
      <c r="A410" s="28" t="str">
        <f>IF(H410&lt;&gt;"",MAX($A$7:A409)+1,"")</f>
        <v/>
      </c>
      <c r="B410" s="243" t="str">
        <f t="shared" si="15"/>
        <v/>
      </c>
      <c r="C410" s="273" t="str">
        <f t="shared" si="16"/>
        <v/>
      </c>
      <c r="D410" s="246"/>
      <c r="E410" s="284"/>
      <c r="F410" s="284"/>
      <c r="G410" s="248"/>
      <c r="H410" s="241"/>
      <c r="I410" s="285"/>
      <c r="J410" s="286"/>
      <c r="K410" s="287"/>
      <c r="L410" s="288"/>
      <c r="M410" s="289"/>
      <c r="N410" s="290"/>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row>
    <row r="411" spans="1:36" s="22" customFormat="1" x14ac:dyDescent="0.25">
      <c r="A411" s="28" t="str">
        <f>IF(H411&lt;&gt;"",MAX($A$7:A410)+1,"")</f>
        <v/>
      </c>
      <c r="B411" s="243" t="str">
        <f t="shared" si="15"/>
        <v/>
      </c>
      <c r="C411" s="273" t="str">
        <f t="shared" si="16"/>
        <v/>
      </c>
      <c r="D411" s="246"/>
      <c r="E411" s="284"/>
      <c r="F411" s="284"/>
      <c r="G411" s="248"/>
      <c r="H411" s="241"/>
      <c r="I411" s="285"/>
      <c r="J411" s="286"/>
      <c r="K411" s="287"/>
      <c r="L411" s="288"/>
      <c r="M411" s="289"/>
      <c r="N411" s="290"/>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row>
    <row r="412" spans="1:36" s="22" customFormat="1" x14ac:dyDescent="0.25">
      <c r="A412" s="28" t="str">
        <f>IF(H412&lt;&gt;"",MAX($A$7:A411)+1,"")</f>
        <v/>
      </c>
      <c r="B412" s="243" t="str">
        <f t="shared" si="15"/>
        <v/>
      </c>
      <c r="C412" s="273" t="str">
        <f t="shared" si="16"/>
        <v/>
      </c>
      <c r="D412" s="246"/>
      <c r="E412" s="284"/>
      <c r="F412" s="284"/>
      <c r="G412" s="248"/>
      <c r="H412" s="241"/>
      <c r="I412" s="285"/>
      <c r="J412" s="286"/>
      <c r="K412" s="287"/>
      <c r="L412" s="288"/>
      <c r="M412" s="289"/>
      <c r="N412" s="290"/>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row>
    <row r="413" spans="1:36" s="22" customFormat="1" x14ac:dyDescent="0.25">
      <c r="A413" s="28" t="str">
        <f>IF(H413&lt;&gt;"",MAX($A$7:A412)+1,"")</f>
        <v/>
      </c>
      <c r="B413" s="243" t="str">
        <f t="shared" si="15"/>
        <v/>
      </c>
      <c r="C413" s="273" t="str">
        <f t="shared" si="16"/>
        <v/>
      </c>
      <c r="D413" s="246"/>
      <c r="E413" s="284"/>
      <c r="F413" s="284"/>
      <c r="G413" s="248"/>
      <c r="H413" s="241"/>
      <c r="I413" s="285"/>
      <c r="J413" s="286"/>
      <c r="K413" s="287"/>
      <c r="L413" s="288"/>
      <c r="M413" s="289"/>
      <c r="N413" s="290"/>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row>
    <row r="414" spans="1:36" s="22" customFormat="1" x14ac:dyDescent="0.25">
      <c r="A414" s="28" t="str">
        <f>IF(H414&lt;&gt;"",MAX($A$7:A413)+1,"")</f>
        <v/>
      </c>
      <c r="B414" s="243" t="str">
        <f t="shared" si="15"/>
        <v/>
      </c>
      <c r="C414" s="273" t="str">
        <f t="shared" si="16"/>
        <v/>
      </c>
      <c r="D414" s="246"/>
      <c r="E414" s="284"/>
      <c r="F414" s="284"/>
      <c r="G414" s="248"/>
      <c r="H414" s="241"/>
      <c r="I414" s="285"/>
      <c r="J414" s="286"/>
      <c r="K414" s="287"/>
      <c r="L414" s="288"/>
      <c r="M414" s="289"/>
      <c r="N414" s="290"/>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row>
    <row r="415" spans="1:36" s="22" customFormat="1" x14ac:dyDescent="0.25">
      <c r="A415" s="28" t="str">
        <f>IF(H415&lt;&gt;"",MAX($A$7:A414)+1,"")</f>
        <v/>
      </c>
      <c r="B415" s="243" t="str">
        <f t="shared" si="15"/>
        <v/>
      </c>
      <c r="C415" s="273" t="str">
        <f t="shared" si="16"/>
        <v/>
      </c>
      <c r="D415" s="246"/>
      <c r="E415" s="284"/>
      <c r="F415" s="284"/>
      <c r="G415" s="248"/>
      <c r="H415" s="241"/>
      <c r="I415" s="285"/>
      <c r="J415" s="286"/>
      <c r="K415" s="287"/>
      <c r="L415" s="288"/>
      <c r="M415" s="289"/>
      <c r="N415" s="290"/>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row>
    <row r="416" spans="1:36" s="22" customFormat="1" x14ac:dyDescent="0.25">
      <c r="A416" s="28" t="str">
        <f>IF(H416&lt;&gt;"",MAX($A$7:A415)+1,"")</f>
        <v/>
      </c>
      <c r="B416" s="243" t="str">
        <f t="shared" si="15"/>
        <v/>
      </c>
      <c r="C416" s="273" t="str">
        <f t="shared" si="16"/>
        <v/>
      </c>
      <c r="D416" s="246"/>
      <c r="E416" s="284"/>
      <c r="F416" s="284"/>
      <c r="G416" s="248"/>
      <c r="H416" s="241"/>
      <c r="I416" s="285"/>
      <c r="J416" s="286"/>
      <c r="K416" s="287"/>
      <c r="L416" s="288"/>
      <c r="M416" s="289"/>
      <c r="N416" s="290"/>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row>
    <row r="417" spans="1:36" s="22" customFormat="1" x14ac:dyDescent="0.25">
      <c r="A417" s="28" t="str">
        <f>IF(H417&lt;&gt;"",MAX($A$7:A416)+1,"")</f>
        <v/>
      </c>
      <c r="B417" s="243" t="str">
        <f t="shared" si="15"/>
        <v/>
      </c>
      <c r="C417" s="273" t="str">
        <f t="shared" si="16"/>
        <v/>
      </c>
      <c r="D417" s="246"/>
      <c r="E417" s="284"/>
      <c r="F417" s="284"/>
      <c r="G417" s="248"/>
      <c r="H417" s="241"/>
      <c r="I417" s="285"/>
      <c r="J417" s="286"/>
      <c r="K417" s="287"/>
      <c r="L417" s="288"/>
      <c r="M417" s="289"/>
      <c r="N417" s="290"/>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row>
    <row r="418" spans="1:36" s="22" customFormat="1" x14ac:dyDescent="0.25">
      <c r="A418" s="28" t="str">
        <f>IF(H418&lt;&gt;"",MAX($A$7:A417)+1,"")</f>
        <v/>
      </c>
      <c r="B418" s="243" t="str">
        <f t="shared" si="15"/>
        <v/>
      </c>
      <c r="C418" s="273" t="str">
        <f t="shared" si="16"/>
        <v/>
      </c>
      <c r="D418" s="246"/>
      <c r="E418" s="284"/>
      <c r="F418" s="284"/>
      <c r="G418" s="248"/>
      <c r="H418" s="241"/>
      <c r="I418" s="285"/>
      <c r="J418" s="286"/>
      <c r="K418" s="287"/>
      <c r="L418" s="288"/>
      <c r="M418" s="289"/>
      <c r="N418" s="290"/>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row>
    <row r="419" spans="1:36" s="22" customFormat="1" x14ac:dyDescent="0.25">
      <c r="A419" s="28" t="str">
        <f>IF(H419&lt;&gt;"",MAX($A$7:A418)+1,"")</f>
        <v/>
      </c>
      <c r="B419" s="243" t="str">
        <f t="shared" si="15"/>
        <v/>
      </c>
      <c r="C419" s="273" t="str">
        <f t="shared" si="16"/>
        <v/>
      </c>
      <c r="D419" s="246"/>
      <c r="E419" s="284"/>
      <c r="F419" s="284"/>
      <c r="G419" s="248"/>
      <c r="H419" s="241"/>
      <c r="I419" s="285"/>
      <c r="J419" s="286"/>
      <c r="K419" s="287"/>
      <c r="L419" s="288"/>
      <c r="M419" s="289"/>
      <c r="N419" s="290"/>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row>
    <row r="420" spans="1:36" s="22" customFormat="1" x14ac:dyDescent="0.25">
      <c r="A420" s="28" t="str">
        <f>IF(H420&lt;&gt;"",MAX($A$7:A419)+1,"")</f>
        <v/>
      </c>
      <c r="B420" s="243" t="str">
        <f t="shared" si="15"/>
        <v/>
      </c>
      <c r="C420" s="273" t="str">
        <f t="shared" si="16"/>
        <v/>
      </c>
      <c r="D420" s="246"/>
      <c r="E420" s="284"/>
      <c r="F420" s="284"/>
      <c r="G420" s="248"/>
      <c r="H420" s="241"/>
      <c r="I420" s="285"/>
      <c r="J420" s="286"/>
      <c r="K420" s="287"/>
      <c r="L420" s="288"/>
      <c r="M420" s="289"/>
      <c r="N420" s="290"/>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row>
    <row r="421" spans="1:36" s="22" customFormat="1" x14ac:dyDescent="0.25">
      <c r="A421" s="28" t="str">
        <f>IF(H421&lt;&gt;"",MAX($A$7:A420)+1,"")</f>
        <v/>
      </c>
      <c r="B421" s="243" t="str">
        <f t="shared" si="15"/>
        <v/>
      </c>
      <c r="C421" s="273" t="str">
        <f t="shared" si="16"/>
        <v/>
      </c>
      <c r="D421" s="246"/>
      <c r="E421" s="284"/>
      <c r="F421" s="284"/>
      <c r="G421" s="248"/>
      <c r="H421" s="241"/>
      <c r="I421" s="285"/>
      <c r="J421" s="286"/>
      <c r="K421" s="287"/>
      <c r="L421" s="288"/>
      <c r="M421" s="289"/>
      <c r="N421" s="290"/>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row>
    <row r="422" spans="1:36" s="22" customFormat="1" x14ac:dyDescent="0.25">
      <c r="A422" s="28" t="str">
        <f>IF(H422&lt;&gt;"",MAX($A$7:A421)+1,"")</f>
        <v/>
      </c>
      <c r="B422" s="243" t="str">
        <f t="shared" si="15"/>
        <v/>
      </c>
      <c r="C422" s="273" t="str">
        <f t="shared" si="16"/>
        <v/>
      </c>
      <c r="D422" s="246"/>
      <c r="E422" s="284"/>
      <c r="F422" s="284"/>
      <c r="G422" s="248"/>
      <c r="H422" s="241"/>
      <c r="I422" s="285"/>
      <c r="J422" s="286"/>
      <c r="K422" s="287"/>
      <c r="L422" s="288"/>
      <c r="M422" s="289"/>
      <c r="N422" s="290"/>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row>
    <row r="423" spans="1:36" s="22" customFormat="1" x14ac:dyDescent="0.25">
      <c r="A423" s="28" t="str">
        <f>IF(H423&lt;&gt;"",MAX($A$7:A422)+1,"")</f>
        <v/>
      </c>
      <c r="B423" s="243" t="str">
        <f t="shared" si="15"/>
        <v/>
      </c>
      <c r="C423" s="273" t="str">
        <f t="shared" si="16"/>
        <v/>
      </c>
      <c r="D423" s="246"/>
      <c r="E423" s="284"/>
      <c r="F423" s="284"/>
      <c r="G423" s="248"/>
      <c r="H423" s="241"/>
      <c r="I423" s="285"/>
      <c r="J423" s="286"/>
      <c r="K423" s="287"/>
      <c r="L423" s="288"/>
      <c r="M423" s="289"/>
      <c r="N423" s="290"/>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row>
    <row r="424" spans="1:36" s="22" customFormat="1" x14ac:dyDescent="0.25">
      <c r="A424" s="28" t="str">
        <f>IF(H424&lt;&gt;"",MAX($A$7:A423)+1,"")</f>
        <v/>
      </c>
      <c r="B424" s="243" t="str">
        <f t="shared" si="15"/>
        <v/>
      </c>
      <c r="C424" s="273" t="str">
        <f t="shared" si="16"/>
        <v/>
      </c>
      <c r="D424" s="246"/>
      <c r="E424" s="284"/>
      <c r="F424" s="284"/>
      <c r="G424" s="248"/>
      <c r="H424" s="241"/>
      <c r="I424" s="285"/>
      <c r="J424" s="286"/>
      <c r="K424" s="287"/>
      <c r="L424" s="288"/>
      <c r="M424" s="289"/>
      <c r="N424" s="290"/>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row>
    <row r="425" spans="1:36" s="22" customFormat="1" x14ac:dyDescent="0.25">
      <c r="A425" s="28" t="str">
        <f>IF(H425&lt;&gt;"",MAX($A$7:A424)+1,"")</f>
        <v/>
      </c>
      <c r="B425" s="243" t="str">
        <f t="shared" si="15"/>
        <v/>
      </c>
      <c r="C425" s="273" t="str">
        <f t="shared" si="16"/>
        <v/>
      </c>
      <c r="D425" s="246"/>
      <c r="E425" s="284"/>
      <c r="F425" s="284"/>
      <c r="G425" s="248"/>
      <c r="H425" s="241"/>
      <c r="I425" s="285"/>
      <c r="J425" s="286"/>
      <c r="K425" s="287"/>
      <c r="L425" s="288"/>
      <c r="M425" s="289"/>
      <c r="N425" s="290"/>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row>
    <row r="426" spans="1:36" s="22" customFormat="1" x14ac:dyDescent="0.25">
      <c r="A426" s="28" t="str">
        <f>IF(H426&lt;&gt;"",MAX($A$7:A425)+1,"")</f>
        <v/>
      </c>
      <c r="B426" s="243" t="str">
        <f t="shared" si="15"/>
        <v/>
      </c>
      <c r="C426" s="273" t="str">
        <f t="shared" si="16"/>
        <v/>
      </c>
      <c r="D426" s="246"/>
      <c r="E426" s="284"/>
      <c r="F426" s="284"/>
      <c r="G426" s="248"/>
      <c r="H426" s="241"/>
      <c r="I426" s="285"/>
      <c r="J426" s="286"/>
      <c r="K426" s="287"/>
      <c r="L426" s="288"/>
      <c r="M426" s="289"/>
      <c r="N426" s="290"/>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row>
    <row r="427" spans="1:36" s="22" customFormat="1" x14ac:dyDescent="0.25">
      <c r="A427" s="28" t="str">
        <f>IF(H427&lt;&gt;"",MAX($A$7:A426)+1,"")</f>
        <v/>
      </c>
      <c r="B427" s="243" t="str">
        <f t="shared" si="15"/>
        <v/>
      </c>
      <c r="C427" s="273" t="str">
        <f t="shared" si="16"/>
        <v/>
      </c>
      <c r="D427" s="246"/>
      <c r="E427" s="284"/>
      <c r="F427" s="284"/>
      <c r="G427" s="248"/>
      <c r="H427" s="241"/>
      <c r="I427" s="285"/>
      <c r="J427" s="286"/>
      <c r="K427" s="287"/>
      <c r="L427" s="288"/>
      <c r="M427" s="289"/>
      <c r="N427" s="290"/>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row>
    <row r="428" spans="1:36" s="22" customFormat="1" x14ac:dyDescent="0.25">
      <c r="A428" s="28" t="str">
        <f>IF(H428&lt;&gt;"",MAX($A$7:A427)+1,"")</f>
        <v/>
      </c>
      <c r="B428" s="243" t="str">
        <f t="shared" si="15"/>
        <v/>
      </c>
      <c r="C428" s="273" t="str">
        <f t="shared" si="16"/>
        <v/>
      </c>
      <c r="D428" s="246"/>
      <c r="E428" s="284"/>
      <c r="F428" s="284"/>
      <c r="G428" s="248"/>
      <c r="H428" s="241"/>
      <c r="I428" s="285"/>
      <c r="J428" s="286"/>
      <c r="K428" s="287"/>
      <c r="L428" s="288"/>
      <c r="M428" s="289"/>
      <c r="N428" s="290"/>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row>
    <row r="429" spans="1:36" s="22" customFormat="1" x14ac:dyDescent="0.25">
      <c r="A429" s="28" t="str">
        <f>IF(H429&lt;&gt;"",MAX($A$7:A428)+1,"")</f>
        <v/>
      </c>
      <c r="B429" s="243" t="str">
        <f t="shared" si="15"/>
        <v/>
      </c>
      <c r="C429" s="273" t="str">
        <f t="shared" si="16"/>
        <v/>
      </c>
      <c r="D429" s="246"/>
      <c r="E429" s="284"/>
      <c r="F429" s="284"/>
      <c r="G429" s="248"/>
      <c r="H429" s="241"/>
      <c r="I429" s="285"/>
      <c r="J429" s="286"/>
      <c r="K429" s="287"/>
      <c r="L429" s="288"/>
      <c r="M429" s="289"/>
      <c r="N429" s="290"/>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row>
    <row r="430" spans="1:36" s="22" customFormat="1" x14ac:dyDescent="0.25">
      <c r="A430" s="28" t="str">
        <f>IF(H430&lt;&gt;"",MAX($A$7:A429)+1,"")</f>
        <v/>
      </c>
      <c r="B430" s="243" t="str">
        <f t="shared" si="15"/>
        <v/>
      </c>
      <c r="C430" s="273" t="str">
        <f t="shared" si="16"/>
        <v/>
      </c>
      <c r="D430" s="246"/>
      <c r="E430" s="284"/>
      <c r="F430" s="284"/>
      <c r="G430" s="248"/>
      <c r="H430" s="241"/>
      <c r="I430" s="285"/>
      <c r="J430" s="286"/>
      <c r="K430" s="287"/>
      <c r="L430" s="288"/>
      <c r="M430" s="289"/>
      <c r="N430" s="290"/>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row>
    <row r="431" spans="1:36" s="22" customFormat="1" x14ac:dyDescent="0.25">
      <c r="A431" s="28" t="str">
        <f>IF(H431&lt;&gt;"",MAX($A$7:A430)+1,"")</f>
        <v/>
      </c>
      <c r="B431" s="243" t="str">
        <f t="shared" si="15"/>
        <v/>
      </c>
      <c r="C431" s="273" t="str">
        <f t="shared" si="16"/>
        <v/>
      </c>
      <c r="D431" s="246"/>
      <c r="E431" s="284"/>
      <c r="F431" s="284"/>
      <c r="G431" s="248"/>
      <c r="H431" s="241"/>
      <c r="I431" s="285"/>
      <c r="J431" s="286"/>
      <c r="K431" s="287"/>
      <c r="L431" s="288"/>
      <c r="M431" s="289"/>
      <c r="N431" s="290"/>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row>
    <row r="432" spans="1:36" s="22" customFormat="1" x14ac:dyDescent="0.25">
      <c r="A432" s="28" t="str">
        <f>IF(H432&lt;&gt;"",MAX($A$7:A431)+1,"")</f>
        <v/>
      </c>
      <c r="B432" s="243" t="str">
        <f t="shared" si="15"/>
        <v/>
      </c>
      <c r="C432" s="273" t="str">
        <f t="shared" si="16"/>
        <v/>
      </c>
      <c r="D432" s="246"/>
      <c r="E432" s="284"/>
      <c r="F432" s="284"/>
      <c r="G432" s="248"/>
      <c r="H432" s="241"/>
      <c r="I432" s="285"/>
      <c r="J432" s="286"/>
      <c r="K432" s="287"/>
      <c r="L432" s="288"/>
      <c r="M432" s="289"/>
      <c r="N432" s="290"/>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row>
    <row r="433" spans="1:36" s="22" customFormat="1" x14ac:dyDescent="0.25">
      <c r="A433" s="28" t="str">
        <f>IF(H433&lt;&gt;"",MAX($A$7:A432)+1,"")</f>
        <v/>
      </c>
      <c r="B433" s="243" t="str">
        <f t="shared" si="15"/>
        <v/>
      </c>
      <c r="C433" s="273" t="str">
        <f t="shared" si="16"/>
        <v/>
      </c>
      <c r="D433" s="246"/>
      <c r="E433" s="284"/>
      <c r="F433" s="284"/>
      <c r="G433" s="248"/>
      <c r="H433" s="241"/>
      <c r="I433" s="285"/>
      <c r="J433" s="286"/>
      <c r="K433" s="287"/>
      <c r="L433" s="288"/>
      <c r="M433" s="289"/>
      <c r="N433" s="290"/>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row>
    <row r="434" spans="1:36" s="22" customFormat="1" x14ac:dyDescent="0.25">
      <c r="A434" s="28" t="str">
        <f>IF(H434&lt;&gt;"",MAX($A$7:A433)+1,"")</f>
        <v/>
      </c>
      <c r="B434" s="243" t="str">
        <f t="shared" si="15"/>
        <v/>
      </c>
      <c r="C434" s="273" t="str">
        <f t="shared" si="16"/>
        <v/>
      </c>
      <c r="D434" s="246"/>
      <c r="E434" s="284"/>
      <c r="F434" s="284"/>
      <c r="G434" s="248"/>
      <c r="H434" s="241"/>
      <c r="I434" s="285"/>
      <c r="J434" s="286"/>
      <c r="K434" s="287"/>
      <c r="L434" s="288"/>
      <c r="M434" s="289"/>
      <c r="N434" s="290"/>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row>
    <row r="435" spans="1:36" s="22" customFormat="1" x14ac:dyDescent="0.25">
      <c r="A435" s="28" t="str">
        <f>IF(H435&lt;&gt;"",MAX($A$7:A434)+1,"")</f>
        <v/>
      </c>
      <c r="B435" s="243" t="str">
        <f t="shared" si="15"/>
        <v/>
      </c>
      <c r="C435" s="273" t="str">
        <f t="shared" si="16"/>
        <v/>
      </c>
      <c r="D435" s="246"/>
      <c r="E435" s="284"/>
      <c r="F435" s="284"/>
      <c r="G435" s="248"/>
      <c r="H435" s="241"/>
      <c r="I435" s="285"/>
      <c r="J435" s="286"/>
      <c r="K435" s="287"/>
      <c r="L435" s="288"/>
      <c r="M435" s="289"/>
      <c r="N435" s="290"/>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row>
    <row r="436" spans="1:36" s="22" customFormat="1" x14ac:dyDescent="0.25">
      <c r="A436" s="28" t="str">
        <f>IF(H436&lt;&gt;"",MAX($A$7:A435)+1,"")</f>
        <v/>
      </c>
      <c r="B436" s="243" t="str">
        <f t="shared" si="15"/>
        <v/>
      </c>
      <c r="C436" s="273" t="str">
        <f t="shared" si="16"/>
        <v/>
      </c>
      <c r="D436" s="246"/>
      <c r="E436" s="284"/>
      <c r="F436" s="284"/>
      <c r="G436" s="248"/>
      <c r="H436" s="241"/>
      <c r="I436" s="285"/>
      <c r="J436" s="286"/>
      <c r="K436" s="287"/>
      <c r="L436" s="288"/>
      <c r="M436" s="289"/>
      <c r="N436" s="290"/>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row>
    <row r="437" spans="1:36" s="22" customFormat="1" x14ac:dyDescent="0.25">
      <c r="A437" s="28" t="str">
        <f>IF(H437&lt;&gt;"",MAX($A$7:A436)+1,"")</f>
        <v/>
      </c>
      <c r="B437" s="243" t="str">
        <f t="shared" si="15"/>
        <v/>
      </c>
      <c r="C437" s="273" t="str">
        <f t="shared" si="16"/>
        <v/>
      </c>
      <c r="D437" s="246"/>
      <c r="E437" s="284"/>
      <c r="F437" s="284"/>
      <c r="G437" s="248"/>
      <c r="H437" s="241"/>
      <c r="I437" s="285"/>
      <c r="J437" s="286"/>
      <c r="K437" s="287"/>
      <c r="L437" s="288"/>
      <c r="M437" s="289"/>
      <c r="N437" s="290"/>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row>
    <row r="438" spans="1:36" s="22" customFormat="1" x14ac:dyDescent="0.25">
      <c r="A438" s="28" t="str">
        <f>IF(H438&lt;&gt;"",MAX($A$7:A437)+1,"")</f>
        <v/>
      </c>
      <c r="B438" s="243" t="str">
        <f t="shared" si="15"/>
        <v/>
      </c>
      <c r="C438" s="273" t="str">
        <f t="shared" si="16"/>
        <v/>
      </c>
      <c r="D438" s="246"/>
      <c r="E438" s="284"/>
      <c r="F438" s="284"/>
      <c r="G438" s="248"/>
      <c r="H438" s="241"/>
      <c r="I438" s="285"/>
      <c r="J438" s="286"/>
      <c r="K438" s="287"/>
      <c r="L438" s="288"/>
      <c r="M438" s="289"/>
      <c r="N438" s="290"/>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row>
    <row r="439" spans="1:36" s="22" customFormat="1" x14ac:dyDescent="0.25">
      <c r="A439" s="28" t="str">
        <f>IF(H439&lt;&gt;"",MAX($A$7:A438)+1,"")</f>
        <v/>
      </c>
      <c r="B439" s="243" t="str">
        <f t="shared" si="15"/>
        <v/>
      </c>
      <c r="C439" s="273" t="str">
        <f t="shared" si="16"/>
        <v/>
      </c>
      <c r="D439" s="246"/>
      <c r="E439" s="284"/>
      <c r="F439" s="284"/>
      <c r="G439" s="248"/>
      <c r="H439" s="241"/>
      <c r="I439" s="285"/>
      <c r="J439" s="286"/>
      <c r="K439" s="287"/>
      <c r="L439" s="288"/>
      <c r="M439" s="289"/>
      <c r="N439" s="290"/>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row>
    <row r="440" spans="1:36" s="22" customFormat="1" x14ac:dyDescent="0.25">
      <c r="A440" s="28" t="str">
        <f>IF(H440&lt;&gt;"",MAX($A$7:A439)+1,"")</f>
        <v/>
      </c>
      <c r="B440" s="243" t="str">
        <f t="shared" si="15"/>
        <v/>
      </c>
      <c r="C440" s="273" t="str">
        <f t="shared" si="16"/>
        <v/>
      </c>
      <c r="D440" s="246"/>
      <c r="E440" s="284"/>
      <c r="F440" s="284"/>
      <c r="G440" s="248"/>
      <c r="H440" s="241"/>
      <c r="I440" s="285"/>
      <c r="J440" s="286"/>
      <c r="K440" s="287"/>
      <c r="L440" s="288"/>
      <c r="M440" s="289"/>
      <c r="N440" s="290"/>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row>
    <row r="441" spans="1:36" s="22" customFormat="1" x14ac:dyDescent="0.25">
      <c r="A441" s="28" t="str">
        <f>IF(H441&lt;&gt;"",MAX($A$7:A440)+1,"")</f>
        <v/>
      </c>
      <c r="B441" s="243" t="str">
        <f t="shared" si="15"/>
        <v/>
      </c>
      <c r="C441" s="273" t="str">
        <f t="shared" si="16"/>
        <v/>
      </c>
      <c r="D441" s="246"/>
      <c r="E441" s="284"/>
      <c r="F441" s="284"/>
      <c r="G441" s="248"/>
      <c r="H441" s="241"/>
      <c r="I441" s="285"/>
      <c r="J441" s="286"/>
      <c r="K441" s="287"/>
      <c r="L441" s="288"/>
      <c r="M441" s="289"/>
      <c r="N441" s="290"/>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row>
    <row r="442" spans="1:36" s="22" customFormat="1" x14ac:dyDescent="0.25">
      <c r="A442" s="28" t="str">
        <f>IF(H442&lt;&gt;"",MAX($A$7:A441)+1,"")</f>
        <v/>
      </c>
      <c r="B442" s="243" t="str">
        <f t="shared" si="15"/>
        <v/>
      </c>
      <c r="C442" s="273" t="str">
        <f t="shared" si="16"/>
        <v/>
      </c>
      <c r="D442" s="246"/>
      <c r="E442" s="284"/>
      <c r="F442" s="284"/>
      <c r="G442" s="248"/>
      <c r="H442" s="241"/>
      <c r="I442" s="285"/>
      <c r="J442" s="286"/>
      <c r="K442" s="287"/>
      <c r="L442" s="288"/>
      <c r="M442" s="289"/>
      <c r="N442" s="290"/>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row>
    <row r="443" spans="1:36" s="22" customFormat="1" x14ac:dyDescent="0.25">
      <c r="A443" s="28" t="str">
        <f>IF(H443&lt;&gt;"",MAX($A$7:A442)+1,"")</f>
        <v/>
      </c>
      <c r="B443" s="243" t="str">
        <f t="shared" si="15"/>
        <v/>
      </c>
      <c r="C443" s="273" t="str">
        <f t="shared" si="16"/>
        <v/>
      </c>
      <c r="D443" s="246"/>
      <c r="E443" s="284"/>
      <c r="F443" s="284"/>
      <c r="G443" s="248"/>
      <c r="H443" s="241"/>
      <c r="I443" s="285"/>
      <c r="J443" s="286"/>
      <c r="K443" s="287"/>
      <c r="L443" s="288"/>
      <c r="M443" s="289"/>
      <c r="N443" s="290"/>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row>
    <row r="444" spans="1:36" s="22" customFormat="1" x14ac:dyDescent="0.25">
      <c r="A444" s="28" t="str">
        <f>IF(H444&lt;&gt;"",MAX($A$7:A443)+1,"")</f>
        <v/>
      </c>
      <c r="B444" s="243" t="str">
        <f t="shared" si="15"/>
        <v/>
      </c>
      <c r="C444" s="273" t="str">
        <f t="shared" si="16"/>
        <v/>
      </c>
      <c r="D444" s="246"/>
      <c r="E444" s="284"/>
      <c r="F444" s="284"/>
      <c r="G444" s="248"/>
      <c r="H444" s="241"/>
      <c r="I444" s="285"/>
      <c r="J444" s="286"/>
      <c r="K444" s="287"/>
      <c r="L444" s="288"/>
      <c r="M444" s="289"/>
      <c r="N444" s="290"/>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row>
    <row r="445" spans="1:36" s="22" customFormat="1" x14ac:dyDescent="0.25">
      <c r="A445" s="28" t="str">
        <f>IF(H445&lt;&gt;"",MAX($A$7:A444)+1,"")</f>
        <v/>
      </c>
      <c r="B445" s="243" t="str">
        <f t="shared" si="15"/>
        <v/>
      </c>
      <c r="C445" s="273" t="str">
        <f t="shared" si="16"/>
        <v/>
      </c>
      <c r="D445" s="246"/>
      <c r="E445" s="284"/>
      <c r="F445" s="284"/>
      <c r="G445" s="248"/>
      <c r="H445" s="241"/>
      <c r="I445" s="285"/>
      <c r="J445" s="286"/>
      <c r="K445" s="287"/>
      <c r="L445" s="288"/>
      <c r="M445" s="289"/>
      <c r="N445" s="290"/>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row>
    <row r="446" spans="1:36" s="22" customFormat="1" x14ac:dyDescent="0.25">
      <c r="A446" s="28" t="str">
        <f>IF(H446&lt;&gt;"",MAX($A$7:A445)+1,"")</f>
        <v/>
      </c>
      <c r="B446" s="243" t="str">
        <f t="shared" si="15"/>
        <v/>
      </c>
      <c r="C446" s="273" t="str">
        <f t="shared" si="16"/>
        <v/>
      </c>
      <c r="D446" s="246"/>
      <c r="E446" s="284"/>
      <c r="F446" s="284"/>
      <c r="G446" s="248"/>
      <c r="H446" s="241"/>
      <c r="I446" s="285"/>
      <c r="J446" s="286"/>
      <c r="K446" s="287"/>
      <c r="L446" s="288"/>
      <c r="M446" s="289"/>
      <c r="N446" s="290"/>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row>
    <row r="447" spans="1:36" s="22" customFormat="1" x14ac:dyDescent="0.25">
      <c r="A447" s="28" t="str">
        <f>IF(H447&lt;&gt;"",MAX($A$7:A446)+1,"")</f>
        <v/>
      </c>
      <c r="B447" s="243" t="str">
        <f t="shared" si="15"/>
        <v/>
      </c>
      <c r="C447" s="273" t="str">
        <f t="shared" si="16"/>
        <v/>
      </c>
      <c r="D447" s="246"/>
      <c r="E447" s="284"/>
      <c r="F447" s="284"/>
      <c r="G447" s="248"/>
      <c r="H447" s="241"/>
      <c r="I447" s="285"/>
      <c r="J447" s="286"/>
      <c r="K447" s="287"/>
      <c r="L447" s="288"/>
      <c r="M447" s="289"/>
      <c r="N447" s="290"/>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row>
    <row r="448" spans="1:36" s="22" customFormat="1" x14ac:dyDescent="0.25">
      <c r="A448" s="28" t="str">
        <f>IF(H448&lt;&gt;"",MAX($A$7:A447)+1,"")</f>
        <v/>
      </c>
      <c r="B448" s="243" t="str">
        <f t="shared" si="15"/>
        <v/>
      </c>
      <c r="C448" s="273" t="str">
        <f t="shared" si="16"/>
        <v/>
      </c>
      <c r="D448" s="246"/>
      <c r="E448" s="284"/>
      <c r="F448" s="284"/>
      <c r="G448" s="248"/>
      <c r="H448" s="241"/>
      <c r="I448" s="285"/>
      <c r="J448" s="286"/>
      <c r="K448" s="287"/>
      <c r="L448" s="288"/>
      <c r="M448" s="289"/>
      <c r="N448" s="290"/>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row>
    <row r="449" spans="1:36" s="22" customFormat="1" x14ac:dyDescent="0.25">
      <c r="A449" s="28" t="str">
        <f>IF(H449&lt;&gt;"",MAX($A$7:A448)+1,"")</f>
        <v/>
      </c>
      <c r="B449" s="243" t="str">
        <f t="shared" si="15"/>
        <v/>
      </c>
      <c r="C449" s="273" t="str">
        <f t="shared" si="16"/>
        <v/>
      </c>
      <c r="D449" s="246"/>
      <c r="E449" s="284"/>
      <c r="F449" s="284"/>
      <c r="G449" s="248"/>
      <c r="H449" s="241"/>
      <c r="I449" s="285"/>
      <c r="J449" s="286"/>
      <c r="K449" s="287"/>
      <c r="L449" s="288"/>
      <c r="M449" s="289"/>
      <c r="N449" s="290"/>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row>
    <row r="450" spans="1:36" s="22" customFormat="1" x14ac:dyDescent="0.25">
      <c r="A450" s="28" t="str">
        <f>IF(H450&lt;&gt;"",MAX($A$7:A449)+1,"")</f>
        <v/>
      </c>
      <c r="B450" s="243" t="str">
        <f t="shared" si="15"/>
        <v/>
      </c>
      <c r="C450" s="273" t="str">
        <f t="shared" si="16"/>
        <v/>
      </c>
      <c r="D450" s="246"/>
      <c r="E450" s="284"/>
      <c r="F450" s="284"/>
      <c r="G450" s="248"/>
      <c r="H450" s="241"/>
      <c r="I450" s="285"/>
      <c r="J450" s="286"/>
      <c r="K450" s="287"/>
      <c r="L450" s="288"/>
      <c r="M450" s="289"/>
      <c r="N450" s="290"/>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row>
    <row r="451" spans="1:36" s="22" customFormat="1" x14ac:dyDescent="0.25">
      <c r="A451" s="28" t="str">
        <f>IF(H451&lt;&gt;"",MAX($A$7:A450)+1,"")</f>
        <v/>
      </c>
      <c r="B451" s="243" t="str">
        <f t="shared" si="15"/>
        <v/>
      </c>
      <c r="C451" s="273" t="str">
        <f t="shared" si="16"/>
        <v/>
      </c>
      <c r="D451" s="246"/>
      <c r="E451" s="284"/>
      <c r="F451" s="284"/>
      <c r="G451" s="248"/>
      <c r="H451" s="241"/>
      <c r="I451" s="285"/>
      <c r="J451" s="286"/>
      <c r="K451" s="287"/>
      <c r="L451" s="288"/>
      <c r="M451" s="289"/>
      <c r="N451" s="290"/>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row>
    <row r="452" spans="1:36" s="22" customFormat="1" x14ac:dyDescent="0.25">
      <c r="A452" s="28" t="str">
        <f>IF(H452&lt;&gt;"",MAX($A$7:A451)+1,"")</f>
        <v/>
      </c>
      <c r="B452" s="243" t="str">
        <f t="shared" si="15"/>
        <v/>
      </c>
      <c r="C452" s="273" t="str">
        <f t="shared" si="16"/>
        <v/>
      </c>
      <c r="D452" s="246"/>
      <c r="E452" s="284"/>
      <c r="F452" s="284"/>
      <c r="G452" s="248"/>
      <c r="H452" s="241"/>
      <c r="I452" s="285"/>
      <c r="J452" s="286"/>
      <c r="K452" s="287"/>
      <c r="L452" s="288"/>
      <c r="M452" s="289"/>
      <c r="N452" s="290"/>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row>
    <row r="453" spans="1:36" s="22" customFormat="1" x14ac:dyDescent="0.25">
      <c r="A453" s="28" t="str">
        <f>IF(H453&lt;&gt;"",MAX($A$7:A452)+1,"")</f>
        <v/>
      </c>
      <c r="B453" s="243" t="str">
        <f t="shared" si="15"/>
        <v/>
      </c>
      <c r="C453" s="273" t="str">
        <f t="shared" si="16"/>
        <v/>
      </c>
      <c r="D453" s="246"/>
      <c r="E453" s="284"/>
      <c r="F453" s="284"/>
      <c r="G453" s="248"/>
      <c r="H453" s="241"/>
      <c r="I453" s="285"/>
      <c r="J453" s="286"/>
      <c r="K453" s="287"/>
      <c r="L453" s="288"/>
      <c r="M453" s="289"/>
      <c r="N453" s="290"/>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row>
    <row r="454" spans="1:36" s="22" customFormat="1" x14ac:dyDescent="0.25">
      <c r="A454" s="28" t="str">
        <f>IF(H454&lt;&gt;"",MAX($A$7:A453)+1,"")</f>
        <v/>
      </c>
      <c r="B454" s="243" t="str">
        <f t="shared" si="15"/>
        <v/>
      </c>
      <c r="C454" s="273" t="str">
        <f t="shared" si="16"/>
        <v/>
      </c>
      <c r="D454" s="246"/>
      <c r="E454" s="284"/>
      <c r="F454" s="284"/>
      <c r="G454" s="248"/>
      <c r="H454" s="241"/>
      <c r="I454" s="285"/>
      <c r="J454" s="286"/>
      <c r="K454" s="287"/>
      <c r="L454" s="288"/>
      <c r="M454" s="289"/>
      <c r="N454" s="290"/>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row>
    <row r="455" spans="1:36" s="22" customFormat="1" x14ac:dyDescent="0.25">
      <c r="A455" s="28" t="str">
        <f>IF(H455&lt;&gt;"",MAX($A$7:A454)+1,"")</f>
        <v/>
      </c>
      <c r="B455" s="243" t="str">
        <f t="shared" ref="B455:B518" si="17">IF(A455="","",PREF_PREGUNTA&amp;" - "&amp;IF(MAX(A:A)&gt;99,IF(A455&lt;100,"0",""),"")&amp;IF(A455&lt;10,"0","")&amp;A455&amp;IF(G455&lt;&gt;""," "&amp;G455,""))</f>
        <v/>
      </c>
      <c r="C455" s="273" t="str">
        <f t="shared" ref="C455:C508" si="18">IF(COUNTA(I455:N455)-D455=0,"",COUNTA(I455:N455)-D455)</f>
        <v/>
      </c>
      <c r="D455" s="246"/>
      <c r="E455" s="284"/>
      <c r="F455" s="284"/>
      <c r="G455" s="248"/>
      <c r="H455" s="241"/>
      <c r="I455" s="285"/>
      <c r="J455" s="286"/>
      <c r="K455" s="287"/>
      <c r="L455" s="288"/>
      <c r="M455" s="289"/>
      <c r="N455" s="290"/>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row>
    <row r="456" spans="1:36" s="22" customFormat="1" x14ac:dyDescent="0.25">
      <c r="A456" s="28" t="str">
        <f>IF(H456&lt;&gt;"",MAX($A$7:A455)+1,"")</f>
        <v/>
      </c>
      <c r="B456" s="243" t="str">
        <f t="shared" si="17"/>
        <v/>
      </c>
      <c r="C456" s="273" t="str">
        <f t="shared" si="18"/>
        <v/>
      </c>
      <c r="D456" s="246"/>
      <c r="E456" s="284"/>
      <c r="F456" s="284"/>
      <c r="G456" s="248"/>
      <c r="H456" s="241"/>
      <c r="I456" s="285"/>
      <c r="J456" s="286"/>
      <c r="K456" s="287"/>
      <c r="L456" s="288"/>
      <c r="M456" s="289"/>
      <c r="N456" s="290"/>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row>
    <row r="457" spans="1:36" s="22" customFormat="1" x14ac:dyDescent="0.25">
      <c r="A457" s="28" t="str">
        <f>IF(H457&lt;&gt;"",MAX($A$7:A456)+1,"")</f>
        <v/>
      </c>
      <c r="B457" s="243" t="str">
        <f t="shared" si="17"/>
        <v/>
      </c>
      <c r="C457" s="273" t="str">
        <f t="shared" si="18"/>
        <v/>
      </c>
      <c r="D457" s="246"/>
      <c r="E457" s="284"/>
      <c r="F457" s="284"/>
      <c r="G457" s="248"/>
      <c r="H457" s="241"/>
      <c r="I457" s="285"/>
      <c r="J457" s="286"/>
      <c r="K457" s="287"/>
      <c r="L457" s="288"/>
      <c r="M457" s="289"/>
      <c r="N457" s="290"/>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row>
    <row r="458" spans="1:36" s="22" customFormat="1" x14ac:dyDescent="0.25">
      <c r="A458" s="28" t="str">
        <f>IF(H458&lt;&gt;"",MAX($A$7:A457)+1,"")</f>
        <v/>
      </c>
      <c r="B458" s="243" t="str">
        <f t="shared" si="17"/>
        <v/>
      </c>
      <c r="C458" s="273" t="str">
        <f t="shared" si="18"/>
        <v/>
      </c>
      <c r="D458" s="246"/>
      <c r="E458" s="284"/>
      <c r="F458" s="284"/>
      <c r="G458" s="248"/>
      <c r="H458" s="241"/>
      <c r="I458" s="285"/>
      <c r="J458" s="286"/>
      <c r="K458" s="287"/>
      <c r="L458" s="288"/>
      <c r="M458" s="289"/>
      <c r="N458" s="290"/>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row>
    <row r="459" spans="1:36" s="22" customFormat="1" x14ac:dyDescent="0.25">
      <c r="A459" s="28" t="str">
        <f>IF(H459&lt;&gt;"",MAX($A$7:A458)+1,"")</f>
        <v/>
      </c>
      <c r="B459" s="243" t="str">
        <f t="shared" si="17"/>
        <v/>
      </c>
      <c r="C459" s="273" t="str">
        <f t="shared" si="18"/>
        <v/>
      </c>
      <c r="D459" s="246"/>
      <c r="E459" s="284"/>
      <c r="F459" s="284"/>
      <c r="G459" s="248"/>
      <c r="H459" s="241"/>
      <c r="I459" s="285"/>
      <c r="J459" s="286"/>
      <c r="K459" s="287"/>
      <c r="L459" s="288"/>
      <c r="M459" s="289"/>
      <c r="N459" s="290"/>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row>
    <row r="460" spans="1:36" s="22" customFormat="1" x14ac:dyDescent="0.25">
      <c r="A460" s="28" t="str">
        <f>IF(H460&lt;&gt;"",MAX($A$7:A459)+1,"")</f>
        <v/>
      </c>
      <c r="B460" s="243" t="str">
        <f t="shared" si="17"/>
        <v/>
      </c>
      <c r="C460" s="273" t="str">
        <f t="shared" si="18"/>
        <v/>
      </c>
      <c r="D460" s="246"/>
      <c r="E460" s="284"/>
      <c r="F460" s="284"/>
      <c r="G460" s="248"/>
      <c r="H460" s="241"/>
      <c r="I460" s="285"/>
      <c r="J460" s="286"/>
      <c r="K460" s="287"/>
      <c r="L460" s="288"/>
      <c r="M460" s="289"/>
      <c r="N460" s="290"/>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row>
    <row r="461" spans="1:36" s="22" customFormat="1" x14ac:dyDescent="0.25">
      <c r="A461" s="28" t="str">
        <f>IF(H461&lt;&gt;"",MAX($A$7:A460)+1,"")</f>
        <v/>
      </c>
      <c r="B461" s="243" t="str">
        <f t="shared" si="17"/>
        <v/>
      </c>
      <c r="C461" s="273" t="str">
        <f t="shared" si="18"/>
        <v/>
      </c>
      <c r="D461" s="246"/>
      <c r="E461" s="284"/>
      <c r="F461" s="284"/>
      <c r="G461" s="248"/>
      <c r="H461" s="241"/>
      <c r="I461" s="285"/>
      <c r="J461" s="286"/>
      <c r="K461" s="287"/>
      <c r="L461" s="288"/>
      <c r="M461" s="289"/>
      <c r="N461" s="290"/>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row>
    <row r="462" spans="1:36" s="22" customFormat="1" x14ac:dyDescent="0.25">
      <c r="A462" s="28" t="str">
        <f>IF(H462&lt;&gt;"",MAX($A$7:A461)+1,"")</f>
        <v/>
      </c>
      <c r="B462" s="243" t="str">
        <f t="shared" si="17"/>
        <v/>
      </c>
      <c r="C462" s="273" t="str">
        <f t="shared" si="18"/>
        <v/>
      </c>
      <c r="D462" s="246"/>
      <c r="E462" s="284"/>
      <c r="F462" s="284"/>
      <c r="G462" s="248"/>
      <c r="H462" s="241"/>
      <c r="I462" s="285"/>
      <c r="J462" s="286"/>
      <c r="K462" s="287"/>
      <c r="L462" s="288"/>
      <c r="M462" s="289"/>
      <c r="N462" s="290"/>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row>
    <row r="463" spans="1:36" s="22" customFormat="1" x14ac:dyDescent="0.25">
      <c r="A463" s="28" t="str">
        <f>IF(H463&lt;&gt;"",MAX($A$7:A462)+1,"")</f>
        <v/>
      </c>
      <c r="B463" s="243" t="str">
        <f t="shared" si="17"/>
        <v/>
      </c>
      <c r="C463" s="273" t="str">
        <f t="shared" si="18"/>
        <v/>
      </c>
      <c r="D463" s="246"/>
      <c r="E463" s="284"/>
      <c r="F463" s="284"/>
      <c r="G463" s="248"/>
      <c r="H463" s="241"/>
      <c r="I463" s="285"/>
      <c r="J463" s="286"/>
      <c r="K463" s="287"/>
      <c r="L463" s="288"/>
      <c r="M463" s="289"/>
      <c r="N463" s="290"/>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row>
    <row r="464" spans="1:36" s="22" customFormat="1" x14ac:dyDescent="0.25">
      <c r="A464" s="28" t="str">
        <f>IF(H464&lt;&gt;"",MAX($A$7:A463)+1,"")</f>
        <v/>
      </c>
      <c r="B464" s="243" t="str">
        <f t="shared" si="17"/>
        <v/>
      </c>
      <c r="C464" s="273" t="str">
        <f t="shared" si="18"/>
        <v/>
      </c>
      <c r="D464" s="246"/>
      <c r="E464" s="284"/>
      <c r="F464" s="284"/>
      <c r="G464" s="248"/>
      <c r="H464" s="241"/>
      <c r="I464" s="285"/>
      <c r="J464" s="286"/>
      <c r="K464" s="287"/>
      <c r="L464" s="288"/>
      <c r="M464" s="289"/>
      <c r="N464" s="290"/>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row>
    <row r="465" spans="1:36" s="22" customFormat="1" x14ac:dyDescent="0.25">
      <c r="A465" s="28" t="str">
        <f>IF(H465&lt;&gt;"",MAX($A$7:A464)+1,"")</f>
        <v/>
      </c>
      <c r="B465" s="243" t="str">
        <f t="shared" si="17"/>
        <v/>
      </c>
      <c r="C465" s="273" t="str">
        <f t="shared" si="18"/>
        <v/>
      </c>
      <c r="D465" s="246"/>
      <c r="E465" s="284"/>
      <c r="F465" s="284"/>
      <c r="G465" s="248"/>
      <c r="H465" s="241"/>
      <c r="I465" s="285"/>
      <c r="J465" s="286"/>
      <c r="K465" s="287"/>
      <c r="L465" s="288"/>
      <c r="M465" s="289"/>
      <c r="N465" s="290"/>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row>
    <row r="466" spans="1:36" s="22" customFormat="1" x14ac:dyDescent="0.25">
      <c r="A466" s="28" t="str">
        <f>IF(H466&lt;&gt;"",MAX($A$7:A465)+1,"")</f>
        <v/>
      </c>
      <c r="B466" s="243" t="str">
        <f t="shared" si="17"/>
        <v/>
      </c>
      <c r="C466" s="273" t="str">
        <f t="shared" si="18"/>
        <v/>
      </c>
      <c r="D466" s="246"/>
      <c r="E466" s="284"/>
      <c r="F466" s="284"/>
      <c r="G466" s="248"/>
      <c r="H466" s="241"/>
      <c r="I466" s="285"/>
      <c r="J466" s="286"/>
      <c r="K466" s="287"/>
      <c r="L466" s="288"/>
      <c r="M466" s="289"/>
      <c r="N466" s="290"/>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row>
    <row r="467" spans="1:36" s="22" customFormat="1" x14ac:dyDescent="0.25">
      <c r="A467" s="28" t="str">
        <f>IF(H467&lt;&gt;"",MAX($A$7:A466)+1,"")</f>
        <v/>
      </c>
      <c r="B467" s="243" t="str">
        <f t="shared" si="17"/>
        <v/>
      </c>
      <c r="C467" s="273" t="str">
        <f t="shared" si="18"/>
        <v/>
      </c>
      <c r="D467" s="246"/>
      <c r="E467" s="284"/>
      <c r="F467" s="284"/>
      <c r="G467" s="248"/>
      <c r="H467" s="241"/>
      <c r="I467" s="285"/>
      <c r="J467" s="286"/>
      <c r="K467" s="287"/>
      <c r="L467" s="288"/>
      <c r="M467" s="289"/>
      <c r="N467" s="290"/>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row>
    <row r="468" spans="1:36" s="22" customFormat="1" x14ac:dyDescent="0.25">
      <c r="A468" s="28" t="str">
        <f>IF(H468&lt;&gt;"",MAX($A$7:A467)+1,"")</f>
        <v/>
      </c>
      <c r="B468" s="243" t="str">
        <f t="shared" si="17"/>
        <v/>
      </c>
      <c r="C468" s="273" t="str">
        <f t="shared" si="18"/>
        <v/>
      </c>
      <c r="D468" s="246"/>
      <c r="E468" s="284"/>
      <c r="F468" s="284"/>
      <c r="G468" s="248"/>
      <c r="H468" s="241"/>
      <c r="I468" s="285"/>
      <c r="J468" s="286"/>
      <c r="K468" s="287"/>
      <c r="L468" s="288"/>
      <c r="M468" s="289"/>
      <c r="N468" s="290"/>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row>
    <row r="469" spans="1:36" s="22" customFormat="1" x14ac:dyDescent="0.25">
      <c r="A469" s="28" t="str">
        <f>IF(H469&lt;&gt;"",MAX($A$7:A468)+1,"")</f>
        <v/>
      </c>
      <c r="B469" s="243" t="str">
        <f t="shared" si="17"/>
        <v/>
      </c>
      <c r="C469" s="273" t="str">
        <f t="shared" si="18"/>
        <v/>
      </c>
      <c r="D469" s="246"/>
      <c r="E469" s="284"/>
      <c r="F469" s="284"/>
      <c r="G469" s="248"/>
      <c r="H469" s="241"/>
      <c r="I469" s="285"/>
      <c r="J469" s="286"/>
      <c r="K469" s="287"/>
      <c r="L469" s="288"/>
      <c r="M469" s="289"/>
      <c r="N469" s="290"/>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row>
    <row r="470" spans="1:36" s="22" customFormat="1" x14ac:dyDescent="0.25">
      <c r="A470" s="28" t="str">
        <f>IF(H470&lt;&gt;"",MAX($A$7:A469)+1,"")</f>
        <v/>
      </c>
      <c r="B470" s="243" t="str">
        <f t="shared" si="17"/>
        <v/>
      </c>
      <c r="C470" s="273" t="str">
        <f t="shared" si="18"/>
        <v/>
      </c>
      <c r="D470" s="246"/>
      <c r="E470" s="284"/>
      <c r="F470" s="284"/>
      <c r="G470" s="248"/>
      <c r="H470" s="241"/>
      <c r="I470" s="285"/>
      <c r="J470" s="286"/>
      <c r="K470" s="287"/>
      <c r="L470" s="288"/>
      <c r="M470" s="289"/>
      <c r="N470" s="290"/>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row>
    <row r="471" spans="1:36" s="22" customFormat="1" x14ac:dyDescent="0.25">
      <c r="A471" s="28" t="str">
        <f>IF(H471&lt;&gt;"",MAX($A$7:A470)+1,"")</f>
        <v/>
      </c>
      <c r="B471" s="243" t="str">
        <f t="shared" si="17"/>
        <v/>
      </c>
      <c r="C471" s="273" t="str">
        <f t="shared" si="18"/>
        <v/>
      </c>
      <c r="D471" s="246"/>
      <c r="E471" s="284"/>
      <c r="F471" s="284"/>
      <c r="G471" s="248"/>
      <c r="H471" s="241"/>
      <c r="I471" s="285"/>
      <c r="J471" s="286"/>
      <c r="K471" s="287"/>
      <c r="L471" s="288"/>
      <c r="M471" s="289"/>
      <c r="N471" s="290"/>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row>
    <row r="472" spans="1:36" s="22" customFormat="1" x14ac:dyDescent="0.25">
      <c r="A472" s="28" t="str">
        <f>IF(H472&lt;&gt;"",MAX($A$7:A471)+1,"")</f>
        <v/>
      </c>
      <c r="B472" s="243" t="str">
        <f t="shared" si="17"/>
        <v/>
      </c>
      <c r="C472" s="273" t="str">
        <f t="shared" si="18"/>
        <v/>
      </c>
      <c r="D472" s="246"/>
      <c r="E472" s="284"/>
      <c r="F472" s="284"/>
      <c r="G472" s="248"/>
      <c r="H472" s="241"/>
      <c r="I472" s="285"/>
      <c r="J472" s="286"/>
      <c r="K472" s="287"/>
      <c r="L472" s="288"/>
      <c r="M472" s="289"/>
      <c r="N472" s="290"/>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row>
    <row r="473" spans="1:36" s="22" customFormat="1" x14ac:dyDescent="0.25">
      <c r="A473" s="28" t="str">
        <f>IF(H473&lt;&gt;"",MAX($A$7:A472)+1,"")</f>
        <v/>
      </c>
      <c r="B473" s="243" t="str">
        <f t="shared" si="17"/>
        <v/>
      </c>
      <c r="C473" s="273" t="str">
        <f t="shared" si="18"/>
        <v/>
      </c>
      <c r="D473" s="246"/>
      <c r="E473" s="284"/>
      <c r="F473" s="284"/>
      <c r="G473" s="248"/>
      <c r="H473" s="241"/>
      <c r="I473" s="285"/>
      <c r="J473" s="286"/>
      <c r="K473" s="287"/>
      <c r="L473" s="288"/>
      <c r="M473" s="289"/>
      <c r="N473" s="290"/>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row>
    <row r="474" spans="1:36" s="22" customFormat="1" x14ac:dyDescent="0.25">
      <c r="A474" s="28" t="str">
        <f>IF(H474&lt;&gt;"",MAX($A$7:A473)+1,"")</f>
        <v/>
      </c>
      <c r="B474" s="243" t="str">
        <f t="shared" si="17"/>
        <v/>
      </c>
      <c r="C474" s="273" t="str">
        <f t="shared" si="18"/>
        <v/>
      </c>
      <c r="D474" s="246"/>
      <c r="E474" s="284"/>
      <c r="F474" s="284"/>
      <c r="G474" s="248"/>
      <c r="H474" s="241"/>
      <c r="I474" s="285"/>
      <c r="J474" s="286"/>
      <c r="K474" s="287"/>
      <c r="L474" s="288"/>
      <c r="M474" s="289"/>
      <c r="N474" s="290"/>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row>
    <row r="475" spans="1:36" s="22" customFormat="1" x14ac:dyDescent="0.25">
      <c r="A475" s="28" t="str">
        <f>IF(H475&lt;&gt;"",MAX($A$7:A474)+1,"")</f>
        <v/>
      </c>
      <c r="B475" s="243" t="str">
        <f t="shared" si="17"/>
        <v/>
      </c>
      <c r="C475" s="273" t="str">
        <f t="shared" si="18"/>
        <v/>
      </c>
      <c r="D475" s="246"/>
      <c r="E475" s="284"/>
      <c r="F475" s="284"/>
      <c r="G475" s="248"/>
      <c r="H475" s="241"/>
      <c r="I475" s="285"/>
      <c r="J475" s="286"/>
      <c r="K475" s="287"/>
      <c r="L475" s="288"/>
      <c r="M475" s="289"/>
      <c r="N475" s="290"/>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row>
    <row r="476" spans="1:36" s="22" customFormat="1" x14ac:dyDescent="0.25">
      <c r="A476" s="28" t="str">
        <f>IF(H476&lt;&gt;"",MAX($A$7:A475)+1,"")</f>
        <v/>
      </c>
      <c r="B476" s="243" t="str">
        <f t="shared" si="17"/>
        <v/>
      </c>
      <c r="C476" s="273" t="str">
        <f t="shared" si="18"/>
        <v/>
      </c>
      <c r="D476" s="246"/>
      <c r="E476" s="284"/>
      <c r="F476" s="284"/>
      <c r="G476" s="248"/>
      <c r="H476" s="241"/>
      <c r="I476" s="285"/>
      <c r="J476" s="286"/>
      <c r="K476" s="287"/>
      <c r="L476" s="288"/>
      <c r="M476" s="289"/>
      <c r="N476" s="290"/>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row>
    <row r="477" spans="1:36" s="22" customFormat="1" x14ac:dyDescent="0.25">
      <c r="A477" s="28" t="str">
        <f>IF(H477&lt;&gt;"",MAX($A$7:A476)+1,"")</f>
        <v/>
      </c>
      <c r="B477" s="243" t="str">
        <f t="shared" si="17"/>
        <v/>
      </c>
      <c r="C477" s="273" t="str">
        <f t="shared" si="18"/>
        <v/>
      </c>
      <c r="D477" s="246"/>
      <c r="E477" s="284"/>
      <c r="F477" s="284"/>
      <c r="G477" s="248"/>
      <c r="H477" s="241"/>
      <c r="I477" s="285"/>
      <c r="J477" s="286"/>
      <c r="K477" s="287"/>
      <c r="L477" s="288"/>
      <c r="M477" s="289"/>
      <c r="N477" s="290"/>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row>
    <row r="478" spans="1:36" s="22" customFormat="1" x14ac:dyDescent="0.25">
      <c r="A478" s="28" t="str">
        <f>IF(H478&lt;&gt;"",MAX($A$7:A477)+1,"")</f>
        <v/>
      </c>
      <c r="B478" s="243" t="str">
        <f t="shared" si="17"/>
        <v/>
      </c>
      <c r="C478" s="273" t="str">
        <f t="shared" si="18"/>
        <v/>
      </c>
      <c r="D478" s="246"/>
      <c r="E478" s="284"/>
      <c r="F478" s="284"/>
      <c r="G478" s="248"/>
      <c r="H478" s="241"/>
      <c r="I478" s="285"/>
      <c r="J478" s="286"/>
      <c r="K478" s="287"/>
      <c r="L478" s="288"/>
      <c r="M478" s="289"/>
      <c r="N478" s="290"/>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row>
    <row r="479" spans="1:36" s="22" customFormat="1" x14ac:dyDescent="0.25">
      <c r="A479" s="28" t="str">
        <f>IF(H479&lt;&gt;"",MAX($A$7:A478)+1,"")</f>
        <v/>
      </c>
      <c r="B479" s="243" t="str">
        <f t="shared" si="17"/>
        <v/>
      </c>
      <c r="C479" s="273" t="str">
        <f t="shared" si="18"/>
        <v/>
      </c>
      <c r="D479" s="246"/>
      <c r="E479" s="284"/>
      <c r="F479" s="284"/>
      <c r="G479" s="248"/>
      <c r="H479" s="241"/>
      <c r="I479" s="285"/>
      <c r="J479" s="286"/>
      <c r="K479" s="287"/>
      <c r="L479" s="288"/>
      <c r="M479" s="289"/>
      <c r="N479" s="290"/>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row>
    <row r="480" spans="1:36" s="22" customFormat="1" x14ac:dyDescent="0.25">
      <c r="A480" s="28" t="str">
        <f>IF(H480&lt;&gt;"",MAX($A$7:A479)+1,"")</f>
        <v/>
      </c>
      <c r="B480" s="243" t="str">
        <f t="shared" si="17"/>
        <v/>
      </c>
      <c r="C480" s="273" t="str">
        <f t="shared" si="18"/>
        <v/>
      </c>
      <c r="D480" s="246"/>
      <c r="E480" s="284"/>
      <c r="F480" s="284"/>
      <c r="G480" s="248"/>
      <c r="H480" s="241"/>
      <c r="I480" s="285"/>
      <c r="J480" s="286"/>
      <c r="K480" s="287"/>
      <c r="L480" s="288"/>
      <c r="M480" s="289"/>
      <c r="N480" s="290"/>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row>
    <row r="481" spans="1:36" s="22" customFormat="1" x14ac:dyDescent="0.25">
      <c r="A481" s="28" t="str">
        <f>IF(H481&lt;&gt;"",MAX($A$7:A480)+1,"")</f>
        <v/>
      </c>
      <c r="B481" s="243" t="str">
        <f t="shared" si="17"/>
        <v/>
      </c>
      <c r="C481" s="273" t="str">
        <f t="shared" si="18"/>
        <v/>
      </c>
      <c r="D481" s="246"/>
      <c r="E481" s="284"/>
      <c r="F481" s="284"/>
      <c r="G481" s="248"/>
      <c r="H481" s="241"/>
      <c r="I481" s="285"/>
      <c r="J481" s="286"/>
      <c r="K481" s="287"/>
      <c r="L481" s="288"/>
      <c r="M481" s="289"/>
      <c r="N481" s="290"/>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row>
    <row r="482" spans="1:36" s="22" customFormat="1" x14ac:dyDescent="0.25">
      <c r="A482" s="28" t="str">
        <f>IF(H482&lt;&gt;"",MAX($A$7:A481)+1,"")</f>
        <v/>
      </c>
      <c r="B482" s="243" t="str">
        <f t="shared" si="17"/>
        <v/>
      </c>
      <c r="C482" s="273" t="str">
        <f t="shared" si="18"/>
        <v/>
      </c>
      <c r="D482" s="246"/>
      <c r="E482" s="284"/>
      <c r="F482" s="284"/>
      <c r="G482" s="248"/>
      <c r="H482" s="241"/>
      <c r="I482" s="285"/>
      <c r="J482" s="286"/>
      <c r="K482" s="287"/>
      <c r="L482" s="288"/>
      <c r="M482" s="289"/>
      <c r="N482" s="290"/>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row>
    <row r="483" spans="1:36" s="22" customFormat="1" x14ac:dyDescent="0.25">
      <c r="A483" s="28" t="str">
        <f>IF(H483&lt;&gt;"",MAX($A$7:A482)+1,"")</f>
        <v/>
      </c>
      <c r="B483" s="243" t="str">
        <f t="shared" si="17"/>
        <v/>
      </c>
      <c r="C483" s="273" t="str">
        <f t="shared" si="18"/>
        <v/>
      </c>
      <c r="D483" s="246"/>
      <c r="E483" s="284"/>
      <c r="F483" s="284"/>
      <c r="G483" s="248"/>
      <c r="H483" s="241"/>
      <c r="I483" s="285"/>
      <c r="J483" s="286"/>
      <c r="K483" s="287"/>
      <c r="L483" s="288"/>
      <c r="M483" s="289"/>
      <c r="N483" s="290"/>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row>
    <row r="484" spans="1:36" s="22" customFormat="1" x14ac:dyDescent="0.25">
      <c r="A484" s="28" t="str">
        <f>IF(H484&lt;&gt;"",MAX($A$7:A483)+1,"")</f>
        <v/>
      </c>
      <c r="B484" s="243" t="str">
        <f t="shared" si="17"/>
        <v/>
      </c>
      <c r="C484" s="273" t="str">
        <f t="shared" si="18"/>
        <v/>
      </c>
      <c r="D484" s="246"/>
      <c r="E484" s="284"/>
      <c r="F484" s="284"/>
      <c r="G484" s="248"/>
      <c r="H484" s="241"/>
      <c r="I484" s="285"/>
      <c r="J484" s="286"/>
      <c r="K484" s="287"/>
      <c r="L484" s="288"/>
      <c r="M484" s="289"/>
      <c r="N484" s="290"/>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row>
    <row r="485" spans="1:36" s="22" customFormat="1" x14ac:dyDescent="0.25">
      <c r="A485" s="28" t="str">
        <f>IF(H485&lt;&gt;"",MAX($A$7:A484)+1,"")</f>
        <v/>
      </c>
      <c r="B485" s="243" t="str">
        <f t="shared" si="17"/>
        <v/>
      </c>
      <c r="C485" s="273" t="str">
        <f t="shared" si="18"/>
        <v/>
      </c>
      <c r="D485" s="246"/>
      <c r="E485" s="284"/>
      <c r="F485" s="284"/>
      <c r="G485" s="248"/>
      <c r="H485" s="241"/>
      <c r="I485" s="285"/>
      <c r="J485" s="286"/>
      <c r="K485" s="287"/>
      <c r="L485" s="288"/>
      <c r="M485" s="289"/>
      <c r="N485" s="290"/>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row>
    <row r="486" spans="1:36" s="22" customFormat="1" x14ac:dyDescent="0.25">
      <c r="A486" s="28" t="str">
        <f>IF(H486&lt;&gt;"",MAX($A$7:A485)+1,"")</f>
        <v/>
      </c>
      <c r="B486" s="243" t="str">
        <f t="shared" si="17"/>
        <v/>
      </c>
      <c r="C486" s="273" t="str">
        <f t="shared" si="18"/>
        <v/>
      </c>
      <c r="D486" s="246"/>
      <c r="E486" s="284"/>
      <c r="F486" s="284"/>
      <c r="G486" s="248"/>
      <c r="H486" s="241"/>
      <c r="I486" s="285"/>
      <c r="J486" s="286"/>
      <c r="K486" s="287"/>
      <c r="L486" s="288"/>
      <c r="M486" s="289"/>
      <c r="N486" s="290"/>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row>
    <row r="487" spans="1:36" s="22" customFormat="1" x14ac:dyDescent="0.25">
      <c r="A487" s="28" t="str">
        <f>IF(H487&lt;&gt;"",MAX($A$7:A486)+1,"")</f>
        <v/>
      </c>
      <c r="B487" s="243" t="str">
        <f t="shared" si="17"/>
        <v/>
      </c>
      <c r="C487" s="273" t="str">
        <f t="shared" si="18"/>
        <v/>
      </c>
      <c r="D487" s="246"/>
      <c r="E487" s="284"/>
      <c r="F487" s="284"/>
      <c r="G487" s="248"/>
      <c r="H487" s="241"/>
      <c r="I487" s="285"/>
      <c r="J487" s="286"/>
      <c r="K487" s="287"/>
      <c r="L487" s="288"/>
      <c r="M487" s="289"/>
      <c r="N487" s="290"/>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row>
    <row r="488" spans="1:36" s="22" customFormat="1" x14ac:dyDescent="0.25">
      <c r="A488" s="28" t="str">
        <f>IF(H488&lt;&gt;"",MAX($A$7:A487)+1,"")</f>
        <v/>
      </c>
      <c r="B488" s="243" t="str">
        <f t="shared" si="17"/>
        <v/>
      </c>
      <c r="C488" s="273" t="str">
        <f t="shared" si="18"/>
        <v/>
      </c>
      <c r="D488" s="246"/>
      <c r="E488" s="284"/>
      <c r="F488" s="284"/>
      <c r="G488" s="248"/>
      <c r="H488" s="241"/>
      <c r="I488" s="285"/>
      <c r="J488" s="286"/>
      <c r="K488" s="287"/>
      <c r="L488" s="288"/>
      <c r="M488" s="289"/>
      <c r="N488" s="290"/>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row>
    <row r="489" spans="1:36" s="22" customFormat="1" x14ac:dyDescent="0.25">
      <c r="A489" s="28" t="str">
        <f>IF(H489&lt;&gt;"",MAX($A$7:A488)+1,"")</f>
        <v/>
      </c>
      <c r="B489" s="243" t="str">
        <f t="shared" si="17"/>
        <v/>
      </c>
      <c r="C489" s="273" t="str">
        <f t="shared" si="18"/>
        <v/>
      </c>
      <c r="D489" s="246"/>
      <c r="E489" s="284"/>
      <c r="F489" s="284"/>
      <c r="G489" s="248"/>
      <c r="H489" s="241"/>
      <c r="I489" s="285"/>
      <c r="J489" s="286"/>
      <c r="K489" s="287"/>
      <c r="L489" s="288"/>
      <c r="M489" s="289"/>
      <c r="N489" s="290"/>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row>
    <row r="490" spans="1:36" s="22" customFormat="1" x14ac:dyDescent="0.25">
      <c r="A490" s="28" t="str">
        <f>IF(H490&lt;&gt;"",MAX($A$7:A489)+1,"")</f>
        <v/>
      </c>
      <c r="B490" s="243" t="str">
        <f t="shared" si="17"/>
        <v/>
      </c>
      <c r="C490" s="273" t="str">
        <f t="shared" si="18"/>
        <v/>
      </c>
      <c r="D490" s="246"/>
      <c r="E490" s="284"/>
      <c r="F490" s="284"/>
      <c r="G490" s="248"/>
      <c r="H490" s="241"/>
      <c r="I490" s="285"/>
      <c r="J490" s="286"/>
      <c r="K490" s="287"/>
      <c r="L490" s="288"/>
      <c r="M490" s="289"/>
      <c r="N490" s="290"/>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row>
    <row r="491" spans="1:36" s="22" customFormat="1" x14ac:dyDescent="0.25">
      <c r="A491" s="28" t="str">
        <f>IF(H491&lt;&gt;"",MAX($A$7:A490)+1,"")</f>
        <v/>
      </c>
      <c r="B491" s="243" t="str">
        <f t="shared" si="17"/>
        <v/>
      </c>
      <c r="C491" s="273" t="str">
        <f t="shared" si="18"/>
        <v/>
      </c>
      <c r="D491" s="246"/>
      <c r="E491" s="284"/>
      <c r="F491" s="284"/>
      <c r="G491" s="248"/>
      <c r="H491" s="241"/>
      <c r="I491" s="285"/>
      <c r="J491" s="286"/>
      <c r="K491" s="287"/>
      <c r="L491" s="288"/>
      <c r="M491" s="289"/>
      <c r="N491" s="290"/>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row>
    <row r="492" spans="1:36" s="22" customFormat="1" x14ac:dyDescent="0.25">
      <c r="A492" s="28" t="str">
        <f>IF(H492&lt;&gt;"",MAX($A$7:A491)+1,"")</f>
        <v/>
      </c>
      <c r="B492" s="243" t="str">
        <f t="shared" si="17"/>
        <v/>
      </c>
      <c r="C492" s="273" t="str">
        <f t="shared" si="18"/>
        <v/>
      </c>
      <c r="D492" s="246"/>
      <c r="E492" s="284"/>
      <c r="F492" s="284"/>
      <c r="G492" s="248"/>
      <c r="H492" s="241"/>
      <c r="I492" s="285"/>
      <c r="J492" s="286"/>
      <c r="K492" s="287"/>
      <c r="L492" s="288"/>
      <c r="M492" s="289"/>
      <c r="N492" s="290"/>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row>
    <row r="493" spans="1:36" s="22" customFormat="1" x14ac:dyDescent="0.25">
      <c r="A493" s="28" t="str">
        <f>IF(H493&lt;&gt;"",MAX($A$7:A492)+1,"")</f>
        <v/>
      </c>
      <c r="B493" s="243" t="str">
        <f t="shared" si="17"/>
        <v/>
      </c>
      <c r="C493" s="273" t="str">
        <f t="shared" si="18"/>
        <v/>
      </c>
      <c r="D493" s="246"/>
      <c r="E493" s="284"/>
      <c r="F493" s="284"/>
      <c r="G493" s="248"/>
      <c r="H493" s="241"/>
      <c r="I493" s="285"/>
      <c r="J493" s="286"/>
      <c r="K493" s="287"/>
      <c r="L493" s="288"/>
      <c r="M493" s="289"/>
      <c r="N493" s="290"/>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row>
    <row r="494" spans="1:36" s="22" customFormat="1" x14ac:dyDescent="0.25">
      <c r="A494" s="28" t="str">
        <f>IF(H494&lt;&gt;"",MAX($A$7:A493)+1,"")</f>
        <v/>
      </c>
      <c r="B494" s="243" t="str">
        <f t="shared" si="17"/>
        <v/>
      </c>
      <c r="C494" s="273" t="str">
        <f t="shared" si="18"/>
        <v/>
      </c>
      <c r="D494" s="246"/>
      <c r="E494" s="284"/>
      <c r="F494" s="284"/>
      <c r="G494" s="248"/>
      <c r="H494" s="241"/>
      <c r="I494" s="285"/>
      <c r="J494" s="286"/>
      <c r="K494" s="287"/>
      <c r="L494" s="288"/>
      <c r="M494" s="289"/>
      <c r="N494" s="290"/>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row>
    <row r="495" spans="1:36" s="22" customFormat="1" x14ac:dyDescent="0.25">
      <c r="A495" s="28" t="str">
        <f>IF(H495&lt;&gt;"",MAX($A$7:A494)+1,"")</f>
        <v/>
      </c>
      <c r="B495" s="243" t="str">
        <f t="shared" si="17"/>
        <v/>
      </c>
      <c r="C495" s="273" t="str">
        <f t="shared" si="18"/>
        <v/>
      </c>
      <c r="D495" s="246"/>
      <c r="E495" s="284"/>
      <c r="F495" s="284"/>
      <c r="G495" s="248"/>
      <c r="H495" s="241"/>
      <c r="I495" s="285"/>
      <c r="J495" s="286"/>
      <c r="K495" s="287"/>
      <c r="L495" s="288"/>
      <c r="M495" s="289"/>
      <c r="N495" s="290"/>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row>
    <row r="496" spans="1:36" s="22" customFormat="1" x14ac:dyDescent="0.25">
      <c r="A496" s="28" t="str">
        <f>IF(H496&lt;&gt;"",MAX($A$7:A495)+1,"")</f>
        <v/>
      </c>
      <c r="B496" s="243" t="str">
        <f t="shared" si="17"/>
        <v/>
      </c>
      <c r="C496" s="273" t="str">
        <f t="shared" si="18"/>
        <v/>
      </c>
      <c r="D496" s="246"/>
      <c r="E496" s="284"/>
      <c r="F496" s="284"/>
      <c r="G496" s="248"/>
      <c r="H496" s="241"/>
      <c r="I496" s="285"/>
      <c r="J496" s="286"/>
      <c r="K496" s="287"/>
      <c r="L496" s="288"/>
      <c r="M496" s="289"/>
      <c r="N496" s="290"/>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row>
    <row r="497" spans="1:36" s="22" customFormat="1" x14ac:dyDescent="0.25">
      <c r="A497" s="28" t="str">
        <f>IF(H497&lt;&gt;"",MAX($A$7:A496)+1,"")</f>
        <v/>
      </c>
      <c r="B497" s="243" t="str">
        <f t="shared" si="17"/>
        <v/>
      </c>
      <c r="C497" s="273" t="str">
        <f t="shared" si="18"/>
        <v/>
      </c>
      <c r="D497" s="246"/>
      <c r="E497" s="284"/>
      <c r="F497" s="284"/>
      <c r="G497" s="248"/>
      <c r="H497" s="241"/>
      <c r="I497" s="285"/>
      <c r="J497" s="286"/>
      <c r="K497" s="287"/>
      <c r="L497" s="288"/>
      <c r="M497" s="289"/>
      <c r="N497" s="290"/>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row>
    <row r="498" spans="1:36" s="22" customFormat="1" x14ac:dyDescent="0.25">
      <c r="A498" s="28" t="str">
        <f>IF(H498&lt;&gt;"",MAX($A$7:A497)+1,"")</f>
        <v/>
      </c>
      <c r="B498" s="243" t="str">
        <f t="shared" si="17"/>
        <v/>
      </c>
      <c r="C498" s="273" t="str">
        <f t="shared" si="18"/>
        <v/>
      </c>
      <c r="D498" s="246"/>
      <c r="E498" s="284"/>
      <c r="F498" s="284"/>
      <c r="G498" s="248"/>
      <c r="H498" s="241"/>
      <c r="I498" s="285"/>
      <c r="J498" s="286"/>
      <c r="K498" s="287"/>
      <c r="L498" s="288"/>
      <c r="M498" s="289"/>
      <c r="N498" s="290"/>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row>
    <row r="499" spans="1:36" s="22" customFormat="1" x14ac:dyDescent="0.25">
      <c r="A499" s="28" t="str">
        <f>IF(H499&lt;&gt;"",MAX($A$7:A498)+1,"")</f>
        <v/>
      </c>
      <c r="B499" s="243" t="str">
        <f t="shared" si="17"/>
        <v/>
      </c>
      <c r="C499" s="273" t="str">
        <f t="shared" si="18"/>
        <v/>
      </c>
      <c r="D499" s="246"/>
      <c r="E499" s="284"/>
      <c r="F499" s="284"/>
      <c r="G499" s="248"/>
      <c r="H499" s="241"/>
      <c r="I499" s="285"/>
      <c r="J499" s="286"/>
      <c r="K499" s="287"/>
      <c r="L499" s="288"/>
      <c r="M499" s="289"/>
      <c r="N499" s="290"/>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row>
    <row r="500" spans="1:36" s="22" customFormat="1" x14ac:dyDescent="0.25">
      <c r="A500" s="28" t="str">
        <f>IF(H500&lt;&gt;"",MAX($A$7:A499)+1,"")</f>
        <v/>
      </c>
      <c r="B500" s="243" t="str">
        <f t="shared" si="17"/>
        <v/>
      </c>
      <c r="C500" s="273" t="str">
        <f t="shared" si="18"/>
        <v/>
      </c>
      <c r="D500" s="246"/>
      <c r="E500" s="284"/>
      <c r="F500" s="284"/>
      <c r="G500" s="248"/>
      <c r="H500" s="241"/>
      <c r="I500" s="285"/>
      <c r="J500" s="286"/>
      <c r="K500" s="287"/>
      <c r="L500" s="288"/>
      <c r="M500" s="289"/>
      <c r="N500" s="290"/>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row>
    <row r="501" spans="1:36" s="22" customFormat="1" x14ac:dyDescent="0.25">
      <c r="A501" s="28" t="str">
        <f>IF(H501&lt;&gt;"",MAX($A$7:A500)+1,"")</f>
        <v/>
      </c>
      <c r="B501" s="243" t="str">
        <f t="shared" si="17"/>
        <v/>
      </c>
      <c r="C501" s="273" t="str">
        <f t="shared" si="18"/>
        <v/>
      </c>
      <c r="D501" s="246"/>
      <c r="E501" s="284"/>
      <c r="F501" s="284"/>
      <c r="G501" s="248"/>
      <c r="H501" s="241"/>
      <c r="I501" s="285"/>
      <c r="J501" s="286"/>
      <c r="K501" s="287"/>
      <c r="L501" s="288"/>
      <c r="M501" s="289"/>
      <c r="N501" s="290"/>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row>
    <row r="502" spans="1:36" s="22" customFormat="1" x14ac:dyDescent="0.25">
      <c r="A502" s="28" t="str">
        <f>IF(H502&lt;&gt;"",MAX($A$7:A501)+1,"")</f>
        <v/>
      </c>
      <c r="B502" s="243" t="str">
        <f t="shared" si="17"/>
        <v/>
      </c>
      <c r="C502" s="273" t="str">
        <f t="shared" si="18"/>
        <v/>
      </c>
      <c r="D502" s="246"/>
      <c r="E502" s="284"/>
      <c r="F502" s="284"/>
      <c r="G502" s="248"/>
      <c r="H502" s="241"/>
      <c r="I502" s="285"/>
      <c r="J502" s="286"/>
      <c r="K502" s="287"/>
      <c r="L502" s="288"/>
      <c r="M502" s="289"/>
      <c r="N502" s="290"/>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row>
    <row r="503" spans="1:36" s="22" customFormat="1" x14ac:dyDescent="0.25">
      <c r="A503" s="28" t="str">
        <f>IF(H503&lt;&gt;"",MAX($A$7:A502)+1,"")</f>
        <v/>
      </c>
      <c r="B503" s="243" t="str">
        <f t="shared" si="17"/>
        <v/>
      </c>
      <c r="C503" s="273" t="str">
        <f t="shared" si="18"/>
        <v/>
      </c>
      <c r="D503" s="246"/>
      <c r="E503" s="284"/>
      <c r="F503" s="284"/>
      <c r="G503" s="248"/>
      <c r="H503" s="241"/>
      <c r="I503" s="285"/>
      <c r="J503" s="286"/>
      <c r="K503" s="287"/>
      <c r="L503" s="288"/>
      <c r="M503" s="289"/>
      <c r="N503" s="290"/>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row>
    <row r="504" spans="1:36" s="22" customFormat="1" x14ac:dyDescent="0.25">
      <c r="A504" s="28" t="str">
        <f>IF(H504&lt;&gt;"",MAX($A$7:A503)+1,"")</f>
        <v/>
      </c>
      <c r="B504" s="243" t="str">
        <f t="shared" si="17"/>
        <v/>
      </c>
      <c r="C504" s="273" t="str">
        <f t="shared" si="18"/>
        <v/>
      </c>
      <c r="D504" s="246"/>
      <c r="E504" s="284"/>
      <c r="F504" s="284"/>
      <c r="G504" s="248"/>
      <c r="H504" s="241"/>
      <c r="I504" s="285"/>
      <c r="J504" s="286"/>
      <c r="K504" s="287"/>
      <c r="L504" s="288"/>
      <c r="M504" s="289"/>
      <c r="N504" s="290"/>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row>
    <row r="505" spans="1:36" s="22" customFormat="1" x14ac:dyDescent="0.25">
      <c r="A505" s="28" t="str">
        <f>IF(H505&lt;&gt;"",MAX($A$7:A504)+1,"")</f>
        <v/>
      </c>
      <c r="B505" s="243" t="str">
        <f t="shared" si="17"/>
        <v/>
      </c>
      <c r="C505" s="273" t="str">
        <f t="shared" si="18"/>
        <v/>
      </c>
      <c r="D505" s="246"/>
      <c r="E505" s="284"/>
      <c r="F505" s="284"/>
      <c r="G505" s="248"/>
      <c r="H505" s="241"/>
      <c r="I505" s="285"/>
      <c r="J505" s="286"/>
      <c r="K505" s="287"/>
      <c r="L505" s="288"/>
      <c r="M505" s="289"/>
      <c r="N505" s="290"/>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row>
    <row r="506" spans="1:36" s="22" customFormat="1" x14ac:dyDescent="0.25">
      <c r="A506" s="28" t="str">
        <f>IF(H506&lt;&gt;"",MAX($A$7:A505)+1,"")</f>
        <v/>
      </c>
      <c r="B506" s="243" t="str">
        <f t="shared" si="17"/>
        <v/>
      </c>
      <c r="C506" s="273" t="str">
        <f t="shared" si="18"/>
        <v/>
      </c>
      <c r="D506" s="246"/>
      <c r="E506" s="284"/>
      <c r="F506" s="284"/>
      <c r="G506" s="248"/>
      <c r="H506" s="241"/>
      <c r="I506" s="285"/>
      <c r="J506" s="286"/>
      <c r="K506" s="287"/>
      <c r="L506" s="288"/>
      <c r="M506" s="289"/>
      <c r="N506" s="290"/>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row>
    <row r="507" spans="1:36" s="22" customFormat="1" x14ac:dyDescent="0.25">
      <c r="A507" s="28" t="str">
        <f>IF(H507&lt;&gt;"",MAX($A$7:A506)+1,"")</f>
        <v/>
      </c>
      <c r="B507" s="243" t="str">
        <f t="shared" si="17"/>
        <v/>
      </c>
      <c r="C507" s="273" t="str">
        <f t="shared" si="18"/>
        <v/>
      </c>
      <c r="D507" s="246"/>
      <c r="E507" s="284"/>
      <c r="F507" s="284"/>
      <c r="G507" s="248"/>
      <c r="H507" s="241"/>
      <c r="I507" s="285"/>
      <c r="J507" s="286"/>
      <c r="K507" s="287"/>
      <c r="L507" s="288"/>
      <c r="M507" s="289"/>
      <c r="N507" s="290"/>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row>
    <row r="508" spans="1:36" s="22" customFormat="1" x14ac:dyDescent="0.25">
      <c r="A508" s="28" t="str">
        <f>IF(H508&lt;&gt;"",MAX($A$7:A507)+1,"")</f>
        <v/>
      </c>
      <c r="B508" s="243" t="str">
        <f t="shared" si="17"/>
        <v/>
      </c>
      <c r="C508" s="273" t="str">
        <f t="shared" si="18"/>
        <v/>
      </c>
      <c r="D508" s="246"/>
      <c r="E508" s="284"/>
      <c r="F508" s="284"/>
      <c r="G508" s="248"/>
      <c r="H508" s="241"/>
      <c r="I508" s="285"/>
      <c r="J508" s="286"/>
      <c r="K508" s="287"/>
      <c r="L508" s="288"/>
      <c r="M508" s="289"/>
      <c r="N508" s="290"/>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row>
  </sheetData>
  <sheetProtection algorithmName="SHA-512" hashValue="qgbUirLHuqDmNfB2jYQq22EEq9/wDe+hQ+F0e7lC7KSQO47GxjMmvNNWBsDNxSe10o+r42owKVJB5gEVEWqRCg==" saltValue="e2E2zuaHelBe8HR7KIMgjw==" spinCount="100000" sheet="1" objects="1" scenarios="1" selectLockedCells="1"/>
  <mergeCells count="1">
    <mergeCell ref="E4:H4"/>
  </mergeCells>
  <conditionalFormatting sqref="I5:AF5 I6:AJ6">
    <cfRule type="cellIs" dxfId="82" priority="461" operator="equal">
      <formula>""</formula>
    </cfRule>
    <cfRule type="cellIs" dxfId="81" priority="462" operator="equal">
      <formula>0</formula>
    </cfRule>
  </conditionalFormatting>
  <conditionalFormatting sqref="AG5:AJ5">
    <cfRule type="cellIs" dxfId="80" priority="453" operator="equal">
      <formula>""</formula>
    </cfRule>
    <cfRule type="cellIs" dxfId="79" priority="454" operator="equal">
      <formula>0</formula>
    </cfRule>
  </conditionalFormatting>
  <conditionalFormatting sqref="B5:H6">
    <cfRule type="cellIs" dxfId="78" priority="379" operator="equal">
      <formula>""</formula>
    </cfRule>
    <cfRule type="cellIs" dxfId="77" priority="380" operator="equal">
      <formula>0</formula>
    </cfRule>
  </conditionalFormatting>
  <conditionalFormatting sqref="B7:C508">
    <cfRule type="cellIs" dxfId="76" priority="7" operator="equal">
      <formula>""</formula>
    </cfRule>
    <cfRule type="cellIs" dxfId="75" priority="8" operator="equal">
      <formula>0</formula>
    </cfRule>
  </conditionalFormatting>
  <conditionalFormatting sqref="I7:AF508">
    <cfRule type="cellIs" dxfId="74" priority="5" operator="equal">
      <formula>""</formula>
    </cfRule>
    <cfRule type="cellIs" dxfId="73" priority="6" operator="equal">
      <formula>0</formula>
    </cfRule>
  </conditionalFormatting>
  <conditionalFormatting sqref="AG7:AJ508">
    <cfRule type="cellIs" dxfId="72" priority="3" operator="equal">
      <formula>""</formula>
    </cfRule>
    <cfRule type="cellIs" dxfId="71" priority="4" operator="equal">
      <formula>0</formula>
    </cfRule>
  </conditionalFormatting>
  <conditionalFormatting sqref="D7:H508">
    <cfRule type="cellIs" dxfId="70" priority="1" operator="equal">
      <formula>""</formula>
    </cfRule>
    <cfRule type="cellIs" dxfId="69"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C64"/>
  <sheetViews>
    <sheetView showGridLines="0" showRowColHeaders="0" zoomScaleNormal="10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71.28515625" style="38" bestFit="1" customWidth="1"/>
    <col min="3" max="3" width="51.42578125" style="37" bestFit="1" customWidth="1"/>
    <col min="4" max="4" width="16.28515625" style="37" bestFit="1" customWidth="1"/>
    <col min="5" max="5" width="10.85546875" style="37" customWidth="1"/>
    <col min="6" max="16384" width="10.85546875" style="37"/>
  </cols>
  <sheetData>
    <row r="1" spans="1:3" x14ac:dyDescent="0.25">
      <c r="A1" s="37" t="str">
        <f>"&lt;!-- question: "&amp;'Datos O2'!A2&amp;"  --&gt;"</f>
        <v>&lt;!-- question: 1  --&gt;</v>
      </c>
      <c r="B1" s="53">
        <f ca="1">COUNTA(A:A)-COUNTIF(A:A,"BORRAR")</f>
        <v>64</v>
      </c>
    </row>
    <row r="2" spans="1:3" x14ac:dyDescent="0.25">
      <c r="A2" s="50" t="s">
        <v>73</v>
      </c>
      <c r="B2" s="54" t="s">
        <v>74</v>
      </c>
    </row>
    <row r="3" spans="1:3" x14ac:dyDescent="0.25">
      <c r="A3" s="37" t="s">
        <v>75</v>
      </c>
    </row>
    <row r="4" spans="1:3" x14ac:dyDescent="0.25">
      <c r="A4" s="37" t="e">
        <f>"      &lt;text&gt;"&amp;B4&amp;"&lt;/text&gt;"</f>
        <v>#N/A</v>
      </c>
      <c r="B4" s="40" t="e">
        <f>NOMBRE_O2</f>
        <v>#N/A</v>
      </c>
      <c r="C4" s="37" t="s">
        <v>76</v>
      </c>
    </row>
    <row r="5" spans="1:3" x14ac:dyDescent="0.25">
      <c r="A5" s="37" t="s">
        <v>77</v>
      </c>
    </row>
    <row r="6" spans="1:3" x14ac:dyDescent="0.25">
      <c r="A6" s="37" t="s">
        <v>78</v>
      </c>
    </row>
    <row r="7" spans="1:3" x14ac:dyDescent="0.25">
      <c r="A7" s="37" t="e">
        <f>"      &lt;text&gt;&lt;![CDATA[&lt;p&gt;"&amp;B7&amp;"&lt;/p&gt;]]&gt;&lt;/text&gt;"</f>
        <v>#N/A</v>
      </c>
      <c r="B7" s="40" t="e">
        <f>ENUNCIADO_O2</f>
        <v>#N/A</v>
      </c>
    </row>
    <row r="8" spans="1:3" x14ac:dyDescent="0.25">
      <c r="A8" s="37" t="s">
        <v>79</v>
      </c>
    </row>
    <row r="9" spans="1:3" x14ac:dyDescent="0.25">
      <c r="A9" s="37" t="s">
        <v>80</v>
      </c>
      <c r="B9" s="41" t="s">
        <v>81</v>
      </c>
    </row>
    <row r="10" spans="1:3" x14ac:dyDescent="0.25">
      <c r="A10" s="37" t="str">
        <f>"      &lt;text&gt;&lt;![CDATA[&lt;p&gt;"&amp;B10&amp;"&lt;/p&gt;]]&gt;&lt;/text&gt;"</f>
        <v xml:space="preserve">      &lt;text&gt;&lt;![CDATA[&lt;p&gt;Tomo no de tus respuestas&lt;/p&gt;]]&gt;&lt;/text&gt;</v>
      </c>
      <c r="B10" s="38"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3">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IF(CONTRASEN_A="","",CONTRASEN_A)</f>
        <v/>
      </c>
      <c r="C15" s="37" t="s">
        <v>86</v>
      </c>
    </row>
    <row r="16" spans="1:3" x14ac:dyDescent="0.25">
      <c r="A16" s="37" t="str">
        <f>"    &lt;single&gt;"&amp;B16&amp;"&lt;/single&gt;"</f>
        <v xml:space="preserve">    &lt;single&gt;false&lt;/single&gt;</v>
      </c>
      <c r="B16" s="40" t="s">
        <v>29</v>
      </c>
      <c r="C16" s="37" t="s">
        <v>87</v>
      </c>
    </row>
    <row r="17" spans="1:3" x14ac:dyDescent="0.25">
      <c r="A17" s="37" t="str">
        <f>"    &lt;shuffleanswers&gt;"&amp;B17&amp;"&lt;/shuffleanswers&gt;"</f>
        <v xml:space="preserve">    &lt;shuffleanswers&gt;true&lt;/shuffleanswers&gt;</v>
      </c>
      <c r="B17" s="40" t="str">
        <f>BARAJAR_R</f>
        <v>true</v>
      </c>
      <c r="C17" s="44" t="s">
        <v>88</v>
      </c>
    </row>
    <row r="18" spans="1:3" x14ac:dyDescent="0.25">
      <c r="A18" s="37" t="str">
        <f>"    &lt;answernumbering&gt;"&amp;B18&amp;"&lt;/answernumbering&gt;"</f>
        <v xml:space="preserve">    &lt;answernumbering&gt;abc&lt;/answernumbering&gt;</v>
      </c>
      <c r="B18" s="38" t="str">
        <f>NUMERAR_R</f>
        <v>abc</v>
      </c>
      <c r="C18" s="37" t="s">
        <v>89</v>
      </c>
    </row>
    <row r="19" spans="1:3" x14ac:dyDescent="0.25">
      <c r="A19" s="37" t="s">
        <v>90</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91</v>
      </c>
    </row>
    <row r="22" spans="1:3" x14ac:dyDescent="0.25">
      <c r="A22" s="37" t="s">
        <v>92</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93</v>
      </c>
    </row>
    <row r="25" spans="1:3" x14ac:dyDescent="0.25">
      <c r="A25" s="37" t="s">
        <v>94</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95</v>
      </c>
      <c r="B27" s="45" t="s">
        <v>96</v>
      </c>
    </row>
    <row r="28" spans="1:3" x14ac:dyDescent="0.25">
      <c r="A28" s="66" t="s">
        <v>97</v>
      </c>
      <c r="B28" s="51">
        <v>1</v>
      </c>
    </row>
    <row r="29" spans="1:3" x14ac:dyDescent="0.25">
      <c r="A29" s="47" t="e">
        <f ca="1">IF(B30&lt;&gt;"",$C$29&amp;B29&amp;$C$30,"BORRAR")</f>
        <v>#N/A</v>
      </c>
      <c r="B29" s="46" t="e">
        <f>IF(R_Correctas_O2&gt;=B28,PUNTUACION_C_O2,PUNTUACION_I_O2)</f>
        <v>#N/A</v>
      </c>
      <c r="C29" s="50" t="s">
        <v>98</v>
      </c>
    </row>
    <row r="30" spans="1:3" x14ac:dyDescent="0.25">
      <c r="A30" s="37" t="e">
        <f ca="1">IF(A29="BORRAR","BORRAR","      &lt;text&gt;&lt;![CDATA[&lt;p&gt;"&amp;B30&amp;"&lt;/p&gt;]]&gt;&lt;/text&gt;")</f>
        <v>#N/A</v>
      </c>
      <c r="B30" s="40" t="e">
        <f ca="1">INDIRECT("RESPUESTA_"&amp;B28&amp;"_O2")</f>
        <v>#N/A</v>
      </c>
      <c r="C30" s="50" t="s">
        <v>99</v>
      </c>
    </row>
    <row r="31" spans="1:3" x14ac:dyDescent="0.25">
      <c r="A31" s="37" t="e">
        <f ca="1">IF(A30="BORRAR","BORRAR",$C$31)</f>
        <v>#N/A</v>
      </c>
      <c r="C31" s="50" t="s">
        <v>100</v>
      </c>
    </row>
    <row r="32" spans="1:3" x14ac:dyDescent="0.25">
      <c r="A32" s="37" t="e">
        <f ca="1">IF(A31="BORRAR","BORRAR","      &lt;text&gt;&lt;![CDATA[&lt;p&gt;"&amp;B32&amp;"&lt;/p&gt;]]&gt;&lt;/text&gt;")</f>
        <v>#N/A</v>
      </c>
      <c r="B32" s="39" t="e">
        <f>RETROAL_1_O2</f>
        <v>#N/A</v>
      </c>
    </row>
    <row r="33" spans="1:2" x14ac:dyDescent="0.25">
      <c r="A33" s="37" t="e">
        <f ca="1">IF(A32="BORRAR","BORRAR","      &lt;/feedback&gt;")</f>
        <v>#N/A</v>
      </c>
      <c r="B33" s="45" t="s">
        <v>101</v>
      </c>
    </row>
    <row r="34" spans="1:2" x14ac:dyDescent="0.25">
      <c r="A34" s="37" t="e">
        <f ca="1">IF(A33="BORRAR","BORRAR","    &lt;/answer&gt;")</f>
        <v>#N/A</v>
      </c>
      <c r="B34" s="51">
        <f>B28+1</f>
        <v>2</v>
      </c>
    </row>
    <row r="35" spans="1:2" x14ac:dyDescent="0.25">
      <c r="A35" s="47" t="e">
        <f t="shared" ref="A35" ca="1" si="0">IF(B36&lt;&gt;"",$C$29&amp;B35&amp;$C$30,"BORRAR")</f>
        <v>#N/A</v>
      </c>
      <c r="B35" s="46" t="e">
        <f>IF(R_Correctas_O2&gt;=B34,PUNTUACION_C_O2,PUNTUACION_I_O2)</f>
        <v>#N/A</v>
      </c>
    </row>
    <row r="36" spans="1:2" x14ac:dyDescent="0.25">
      <c r="A36" s="37" t="e">
        <f t="shared" ref="A36" ca="1" si="1">IF(A35="BORRAR","BORRAR","      &lt;text&gt;&lt;![CDATA[&lt;p&gt;"&amp;B36&amp;"&lt;/p&gt;]]&gt;&lt;/text&gt;")</f>
        <v>#N/A</v>
      </c>
      <c r="B36" s="40" t="e">
        <f ca="1">INDIRECT("RESPUESTA_"&amp;B34&amp;"_O2")</f>
        <v>#N/A</v>
      </c>
    </row>
    <row r="37" spans="1:2" x14ac:dyDescent="0.25">
      <c r="A37" s="37" t="e">
        <f t="shared" ref="A37" ca="1" si="2">IF(A36="BORRAR","BORRAR",$C$31)</f>
        <v>#N/A</v>
      </c>
    </row>
    <row r="38" spans="1:2" x14ac:dyDescent="0.25">
      <c r="A38" s="37" t="e">
        <f t="shared" ref="A38" ca="1" si="3">IF(A37="BORRAR","BORRAR","      &lt;text&gt;&lt;![CDATA[&lt;p&gt;"&amp;B38&amp;"&lt;/p&gt;]]&gt;&lt;/text&gt;")</f>
        <v>#N/A</v>
      </c>
      <c r="B38" s="39" t="e">
        <f>RETROAL_2_O2</f>
        <v>#N/A</v>
      </c>
    </row>
    <row r="39" spans="1:2" x14ac:dyDescent="0.25">
      <c r="A39" s="37" t="e">
        <f t="shared" ref="A39" ca="1" si="4">IF(A38="BORRAR","BORRAR","      &lt;/feedback&gt;")</f>
        <v>#N/A</v>
      </c>
    </row>
    <row r="40" spans="1:2" x14ac:dyDescent="0.25">
      <c r="A40" s="37" t="e">
        <f t="shared" ref="A40" ca="1" si="5">IF(A39="BORRAR","BORRAR","    &lt;/answer&gt;")</f>
        <v>#N/A</v>
      </c>
      <c r="B40" s="52">
        <f>B34+1</f>
        <v>3</v>
      </c>
    </row>
    <row r="41" spans="1:2" x14ac:dyDescent="0.25">
      <c r="A41" s="48" t="e">
        <f t="shared" ref="A41" ca="1" si="6">IF(B42&lt;&gt;"",$C$29&amp;B41&amp;$C$30,"BORRAR")</f>
        <v>#N/A</v>
      </c>
      <c r="B41" s="46" t="e">
        <f>IF(R_Correctas_O2&gt;=B40,PUNTUACION_C_O2,PUNTUACION_I_O2)</f>
        <v>#N/A</v>
      </c>
    </row>
    <row r="42" spans="1:2" x14ac:dyDescent="0.25">
      <c r="A42" s="37" t="e">
        <f t="shared" ref="A42" ca="1" si="7">IF(A41="BORRAR","BORRAR","      &lt;text&gt;&lt;![CDATA[&lt;p&gt;"&amp;B42&amp;"&lt;/p&gt;]]&gt;&lt;/text&gt;")</f>
        <v>#N/A</v>
      </c>
      <c r="B42" s="40" t="e">
        <f ca="1">INDIRECT("RESPUESTA_"&amp;B40&amp;"_O2")</f>
        <v>#N/A</v>
      </c>
    </row>
    <row r="43" spans="1:2" x14ac:dyDescent="0.25">
      <c r="A43" s="37" t="e">
        <f t="shared" ref="A43" ca="1" si="8">IF(A42="BORRAR","BORRAR",$C$31)</f>
        <v>#N/A</v>
      </c>
    </row>
    <row r="44" spans="1:2" x14ac:dyDescent="0.25">
      <c r="A44" s="37" t="e">
        <f t="shared" ref="A44" ca="1" si="9">IF(A43="BORRAR","BORRAR","      &lt;text&gt;&lt;![CDATA[&lt;p&gt;"&amp;B44&amp;"&lt;/p&gt;]]&gt;&lt;/text&gt;")</f>
        <v>#N/A</v>
      </c>
      <c r="B44" s="40" t="e">
        <f>RETROAL_3_O2</f>
        <v>#N/A</v>
      </c>
    </row>
    <row r="45" spans="1:2" x14ac:dyDescent="0.25">
      <c r="A45" s="37" t="e">
        <f t="shared" ref="A45" ca="1" si="10">IF(A44="BORRAR","BORRAR","      &lt;/feedback&gt;")</f>
        <v>#N/A</v>
      </c>
    </row>
    <row r="46" spans="1:2" x14ac:dyDescent="0.25">
      <c r="A46" s="37" t="e">
        <f t="shared" ref="A46" ca="1" si="11">IF(A45="BORRAR","BORRAR","    &lt;/answer&gt;")</f>
        <v>#N/A</v>
      </c>
      <c r="B46" s="52">
        <f>B40+1</f>
        <v>4</v>
      </c>
    </row>
    <row r="47" spans="1:2" x14ac:dyDescent="0.25">
      <c r="A47" s="48" t="e">
        <f t="shared" ref="A47" ca="1" si="12">IF(B48&lt;&gt;"",$C$29&amp;B47&amp;$C$30,"BORRAR")</f>
        <v>#N/A</v>
      </c>
      <c r="B47" s="46" t="e">
        <f>IF(R_Correctas_O2&gt;=B46,PUNTUACION_C_O2,PUNTUACION_I_O2)</f>
        <v>#N/A</v>
      </c>
    </row>
    <row r="48" spans="1:2" x14ac:dyDescent="0.25">
      <c r="A48" s="37" t="e">
        <f t="shared" ref="A48" ca="1" si="13">IF(A47="BORRAR","BORRAR","      &lt;text&gt;&lt;![CDATA[&lt;p&gt;"&amp;B48&amp;"&lt;/p&gt;]]&gt;&lt;/text&gt;")</f>
        <v>#N/A</v>
      </c>
      <c r="B48" s="40" t="e">
        <f ca="1">INDIRECT("RESPUESTA_"&amp;B46&amp;"_O2")</f>
        <v>#N/A</v>
      </c>
    </row>
    <row r="49" spans="1:2" x14ac:dyDescent="0.25">
      <c r="A49" s="37" t="e">
        <f t="shared" ref="A49" ca="1" si="14">IF(A48="BORRAR","BORRAR",$C$31)</f>
        <v>#N/A</v>
      </c>
    </row>
    <row r="50" spans="1:2" x14ac:dyDescent="0.25">
      <c r="A50" s="37" t="e">
        <f t="shared" ref="A50" ca="1" si="15">IF(A49="BORRAR","BORRAR","      &lt;text&gt;&lt;![CDATA[&lt;p&gt;"&amp;B50&amp;"&lt;/p&gt;]]&gt;&lt;/text&gt;")</f>
        <v>#N/A</v>
      </c>
      <c r="B50" s="40" t="e">
        <f>RETROAL_4_O2</f>
        <v>#N/A</v>
      </c>
    </row>
    <row r="51" spans="1:2" x14ac:dyDescent="0.25">
      <c r="A51" s="37" t="e">
        <f t="shared" ref="A51" ca="1" si="16">IF(A50="BORRAR","BORRAR","      &lt;/feedback&gt;")</f>
        <v>#N/A</v>
      </c>
    </row>
    <row r="52" spans="1:2" x14ac:dyDescent="0.25">
      <c r="A52" s="37" t="e">
        <f t="shared" ref="A52" ca="1" si="17">IF(A51="BORRAR","BORRAR","    &lt;/answer&gt;")</f>
        <v>#N/A</v>
      </c>
      <c r="B52" s="52">
        <f>B46+1</f>
        <v>5</v>
      </c>
    </row>
    <row r="53" spans="1:2" x14ac:dyDescent="0.25">
      <c r="A53" s="48" t="e">
        <f t="shared" ref="A53" ca="1" si="18">IF(B54&lt;&gt;"",$C$29&amp;B53&amp;$C$30,"BORRAR")</f>
        <v>#N/A</v>
      </c>
      <c r="B53" s="46" t="e">
        <f>IF(R_Correctas_O2&gt;=B52,PUNTUACION_C_O2,PUNTUACION_I_O2)</f>
        <v>#N/A</v>
      </c>
    </row>
    <row r="54" spans="1:2" x14ac:dyDescent="0.25">
      <c r="A54" s="37" t="e">
        <f t="shared" ref="A54" ca="1" si="19">IF(A53="BORRAR","BORRAR","      &lt;text&gt;&lt;![CDATA[&lt;p&gt;"&amp;B54&amp;"&lt;/p&gt;]]&gt;&lt;/text&gt;")</f>
        <v>#N/A</v>
      </c>
      <c r="B54" s="40" t="e">
        <f ca="1">INDIRECT("RESPUESTA_"&amp;B52&amp;"_O2")</f>
        <v>#N/A</v>
      </c>
    </row>
    <row r="55" spans="1:2" x14ac:dyDescent="0.25">
      <c r="A55" s="37" t="e">
        <f t="shared" ref="A55" ca="1" si="20">IF(A54="BORRAR","BORRAR",$C$31)</f>
        <v>#N/A</v>
      </c>
    </row>
    <row r="56" spans="1:2" x14ac:dyDescent="0.25">
      <c r="A56" s="37" t="e">
        <f t="shared" ref="A56" ca="1" si="21">IF(A55="BORRAR","BORRAR","      &lt;text&gt;&lt;![CDATA[&lt;p&gt;"&amp;B56&amp;"&lt;/p&gt;]]&gt;&lt;/text&gt;")</f>
        <v>#N/A</v>
      </c>
      <c r="B56" s="40" t="e">
        <f>RETROAL_5_O2</f>
        <v>#N/A</v>
      </c>
    </row>
    <row r="57" spans="1:2" x14ac:dyDescent="0.25">
      <c r="A57" s="37" t="e">
        <f t="shared" ref="A57" ca="1" si="22">IF(A56="BORRAR","BORRAR","      &lt;/feedback&gt;")</f>
        <v>#N/A</v>
      </c>
    </row>
    <row r="58" spans="1:2" x14ac:dyDescent="0.25">
      <c r="A58" s="37" t="e">
        <f t="shared" ref="A58" ca="1" si="23">IF(A57="BORRAR","BORRAR","    &lt;/answer&gt;")</f>
        <v>#N/A</v>
      </c>
      <c r="B58" s="52">
        <f>B52+1</f>
        <v>6</v>
      </c>
    </row>
    <row r="59" spans="1:2" x14ac:dyDescent="0.25">
      <c r="A59" s="48" t="e">
        <f t="shared" ref="A59" ca="1" si="24">IF(B60&lt;&gt;"",$C$29&amp;B59&amp;$C$30,"BORRAR")</f>
        <v>#N/A</v>
      </c>
      <c r="B59" s="46" t="e">
        <f>IF(R_Correctas_O2&gt;=B58,PUNTUACION_C_O2,PUNTUACION_I_O2)</f>
        <v>#N/A</v>
      </c>
    </row>
    <row r="60" spans="1:2" x14ac:dyDescent="0.25">
      <c r="A60" s="37" t="e">
        <f t="shared" ref="A60" ca="1" si="25">IF(A59="BORRAR","BORRAR","      &lt;text&gt;&lt;![CDATA[&lt;p&gt;"&amp;B60&amp;"&lt;/p&gt;]]&gt;&lt;/text&gt;")</f>
        <v>#N/A</v>
      </c>
      <c r="B60" s="40" t="e">
        <f ca="1">INDIRECT("RESPUESTA_"&amp;B58&amp;"_O2")</f>
        <v>#N/A</v>
      </c>
    </row>
    <row r="61" spans="1:2" x14ac:dyDescent="0.25">
      <c r="A61" s="37" t="e">
        <f t="shared" ref="A61" ca="1" si="26">IF(A60="BORRAR","BORRAR",$C$31)</f>
        <v>#N/A</v>
      </c>
    </row>
    <row r="62" spans="1:2" x14ac:dyDescent="0.25">
      <c r="A62" s="37" t="e">
        <f t="shared" ref="A62" ca="1" si="27">IF(A61="BORRAR","BORRAR","      &lt;text&gt;&lt;![CDATA[&lt;p&gt;"&amp;B62&amp;"&lt;/p&gt;]]&gt;&lt;/text&gt;")</f>
        <v>#N/A</v>
      </c>
      <c r="B62" s="40" t="e">
        <f>RETROAL_6_O2</f>
        <v>#N/A</v>
      </c>
    </row>
    <row r="63" spans="1:2" x14ac:dyDescent="0.25">
      <c r="A63" s="37" t="e">
        <f t="shared" ref="A63" ca="1" si="28">IF(A62="BORRAR","BORRAR","      &lt;/feedback&gt;")</f>
        <v>#N/A</v>
      </c>
    </row>
    <row r="64" spans="1:2" x14ac:dyDescent="0.25">
      <c r="A64" s="37" t="e">
        <f t="shared" ref="A64" ca="1" si="29">IF(A63="BORRAR","BORRAR","    &lt;/answer&gt;")</f>
        <v>#N/A</v>
      </c>
      <c r="B64" s="49"/>
    </row>
  </sheetData>
  <sheetProtection algorithmName="SHA-512" hashValue="eSmTslF7KHkAFFgaKEUo7E4W5orfm8PgsaBfI6hg6UlWXyRy4xDnq0cIII0qd9ZtVYCTeE+l/jpY6Y/BD65CLA==" saltValue="xnir45tIHkT2o/ehCxnTUA==" spinCount="100000" sheet="1" objects="1" scenarios="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16368:16380" ht="6" customHeight="1" thickTop="1" x14ac:dyDescent="0.25">
      <c r="A1" s="426" t="str">
        <f>'Formulario OM'!A1</f>
        <v>CÓDIGOS ESPECIALES</v>
      </c>
      <c r="B1" s="443" t="str">
        <f>APP&amp;" - " &amp;Tipo_3</f>
        <v>FastTest PlugIn - Verdadero Falso</v>
      </c>
      <c r="C1" s="444"/>
      <c r="D1" s="444"/>
      <c r="E1" s="444"/>
      <c r="F1" s="444"/>
      <c r="G1" s="444"/>
      <c r="H1" s="444"/>
      <c r="I1" s="444"/>
      <c r="J1" s="444"/>
      <c r="K1" s="444"/>
      <c r="L1" s="300"/>
      <c r="M1" s="300"/>
      <c r="N1" s="300"/>
      <c r="O1" s="300"/>
      <c r="P1" s="300"/>
      <c r="Q1" s="300"/>
      <c r="R1" s="300"/>
      <c r="S1" s="300"/>
      <c r="T1" s="300"/>
      <c r="U1" s="300"/>
      <c r="V1" s="300"/>
      <c r="W1" s="300"/>
      <c r="X1" s="301"/>
      <c r="Y1" s="447" t="str">
        <f>'Formulario OM'!Y1</f>
        <v>NO USAR CORTAR [Ctrl+X]</v>
      </c>
    </row>
    <row r="2" spans="1:25 16368:16380" ht="20.100000000000001" customHeight="1" x14ac:dyDescent="0.25">
      <c r="A2" s="427"/>
      <c r="B2" s="445"/>
      <c r="C2" s="446"/>
      <c r="D2" s="446"/>
      <c r="E2" s="446"/>
      <c r="F2" s="446"/>
      <c r="G2" s="446"/>
      <c r="H2" s="446"/>
      <c r="I2" s="446"/>
      <c r="J2" s="446"/>
      <c r="K2" s="446"/>
      <c r="L2" s="467" t="str">
        <f>'Formulario OM'!L2</f>
        <v>DATOS
GENERALES</v>
      </c>
      <c r="M2" s="468">
        <f>'Formulario OM'!M2</f>
        <v>0</v>
      </c>
      <c r="N2" s="466" t="str">
        <f>'Formulario OM'!N2</f>
        <v>BANCO
PREGUNTAS</v>
      </c>
      <c r="O2" s="465">
        <f>'Formulario OM'!O2</f>
        <v>0</v>
      </c>
      <c r="P2" s="464" t="str">
        <f>'Formulario OM'!P2</f>
        <v>LIMPIAR
DATOS</v>
      </c>
      <c r="Q2" s="465">
        <f>'Formulario OM'!Q2</f>
        <v>0</v>
      </c>
      <c r="R2" s="464" t="str">
        <f>'Formulario OM'!R2</f>
        <v>GUARDAR
PREGUNTA</v>
      </c>
      <c r="S2" s="465">
        <f>'Formulario OM'!S2</f>
        <v>0</v>
      </c>
      <c r="T2" s="464" t="str">
        <f>'Formulario OM'!T2</f>
        <v>BORRAR
PREGUNTA</v>
      </c>
      <c r="U2" s="465">
        <f>'Formulario OM'!U2</f>
        <v>0</v>
      </c>
      <c r="V2" s="464" t="str">
        <f>'Formulario OM'!V2</f>
        <v>DAR
FORMATO</v>
      </c>
      <c r="W2" s="472">
        <f>'Formulario OM'!W2</f>
        <v>0</v>
      </c>
      <c r="X2" s="413" t="s">
        <v>372</v>
      </c>
      <c r="Y2" s="448"/>
    </row>
    <row r="3" spans="1:25 16368:16380"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16368:16380" ht="6" customHeight="1" thickBot="1" x14ac:dyDescent="0.3">
      <c r="A4" s="321"/>
      <c r="B4" s="150"/>
      <c r="C4" s="152"/>
      <c r="D4" s="152"/>
      <c r="E4" s="152"/>
      <c r="F4" s="152"/>
      <c r="G4" s="152"/>
      <c r="H4" s="153"/>
      <c r="I4" s="154"/>
      <c r="J4" s="154"/>
      <c r="K4" s="154"/>
      <c r="L4" s="154"/>
      <c r="M4" s="154"/>
      <c r="N4" s="154"/>
      <c r="O4" s="154"/>
      <c r="P4" s="154">
        <f>'Datos VF'!C3</f>
        <v>3</v>
      </c>
      <c r="Q4" s="154"/>
      <c r="R4" s="154">
        <f>MIN('Datos VF'!A7:A500)</f>
        <v>21</v>
      </c>
      <c r="S4" s="154">
        <f>MAX('Datos VF'!A7:A500)</f>
        <v>21</v>
      </c>
      <c r="T4" s="153"/>
      <c r="U4" s="153"/>
      <c r="V4" s="153"/>
      <c r="W4" s="153"/>
      <c r="X4" s="155"/>
      <c r="Y4" s="327"/>
    </row>
    <row r="5" spans="1:25 16368:16380" x14ac:dyDescent="0.25">
      <c r="A5" s="324" t="str">
        <f>'Formulario OM'!A5</f>
        <v>FÓRMULA</v>
      </c>
      <c r="B5" s="136"/>
      <c r="C5" s="137"/>
      <c r="D5" s="137"/>
      <c r="E5" s="137"/>
      <c r="F5" s="137"/>
      <c r="G5" s="137" t="str">
        <f>'Formulario OM'!G5</f>
        <v xml:space="preserve">Nº Inicial del Banco de preguntas: </v>
      </c>
      <c r="H5" s="31">
        <f>'Datos VF'!A7</f>
        <v>21</v>
      </c>
      <c r="I5" s="137"/>
      <c r="J5" s="141"/>
      <c r="K5" s="137" t="str">
        <f>'Formulario OM'!K5</f>
        <v xml:space="preserve">Pregunta Nº: </v>
      </c>
      <c r="L5" s="175">
        <v>22</v>
      </c>
      <c r="M5" s="141"/>
      <c r="N5" s="141"/>
      <c r="O5" s="137"/>
      <c r="P5" s="138"/>
      <c r="Q5" s="138"/>
      <c r="R5" s="439" t="str">
        <f ca="1">'DATOS GENERALES'!R5</f>
        <v>Rango de preguntas almacenadas de la 0 a la 0</v>
      </c>
      <c r="S5" s="439"/>
      <c r="T5" s="439"/>
      <c r="U5" s="439"/>
      <c r="V5" s="439"/>
      <c r="W5" s="439"/>
      <c r="X5" s="139"/>
      <c r="Y5" s="329"/>
      <c r="XEN5" s="4" t="str">
        <f>IFERROR(IF(VLOOKUP($L$6,'Datos VF'!$A$7:$AJ$500,XEN4)="","",VLOOKUP($L$6,'Datos VF'!$A$7:$AJ$500,XEN4,0)),"")</f>
        <v/>
      </c>
      <c r="XEZ5" s="4" t="str">
        <f>IFERROR(IF(VLOOKUP($L$6,'Datos VF'!$A$7:$AJ$500,XEZ4)="","",VLOOKUP($L$6,'Datos VF'!$A$7:$AJ$500,XEZ4,0)),"")</f>
        <v/>
      </c>
    </row>
    <row r="6" spans="1:25 16368:16380" ht="6" customHeight="1" x14ac:dyDescent="0.25">
      <c r="A6" s="35"/>
      <c r="B6" s="131"/>
      <c r="C6" s="132"/>
      <c r="D6" s="132"/>
      <c r="E6" s="132"/>
      <c r="F6" s="132"/>
      <c r="G6" s="132"/>
      <c r="H6" s="133">
        <f>'Datos VF'!B3</f>
        <v>2</v>
      </c>
      <c r="I6" s="134"/>
      <c r="J6" s="134"/>
      <c r="K6" s="134"/>
      <c r="L6" s="134">
        <f>N_VF</f>
        <v>22</v>
      </c>
      <c r="M6" s="134"/>
      <c r="N6" s="134"/>
      <c r="O6" s="133"/>
      <c r="P6" s="138"/>
      <c r="Q6" s="134"/>
      <c r="R6" s="134"/>
      <c r="S6" s="147"/>
      <c r="T6" s="147"/>
      <c r="U6" s="147"/>
      <c r="V6" s="133"/>
      <c r="W6" s="133"/>
      <c r="X6" s="135"/>
      <c r="Y6" s="328"/>
    </row>
    <row r="7" spans="1:25 16368:16380" x14ac:dyDescent="0.25">
      <c r="A7" s="324" t="str">
        <f>'Formulario OM'!A7</f>
        <v>SUPERÍNDICE</v>
      </c>
      <c r="B7" s="136"/>
      <c r="C7" s="137"/>
      <c r="D7" s="137"/>
      <c r="E7" s="137"/>
      <c r="F7" s="137"/>
      <c r="G7" s="137" t="str">
        <f>'Formulario OM'!G7</f>
        <v xml:space="preserve">Nombre de la pregunta: </v>
      </c>
      <c r="H7" s="471" t="str">
        <f>IFERROR(VLOOKUP(L5,'Datos VF'!$A$7:$AJ$500,2,1),"")</f>
        <v>T01 - 21</v>
      </c>
      <c r="I7" s="471"/>
      <c r="J7" s="471"/>
      <c r="K7" s="471"/>
      <c r="L7" s="471"/>
      <c r="M7" s="471"/>
      <c r="N7" s="471"/>
      <c r="O7" s="133"/>
      <c r="P7" s="138"/>
      <c r="Q7" s="137"/>
      <c r="R7" s="137"/>
      <c r="S7" s="147"/>
      <c r="T7" s="147"/>
      <c r="U7" s="147"/>
      <c r="V7" s="137"/>
      <c r="W7" s="137"/>
      <c r="X7" s="139"/>
      <c r="Y7" s="329"/>
      <c r="XEZ7" s="4" t="str">
        <f>IFERROR(IF(VLOOKUP($L$6,'Datos VF'!$A$7:$AJ$500,XEZ6)="","",VLOOKUP($L$6,'Datos VF'!$A$7:$AJ$500,XEZ6,0)),"")</f>
        <v/>
      </c>
    </row>
    <row r="8" spans="1:25 16368:16380" ht="6" customHeight="1" x14ac:dyDescent="0.25">
      <c r="A8" s="36"/>
      <c r="B8" s="131"/>
      <c r="C8" s="132"/>
      <c r="D8" s="132"/>
      <c r="E8" s="132"/>
      <c r="F8" s="132"/>
      <c r="G8" s="134"/>
      <c r="H8" s="134">
        <f>'Datos VF'!G3</f>
        <v>7</v>
      </c>
      <c r="I8" s="133"/>
      <c r="J8" s="133"/>
      <c r="K8" s="133"/>
      <c r="L8" s="133"/>
      <c r="M8" s="134"/>
      <c r="N8" s="134"/>
      <c r="O8" s="147"/>
      <c r="P8" s="138"/>
      <c r="Q8" s="134"/>
      <c r="R8" s="147"/>
      <c r="S8" s="147"/>
      <c r="T8" s="147"/>
      <c r="U8" s="147"/>
      <c r="V8" s="147"/>
      <c r="W8" s="137"/>
      <c r="X8" s="135"/>
      <c r="Y8" s="173"/>
    </row>
    <row r="9" spans="1:25 16368:16380" x14ac:dyDescent="0.25">
      <c r="A9" s="324" t="str">
        <f>'Formulario OM'!A9</f>
        <v>SUBÍNDICE</v>
      </c>
      <c r="B9" s="136"/>
      <c r="C9" s="137"/>
      <c r="D9" s="137"/>
      <c r="E9" s="137"/>
      <c r="F9" s="137"/>
      <c r="G9" s="137" t="str">
        <f>'Formulario OM'!G9</f>
        <v xml:space="preserve">Descripción: </v>
      </c>
      <c r="H9" s="462"/>
      <c r="I9" s="462"/>
      <c r="J9" s="462"/>
      <c r="K9" s="462"/>
      <c r="L9" s="462"/>
      <c r="M9" s="462"/>
      <c r="N9" s="147"/>
      <c r="O9" s="149"/>
      <c r="P9" s="138"/>
      <c r="Q9" s="138"/>
      <c r="R9" s="147"/>
      <c r="S9" s="147"/>
      <c r="T9" s="147"/>
      <c r="U9" s="147"/>
      <c r="V9" s="137"/>
      <c r="W9" s="137"/>
      <c r="X9" s="139"/>
      <c r="Y9" s="330"/>
    </row>
    <row r="10" spans="1:25 16368:16380" ht="6" customHeight="1" x14ac:dyDescent="0.25">
      <c r="A10" s="35"/>
      <c r="B10" s="131"/>
      <c r="C10" s="132"/>
      <c r="D10" s="132"/>
      <c r="E10" s="132"/>
      <c r="F10" s="132"/>
      <c r="G10" s="132"/>
      <c r="H10" s="133">
        <f>'Datos VF'!H3</f>
        <v>8</v>
      </c>
      <c r="I10" s="134"/>
      <c r="J10" s="134"/>
      <c r="K10" s="134"/>
      <c r="L10" s="134"/>
      <c r="M10" s="134"/>
      <c r="N10" s="134"/>
      <c r="O10" s="134"/>
      <c r="P10" s="134"/>
      <c r="Q10" s="134"/>
      <c r="R10" s="134"/>
      <c r="S10" s="134"/>
      <c r="T10" s="133"/>
      <c r="U10" s="133"/>
      <c r="V10" s="133"/>
      <c r="W10" s="133"/>
      <c r="X10" s="135"/>
      <c r="Y10" s="173"/>
    </row>
    <row r="11" spans="1:25 16368:16380" x14ac:dyDescent="0.25">
      <c r="A11" s="324" t="str">
        <f>'Formulario OM'!A11</f>
        <v xml:space="preserve">SALTO LÍNEA </v>
      </c>
      <c r="B11" s="136"/>
      <c r="C11" s="137"/>
      <c r="D11" s="137"/>
      <c r="E11" s="137"/>
      <c r="F11" s="137"/>
      <c r="G11" s="137" t="str">
        <f>'Formulario OM'!G11</f>
        <v xml:space="preserve">Enunciado de la pregunta: </v>
      </c>
      <c r="H11" s="469"/>
      <c r="I11" s="469"/>
      <c r="J11" s="469"/>
      <c r="K11" s="469"/>
      <c r="L11" s="469"/>
      <c r="M11" s="469"/>
      <c r="N11" s="469"/>
      <c r="O11" s="469"/>
      <c r="P11" s="469"/>
      <c r="Q11" s="469"/>
      <c r="R11" s="469"/>
      <c r="S11" s="469"/>
      <c r="T11" s="469"/>
      <c r="U11" s="469"/>
      <c r="V11" s="469"/>
      <c r="W11" s="469"/>
      <c r="X11" s="139"/>
      <c r="Y11" s="330"/>
    </row>
    <row r="12" spans="1:25 16368:16380" ht="6" customHeight="1" thickBot="1" x14ac:dyDescent="0.3">
      <c r="A12" s="2"/>
      <c r="B12" s="131"/>
      <c r="C12" s="132"/>
      <c r="D12" s="132"/>
      <c r="E12" s="132"/>
      <c r="F12" s="132"/>
      <c r="G12" s="132"/>
      <c r="H12" s="133">
        <f>H10+1</f>
        <v>9</v>
      </c>
      <c r="I12" s="134"/>
      <c r="J12" s="134"/>
      <c r="K12" s="134"/>
      <c r="L12" s="134"/>
      <c r="M12" s="134"/>
      <c r="N12" s="134"/>
      <c r="O12" s="134"/>
      <c r="P12" s="134"/>
      <c r="Q12" s="134"/>
      <c r="R12" s="134"/>
      <c r="S12" s="134"/>
      <c r="T12" s="133">
        <f>H12+1</f>
        <v>10</v>
      </c>
      <c r="U12" s="133"/>
      <c r="V12" s="133"/>
      <c r="W12" s="133"/>
      <c r="X12" s="135"/>
      <c r="Y12" s="173"/>
    </row>
    <row r="13" spans="1:25 16368:16380" x14ac:dyDescent="0.25">
      <c r="A13" s="324" t="str">
        <f>'Formulario OM'!A13</f>
        <v>CONCATENAR</v>
      </c>
      <c r="B13" s="136"/>
      <c r="C13" s="137"/>
      <c r="D13" s="137"/>
      <c r="E13" s="137"/>
      <c r="F13" s="137"/>
      <c r="G13" s="137" t="str">
        <f>'Formulario OM'!G13</f>
        <v xml:space="preserve">Respuesta correcta: </v>
      </c>
      <c r="H13" s="469"/>
      <c r="I13" s="469"/>
      <c r="J13" s="469"/>
      <c r="K13" s="469"/>
      <c r="L13" s="469"/>
      <c r="M13" s="469"/>
      <c r="N13" s="469"/>
      <c r="O13" s="469"/>
      <c r="P13" s="138"/>
      <c r="Q13" s="138"/>
      <c r="R13" s="137"/>
      <c r="S13" s="137" t="str">
        <f>'Formulario OM'!S13</f>
        <v xml:space="preserve">Retroalimentación: </v>
      </c>
      <c r="T13" s="462"/>
      <c r="U13" s="462"/>
      <c r="V13" s="462"/>
      <c r="W13" s="462"/>
      <c r="X13" s="139"/>
      <c r="Y13" s="177"/>
    </row>
    <row r="14" spans="1:25 16368:16380" ht="6" customHeight="1" x14ac:dyDescent="0.25">
      <c r="B14" s="131"/>
      <c r="C14" s="132"/>
      <c r="D14" s="132"/>
      <c r="E14" s="132"/>
      <c r="F14" s="132"/>
      <c r="G14" s="132"/>
      <c r="H14" s="133">
        <f>H12+1</f>
        <v>10</v>
      </c>
      <c r="I14" s="134"/>
      <c r="J14" s="134"/>
      <c r="K14" s="134"/>
      <c r="L14" s="134"/>
      <c r="M14" s="134"/>
      <c r="N14" s="134"/>
      <c r="O14" s="134"/>
      <c r="P14" s="134"/>
      <c r="Q14" s="134"/>
      <c r="R14" s="134"/>
      <c r="S14" s="134"/>
      <c r="T14" s="133">
        <f>T12+1</f>
        <v>11</v>
      </c>
      <c r="U14" s="133"/>
      <c r="V14" s="133"/>
      <c r="W14" s="133"/>
      <c r="X14" s="135"/>
      <c r="Y14" s="173"/>
    </row>
    <row r="15" spans="1:25 16368:16380" x14ac:dyDescent="0.25">
      <c r="B15" s="136"/>
      <c r="C15" s="137"/>
      <c r="D15" s="137"/>
      <c r="E15" s="137"/>
      <c r="F15" s="137"/>
      <c r="G15" s="137"/>
      <c r="H15" s="133">
        <f t="shared" ref="H15:H16" si="0">H13+1</f>
        <v>1</v>
      </c>
      <c r="I15" s="134"/>
      <c r="J15" s="134"/>
      <c r="K15" s="134"/>
      <c r="L15" s="134"/>
      <c r="M15" s="134"/>
      <c r="N15" s="134"/>
      <c r="O15" s="134"/>
      <c r="P15" s="138"/>
      <c r="Q15" s="138"/>
      <c r="R15" s="137"/>
      <c r="S15" s="137" t="s">
        <v>70</v>
      </c>
      <c r="T15" s="462"/>
      <c r="U15" s="462"/>
      <c r="V15" s="462"/>
      <c r="W15" s="462"/>
      <c r="X15" s="139"/>
      <c r="Y15" s="330"/>
    </row>
    <row r="16" spans="1:25 16368:16380" ht="6" customHeight="1" thickBot="1" x14ac:dyDescent="0.3">
      <c r="B16" s="131"/>
      <c r="C16" s="132"/>
      <c r="D16" s="132"/>
      <c r="E16" s="132"/>
      <c r="F16" s="132"/>
      <c r="G16" s="132"/>
      <c r="H16" s="133">
        <f t="shared" si="0"/>
        <v>11</v>
      </c>
      <c r="I16" s="134"/>
      <c r="J16" s="134"/>
      <c r="K16" s="134"/>
      <c r="L16" s="134"/>
      <c r="M16" s="134"/>
      <c r="N16" s="134"/>
      <c r="O16" s="134"/>
      <c r="P16" s="134"/>
      <c r="Q16" s="134"/>
      <c r="R16" s="134"/>
      <c r="S16" s="134"/>
      <c r="T16" s="133"/>
      <c r="U16" s="133"/>
      <c r="V16" s="133"/>
      <c r="W16" s="133"/>
      <c r="X16" s="135"/>
      <c r="Y16" s="173"/>
    </row>
    <row r="17" spans="1:26 16368:16368" ht="15" customHeight="1" x14ac:dyDescent="0.25">
      <c r="A17" s="440" t="str">
        <f>'Formulario OM'!A17</f>
        <v>USAR DATOS
VARIABLES</v>
      </c>
      <c r="B17" s="136"/>
      <c r="C17" s="137"/>
      <c r="D17" s="137"/>
      <c r="E17" s="137"/>
      <c r="F17" s="137"/>
      <c r="G17" s="137"/>
      <c r="H17" s="133"/>
      <c r="I17" s="134"/>
      <c r="J17" s="134"/>
      <c r="K17" s="134"/>
      <c r="L17" s="134"/>
      <c r="M17" s="134"/>
      <c r="N17" s="134"/>
      <c r="O17" s="134"/>
      <c r="P17" s="138"/>
      <c r="Q17" s="138"/>
      <c r="R17" s="137"/>
      <c r="S17" s="137"/>
      <c r="T17" s="137"/>
      <c r="U17" s="137"/>
      <c r="V17" s="137"/>
      <c r="W17" s="137"/>
      <c r="X17" s="139"/>
      <c r="Y17" s="330"/>
    </row>
    <row r="18" spans="1:26 16368:16368" ht="6" customHeight="1" x14ac:dyDescent="0.25">
      <c r="A18" s="441">
        <f>'Formulario OM'!A18</f>
        <v>0</v>
      </c>
      <c r="B18" s="131"/>
      <c r="C18" s="132"/>
      <c r="D18" s="132"/>
      <c r="E18" s="132"/>
      <c r="F18" s="132"/>
      <c r="G18" s="132"/>
      <c r="H18" s="133"/>
      <c r="I18" s="134"/>
      <c r="J18" s="134"/>
      <c r="K18" s="134"/>
      <c r="L18" s="134"/>
      <c r="M18" s="134"/>
      <c r="N18" s="134"/>
      <c r="O18" s="134"/>
      <c r="P18" s="134"/>
      <c r="Q18" s="134"/>
      <c r="R18" s="134"/>
      <c r="S18" s="134"/>
      <c r="T18" s="137"/>
      <c r="U18" s="137"/>
      <c r="V18" s="137"/>
      <c r="W18" s="137"/>
      <c r="X18" s="135"/>
      <c r="Y18" s="173"/>
    </row>
    <row r="19" spans="1:26 16368:16368" ht="15.75" thickBot="1" x14ac:dyDescent="0.3">
      <c r="A19" s="442">
        <f>'Formulario OM'!A19</f>
        <v>0</v>
      </c>
      <c r="B19" s="136"/>
      <c r="C19" s="137"/>
      <c r="D19" s="137"/>
      <c r="E19" s="137"/>
      <c r="F19" s="137"/>
      <c r="G19" s="137"/>
      <c r="H19" s="133"/>
      <c r="I19" s="134"/>
      <c r="J19" s="134"/>
      <c r="K19" s="134"/>
      <c r="L19" s="134"/>
      <c r="M19" s="134"/>
      <c r="N19" s="134"/>
      <c r="O19" s="134"/>
      <c r="P19" s="138"/>
      <c r="Q19" s="138"/>
      <c r="R19" s="137"/>
      <c r="S19" s="137"/>
      <c r="T19" s="137"/>
      <c r="U19" s="137"/>
      <c r="V19" s="137"/>
      <c r="W19" s="137"/>
      <c r="X19" s="139"/>
      <c r="Y19" s="330"/>
    </row>
    <row r="20" spans="1:26 16368:16368" ht="6" customHeight="1" x14ac:dyDescent="0.25">
      <c r="A20" s="326"/>
      <c r="B20" s="131"/>
      <c r="C20" s="132"/>
      <c r="D20" s="132"/>
      <c r="E20" s="132"/>
      <c r="F20" s="132"/>
      <c r="G20" s="132"/>
      <c r="H20" s="133"/>
      <c r="I20" s="134"/>
      <c r="J20" s="134"/>
      <c r="K20" s="134"/>
      <c r="L20" s="134"/>
      <c r="M20" s="134"/>
      <c r="N20" s="134"/>
      <c r="O20" s="134"/>
      <c r="P20" s="134"/>
      <c r="Q20" s="134"/>
      <c r="R20" s="134"/>
      <c r="S20" s="134"/>
      <c r="T20" s="137"/>
      <c r="U20" s="137"/>
      <c r="V20" s="137"/>
      <c r="W20" s="137"/>
      <c r="X20" s="135"/>
      <c r="Y20" s="173"/>
    </row>
    <row r="21" spans="1:26 16368:16368" x14ac:dyDescent="0.25">
      <c r="A21" s="324" t="str">
        <f>'Formulario OM'!A21</f>
        <v>ACTIVAR</v>
      </c>
      <c r="B21" s="136"/>
      <c r="C21" s="137"/>
      <c r="D21" s="137"/>
      <c r="E21" s="137"/>
      <c r="F21" s="137"/>
      <c r="G21" s="137"/>
      <c r="H21" s="133"/>
      <c r="I21" s="134"/>
      <c r="J21" s="134"/>
      <c r="K21" s="134"/>
      <c r="L21" s="134"/>
      <c r="M21" s="134"/>
      <c r="N21" s="134"/>
      <c r="O21" s="134"/>
      <c r="P21" s="138"/>
      <c r="Q21" s="138"/>
      <c r="R21" s="137"/>
      <c r="S21" s="137"/>
      <c r="T21" s="137"/>
      <c r="U21" s="137"/>
      <c r="V21" s="137"/>
      <c r="W21" s="137"/>
      <c r="X21" s="139"/>
      <c r="Y21" s="330"/>
      <c r="XEN21" s="4" t="str">
        <f>IFERROR(IF(VLOOKUP($L$6,'Datos VF'!$A$7:$AJ$500,XEN20)="","",VLOOKUP($L$6,'Datos VF'!$A$7:$AJ$500,XEN20,0)),"")</f>
        <v/>
      </c>
    </row>
    <row r="22" spans="1:26 16368:16368" ht="6" customHeight="1" thickBot="1" x14ac:dyDescent="0.3">
      <c r="A22" s="2"/>
      <c r="B22" s="131"/>
      <c r="C22" s="132"/>
      <c r="D22" s="132"/>
      <c r="E22" s="132"/>
      <c r="F22" s="132"/>
      <c r="G22" s="132"/>
      <c r="H22" s="133"/>
      <c r="I22" s="134"/>
      <c r="J22" s="134"/>
      <c r="K22" s="134"/>
      <c r="L22" s="134"/>
      <c r="M22" s="134"/>
      <c r="N22" s="134"/>
      <c r="O22" s="134"/>
      <c r="P22" s="134"/>
      <c r="Q22" s="134"/>
      <c r="R22" s="134"/>
      <c r="S22" s="134"/>
      <c r="T22" s="137"/>
      <c r="U22" s="137"/>
      <c r="V22" s="137"/>
      <c r="W22" s="137"/>
      <c r="X22" s="135"/>
      <c r="Y22" s="173"/>
      <c r="Z22" s="32"/>
    </row>
    <row r="23" spans="1:26 16368:16368" x14ac:dyDescent="0.25">
      <c r="A23" s="324" t="str">
        <f>'Formulario OM'!A23</f>
        <v>DESACTIVAR</v>
      </c>
      <c r="B23" s="136"/>
      <c r="C23" s="137"/>
      <c r="D23" s="137"/>
      <c r="E23" s="137"/>
      <c r="F23" s="137"/>
      <c r="G23" s="137"/>
      <c r="H23" s="133"/>
      <c r="I23" s="134"/>
      <c r="J23" s="134"/>
      <c r="K23" s="134"/>
      <c r="L23" s="134"/>
      <c r="M23" s="134"/>
      <c r="N23" s="134"/>
      <c r="O23" s="134"/>
      <c r="P23" s="138"/>
      <c r="Q23" s="138"/>
      <c r="R23" s="137"/>
      <c r="S23" s="137"/>
      <c r="T23" s="137"/>
      <c r="U23" s="137"/>
      <c r="V23" s="137"/>
      <c r="W23" s="137"/>
      <c r="X23" s="139"/>
      <c r="Y23" s="330"/>
      <c r="Z23" s="32"/>
      <c r="XEN23" s="4" t="str">
        <f>IFERROR(IF(VLOOKUP($L$6,'Datos VF'!$A$7:$AJ$500,XEN22)="","",VLOOKUP($L$6,'Datos VF'!$A$7:$AJ$500,XEN22,0)),"")</f>
        <v/>
      </c>
    </row>
    <row r="24" spans="1:26 16368:16368" ht="6" customHeight="1" thickBot="1" x14ac:dyDescent="0.3">
      <c r="B24" s="136"/>
      <c r="C24" s="137"/>
      <c r="D24" s="137"/>
      <c r="E24" s="137"/>
      <c r="F24" s="137"/>
      <c r="G24" s="137"/>
      <c r="H24" s="133"/>
      <c r="I24" s="134"/>
      <c r="J24" s="134"/>
      <c r="K24" s="134"/>
      <c r="L24" s="134"/>
      <c r="M24" s="134"/>
      <c r="N24" s="134"/>
      <c r="O24" s="134"/>
      <c r="P24" s="137"/>
      <c r="Q24" s="137"/>
      <c r="R24" s="137"/>
      <c r="S24" s="137"/>
      <c r="T24" s="137"/>
      <c r="U24" s="137"/>
      <c r="V24" s="137"/>
      <c r="W24" s="137"/>
      <c r="X24" s="139"/>
      <c r="Y24" s="177"/>
      <c r="Z24" s="32"/>
    </row>
    <row r="25" spans="1:26 16368:16368" ht="15" customHeight="1" x14ac:dyDescent="0.25">
      <c r="A25" s="440" t="str">
        <f>'Formulario OM'!A25</f>
        <v>INSERTAR IMÁGENES</v>
      </c>
      <c r="B25" s="136"/>
      <c r="C25" s="137"/>
      <c r="D25" s="137"/>
      <c r="E25" s="137"/>
      <c r="F25" s="137"/>
      <c r="G25" s="137"/>
      <c r="H25" s="137"/>
      <c r="I25" s="137"/>
      <c r="J25" s="137"/>
      <c r="K25" s="137"/>
      <c r="L25" s="137"/>
      <c r="M25" s="137"/>
      <c r="N25" s="137"/>
      <c r="O25" s="137"/>
      <c r="P25" s="137"/>
      <c r="Q25" s="137"/>
      <c r="R25" s="137"/>
      <c r="S25" s="137"/>
      <c r="T25" s="137"/>
      <c r="U25" s="137"/>
      <c r="V25" s="137"/>
      <c r="W25" s="137"/>
      <c r="X25" s="139"/>
      <c r="Y25" s="330"/>
      <c r="Z25" s="32"/>
      <c r="XEN25" s="4" t="str">
        <f>IFERROR(IF(VLOOKUP($L$6,'Datos VF'!$A$7:$AJ$500,XEN24)="","",VLOOKUP($L$6,'Datos VF'!$A$7:$AJ$500,XEN24,0)),"")</f>
        <v/>
      </c>
    </row>
    <row r="26" spans="1:26 16368:16368" ht="6" customHeight="1" x14ac:dyDescent="0.25">
      <c r="A26" s="441">
        <f>'Formulario OM'!A26</f>
        <v>0</v>
      </c>
      <c r="B26" s="136"/>
      <c r="C26" s="140"/>
      <c r="D26" s="140"/>
      <c r="E26" s="140"/>
      <c r="F26" s="140"/>
      <c r="G26" s="137"/>
      <c r="H26" s="138"/>
      <c r="I26" s="138"/>
      <c r="J26" s="138"/>
      <c r="K26" s="138"/>
      <c r="L26" s="138"/>
      <c r="M26" s="138"/>
      <c r="N26" s="138"/>
      <c r="O26" s="138"/>
      <c r="P26" s="138"/>
      <c r="Q26" s="138"/>
      <c r="R26" s="138"/>
      <c r="S26" s="138"/>
      <c r="T26" s="138"/>
      <c r="U26" s="138"/>
      <c r="V26" s="138"/>
      <c r="W26" s="138"/>
      <c r="X26" s="139"/>
      <c r="Y26" s="173"/>
      <c r="Z26" s="32"/>
    </row>
    <row r="27" spans="1:26 16368:16368" ht="15" customHeight="1" thickBot="1" x14ac:dyDescent="0.3">
      <c r="A27" s="442">
        <f>'Formulario OM'!A27</f>
        <v>0</v>
      </c>
      <c r="B27" s="136"/>
      <c r="C27" s="140"/>
      <c r="D27" s="140"/>
      <c r="E27" s="140"/>
      <c r="F27" s="140"/>
      <c r="G27" s="137"/>
      <c r="H27" s="141"/>
      <c r="I27" s="138"/>
      <c r="J27" s="138"/>
      <c r="K27" s="138"/>
      <c r="L27" s="138"/>
      <c r="M27" s="138"/>
      <c r="N27" s="138"/>
      <c r="O27" s="138"/>
      <c r="P27" s="138"/>
      <c r="Q27" s="138"/>
      <c r="R27" s="138"/>
      <c r="S27" s="138"/>
      <c r="T27" s="138"/>
      <c r="U27" s="138"/>
      <c r="V27" s="138"/>
      <c r="W27" s="138"/>
      <c r="X27" s="139"/>
      <c r="Y27" s="177"/>
      <c r="Z27" s="32"/>
      <c r="XEN27" s="4" t="str">
        <f>IFERROR(IF(VLOOKUP($L$6,'Datos VF'!$A$7:$AJ$500,XEN26)="","",VLOOKUP($L$6,'Datos VF'!$A$7:$AJ$500,XEN26,0)),"")</f>
        <v/>
      </c>
    </row>
    <row r="28" spans="1:26 16368:16368" ht="6" customHeight="1" x14ac:dyDescent="0.25">
      <c r="B28" s="136"/>
      <c r="C28" s="140"/>
      <c r="D28" s="140"/>
      <c r="E28" s="140"/>
      <c r="F28" s="140"/>
      <c r="G28" s="137"/>
      <c r="H28" s="133">
        <f>'Datos VF'!AG3</f>
        <v>33</v>
      </c>
      <c r="I28" s="138"/>
      <c r="J28" s="138"/>
      <c r="K28" s="138"/>
      <c r="L28" s="138"/>
      <c r="M28" s="138"/>
      <c r="N28" s="138"/>
      <c r="O28" s="138"/>
      <c r="P28" s="138"/>
      <c r="Q28" s="138"/>
      <c r="R28" s="138"/>
      <c r="S28" s="138"/>
      <c r="T28" s="138"/>
      <c r="U28" s="138"/>
      <c r="V28" s="138"/>
      <c r="W28" s="138"/>
      <c r="X28" s="139"/>
      <c r="Y28" s="173"/>
      <c r="Z28" s="32"/>
    </row>
    <row r="29" spans="1:26 16368:16368" x14ac:dyDescent="0.25">
      <c r="B29" s="136"/>
      <c r="C29" s="137"/>
      <c r="D29" s="137"/>
      <c r="E29" s="137"/>
      <c r="F29" s="137"/>
      <c r="G29" s="137" t="str">
        <f>'Formulario OM'!G29</f>
        <v xml:space="preserve">Pista 1: </v>
      </c>
      <c r="H29" s="462"/>
      <c r="I29" s="462"/>
      <c r="J29" s="462"/>
      <c r="K29" s="462"/>
      <c r="L29" s="462"/>
      <c r="M29" s="462"/>
      <c r="N29" s="462"/>
      <c r="O29" s="462"/>
      <c r="P29" s="462"/>
      <c r="Q29" s="138"/>
      <c r="R29" s="307"/>
      <c r="S29" s="307"/>
      <c r="T29" s="307"/>
      <c r="U29" s="307"/>
      <c r="V29" s="307"/>
      <c r="W29" s="307"/>
      <c r="X29" s="308"/>
      <c r="Y29" s="177"/>
      <c r="Z29" s="32"/>
    </row>
    <row r="30" spans="1:26 16368:16368" ht="6" customHeight="1" x14ac:dyDescent="0.25">
      <c r="B30" s="136"/>
      <c r="C30" s="140"/>
      <c r="D30" s="140"/>
      <c r="E30" s="140"/>
      <c r="F30" s="140"/>
      <c r="G30" s="137"/>
      <c r="H30" s="142">
        <f>H28+1</f>
        <v>34</v>
      </c>
      <c r="I30" s="143"/>
      <c r="J30" s="143"/>
      <c r="K30" s="143"/>
      <c r="L30" s="143"/>
      <c r="M30" s="143"/>
      <c r="N30" s="143"/>
      <c r="O30" s="143"/>
      <c r="P30" s="143"/>
      <c r="Q30" s="138"/>
      <c r="R30" s="307"/>
      <c r="S30" s="418"/>
      <c r="T30" s="418"/>
      <c r="U30" s="418"/>
      <c r="V30" s="418"/>
      <c r="W30" s="418"/>
      <c r="X30" s="419"/>
      <c r="Y30" s="173"/>
      <c r="Z30" s="32"/>
    </row>
    <row r="31" spans="1:26 16368:16368" x14ac:dyDescent="0.25">
      <c r="B31" s="136"/>
      <c r="C31" s="137"/>
      <c r="D31" s="137"/>
      <c r="E31" s="137"/>
      <c r="F31" s="137"/>
      <c r="G31" s="137" t="str">
        <f>'Formulario OM'!G31</f>
        <v xml:space="preserve">Pista 2: </v>
      </c>
      <c r="H31" s="462"/>
      <c r="I31" s="462"/>
      <c r="J31" s="462"/>
      <c r="K31" s="462"/>
      <c r="L31" s="462"/>
      <c r="M31" s="462"/>
      <c r="N31" s="462"/>
      <c r="O31" s="462"/>
      <c r="P31" s="462"/>
      <c r="Q31" s="138"/>
      <c r="R31" s="307"/>
      <c r="S31" s="418"/>
      <c r="T31" s="418"/>
      <c r="U31" s="418"/>
      <c r="V31" s="418"/>
      <c r="W31" s="418"/>
      <c r="X31" s="419"/>
      <c r="Y31" s="177"/>
      <c r="Z31" s="32"/>
    </row>
    <row r="32" spans="1:26 16368:16368" ht="6" customHeight="1" x14ac:dyDescent="0.25">
      <c r="B32" s="136"/>
      <c r="C32" s="140"/>
      <c r="D32" s="140"/>
      <c r="E32" s="140"/>
      <c r="F32" s="140"/>
      <c r="G32" s="137"/>
      <c r="H32" s="142">
        <f>H30+1</f>
        <v>35</v>
      </c>
      <c r="I32" s="143"/>
      <c r="J32" s="143"/>
      <c r="K32" s="143"/>
      <c r="L32" s="143"/>
      <c r="M32" s="143"/>
      <c r="N32" s="143"/>
      <c r="O32" s="143"/>
      <c r="P32" s="143"/>
      <c r="Q32" s="138"/>
      <c r="R32" s="307"/>
      <c r="S32" s="418"/>
      <c r="T32" s="418"/>
      <c r="U32" s="418"/>
      <c r="V32" s="418"/>
      <c r="W32" s="418"/>
      <c r="X32" s="419"/>
      <c r="Y32" s="173"/>
    </row>
    <row r="33" spans="1:25" x14ac:dyDescent="0.25">
      <c r="B33" s="136"/>
      <c r="C33" s="137"/>
      <c r="D33" s="137"/>
      <c r="E33" s="137"/>
      <c r="F33" s="137"/>
      <c r="G33" s="137" t="str">
        <f>'Formulario OM'!G33</f>
        <v xml:space="preserve">Pista 3: </v>
      </c>
      <c r="H33" s="462"/>
      <c r="I33" s="462"/>
      <c r="J33" s="462"/>
      <c r="K33" s="462"/>
      <c r="L33" s="462"/>
      <c r="M33" s="462"/>
      <c r="N33" s="462"/>
      <c r="O33" s="462"/>
      <c r="P33" s="462"/>
      <c r="Q33" s="138"/>
      <c r="R33" s="307"/>
      <c r="S33" s="418"/>
      <c r="T33" s="418"/>
      <c r="U33" s="418"/>
      <c r="V33" s="418"/>
      <c r="W33" s="418"/>
      <c r="X33" s="419"/>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8"/>
      <c r="T34" s="418"/>
      <c r="U34" s="418"/>
      <c r="V34" s="418"/>
      <c r="W34" s="418"/>
      <c r="X34" s="419"/>
      <c r="Y34" s="173"/>
    </row>
    <row r="35" spans="1:25" x14ac:dyDescent="0.25">
      <c r="B35" s="136"/>
      <c r="C35" s="137"/>
      <c r="D35" s="137"/>
      <c r="E35" s="137"/>
      <c r="F35" s="137"/>
      <c r="G35" s="137" t="str">
        <f>'Formulario OM'!G35</f>
        <v xml:space="preserve">Pista 4: </v>
      </c>
      <c r="H35" s="462"/>
      <c r="I35" s="462"/>
      <c r="J35" s="462"/>
      <c r="K35" s="462"/>
      <c r="L35" s="462"/>
      <c r="M35" s="462"/>
      <c r="N35" s="462"/>
      <c r="O35" s="462"/>
      <c r="P35" s="462"/>
      <c r="Q35" s="138"/>
      <c r="R35" s="307"/>
      <c r="S35" s="418"/>
      <c r="T35" s="418"/>
      <c r="U35" s="418"/>
      <c r="V35" s="418"/>
      <c r="W35" s="418"/>
      <c r="X35" s="419"/>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0"/>
      <c r="T36" s="420"/>
      <c r="U36" s="420"/>
      <c r="V36" s="420"/>
      <c r="W36" s="420"/>
      <c r="X36" s="421"/>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ZKeud5BPnlxfXfGCzPZcpIbHiQrD2RWD7PBit3SdXTruENHx68tnzdDSAAZTmDNahTXrUunMfCuGw36H16SWSA==" saltValue="k+6KKXdTsFjWJlYfPGQ2oA==" spinCount="100000" sheet="1" objects="1" scenarios="1" selectLockedCells="1"/>
  <mergeCells count="23">
    <mergeCell ref="B1:K3"/>
    <mergeCell ref="A1:A3"/>
    <mergeCell ref="S30:X36"/>
    <mergeCell ref="A17:A19"/>
    <mergeCell ref="Y1:Y3"/>
    <mergeCell ref="R2:S2"/>
    <mergeCell ref="P2:Q2"/>
    <mergeCell ref="N2:O2"/>
    <mergeCell ref="L2:M2"/>
    <mergeCell ref="V2:W2"/>
    <mergeCell ref="T2:U2"/>
    <mergeCell ref="H33:P33"/>
    <mergeCell ref="H35:P35"/>
    <mergeCell ref="H29:P29"/>
    <mergeCell ref="H31:P31"/>
    <mergeCell ref="T15:W15"/>
    <mergeCell ref="A25:A27"/>
    <mergeCell ref="R5:W5"/>
    <mergeCell ref="H7:N7"/>
    <mergeCell ref="H11:W11"/>
    <mergeCell ref="H13:O13"/>
    <mergeCell ref="T13:W13"/>
    <mergeCell ref="H9:M9"/>
  </mergeCells>
  <dataValidations xWindow="118" yWindow="645" count="11">
    <dataValidation type="whole" allowBlank="1" showInputMessage="1" showErrorMessage="1" sqref="H5">
      <formula1>1</formula1>
      <formula2>1000</formula2>
    </dataValidation>
    <dataValidation type="list" allowBlank="1" showInputMessage="1" showErrorMessage="1" promptTitle="Respuestas" prompt="Escribe VERDADERO o FALSO" sqref="H13:O13">
      <formula1>"VERDADERO,FALSO"</formula1>
    </dataValidation>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Descripción" prompt="Escirbe lo que quieras que aparezca en el NOMBRE de la pregunta. Éste se formará con el PREFIJO puesto en Datos Generales + el número de la pregunta + la Descripción." sqref="H9:M9"/>
    <dataValidation allowBlank="1" showInputMessage="1" showErrorMessage="1" promptTitle="Enunciado de la pregunta" prompt="Escribe el enunciado de la pregunta. Si quieres poner CÓDIGOS ESPECIALES, pincha F2 o haz &quot;clic&quot; dos veces con el ratón." sqref="H11:W11"/>
    <dataValidation allowBlank="1" showInputMessage="1" showErrorMessage="1" promptTitle="Retroalimentación" prompt="Escribe el comentario que quieres que aparezca para la respuesta correcta" sqref="T13:W13"/>
    <dataValidation allowBlank="1" showInputMessage="1" showErrorMessage="1" promptTitle="Retroalimentación" prompt="Escribe el comentario que quieres que aparezca para la respuesta incorrecta." sqref="T15:W15"/>
    <dataValidation allowBlank="1" showInputMessage="1" showErrorMessage="1" promptTitle="Pista 1" prompt="Comentario que aparecerá si configuras MOODLE para que pueda dar pistas cuando se dejen más de un intento." sqref="H29:P29"/>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4" prompt="Comentario que aparecerá si configuras MOODLE para que pueda dar pistas cuando se dejen más de un intento." sqref="H35:P35"/>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0241" r:id="rId6" name="Spinner 1">
              <controlPr defaultSize="0" print="0" autoPict="0" macro="[0]!Ver_Datos_Preguntas" altText="Para consultar los datos de cada pregunta.">
                <anchor moveWithCells="1" sizeWithCells="1">
                  <from>
                    <xdr:col>11</xdr:col>
                    <xdr:colOff>381000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0242"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0243"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tabColor rgb="FFE87B00"/>
    <pageSetUpPr autoPageBreaks="0" fitToPage="1"/>
  </sheetPr>
  <dimension ref="A1:AM508"/>
  <sheetViews>
    <sheetView showGridLines="0" showRowColHeaders="0" topLeftCell="B2" zoomScale="145" zoomScaleNormal="145" workbookViewId="0">
      <pane xSplit="7" ySplit="5" topLeftCell="I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5703125" style="14" hidden="1" customWidth="1"/>
    <col min="2" max="2" width="8.7109375" style="29" customWidth="1"/>
    <col min="3" max="3" width="4.85546875" style="14" hidden="1" customWidth="1"/>
    <col min="4" max="4" width="3.42578125" style="14" hidden="1" customWidth="1"/>
    <col min="5" max="5" width="5.28515625" style="30" hidden="1" customWidth="1"/>
    <col min="6" max="6" width="5.7109375" style="30" hidden="1" customWidth="1"/>
    <col min="7" max="7" width="11.28515625" style="30" customWidth="1"/>
    <col min="8" max="8" width="64.5703125" style="14" customWidth="1"/>
    <col min="9" max="11" width="12.5703125" style="14" customWidth="1"/>
    <col min="12" max="14" width="12.5703125" style="14" hidden="1" customWidth="1"/>
    <col min="15" max="32" width="14.28515625" style="14" hidden="1" customWidth="1"/>
    <col min="33" max="16384" width="11.42578125" style="14"/>
  </cols>
  <sheetData>
    <row r="1" spans="1:39" hidden="1" x14ac:dyDescent="0.25">
      <c r="A1" s="12">
        <f>MAX(A7:A500)</f>
        <v>21</v>
      </c>
      <c r="B1" s="13" t="str">
        <f>B5</f>
        <v>T01 - 00</v>
      </c>
      <c r="C1" s="13">
        <f t="shared" ref="C1:K1" si="0">C6</f>
        <v>0</v>
      </c>
      <c r="D1" s="13">
        <f t="shared" si="0"/>
        <v>0</v>
      </c>
      <c r="E1" s="13">
        <f t="shared" si="0"/>
        <v>0</v>
      </c>
      <c r="F1" s="13">
        <f t="shared" si="0"/>
        <v>0</v>
      </c>
      <c r="G1" s="13" t="str">
        <f t="shared" si="0"/>
        <v>Descrip.
Pregunta</v>
      </c>
      <c r="H1" s="13" t="str">
        <f t="shared" si="0"/>
        <v>Enunciado  | FastTest PlugIn - Verdadero Falso</v>
      </c>
      <c r="I1" s="13" t="str">
        <f t="shared" si="0"/>
        <v>a</v>
      </c>
      <c r="J1" s="13" t="str">
        <f t="shared" si="0"/>
        <v>Retroal. 1</v>
      </c>
      <c r="K1" s="13" t="str">
        <f t="shared" si="0"/>
        <v>Retroal. 2</v>
      </c>
      <c r="L1" s="13">
        <f t="shared" ref="L1:AJ1" si="1">L6</f>
        <v>0</v>
      </c>
      <c r="M1" s="13">
        <f t="shared" si="1"/>
        <v>0</v>
      </c>
      <c r="N1" s="13">
        <f t="shared" si="1"/>
        <v>0</v>
      </c>
      <c r="O1" s="13">
        <f t="shared" si="1"/>
        <v>0</v>
      </c>
      <c r="P1" s="13">
        <f t="shared" si="1"/>
        <v>0</v>
      </c>
      <c r="Q1" s="13">
        <f t="shared" si="1"/>
        <v>0</v>
      </c>
      <c r="R1" s="13">
        <f t="shared" si="1"/>
        <v>0</v>
      </c>
      <c r="S1" s="13">
        <f t="shared" si="1"/>
        <v>0</v>
      </c>
      <c r="T1" s="13">
        <f t="shared" si="1"/>
        <v>0</v>
      </c>
      <c r="U1" s="13">
        <f t="shared" si="1"/>
        <v>0</v>
      </c>
      <c r="V1" s="13">
        <f t="shared" si="1"/>
        <v>0</v>
      </c>
      <c r="W1" s="13">
        <f t="shared" si="1"/>
        <v>0</v>
      </c>
      <c r="X1" s="13">
        <f t="shared" si="1"/>
        <v>0</v>
      </c>
      <c r="Y1" s="13">
        <f t="shared" si="1"/>
        <v>0</v>
      </c>
      <c r="Z1" s="13">
        <f t="shared" si="1"/>
        <v>0</v>
      </c>
      <c r="AA1" s="13">
        <f t="shared" si="1"/>
        <v>0</v>
      </c>
      <c r="AB1" s="13">
        <f t="shared" si="1"/>
        <v>0</v>
      </c>
      <c r="AC1" s="13">
        <f t="shared" si="1"/>
        <v>0</v>
      </c>
      <c r="AD1" s="13">
        <f t="shared" si="1"/>
        <v>0</v>
      </c>
      <c r="AE1" s="13">
        <f t="shared" si="1"/>
        <v>0</v>
      </c>
      <c r="AF1" s="13">
        <f t="shared" si="1"/>
        <v>0</v>
      </c>
      <c r="AG1" s="13" t="str">
        <f t="shared" si="1"/>
        <v>Pista 1</v>
      </c>
      <c r="AH1" s="13" t="str">
        <f t="shared" si="1"/>
        <v>Pista 2</v>
      </c>
      <c r="AI1" s="13" t="str">
        <f t="shared" si="1"/>
        <v>Pista 3</v>
      </c>
      <c r="AJ1" s="13" t="str">
        <f t="shared" si="1"/>
        <v>Pista 4</v>
      </c>
    </row>
    <row r="2" spans="1:39"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9" s="22" customFormat="1" ht="24" customHeight="1" x14ac:dyDescent="0.25">
      <c r="A3" s="19">
        <f>N_INICIAL</f>
        <v>0</v>
      </c>
      <c r="B3" s="405">
        <v>2</v>
      </c>
      <c r="C3" s="393">
        <f t="shared" ref="C3:K3" si="2">B3+1</f>
        <v>3</v>
      </c>
      <c r="D3" s="393">
        <f t="shared" si="2"/>
        <v>4</v>
      </c>
      <c r="E3" s="393">
        <f t="shared" si="2"/>
        <v>5</v>
      </c>
      <c r="F3" s="393">
        <f t="shared" si="2"/>
        <v>6</v>
      </c>
      <c r="G3" s="393">
        <f t="shared" si="2"/>
        <v>7</v>
      </c>
      <c r="H3" s="393">
        <f t="shared" si="2"/>
        <v>8</v>
      </c>
      <c r="I3" s="21">
        <f t="shared" si="2"/>
        <v>9</v>
      </c>
      <c r="J3" s="21">
        <f t="shared" si="2"/>
        <v>10</v>
      </c>
      <c r="K3" s="21">
        <f t="shared" si="2"/>
        <v>11</v>
      </c>
      <c r="L3" s="21">
        <f t="shared" ref="L3" si="3">K3+1</f>
        <v>12</v>
      </c>
      <c r="M3" s="21">
        <f t="shared" ref="M3" si="4">L3+1</f>
        <v>13</v>
      </c>
      <c r="N3" s="21">
        <f t="shared" ref="N3" si="5">M3+1</f>
        <v>14</v>
      </c>
      <c r="O3" s="21">
        <f t="shared" ref="O3" si="6">N3+1</f>
        <v>15</v>
      </c>
      <c r="P3" s="21">
        <f t="shared" ref="P3" si="7">O3+1</f>
        <v>16</v>
      </c>
      <c r="Q3" s="21">
        <f t="shared" ref="Q3" si="8">P3+1</f>
        <v>17</v>
      </c>
      <c r="R3" s="21">
        <f t="shared" ref="R3" si="9">Q3+1</f>
        <v>18</v>
      </c>
      <c r="S3" s="21">
        <f t="shared" ref="S3" si="10">R3+1</f>
        <v>19</v>
      </c>
      <c r="T3" s="21">
        <f t="shared" ref="T3" si="11">S3+1</f>
        <v>20</v>
      </c>
      <c r="U3" s="21">
        <f t="shared" ref="U3" si="12">T3+1</f>
        <v>21</v>
      </c>
      <c r="V3" s="21">
        <f t="shared" ref="V3" si="13">U3+1</f>
        <v>22</v>
      </c>
      <c r="W3" s="21">
        <f t="shared" ref="W3" si="14">V3+1</f>
        <v>23</v>
      </c>
      <c r="X3" s="21">
        <f t="shared" ref="X3" si="15">W3+1</f>
        <v>24</v>
      </c>
      <c r="Y3" s="21">
        <f t="shared" ref="Y3" si="16">X3+1</f>
        <v>25</v>
      </c>
      <c r="Z3" s="21">
        <f t="shared" ref="Z3" si="17">Y3+1</f>
        <v>26</v>
      </c>
      <c r="AA3" s="21">
        <f t="shared" ref="AA3" si="18">Z3+1</f>
        <v>27</v>
      </c>
      <c r="AB3" s="21">
        <f t="shared" ref="AB3" si="19">AA3+1</f>
        <v>28</v>
      </c>
      <c r="AC3" s="21">
        <f t="shared" ref="AC3" si="20">AB3+1</f>
        <v>29</v>
      </c>
      <c r="AD3" s="21">
        <f t="shared" ref="AD3" si="21">AC3+1</f>
        <v>30</v>
      </c>
      <c r="AE3" s="21">
        <f t="shared" ref="AE3" si="22">AD3+1</f>
        <v>31</v>
      </c>
      <c r="AF3" s="21">
        <f t="shared" ref="AF3" si="23">AE3+1</f>
        <v>32</v>
      </c>
      <c r="AG3" s="21">
        <f t="shared" ref="AG3" si="24">AF3+1</f>
        <v>33</v>
      </c>
      <c r="AH3" s="21">
        <f t="shared" ref="AH3" si="25">AG3+1</f>
        <v>34</v>
      </c>
      <c r="AI3" s="21">
        <f t="shared" ref="AI3" si="26">AH3+1</f>
        <v>35</v>
      </c>
      <c r="AJ3" s="21">
        <f t="shared" ref="AJ3" si="27">AI3+1</f>
        <v>36</v>
      </c>
    </row>
    <row r="4" spans="1:39" s="22" customFormat="1" x14ac:dyDescent="0.25">
      <c r="A4" s="19">
        <f>N_FINAL</f>
        <v>0</v>
      </c>
      <c r="B4" s="406"/>
      <c r="C4" s="407"/>
      <c r="D4" s="406"/>
      <c r="E4" s="396"/>
      <c r="F4" s="396"/>
      <c r="G4" s="397"/>
      <c r="H4" s="395" t="str">
        <f>'Datos OM'!E4</f>
        <v>DATOS GENERALES | Ir A FORMULARIO | Dar FORMATO</v>
      </c>
      <c r="I4" s="229">
        <f>COUNTA(H7:H500)</f>
        <v>0</v>
      </c>
      <c r="J4" s="336" t="str">
        <f>'Datos E'!$J$4</f>
        <v>Preguntas almacenadas</v>
      </c>
    </row>
    <row r="5" spans="1:39" s="257" customFormat="1" hidden="1" x14ac:dyDescent="0.25">
      <c r="A5" s="245">
        <v>0</v>
      </c>
      <c r="B5" s="243" t="str">
        <f>IF(A5="","",PREF_PREGUNTA&amp;" - "&amp;IF(MAX(A:A)&gt;99,IF(A5&lt;100,"0",""),"")&amp;IF(A5&lt;10,"0","")&amp;A5&amp;IF(G5&lt;&gt;""," "&amp;G5,""))</f>
        <v>T01 - 00</v>
      </c>
      <c r="C5" s="273"/>
      <c r="D5" s="246"/>
      <c r="E5" s="247"/>
      <c r="F5" s="247"/>
      <c r="G5" s="248" t="str">
        <f>IF('Formulario VF'!H9="","",'Formulario VF'!H9)</f>
        <v/>
      </c>
      <c r="H5" s="241" t="str">
        <f>IF('Formulario VF'!H11="","",'Formulario VF'!H11)</f>
        <v/>
      </c>
      <c r="I5" s="274" t="str">
        <f>IF('Formulario VF'!H13="","",'Formulario VF'!H13)</f>
        <v/>
      </c>
      <c r="J5" s="275">
        <f>'Formulario VF'!T13</f>
        <v>0</v>
      </c>
      <c r="K5" s="276">
        <f>'Formulario VF'!T15</f>
        <v>0</v>
      </c>
      <c r="L5" s="277"/>
      <c r="M5" s="278"/>
      <c r="N5" s="279"/>
      <c r="O5" s="274"/>
      <c r="P5" s="275"/>
      <c r="Q5" s="276"/>
      <c r="R5" s="277"/>
      <c r="S5" s="278"/>
      <c r="T5" s="279"/>
      <c r="U5" s="279"/>
      <c r="V5" s="279"/>
      <c r="W5" s="279"/>
      <c r="X5" s="279"/>
      <c r="Y5" s="279"/>
      <c r="Z5" s="279"/>
      <c r="AA5" s="279"/>
      <c r="AB5" s="279"/>
      <c r="AC5" s="279"/>
      <c r="AD5" s="279"/>
      <c r="AE5" s="279"/>
      <c r="AF5" s="279"/>
      <c r="AG5" s="280" t="str">
        <f>IF('Formulario VF'!H29="","",'Formulario VF'!H29)</f>
        <v/>
      </c>
      <c r="AH5" s="281" t="str">
        <f>IF('Formulario VF'!H31="","",'Formulario VF'!H31)</f>
        <v/>
      </c>
      <c r="AI5" s="282" t="str">
        <f>IF('Formulario VF'!H33="","",'Formulario VF'!H33)</f>
        <v/>
      </c>
      <c r="AJ5" s="283" t="str">
        <f>IF('Formulario VF'!H35="","",'Formulario VF'!H35)</f>
        <v/>
      </c>
    </row>
    <row r="6" spans="1:39" s="27" customFormat="1" ht="24.75" x14ac:dyDescent="0.25">
      <c r="A6" s="26">
        <v>0</v>
      </c>
      <c r="B6" s="337" t="str">
        <f>'Datos OM'!B6</f>
        <v>NOMBRE</v>
      </c>
      <c r="C6" s="61"/>
      <c r="D6" s="63"/>
      <c r="E6" s="55"/>
      <c r="F6" s="55"/>
      <c r="G6" s="64" t="str">
        <f>'Datos OM'!G6</f>
        <v>Descrip.
Pregunta</v>
      </c>
      <c r="H6" s="408" t="str">
        <f>"Enunciado  | "&amp;'Formulario VF'!B1</f>
        <v>Enunciado  | FastTest PlugIn - Verdadero Falso</v>
      </c>
      <c r="I6" s="359" t="str">
        <f>MID(T_R,1,1)</f>
        <v>a</v>
      </c>
      <c r="J6" s="360" t="s">
        <v>48</v>
      </c>
      <c r="K6" s="361" t="s">
        <v>49</v>
      </c>
      <c r="L6" s="362"/>
      <c r="M6" s="363"/>
      <c r="N6" s="364"/>
      <c r="O6" s="359"/>
      <c r="P6" s="360"/>
      <c r="Q6" s="361"/>
      <c r="R6" s="362"/>
      <c r="S6" s="363"/>
      <c r="T6" s="364"/>
      <c r="U6" s="364"/>
      <c r="V6" s="364"/>
      <c r="W6" s="364"/>
      <c r="X6" s="364"/>
      <c r="Y6" s="364"/>
      <c r="Z6" s="364"/>
      <c r="AA6" s="364"/>
      <c r="AB6" s="364"/>
      <c r="AC6" s="364"/>
      <c r="AD6" s="364"/>
      <c r="AE6" s="364"/>
      <c r="AF6" s="364"/>
      <c r="AG6" s="365" t="str">
        <f>'Datos OM'!AG6</f>
        <v>Pista 1</v>
      </c>
      <c r="AH6" s="366" t="str">
        <f>'Datos OM'!AH6</f>
        <v>Pista 2</v>
      </c>
      <c r="AI6" s="367" t="str">
        <f>'Datos OM'!AI6</f>
        <v>Pista 3</v>
      </c>
      <c r="AJ6" s="368" t="str">
        <f>'Datos OM'!AJ6</f>
        <v>Pista 4</v>
      </c>
    </row>
    <row r="7" spans="1:39" s="22" customFormat="1" x14ac:dyDescent="0.25">
      <c r="A7" s="34">
        <v>21</v>
      </c>
      <c r="B7" s="243" t="str">
        <f t="shared" ref="B7:B70" si="28">IF(A7="","",PREF_PREGUNTA&amp;" - "&amp;IF(MAX(A:A)&gt;99,IF(A7&lt;100,"0",""),"")&amp;IF(A7&lt;10,"0","")&amp;A7&amp;IF(G7&lt;&gt;""," "&amp;G7,""))</f>
        <v>T01 - 21</v>
      </c>
      <c r="C7" s="273"/>
      <c r="D7" s="246"/>
      <c r="E7" s="247"/>
      <c r="F7" s="247"/>
      <c r="G7" s="248"/>
      <c r="H7" s="241"/>
      <c r="I7" s="274"/>
      <c r="J7" s="275"/>
      <c r="K7" s="276"/>
      <c r="L7" s="277"/>
      <c r="M7" s="278"/>
      <c r="N7" s="279"/>
      <c r="O7" s="274"/>
      <c r="P7" s="275"/>
      <c r="Q7" s="276"/>
      <c r="R7" s="277"/>
      <c r="S7" s="278"/>
      <c r="T7" s="279"/>
      <c r="U7" s="279"/>
      <c r="V7" s="279"/>
      <c r="W7" s="279"/>
      <c r="X7" s="279"/>
      <c r="Y7" s="279"/>
      <c r="Z7" s="279"/>
      <c r="AA7" s="279"/>
      <c r="AB7" s="279"/>
      <c r="AC7" s="279"/>
      <c r="AD7" s="279"/>
      <c r="AE7" s="279"/>
      <c r="AF7" s="279"/>
      <c r="AG7" s="280"/>
      <c r="AH7" s="281"/>
      <c r="AI7" s="282"/>
      <c r="AJ7" s="283"/>
    </row>
    <row r="8" spans="1:39" s="22" customFormat="1" x14ac:dyDescent="0.25">
      <c r="A8" s="28" t="str">
        <f>IF(H8&lt;&gt;"",MAX($A$7:A7)+1,"")</f>
        <v/>
      </c>
      <c r="B8" s="243" t="str">
        <f t="shared" si="28"/>
        <v/>
      </c>
      <c r="C8" s="273"/>
      <c r="D8" s="246"/>
      <c r="E8" s="247"/>
      <c r="F8" s="247"/>
      <c r="G8" s="248"/>
      <c r="H8" s="241"/>
      <c r="I8" s="274"/>
      <c r="J8" s="275"/>
      <c r="K8" s="276"/>
      <c r="L8" s="277"/>
      <c r="M8" s="278"/>
      <c r="N8" s="279"/>
      <c r="O8" s="274"/>
      <c r="P8" s="275"/>
      <c r="Q8" s="276"/>
      <c r="R8" s="277"/>
      <c r="S8" s="278"/>
      <c r="T8" s="279"/>
      <c r="U8" s="279"/>
      <c r="V8" s="279"/>
      <c r="W8" s="279"/>
      <c r="X8" s="279"/>
      <c r="Y8" s="279"/>
      <c r="Z8" s="279"/>
      <c r="AA8" s="279"/>
      <c r="AB8" s="279"/>
      <c r="AC8" s="279"/>
      <c r="AD8" s="279"/>
      <c r="AE8" s="279"/>
      <c r="AF8" s="279"/>
      <c r="AG8" s="280"/>
      <c r="AH8" s="281"/>
      <c r="AI8" s="282"/>
      <c r="AJ8" s="283"/>
    </row>
    <row r="9" spans="1:39" s="22" customFormat="1" x14ac:dyDescent="0.25">
      <c r="A9" s="28" t="str">
        <f>IF(H9&lt;&gt;"",MAX($A$7:A8)+1,"")</f>
        <v/>
      </c>
      <c r="B9" s="243" t="str">
        <f t="shared" si="28"/>
        <v/>
      </c>
      <c r="C9" s="273"/>
      <c r="D9" s="246"/>
      <c r="E9" s="247"/>
      <c r="F9" s="247"/>
      <c r="G9" s="248"/>
      <c r="H9" s="241"/>
      <c r="I9" s="274"/>
      <c r="J9" s="275"/>
      <c r="K9" s="276"/>
      <c r="L9" s="277"/>
      <c r="M9" s="278"/>
      <c r="N9" s="279"/>
      <c r="O9" s="274"/>
      <c r="P9" s="275"/>
      <c r="Q9" s="276"/>
      <c r="R9" s="277"/>
      <c r="S9" s="278"/>
      <c r="T9" s="279"/>
      <c r="U9" s="279"/>
      <c r="V9" s="279"/>
      <c r="W9" s="279"/>
      <c r="X9" s="279"/>
      <c r="Y9" s="279"/>
      <c r="Z9" s="279"/>
      <c r="AA9" s="279"/>
      <c r="AB9" s="279"/>
      <c r="AC9" s="279"/>
      <c r="AD9" s="279"/>
      <c r="AE9" s="279"/>
      <c r="AF9" s="279"/>
      <c r="AG9" s="280"/>
      <c r="AH9" s="281"/>
      <c r="AI9" s="282"/>
      <c r="AJ9" s="283"/>
    </row>
    <row r="10" spans="1:39" s="22" customFormat="1" x14ac:dyDescent="0.25">
      <c r="A10" s="28" t="str">
        <f>IF(H10&lt;&gt;"",MAX($A$7:A9)+1,"")</f>
        <v/>
      </c>
      <c r="B10" s="243" t="str">
        <f t="shared" si="28"/>
        <v/>
      </c>
      <c r="C10" s="273"/>
      <c r="D10" s="246"/>
      <c r="E10" s="247"/>
      <c r="F10" s="247"/>
      <c r="G10" s="248"/>
      <c r="H10" s="241"/>
      <c r="I10" s="274"/>
      <c r="J10" s="275"/>
      <c r="K10" s="276"/>
      <c r="L10" s="277"/>
      <c r="M10" s="278"/>
      <c r="N10" s="279"/>
      <c r="O10" s="274"/>
      <c r="P10" s="275"/>
      <c r="Q10" s="276"/>
      <c r="R10" s="277"/>
      <c r="S10" s="278"/>
      <c r="T10" s="279"/>
      <c r="U10" s="279"/>
      <c r="V10" s="279"/>
      <c r="W10" s="279"/>
      <c r="X10" s="279"/>
      <c r="Y10" s="279"/>
      <c r="Z10" s="279"/>
      <c r="AA10" s="279"/>
      <c r="AB10" s="279"/>
      <c r="AC10" s="279"/>
      <c r="AD10" s="279"/>
      <c r="AE10" s="279"/>
      <c r="AF10" s="279"/>
      <c r="AG10" s="280"/>
      <c r="AH10" s="281"/>
      <c r="AI10" s="282"/>
      <c r="AJ10" s="283"/>
    </row>
    <row r="11" spans="1:39" s="22" customFormat="1" x14ac:dyDescent="0.25">
      <c r="A11" s="28" t="str">
        <f>IF(H11&lt;&gt;"",MAX($A$7:A10)+1,"")</f>
        <v/>
      </c>
      <c r="B11" s="243" t="str">
        <f t="shared" si="28"/>
        <v/>
      </c>
      <c r="C11" s="273"/>
      <c r="D11" s="246"/>
      <c r="E11" s="247"/>
      <c r="F11" s="247"/>
      <c r="G11" s="248"/>
      <c r="H11" s="241"/>
      <c r="I11" s="274"/>
      <c r="J11" s="275"/>
      <c r="K11" s="276"/>
      <c r="L11" s="277"/>
      <c r="M11" s="278"/>
      <c r="N11" s="279"/>
      <c r="O11" s="274"/>
      <c r="P11" s="275"/>
      <c r="Q11" s="276"/>
      <c r="R11" s="277"/>
      <c r="S11" s="278"/>
      <c r="T11" s="279"/>
      <c r="U11" s="279"/>
      <c r="V11" s="279"/>
      <c r="W11" s="279"/>
      <c r="X11" s="279"/>
      <c r="Y11" s="279"/>
      <c r="Z11" s="279"/>
      <c r="AA11" s="279"/>
      <c r="AB11" s="279"/>
      <c r="AC11" s="279"/>
      <c r="AD11" s="279"/>
      <c r="AE11" s="279"/>
      <c r="AF11" s="279"/>
      <c r="AG11" s="280"/>
      <c r="AH11" s="281"/>
      <c r="AI11" s="282"/>
      <c r="AJ11" s="283"/>
    </row>
    <row r="12" spans="1:39" s="22" customFormat="1" x14ac:dyDescent="0.25">
      <c r="A12" s="28" t="str">
        <f>IF(H12&lt;&gt;"",MAX($A$7:A11)+1,"")</f>
        <v/>
      </c>
      <c r="B12" s="243" t="str">
        <f t="shared" si="28"/>
        <v/>
      </c>
      <c r="C12" s="273"/>
      <c r="D12" s="246"/>
      <c r="E12" s="247"/>
      <c r="F12" s="247"/>
      <c r="G12" s="248"/>
      <c r="H12" s="241"/>
      <c r="I12" s="274"/>
      <c r="J12" s="275"/>
      <c r="K12" s="276"/>
      <c r="L12" s="277"/>
      <c r="M12" s="278"/>
      <c r="N12" s="279"/>
      <c r="O12" s="274"/>
      <c r="P12" s="275"/>
      <c r="Q12" s="276"/>
      <c r="R12" s="277"/>
      <c r="S12" s="278"/>
      <c r="T12" s="279"/>
      <c r="U12" s="279"/>
      <c r="V12" s="279"/>
      <c r="W12" s="279"/>
      <c r="X12" s="279"/>
      <c r="Y12" s="279"/>
      <c r="Z12" s="279"/>
      <c r="AA12" s="279"/>
      <c r="AB12" s="279"/>
      <c r="AC12" s="279"/>
      <c r="AD12" s="279"/>
      <c r="AE12" s="279"/>
      <c r="AF12" s="279"/>
      <c r="AG12" s="280"/>
      <c r="AH12" s="281"/>
      <c r="AI12" s="282"/>
      <c r="AJ12" s="283"/>
    </row>
    <row r="13" spans="1:39" s="22" customFormat="1" x14ac:dyDescent="0.25">
      <c r="A13" s="28" t="str">
        <f>IF(H13&lt;&gt;"",MAX($A$7:A12)+1,"")</f>
        <v/>
      </c>
      <c r="B13" s="243" t="str">
        <f t="shared" si="28"/>
        <v/>
      </c>
      <c r="C13" s="273"/>
      <c r="D13" s="246"/>
      <c r="E13" s="247"/>
      <c r="F13" s="247"/>
      <c r="G13" s="248"/>
      <c r="H13" s="241"/>
      <c r="I13" s="274"/>
      <c r="J13" s="275"/>
      <c r="K13" s="276"/>
      <c r="L13" s="277"/>
      <c r="M13" s="278"/>
      <c r="N13" s="279"/>
      <c r="O13" s="274"/>
      <c r="P13" s="275"/>
      <c r="Q13" s="276"/>
      <c r="R13" s="277"/>
      <c r="S13" s="278"/>
      <c r="T13" s="279"/>
      <c r="U13" s="279"/>
      <c r="V13" s="279"/>
      <c r="W13" s="279"/>
      <c r="X13" s="279"/>
      <c r="Y13" s="279"/>
      <c r="Z13" s="279"/>
      <c r="AA13" s="279"/>
      <c r="AB13" s="279"/>
      <c r="AC13" s="279"/>
      <c r="AD13" s="279"/>
      <c r="AE13" s="279"/>
      <c r="AF13" s="279"/>
      <c r="AG13" s="280"/>
      <c r="AH13" s="281"/>
      <c r="AI13" s="282"/>
      <c r="AJ13" s="283"/>
    </row>
    <row r="14" spans="1:39" s="22" customFormat="1" x14ac:dyDescent="0.25">
      <c r="A14" s="28" t="str">
        <f>IF(H14&lt;&gt;"",MAX($A$7:A13)+1,"")</f>
        <v/>
      </c>
      <c r="B14" s="243" t="str">
        <f t="shared" si="28"/>
        <v/>
      </c>
      <c r="C14" s="273"/>
      <c r="D14" s="246"/>
      <c r="E14" s="247"/>
      <c r="F14" s="247"/>
      <c r="G14" s="248"/>
      <c r="H14" s="241"/>
      <c r="I14" s="274"/>
      <c r="J14" s="275"/>
      <c r="K14" s="276"/>
      <c r="L14" s="277"/>
      <c r="M14" s="278"/>
      <c r="N14" s="279"/>
      <c r="O14" s="274"/>
      <c r="P14" s="275"/>
      <c r="Q14" s="276"/>
      <c r="R14" s="277"/>
      <c r="S14" s="278"/>
      <c r="T14" s="279"/>
      <c r="U14" s="279"/>
      <c r="V14" s="279"/>
      <c r="W14" s="279"/>
      <c r="X14" s="279"/>
      <c r="Y14" s="279"/>
      <c r="Z14" s="279"/>
      <c r="AA14" s="279"/>
      <c r="AB14" s="279"/>
      <c r="AC14" s="279"/>
      <c r="AD14" s="279"/>
      <c r="AE14" s="279"/>
      <c r="AF14" s="279"/>
      <c r="AG14" s="280"/>
      <c r="AH14" s="281"/>
      <c r="AI14" s="282"/>
      <c r="AJ14" s="283"/>
    </row>
    <row r="15" spans="1:39" s="22" customFormat="1" x14ac:dyDescent="0.25">
      <c r="A15" s="28" t="str">
        <f>IF(H15&lt;&gt;"",MAX($A$7:A14)+1,"")</f>
        <v/>
      </c>
      <c r="B15" s="243" t="str">
        <f t="shared" si="28"/>
        <v/>
      </c>
      <c r="C15" s="273"/>
      <c r="D15" s="246"/>
      <c r="E15" s="247"/>
      <c r="F15" s="247"/>
      <c r="G15" s="248"/>
      <c r="H15" s="241"/>
      <c r="I15" s="274"/>
      <c r="J15" s="275"/>
      <c r="K15" s="276"/>
      <c r="L15" s="277"/>
      <c r="M15" s="278"/>
      <c r="N15" s="279"/>
      <c r="O15" s="274"/>
      <c r="P15" s="275"/>
      <c r="Q15" s="276"/>
      <c r="R15" s="277"/>
      <c r="S15" s="278"/>
      <c r="T15" s="279"/>
      <c r="U15" s="279"/>
      <c r="V15" s="279"/>
      <c r="W15" s="279"/>
      <c r="X15" s="279"/>
      <c r="Y15" s="279"/>
      <c r="Z15" s="279"/>
      <c r="AA15" s="279"/>
      <c r="AB15" s="279"/>
      <c r="AC15" s="279"/>
      <c r="AD15" s="279"/>
      <c r="AE15" s="279"/>
      <c r="AF15" s="279"/>
      <c r="AG15" s="280"/>
      <c r="AH15" s="281"/>
      <c r="AI15" s="282"/>
      <c r="AJ15" s="283"/>
      <c r="AK15" s="22" t="s">
        <v>58</v>
      </c>
      <c r="AL15" s="22" t="s">
        <v>58</v>
      </c>
      <c r="AM15" s="22" t="s">
        <v>58</v>
      </c>
    </row>
    <row r="16" spans="1:39" s="22" customFormat="1" x14ac:dyDescent="0.25">
      <c r="A16" s="28" t="str">
        <f>IF(H16&lt;&gt;"",MAX($A$7:A15)+1,"")</f>
        <v/>
      </c>
      <c r="B16" s="243" t="str">
        <f t="shared" si="28"/>
        <v/>
      </c>
      <c r="C16" s="273"/>
      <c r="D16" s="246"/>
      <c r="E16" s="247"/>
      <c r="F16" s="247"/>
      <c r="G16" s="248"/>
      <c r="H16" s="241"/>
      <c r="I16" s="274"/>
      <c r="J16" s="275"/>
      <c r="K16" s="276"/>
      <c r="L16" s="277"/>
      <c r="M16" s="278"/>
      <c r="N16" s="279"/>
      <c r="O16" s="274"/>
      <c r="P16" s="275"/>
      <c r="Q16" s="276"/>
      <c r="R16" s="277"/>
      <c r="S16" s="278"/>
      <c r="T16" s="279"/>
      <c r="U16" s="279"/>
      <c r="V16" s="279"/>
      <c r="W16" s="279"/>
      <c r="X16" s="279"/>
      <c r="Y16" s="279"/>
      <c r="Z16" s="279"/>
      <c r="AA16" s="279"/>
      <c r="AB16" s="279"/>
      <c r="AC16" s="279"/>
      <c r="AD16" s="279"/>
      <c r="AE16" s="279"/>
      <c r="AF16" s="279"/>
      <c r="AG16" s="280"/>
      <c r="AH16" s="281"/>
      <c r="AI16" s="282"/>
      <c r="AJ16" s="283"/>
      <c r="AK16" s="22" t="s">
        <v>58</v>
      </c>
      <c r="AL16" s="22" t="s">
        <v>58</v>
      </c>
      <c r="AM16" s="22" t="s">
        <v>58</v>
      </c>
    </row>
    <row r="17" spans="1:39" s="22" customFormat="1" x14ac:dyDescent="0.25">
      <c r="A17" s="28" t="str">
        <f>IF(H17&lt;&gt;"",MAX($A$7:A16)+1,"")</f>
        <v/>
      </c>
      <c r="B17" s="243" t="str">
        <f t="shared" si="28"/>
        <v/>
      </c>
      <c r="C17" s="273"/>
      <c r="D17" s="246"/>
      <c r="E17" s="247"/>
      <c r="F17" s="247"/>
      <c r="G17" s="248"/>
      <c r="H17" s="241"/>
      <c r="I17" s="274"/>
      <c r="J17" s="275"/>
      <c r="K17" s="276"/>
      <c r="L17" s="277"/>
      <c r="M17" s="278"/>
      <c r="N17" s="279"/>
      <c r="O17" s="274"/>
      <c r="P17" s="275"/>
      <c r="Q17" s="276"/>
      <c r="R17" s="277"/>
      <c r="S17" s="278"/>
      <c r="T17" s="279"/>
      <c r="U17" s="279"/>
      <c r="V17" s="279"/>
      <c r="W17" s="279"/>
      <c r="X17" s="279"/>
      <c r="Y17" s="279"/>
      <c r="Z17" s="279"/>
      <c r="AA17" s="279"/>
      <c r="AB17" s="279"/>
      <c r="AC17" s="279"/>
      <c r="AD17" s="279"/>
      <c r="AE17" s="279"/>
      <c r="AF17" s="279"/>
      <c r="AG17" s="280"/>
      <c r="AH17" s="281"/>
      <c r="AI17" s="282"/>
      <c r="AJ17" s="283"/>
      <c r="AK17" s="22" t="s">
        <v>58</v>
      </c>
      <c r="AL17" s="22" t="s">
        <v>58</v>
      </c>
      <c r="AM17" s="22" t="s">
        <v>58</v>
      </c>
    </row>
    <row r="18" spans="1:39" s="22" customFormat="1" x14ac:dyDescent="0.25">
      <c r="A18" s="28" t="str">
        <f>IF(H18&lt;&gt;"",MAX($A$7:A17)+1,"")</f>
        <v/>
      </c>
      <c r="B18" s="243" t="str">
        <f t="shared" si="28"/>
        <v/>
      </c>
      <c r="C18" s="273"/>
      <c r="D18" s="246"/>
      <c r="E18" s="247"/>
      <c r="F18" s="247"/>
      <c r="G18" s="248"/>
      <c r="H18" s="241"/>
      <c r="I18" s="274"/>
      <c r="J18" s="275"/>
      <c r="K18" s="276"/>
      <c r="L18" s="277"/>
      <c r="M18" s="278"/>
      <c r="N18" s="279"/>
      <c r="O18" s="274"/>
      <c r="P18" s="275"/>
      <c r="Q18" s="276"/>
      <c r="R18" s="277"/>
      <c r="S18" s="278"/>
      <c r="T18" s="279"/>
      <c r="U18" s="279"/>
      <c r="V18" s="279"/>
      <c r="W18" s="279"/>
      <c r="X18" s="279"/>
      <c r="Y18" s="279"/>
      <c r="Z18" s="279"/>
      <c r="AA18" s="279"/>
      <c r="AB18" s="279"/>
      <c r="AC18" s="279"/>
      <c r="AD18" s="279"/>
      <c r="AE18" s="279"/>
      <c r="AF18" s="279"/>
      <c r="AG18" s="280"/>
      <c r="AH18" s="281"/>
      <c r="AI18" s="282"/>
      <c r="AJ18" s="283"/>
      <c r="AK18" s="22" t="s">
        <v>58</v>
      </c>
      <c r="AL18" s="22" t="s">
        <v>58</v>
      </c>
      <c r="AM18" s="22" t="s">
        <v>58</v>
      </c>
    </row>
    <row r="19" spans="1:39" s="22" customFormat="1" x14ac:dyDescent="0.25">
      <c r="A19" s="28" t="str">
        <f>IF(H19&lt;&gt;"",MAX($A$7:A18)+1,"")</f>
        <v/>
      </c>
      <c r="B19" s="243" t="str">
        <f t="shared" si="28"/>
        <v/>
      </c>
      <c r="C19" s="273"/>
      <c r="D19" s="246"/>
      <c r="E19" s="247"/>
      <c r="F19" s="247"/>
      <c r="G19" s="248"/>
      <c r="H19" s="241"/>
      <c r="I19" s="274"/>
      <c r="J19" s="275"/>
      <c r="K19" s="276"/>
      <c r="L19" s="277"/>
      <c r="M19" s="278"/>
      <c r="N19" s="279"/>
      <c r="O19" s="274"/>
      <c r="P19" s="275"/>
      <c r="Q19" s="276"/>
      <c r="R19" s="277"/>
      <c r="S19" s="278"/>
      <c r="T19" s="279"/>
      <c r="U19" s="279"/>
      <c r="V19" s="279"/>
      <c r="W19" s="279"/>
      <c r="X19" s="279"/>
      <c r="Y19" s="279"/>
      <c r="Z19" s="279"/>
      <c r="AA19" s="279"/>
      <c r="AB19" s="279"/>
      <c r="AC19" s="279"/>
      <c r="AD19" s="279"/>
      <c r="AE19" s="279"/>
      <c r="AF19" s="279"/>
      <c r="AG19" s="280"/>
      <c r="AH19" s="281"/>
      <c r="AI19" s="282"/>
      <c r="AJ19" s="283"/>
      <c r="AK19" s="22" t="s">
        <v>58</v>
      </c>
      <c r="AL19" s="22" t="s">
        <v>58</v>
      </c>
      <c r="AM19" s="22" t="s">
        <v>58</v>
      </c>
    </row>
    <row r="20" spans="1:39" s="22" customFormat="1" x14ac:dyDescent="0.25">
      <c r="A20" s="28" t="str">
        <f>IF(H20&lt;&gt;"",MAX($A$7:A19)+1,"")</f>
        <v/>
      </c>
      <c r="B20" s="243" t="str">
        <f t="shared" si="28"/>
        <v/>
      </c>
      <c r="C20" s="273"/>
      <c r="D20" s="246"/>
      <c r="E20" s="247"/>
      <c r="F20" s="247"/>
      <c r="G20" s="248"/>
      <c r="H20" s="241"/>
      <c r="I20" s="274"/>
      <c r="J20" s="275"/>
      <c r="K20" s="276"/>
      <c r="L20" s="277"/>
      <c r="M20" s="278"/>
      <c r="N20" s="279"/>
      <c r="O20" s="274"/>
      <c r="P20" s="275"/>
      <c r="Q20" s="276"/>
      <c r="R20" s="277"/>
      <c r="S20" s="278"/>
      <c r="T20" s="279"/>
      <c r="U20" s="279"/>
      <c r="V20" s="279"/>
      <c r="W20" s="279"/>
      <c r="X20" s="279"/>
      <c r="Y20" s="279"/>
      <c r="Z20" s="279"/>
      <c r="AA20" s="279"/>
      <c r="AB20" s="279"/>
      <c r="AC20" s="279"/>
      <c r="AD20" s="279"/>
      <c r="AE20" s="279"/>
      <c r="AF20" s="279"/>
      <c r="AG20" s="280"/>
      <c r="AH20" s="281"/>
      <c r="AI20" s="282"/>
      <c r="AJ20" s="283"/>
      <c r="AK20" s="22" t="s">
        <v>58</v>
      </c>
      <c r="AL20" s="22" t="s">
        <v>58</v>
      </c>
      <c r="AM20" s="22" t="s">
        <v>58</v>
      </c>
    </row>
    <row r="21" spans="1:39" s="22" customFormat="1" x14ac:dyDescent="0.25">
      <c r="A21" s="28" t="str">
        <f>IF(H21&lt;&gt;"",MAX($A$7:A20)+1,"")</f>
        <v/>
      </c>
      <c r="B21" s="243" t="str">
        <f t="shared" si="28"/>
        <v/>
      </c>
      <c r="C21" s="273"/>
      <c r="D21" s="246"/>
      <c r="E21" s="247"/>
      <c r="F21" s="247"/>
      <c r="G21" s="248"/>
      <c r="H21" s="241"/>
      <c r="I21" s="274"/>
      <c r="J21" s="275"/>
      <c r="K21" s="276"/>
      <c r="L21" s="277"/>
      <c r="M21" s="278"/>
      <c r="N21" s="279"/>
      <c r="O21" s="274"/>
      <c r="P21" s="275"/>
      <c r="Q21" s="276"/>
      <c r="R21" s="277"/>
      <c r="S21" s="278"/>
      <c r="T21" s="279"/>
      <c r="U21" s="279"/>
      <c r="V21" s="279"/>
      <c r="W21" s="279"/>
      <c r="X21" s="279"/>
      <c r="Y21" s="279"/>
      <c r="Z21" s="279"/>
      <c r="AA21" s="279"/>
      <c r="AB21" s="279"/>
      <c r="AC21" s="279"/>
      <c r="AD21" s="279"/>
      <c r="AE21" s="279"/>
      <c r="AF21" s="279"/>
      <c r="AG21" s="280"/>
      <c r="AH21" s="281"/>
      <c r="AI21" s="282"/>
      <c r="AJ21" s="283"/>
      <c r="AK21" s="22" t="s">
        <v>58</v>
      </c>
      <c r="AL21" s="22" t="s">
        <v>58</v>
      </c>
      <c r="AM21" s="22" t="s">
        <v>58</v>
      </c>
    </row>
    <row r="22" spans="1:39" s="22" customFormat="1" x14ac:dyDescent="0.25">
      <c r="A22" s="28" t="str">
        <f>IF(H22&lt;&gt;"",MAX($A$7:A21)+1,"")</f>
        <v/>
      </c>
      <c r="B22" s="243" t="str">
        <f t="shared" si="28"/>
        <v/>
      </c>
      <c r="C22" s="273"/>
      <c r="D22" s="246"/>
      <c r="E22" s="247"/>
      <c r="F22" s="247"/>
      <c r="G22" s="248"/>
      <c r="H22" s="241"/>
      <c r="I22" s="274"/>
      <c r="J22" s="275"/>
      <c r="K22" s="276"/>
      <c r="L22" s="277"/>
      <c r="M22" s="278"/>
      <c r="N22" s="279"/>
      <c r="O22" s="274"/>
      <c r="P22" s="275"/>
      <c r="Q22" s="276"/>
      <c r="R22" s="277"/>
      <c r="S22" s="278"/>
      <c r="T22" s="279"/>
      <c r="U22" s="279"/>
      <c r="V22" s="279"/>
      <c r="W22" s="279"/>
      <c r="X22" s="279"/>
      <c r="Y22" s="279"/>
      <c r="Z22" s="279"/>
      <c r="AA22" s="279"/>
      <c r="AB22" s="279"/>
      <c r="AC22" s="279"/>
      <c r="AD22" s="279"/>
      <c r="AE22" s="279"/>
      <c r="AF22" s="279"/>
      <c r="AG22" s="280"/>
      <c r="AH22" s="281"/>
      <c r="AI22" s="282"/>
      <c r="AJ22" s="283"/>
      <c r="AK22" s="22" t="s">
        <v>58</v>
      </c>
      <c r="AL22" s="22" t="s">
        <v>58</v>
      </c>
      <c r="AM22" s="22" t="s">
        <v>58</v>
      </c>
    </row>
    <row r="23" spans="1:39" s="22" customFormat="1" x14ac:dyDescent="0.25">
      <c r="A23" s="28" t="str">
        <f>IF(H23&lt;&gt;"",MAX($A$7:A22)+1,"")</f>
        <v/>
      </c>
      <c r="B23" s="243" t="str">
        <f t="shared" si="28"/>
        <v/>
      </c>
      <c r="C23" s="273"/>
      <c r="D23" s="246"/>
      <c r="E23" s="247"/>
      <c r="F23" s="247"/>
      <c r="G23" s="248"/>
      <c r="H23" s="241"/>
      <c r="I23" s="274"/>
      <c r="J23" s="275"/>
      <c r="K23" s="276"/>
      <c r="L23" s="277"/>
      <c r="M23" s="278"/>
      <c r="N23" s="279"/>
      <c r="O23" s="274"/>
      <c r="P23" s="275"/>
      <c r="Q23" s="276"/>
      <c r="R23" s="277"/>
      <c r="S23" s="278"/>
      <c r="T23" s="279"/>
      <c r="U23" s="279"/>
      <c r="V23" s="279"/>
      <c r="W23" s="279"/>
      <c r="X23" s="279"/>
      <c r="Y23" s="279"/>
      <c r="Z23" s="279"/>
      <c r="AA23" s="279"/>
      <c r="AB23" s="279"/>
      <c r="AC23" s="279"/>
      <c r="AD23" s="279"/>
      <c r="AE23" s="279"/>
      <c r="AF23" s="279"/>
      <c r="AG23" s="280"/>
      <c r="AH23" s="281"/>
      <c r="AI23" s="282"/>
      <c r="AJ23" s="283"/>
      <c r="AK23" s="22" t="s">
        <v>58</v>
      </c>
      <c r="AL23" s="22" t="s">
        <v>58</v>
      </c>
      <c r="AM23" s="22" t="s">
        <v>58</v>
      </c>
    </row>
    <row r="24" spans="1:39" s="22" customFormat="1" x14ac:dyDescent="0.25">
      <c r="A24" s="28" t="str">
        <f>IF(H24&lt;&gt;"",MAX($A$7:A23)+1,"")</f>
        <v/>
      </c>
      <c r="B24" s="243" t="str">
        <f t="shared" si="28"/>
        <v/>
      </c>
      <c r="C24" s="273"/>
      <c r="D24" s="246"/>
      <c r="E24" s="247"/>
      <c r="F24" s="247"/>
      <c r="G24" s="248"/>
      <c r="H24" s="241"/>
      <c r="I24" s="274"/>
      <c r="J24" s="275"/>
      <c r="K24" s="276"/>
      <c r="L24" s="277"/>
      <c r="M24" s="278"/>
      <c r="N24" s="279"/>
      <c r="O24" s="274"/>
      <c r="P24" s="275"/>
      <c r="Q24" s="276"/>
      <c r="R24" s="277"/>
      <c r="S24" s="278"/>
      <c r="T24" s="279"/>
      <c r="U24" s="279"/>
      <c r="V24" s="279"/>
      <c r="W24" s="279"/>
      <c r="X24" s="279"/>
      <c r="Y24" s="279"/>
      <c r="Z24" s="279"/>
      <c r="AA24" s="279"/>
      <c r="AB24" s="279"/>
      <c r="AC24" s="279"/>
      <c r="AD24" s="279"/>
      <c r="AE24" s="279"/>
      <c r="AF24" s="279"/>
      <c r="AG24" s="280"/>
      <c r="AH24" s="281"/>
      <c r="AI24" s="282"/>
      <c r="AJ24" s="283"/>
      <c r="AK24" s="22" t="s">
        <v>58</v>
      </c>
      <c r="AL24" s="22" t="s">
        <v>58</v>
      </c>
      <c r="AM24" s="22" t="s">
        <v>58</v>
      </c>
    </row>
    <row r="25" spans="1:39" s="22" customFormat="1" x14ac:dyDescent="0.25">
      <c r="A25" s="28" t="str">
        <f>IF(H25&lt;&gt;"",MAX($A$7:A24)+1,"")</f>
        <v/>
      </c>
      <c r="B25" s="243" t="str">
        <f t="shared" si="28"/>
        <v/>
      </c>
      <c r="C25" s="273"/>
      <c r="D25" s="246"/>
      <c r="E25" s="247"/>
      <c r="F25" s="247"/>
      <c r="G25" s="248"/>
      <c r="H25" s="241"/>
      <c r="I25" s="274"/>
      <c r="J25" s="275"/>
      <c r="K25" s="276"/>
      <c r="L25" s="277"/>
      <c r="M25" s="278"/>
      <c r="N25" s="279"/>
      <c r="O25" s="274"/>
      <c r="P25" s="275"/>
      <c r="Q25" s="276"/>
      <c r="R25" s="277"/>
      <c r="S25" s="278"/>
      <c r="T25" s="279"/>
      <c r="U25" s="279"/>
      <c r="V25" s="279"/>
      <c r="W25" s="279"/>
      <c r="X25" s="279"/>
      <c r="Y25" s="279"/>
      <c r="Z25" s="279"/>
      <c r="AA25" s="279"/>
      <c r="AB25" s="279"/>
      <c r="AC25" s="279"/>
      <c r="AD25" s="279"/>
      <c r="AE25" s="279"/>
      <c r="AF25" s="279"/>
      <c r="AG25" s="280"/>
      <c r="AH25" s="281"/>
      <c r="AI25" s="282"/>
      <c r="AJ25" s="283"/>
      <c r="AK25" s="22" t="s">
        <v>58</v>
      </c>
      <c r="AL25" s="22" t="s">
        <v>58</v>
      </c>
      <c r="AM25" s="22" t="s">
        <v>58</v>
      </c>
    </row>
    <row r="26" spans="1:39" s="22" customFormat="1" x14ac:dyDescent="0.25">
      <c r="A26" s="28" t="str">
        <f>IF(H26&lt;&gt;"",MAX($A$7:A25)+1,"")</f>
        <v/>
      </c>
      <c r="B26" s="243" t="str">
        <f t="shared" si="28"/>
        <v/>
      </c>
      <c r="C26" s="273"/>
      <c r="D26" s="246"/>
      <c r="E26" s="247"/>
      <c r="F26" s="247"/>
      <c r="G26" s="248"/>
      <c r="H26" s="241"/>
      <c r="I26" s="274"/>
      <c r="J26" s="275"/>
      <c r="K26" s="276"/>
      <c r="L26" s="277"/>
      <c r="M26" s="278"/>
      <c r="N26" s="279"/>
      <c r="O26" s="274"/>
      <c r="P26" s="275"/>
      <c r="Q26" s="276"/>
      <c r="R26" s="277"/>
      <c r="S26" s="278"/>
      <c r="T26" s="279"/>
      <c r="U26" s="279"/>
      <c r="V26" s="279"/>
      <c r="W26" s="279"/>
      <c r="X26" s="279"/>
      <c r="Y26" s="279"/>
      <c r="Z26" s="279"/>
      <c r="AA26" s="279"/>
      <c r="AB26" s="279"/>
      <c r="AC26" s="279"/>
      <c r="AD26" s="279"/>
      <c r="AE26" s="279"/>
      <c r="AF26" s="279"/>
      <c r="AG26" s="280"/>
      <c r="AH26" s="281"/>
      <c r="AI26" s="282"/>
      <c r="AJ26" s="283"/>
      <c r="AK26" s="22" t="s">
        <v>58</v>
      </c>
      <c r="AL26" s="22" t="s">
        <v>58</v>
      </c>
      <c r="AM26" s="22" t="s">
        <v>58</v>
      </c>
    </row>
    <row r="27" spans="1:39" s="22" customFormat="1" x14ac:dyDescent="0.25">
      <c r="A27" s="28" t="str">
        <f>IF(H27&lt;&gt;"",MAX($A$7:A26)+1,"")</f>
        <v/>
      </c>
      <c r="B27" s="243" t="str">
        <f t="shared" si="28"/>
        <v/>
      </c>
      <c r="C27" s="273"/>
      <c r="D27" s="246"/>
      <c r="E27" s="247"/>
      <c r="F27" s="247"/>
      <c r="G27" s="248"/>
      <c r="H27" s="241"/>
      <c r="I27" s="274"/>
      <c r="J27" s="275"/>
      <c r="K27" s="276"/>
      <c r="L27" s="277"/>
      <c r="M27" s="278"/>
      <c r="N27" s="279"/>
      <c r="O27" s="274"/>
      <c r="P27" s="275"/>
      <c r="Q27" s="276"/>
      <c r="R27" s="277"/>
      <c r="S27" s="278"/>
      <c r="T27" s="279"/>
      <c r="U27" s="279"/>
      <c r="V27" s="279"/>
      <c r="W27" s="279"/>
      <c r="X27" s="279"/>
      <c r="Y27" s="279"/>
      <c r="Z27" s="279"/>
      <c r="AA27" s="279"/>
      <c r="AB27" s="279"/>
      <c r="AC27" s="279"/>
      <c r="AD27" s="279"/>
      <c r="AE27" s="279"/>
      <c r="AF27" s="279"/>
      <c r="AG27" s="280"/>
      <c r="AH27" s="281"/>
      <c r="AI27" s="282"/>
      <c r="AJ27" s="283"/>
      <c r="AK27" s="22" t="s">
        <v>58</v>
      </c>
      <c r="AL27" s="22" t="s">
        <v>58</v>
      </c>
      <c r="AM27" s="22" t="s">
        <v>58</v>
      </c>
    </row>
    <row r="28" spans="1:39" s="22" customFormat="1" x14ac:dyDescent="0.25">
      <c r="A28" s="28" t="str">
        <f>IF(H28&lt;&gt;"",MAX($A$7:A27)+1,"")</f>
        <v/>
      </c>
      <c r="B28" s="243" t="str">
        <f t="shared" si="28"/>
        <v/>
      </c>
      <c r="C28" s="273"/>
      <c r="D28" s="246"/>
      <c r="E28" s="247"/>
      <c r="F28" s="247"/>
      <c r="G28" s="248"/>
      <c r="H28" s="241"/>
      <c r="I28" s="274"/>
      <c r="J28" s="275"/>
      <c r="K28" s="276"/>
      <c r="L28" s="277"/>
      <c r="M28" s="278"/>
      <c r="N28" s="279"/>
      <c r="O28" s="274"/>
      <c r="P28" s="275"/>
      <c r="Q28" s="276"/>
      <c r="R28" s="277"/>
      <c r="S28" s="278"/>
      <c r="T28" s="279"/>
      <c r="U28" s="279"/>
      <c r="V28" s="279"/>
      <c r="W28" s="279"/>
      <c r="X28" s="279"/>
      <c r="Y28" s="279"/>
      <c r="Z28" s="279"/>
      <c r="AA28" s="279"/>
      <c r="AB28" s="279"/>
      <c r="AC28" s="279"/>
      <c r="AD28" s="279"/>
      <c r="AE28" s="279"/>
      <c r="AF28" s="279"/>
      <c r="AG28" s="280"/>
      <c r="AH28" s="281"/>
      <c r="AI28" s="282"/>
      <c r="AJ28" s="283"/>
      <c r="AK28" s="22" t="s">
        <v>58</v>
      </c>
      <c r="AL28" s="22" t="s">
        <v>58</v>
      </c>
      <c r="AM28" s="22" t="s">
        <v>58</v>
      </c>
    </row>
    <row r="29" spans="1:39" s="22" customFormat="1" x14ac:dyDescent="0.25">
      <c r="A29" s="28" t="str">
        <f>IF(H29&lt;&gt;"",MAX($A$7:A28)+1,"")</f>
        <v/>
      </c>
      <c r="B29" s="243" t="str">
        <f t="shared" si="28"/>
        <v/>
      </c>
      <c r="C29" s="273"/>
      <c r="D29" s="246"/>
      <c r="E29" s="247"/>
      <c r="F29" s="247"/>
      <c r="G29" s="248"/>
      <c r="H29" s="241"/>
      <c r="I29" s="274"/>
      <c r="J29" s="275"/>
      <c r="K29" s="276"/>
      <c r="L29" s="277"/>
      <c r="M29" s="278"/>
      <c r="N29" s="279"/>
      <c r="O29" s="274"/>
      <c r="P29" s="275"/>
      <c r="Q29" s="276"/>
      <c r="R29" s="277"/>
      <c r="S29" s="278"/>
      <c r="T29" s="279"/>
      <c r="U29" s="279"/>
      <c r="V29" s="279"/>
      <c r="W29" s="279"/>
      <c r="X29" s="279"/>
      <c r="Y29" s="279"/>
      <c r="Z29" s="279"/>
      <c r="AA29" s="279"/>
      <c r="AB29" s="279"/>
      <c r="AC29" s="279"/>
      <c r="AD29" s="279"/>
      <c r="AE29" s="279"/>
      <c r="AF29" s="279"/>
      <c r="AG29" s="280"/>
      <c r="AH29" s="281"/>
      <c r="AI29" s="282"/>
      <c r="AJ29" s="283"/>
      <c r="AK29" s="22" t="s">
        <v>58</v>
      </c>
      <c r="AL29" s="22" t="s">
        <v>58</v>
      </c>
      <c r="AM29" s="22" t="s">
        <v>58</v>
      </c>
    </row>
    <row r="30" spans="1:39" s="22" customFormat="1" x14ac:dyDescent="0.25">
      <c r="A30" s="28" t="str">
        <f>IF(H30&lt;&gt;"",MAX($A$7:A29)+1,"")</f>
        <v/>
      </c>
      <c r="B30" s="243" t="str">
        <f t="shared" si="28"/>
        <v/>
      </c>
      <c r="C30" s="273"/>
      <c r="D30" s="246"/>
      <c r="E30" s="247"/>
      <c r="F30" s="247"/>
      <c r="G30" s="248"/>
      <c r="H30" s="241"/>
      <c r="I30" s="274"/>
      <c r="J30" s="275"/>
      <c r="K30" s="276"/>
      <c r="L30" s="277"/>
      <c r="M30" s="278"/>
      <c r="N30" s="279"/>
      <c r="O30" s="274"/>
      <c r="P30" s="275"/>
      <c r="Q30" s="276"/>
      <c r="R30" s="277"/>
      <c r="S30" s="278"/>
      <c r="T30" s="279"/>
      <c r="U30" s="279"/>
      <c r="V30" s="279"/>
      <c r="W30" s="279"/>
      <c r="X30" s="279"/>
      <c r="Y30" s="279"/>
      <c r="Z30" s="279"/>
      <c r="AA30" s="279"/>
      <c r="AB30" s="279"/>
      <c r="AC30" s="279"/>
      <c r="AD30" s="279"/>
      <c r="AE30" s="279"/>
      <c r="AF30" s="279"/>
      <c r="AG30" s="280"/>
      <c r="AH30" s="281"/>
      <c r="AI30" s="282"/>
      <c r="AJ30" s="283"/>
      <c r="AK30" s="22" t="s">
        <v>58</v>
      </c>
      <c r="AL30" s="22" t="s">
        <v>58</v>
      </c>
      <c r="AM30" s="22" t="s">
        <v>58</v>
      </c>
    </row>
    <row r="31" spans="1:39" s="22" customFormat="1" x14ac:dyDescent="0.25">
      <c r="A31" s="28" t="str">
        <f>IF(H31&lt;&gt;"",MAX($A$7:A30)+1,"")</f>
        <v/>
      </c>
      <c r="B31" s="243" t="str">
        <f t="shared" si="28"/>
        <v/>
      </c>
      <c r="C31" s="273"/>
      <c r="D31" s="246"/>
      <c r="E31" s="247"/>
      <c r="F31" s="247"/>
      <c r="G31" s="248"/>
      <c r="H31" s="241"/>
      <c r="I31" s="274"/>
      <c r="J31" s="275"/>
      <c r="K31" s="276"/>
      <c r="L31" s="277"/>
      <c r="M31" s="278"/>
      <c r="N31" s="279"/>
      <c r="O31" s="274"/>
      <c r="P31" s="275"/>
      <c r="Q31" s="276"/>
      <c r="R31" s="277"/>
      <c r="S31" s="278"/>
      <c r="T31" s="279"/>
      <c r="U31" s="279"/>
      <c r="V31" s="279"/>
      <c r="W31" s="279"/>
      <c r="X31" s="279"/>
      <c r="Y31" s="279"/>
      <c r="Z31" s="279"/>
      <c r="AA31" s="279"/>
      <c r="AB31" s="279"/>
      <c r="AC31" s="279"/>
      <c r="AD31" s="279"/>
      <c r="AE31" s="279"/>
      <c r="AF31" s="279"/>
      <c r="AG31" s="280"/>
      <c r="AH31" s="281"/>
      <c r="AI31" s="282"/>
      <c r="AJ31" s="283"/>
      <c r="AK31" s="22" t="s">
        <v>58</v>
      </c>
      <c r="AL31" s="22" t="s">
        <v>58</v>
      </c>
      <c r="AM31" s="22" t="s">
        <v>58</v>
      </c>
    </row>
    <row r="32" spans="1:39" s="22" customFormat="1" x14ac:dyDescent="0.25">
      <c r="A32" s="28" t="str">
        <f>IF(H32&lt;&gt;"",MAX($A$7:A31)+1,"")</f>
        <v/>
      </c>
      <c r="B32" s="243" t="str">
        <f t="shared" si="28"/>
        <v/>
      </c>
      <c r="C32" s="273"/>
      <c r="D32" s="246"/>
      <c r="E32" s="247"/>
      <c r="F32" s="247"/>
      <c r="G32" s="248"/>
      <c r="H32" s="241"/>
      <c r="I32" s="274"/>
      <c r="J32" s="275"/>
      <c r="K32" s="276"/>
      <c r="L32" s="277"/>
      <c r="M32" s="278"/>
      <c r="N32" s="279"/>
      <c r="O32" s="274"/>
      <c r="P32" s="275"/>
      <c r="Q32" s="276"/>
      <c r="R32" s="277"/>
      <c r="S32" s="278"/>
      <c r="T32" s="279"/>
      <c r="U32" s="279"/>
      <c r="V32" s="279"/>
      <c r="W32" s="279"/>
      <c r="X32" s="279"/>
      <c r="Y32" s="279"/>
      <c r="Z32" s="279"/>
      <c r="AA32" s="279"/>
      <c r="AB32" s="279"/>
      <c r="AC32" s="279"/>
      <c r="AD32" s="279"/>
      <c r="AE32" s="279"/>
      <c r="AF32" s="279"/>
      <c r="AG32" s="280"/>
      <c r="AH32" s="281"/>
      <c r="AI32" s="282"/>
      <c r="AJ32" s="283"/>
      <c r="AK32" s="22" t="s">
        <v>58</v>
      </c>
      <c r="AL32" s="22" t="s">
        <v>58</v>
      </c>
      <c r="AM32" s="22" t="s">
        <v>58</v>
      </c>
    </row>
    <row r="33" spans="1:39" s="22" customFormat="1" x14ac:dyDescent="0.25">
      <c r="A33" s="28" t="str">
        <f>IF(H33&lt;&gt;"",MAX($A$7:A32)+1,"")</f>
        <v/>
      </c>
      <c r="B33" s="243" t="str">
        <f t="shared" si="28"/>
        <v/>
      </c>
      <c r="C33" s="273"/>
      <c r="D33" s="246"/>
      <c r="E33" s="247"/>
      <c r="F33" s="247"/>
      <c r="G33" s="248"/>
      <c r="H33" s="241"/>
      <c r="I33" s="274"/>
      <c r="J33" s="275"/>
      <c r="K33" s="276"/>
      <c r="L33" s="277"/>
      <c r="M33" s="278"/>
      <c r="N33" s="279"/>
      <c r="O33" s="274"/>
      <c r="P33" s="275"/>
      <c r="Q33" s="276"/>
      <c r="R33" s="277"/>
      <c r="S33" s="278"/>
      <c r="T33" s="279"/>
      <c r="U33" s="279"/>
      <c r="V33" s="279"/>
      <c r="W33" s="279"/>
      <c r="X33" s="279"/>
      <c r="Y33" s="279"/>
      <c r="Z33" s="279"/>
      <c r="AA33" s="279"/>
      <c r="AB33" s="279"/>
      <c r="AC33" s="279"/>
      <c r="AD33" s="279"/>
      <c r="AE33" s="279"/>
      <c r="AF33" s="279"/>
      <c r="AG33" s="280"/>
      <c r="AH33" s="281"/>
      <c r="AI33" s="282"/>
      <c r="AJ33" s="283"/>
      <c r="AK33" s="22" t="s">
        <v>58</v>
      </c>
      <c r="AL33" s="22" t="s">
        <v>58</v>
      </c>
      <c r="AM33" s="22" t="s">
        <v>58</v>
      </c>
    </row>
    <row r="34" spans="1:39" s="22" customFormat="1" x14ac:dyDescent="0.25">
      <c r="A34" s="28" t="str">
        <f>IF(H34&lt;&gt;"",MAX($A$7:A33)+1,"")</f>
        <v/>
      </c>
      <c r="B34" s="243" t="str">
        <f t="shared" si="28"/>
        <v/>
      </c>
      <c r="C34" s="273"/>
      <c r="D34" s="246"/>
      <c r="E34" s="247"/>
      <c r="F34" s="247"/>
      <c r="G34" s="248"/>
      <c r="H34" s="241"/>
      <c r="I34" s="274"/>
      <c r="J34" s="275"/>
      <c r="K34" s="276"/>
      <c r="L34" s="277"/>
      <c r="M34" s="278"/>
      <c r="N34" s="279"/>
      <c r="O34" s="274"/>
      <c r="P34" s="275"/>
      <c r="Q34" s="276"/>
      <c r="R34" s="277"/>
      <c r="S34" s="278"/>
      <c r="T34" s="279"/>
      <c r="U34" s="279"/>
      <c r="V34" s="279"/>
      <c r="W34" s="279"/>
      <c r="X34" s="279"/>
      <c r="Y34" s="279"/>
      <c r="Z34" s="279"/>
      <c r="AA34" s="279"/>
      <c r="AB34" s="279"/>
      <c r="AC34" s="279"/>
      <c r="AD34" s="279"/>
      <c r="AE34" s="279"/>
      <c r="AF34" s="279"/>
      <c r="AG34" s="280"/>
      <c r="AH34" s="281"/>
      <c r="AI34" s="282"/>
      <c r="AJ34" s="283"/>
      <c r="AK34" s="22" t="s">
        <v>58</v>
      </c>
      <c r="AL34" s="22" t="s">
        <v>58</v>
      </c>
      <c r="AM34" s="22" t="s">
        <v>58</v>
      </c>
    </row>
    <row r="35" spans="1:39" s="22" customFormat="1" x14ac:dyDescent="0.25">
      <c r="A35" s="28" t="str">
        <f>IF(H35&lt;&gt;"",MAX($A$7:A34)+1,"")</f>
        <v/>
      </c>
      <c r="B35" s="243" t="str">
        <f t="shared" si="28"/>
        <v/>
      </c>
      <c r="C35" s="273"/>
      <c r="D35" s="246"/>
      <c r="E35" s="247"/>
      <c r="F35" s="247"/>
      <c r="G35" s="248"/>
      <c r="H35" s="241"/>
      <c r="I35" s="274"/>
      <c r="J35" s="275"/>
      <c r="K35" s="276"/>
      <c r="L35" s="277"/>
      <c r="M35" s="278"/>
      <c r="N35" s="279"/>
      <c r="O35" s="274"/>
      <c r="P35" s="275"/>
      <c r="Q35" s="276"/>
      <c r="R35" s="277"/>
      <c r="S35" s="278"/>
      <c r="T35" s="279"/>
      <c r="U35" s="279"/>
      <c r="V35" s="279"/>
      <c r="W35" s="279"/>
      <c r="X35" s="279"/>
      <c r="Y35" s="279"/>
      <c r="Z35" s="279"/>
      <c r="AA35" s="279"/>
      <c r="AB35" s="279"/>
      <c r="AC35" s="279"/>
      <c r="AD35" s="279"/>
      <c r="AE35" s="279"/>
      <c r="AF35" s="279"/>
      <c r="AG35" s="280"/>
      <c r="AH35" s="281"/>
      <c r="AI35" s="282"/>
      <c r="AJ35" s="283"/>
      <c r="AK35" s="22" t="s">
        <v>58</v>
      </c>
      <c r="AL35" s="22" t="s">
        <v>58</v>
      </c>
      <c r="AM35" s="22" t="s">
        <v>58</v>
      </c>
    </row>
    <row r="36" spans="1:39" s="22" customFormat="1" x14ac:dyDescent="0.25">
      <c r="A36" s="28" t="str">
        <f>IF(H36&lt;&gt;"",MAX($A$7:A35)+1,"")</f>
        <v/>
      </c>
      <c r="B36" s="243" t="str">
        <f t="shared" si="28"/>
        <v/>
      </c>
      <c r="C36" s="273"/>
      <c r="D36" s="246"/>
      <c r="E36" s="247"/>
      <c r="F36" s="247"/>
      <c r="G36" s="248"/>
      <c r="H36" s="241"/>
      <c r="I36" s="274"/>
      <c r="J36" s="275"/>
      <c r="K36" s="276"/>
      <c r="L36" s="277"/>
      <c r="M36" s="278"/>
      <c r="N36" s="279"/>
      <c r="O36" s="274"/>
      <c r="P36" s="275"/>
      <c r="Q36" s="276"/>
      <c r="R36" s="277"/>
      <c r="S36" s="278"/>
      <c r="T36" s="279"/>
      <c r="U36" s="279"/>
      <c r="V36" s="279"/>
      <c r="W36" s="279"/>
      <c r="X36" s="279"/>
      <c r="Y36" s="279"/>
      <c r="Z36" s="279"/>
      <c r="AA36" s="279"/>
      <c r="AB36" s="279"/>
      <c r="AC36" s="279"/>
      <c r="AD36" s="279"/>
      <c r="AE36" s="279"/>
      <c r="AF36" s="279"/>
      <c r="AG36" s="280"/>
      <c r="AH36" s="281"/>
      <c r="AI36" s="282"/>
      <c r="AJ36" s="283"/>
      <c r="AK36" s="22" t="s">
        <v>58</v>
      </c>
      <c r="AL36" s="22" t="s">
        <v>58</v>
      </c>
      <c r="AM36" s="22" t="s">
        <v>58</v>
      </c>
    </row>
    <row r="37" spans="1:39" s="22" customFormat="1" x14ac:dyDescent="0.25">
      <c r="A37" s="28" t="str">
        <f>IF(H37&lt;&gt;"",MAX($A$7:A36)+1,"")</f>
        <v/>
      </c>
      <c r="B37" s="243" t="str">
        <f t="shared" si="28"/>
        <v/>
      </c>
      <c r="C37" s="273"/>
      <c r="D37" s="246"/>
      <c r="E37" s="247"/>
      <c r="F37" s="247"/>
      <c r="G37" s="248"/>
      <c r="H37" s="241"/>
      <c r="I37" s="274"/>
      <c r="J37" s="275"/>
      <c r="K37" s="276"/>
      <c r="L37" s="277"/>
      <c r="M37" s="278"/>
      <c r="N37" s="279"/>
      <c r="O37" s="274"/>
      <c r="P37" s="275"/>
      <c r="Q37" s="276"/>
      <c r="R37" s="277"/>
      <c r="S37" s="278"/>
      <c r="T37" s="279"/>
      <c r="U37" s="279"/>
      <c r="V37" s="279"/>
      <c r="W37" s="279"/>
      <c r="X37" s="279"/>
      <c r="Y37" s="279"/>
      <c r="Z37" s="279"/>
      <c r="AA37" s="279"/>
      <c r="AB37" s="279"/>
      <c r="AC37" s="279"/>
      <c r="AD37" s="279"/>
      <c r="AE37" s="279"/>
      <c r="AF37" s="279"/>
      <c r="AG37" s="280"/>
      <c r="AH37" s="281"/>
      <c r="AI37" s="282"/>
      <c r="AJ37" s="283"/>
      <c r="AK37" s="22" t="s">
        <v>58</v>
      </c>
      <c r="AL37" s="22" t="s">
        <v>58</v>
      </c>
      <c r="AM37" s="22" t="s">
        <v>58</v>
      </c>
    </row>
    <row r="38" spans="1:39" s="22" customFormat="1" x14ac:dyDescent="0.25">
      <c r="A38" s="28" t="str">
        <f>IF(H38&lt;&gt;"",MAX($A$7:A37)+1,"")</f>
        <v/>
      </c>
      <c r="B38" s="243" t="str">
        <f t="shared" si="28"/>
        <v/>
      </c>
      <c r="C38" s="273"/>
      <c r="D38" s="246"/>
      <c r="E38" s="247"/>
      <c r="F38" s="247"/>
      <c r="G38" s="248"/>
      <c r="H38" s="241"/>
      <c r="I38" s="274"/>
      <c r="J38" s="275"/>
      <c r="K38" s="276"/>
      <c r="L38" s="277"/>
      <c r="M38" s="278"/>
      <c r="N38" s="279"/>
      <c r="O38" s="274"/>
      <c r="P38" s="275"/>
      <c r="Q38" s="276"/>
      <c r="R38" s="277"/>
      <c r="S38" s="278"/>
      <c r="T38" s="279"/>
      <c r="U38" s="279"/>
      <c r="V38" s="279"/>
      <c r="W38" s="279"/>
      <c r="X38" s="279"/>
      <c r="Y38" s="279"/>
      <c r="Z38" s="279"/>
      <c r="AA38" s="279"/>
      <c r="AB38" s="279"/>
      <c r="AC38" s="279"/>
      <c r="AD38" s="279"/>
      <c r="AE38" s="279"/>
      <c r="AF38" s="279"/>
      <c r="AG38" s="280"/>
      <c r="AH38" s="281"/>
      <c r="AI38" s="282"/>
      <c r="AJ38" s="283"/>
      <c r="AK38" s="22" t="s">
        <v>58</v>
      </c>
      <c r="AL38" s="22" t="s">
        <v>58</v>
      </c>
      <c r="AM38" s="22" t="s">
        <v>58</v>
      </c>
    </row>
    <row r="39" spans="1:39" s="22" customFormat="1" x14ac:dyDescent="0.25">
      <c r="A39" s="28" t="str">
        <f>IF(H39&lt;&gt;"",MAX($A$7:A38)+1,"")</f>
        <v/>
      </c>
      <c r="B39" s="243" t="str">
        <f t="shared" si="28"/>
        <v/>
      </c>
      <c r="C39" s="273"/>
      <c r="D39" s="246"/>
      <c r="E39" s="247"/>
      <c r="F39" s="247"/>
      <c r="G39" s="248"/>
      <c r="H39" s="241"/>
      <c r="I39" s="274"/>
      <c r="J39" s="275"/>
      <c r="K39" s="276"/>
      <c r="L39" s="277"/>
      <c r="M39" s="278"/>
      <c r="N39" s="279"/>
      <c r="O39" s="274"/>
      <c r="P39" s="275"/>
      <c r="Q39" s="276"/>
      <c r="R39" s="277"/>
      <c r="S39" s="278"/>
      <c r="T39" s="279"/>
      <c r="U39" s="279"/>
      <c r="V39" s="279"/>
      <c r="W39" s="279"/>
      <c r="X39" s="279"/>
      <c r="Y39" s="279"/>
      <c r="Z39" s="279"/>
      <c r="AA39" s="279"/>
      <c r="AB39" s="279"/>
      <c r="AC39" s="279"/>
      <c r="AD39" s="279"/>
      <c r="AE39" s="279"/>
      <c r="AF39" s="279"/>
      <c r="AG39" s="280"/>
      <c r="AH39" s="281"/>
      <c r="AI39" s="282"/>
      <c r="AJ39" s="283"/>
      <c r="AK39" s="22" t="s">
        <v>58</v>
      </c>
      <c r="AL39" s="22" t="s">
        <v>58</v>
      </c>
      <c r="AM39" s="22" t="s">
        <v>58</v>
      </c>
    </row>
    <row r="40" spans="1:39" s="22" customFormat="1" x14ac:dyDescent="0.25">
      <c r="A40" s="28" t="str">
        <f>IF(H40&lt;&gt;"",MAX($A$7:A39)+1,"")</f>
        <v/>
      </c>
      <c r="B40" s="243" t="str">
        <f t="shared" si="28"/>
        <v/>
      </c>
      <c r="C40" s="273"/>
      <c r="D40" s="246"/>
      <c r="E40" s="247"/>
      <c r="F40" s="247"/>
      <c r="G40" s="248"/>
      <c r="H40" s="241"/>
      <c r="I40" s="274"/>
      <c r="J40" s="275"/>
      <c r="K40" s="276"/>
      <c r="L40" s="277"/>
      <c r="M40" s="278"/>
      <c r="N40" s="279"/>
      <c r="O40" s="274"/>
      <c r="P40" s="275"/>
      <c r="Q40" s="276"/>
      <c r="R40" s="277"/>
      <c r="S40" s="278"/>
      <c r="T40" s="279"/>
      <c r="U40" s="279"/>
      <c r="V40" s="279"/>
      <c r="W40" s="279"/>
      <c r="X40" s="279"/>
      <c r="Y40" s="279"/>
      <c r="Z40" s="279"/>
      <c r="AA40" s="279"/>
      <c r="AB40" s="279"/>
      <c r="AC40" s="279"/>
      <c r="AD40" s="279"/>
      <c r="AE40" s="279"/>
      <c r="AF40" s="279"/>
      <c r="AG40" s="280"/>
      <c r="AH40" s="281"/>
      <c r="AI40" s="282"/>
      <c r="AJ40" s="283"/>
      <c r="AK40" s="22" t="s">
        <v>58</v>
      </c>
      <c r="AL40" s="22" t="s">
        <v>58</v>
      </c>
      <c r="AM40" s="22" t="s">
        <v>58</v>
      </c>
    </row>
    <row r="41" spans="1:39" s="22" customFormat="1" x14ac:dyDescent="0.25">
      <c r="A41" s="28" t="str">
        <f>IF(H41&lt;&gt;"",MAX($A$7:A40)+1,"")</f>
        <v/>
      </c>
      <c r="B41" s="243" t="str">
        <f t="shared" si="28"/>
        <v/>
      </c>
      <c r="C41" s="273"/>
      <c r="D41" s="246"/>
      <c r="E41" s="247"/>
      <c r="F41" s="247"/>
      <c r="G41" s="248"/>
      <c r="H41" s="241"/>
      <c r="I41" s="274"/>
      <c r="J41" s="275"/>
      <c r="K41" s="276"/>
      <c r="L41" s="277"/>
      <c r="M41" s="278"/>
      <c r="N41" s="279"/>
      <c r="O41" s="274"/>
      <c r="P41" s="275"/>
      <c r="Q41" s="276"/>
      <c r="R41" s="277"/>
      <c r="S41" s="278"/>
      <c r="T41" s="279"/>
      <c r="U41" s="279"/>
      <c r="V41" s="279"/>
      <c r="W41" s="279"/>
      <c r="X41" s="279"/>
      <c r="Y41" s="279"/>
      <c r="Z41" s="279"/>
      <c r="AA41" s="279"/>
      <c r="AB41" s="279"/>
      <c r="AC41" s="279"/>
      <c r="AD41" s="279"/>
      <c r="AE41" s="279"/>
      <c r="AF41" s="279"/>
      <c r="AG41" s="280"/>
      <c r="AH41" s="281"/>
      <c r="AI41" s="282"/>
      <c r="AJ41" s="283"/>
      <c r="AK41" s="22" t="s">
        <v>58</v>
      </c>
      <c r="AL41" s="22" t="s">
        <v>58</v>
      </c>
      <c r="AM41" s="22" t="s">
        <v>58</v>
      </c>
    </row>
    <row r="42" spans="1:39" s="22" customFormat="1" x14ac:dyDescent="0.25">
      <c r="A42" s="28" t="str">
        <f>IF(H42&lt;&gt;"",MAX($A$7:A41)+1,"")</f>
        <v/>
      </c>
      <c r="B42" s="243" t="str">
        <f t="shared" si="28"/>
        <v/>
      </c>
      <c r="C42" s="273"/>
      <c r="D42" s="246"/>
      <c r="E42" s="247"/>
      <c r="F42" s="247"/>
      <c r="G42" s="248"/>
      <c r="H42" s="241"/>
      <c r="I42" s="274"/>
      <c r="J42" s="275"/>
      <c r="K42" s="276"/>
      <c r="L42" s="277"/>
      <c r="M42" s="278"/>
      <c r="N42" s="279"/>
      <c r="O42" s="274"/>
      <c r="P42" s="275"/>
      <c r="Q42" s="276"/>
      <c r="R42" s="277"/>
      <c r="S42" s="278"/>
      <c r="T42" s="279"/>
      <c r="U42" s="279"/>
      <c r="V42" s="279"/>
      <c r="W42" s="279"/>
      <c r="X42" s="279"/>
      <c r="Y42" s="279"/>
      <c r="Z42" s="279"/>
      <c r="AA42" s="279"/>
      <c r="AB42" s="279"/>
      <c r="AC42" s="279"/>
      <c r="AD42" s="279"/>
      <c r="AE42" s="279"/>
      <c r="AF42" s="279"/>
      <c r="AG42" s="280"/>
      <c r="AH42" s="281"/>
      <c r="AI42" s="282"/>
      <c r="AJ42" s="283"/>
      <c r="AK42" s="22" t="s">
        <v>58</v>
      </c>
      <c r="AL42" s="22" t="s">
        <v>58</v>
      </c>
      <c r="AM42" s="22" t="s">
        <v>58</v>
      </c>
    </row>
    <row r="43" spans="1:39" s="22" customFormat="1" x14ac:dyDescent="0.25">
      <c r="A43" s="28" t="str">
        <f>IF(H43&lt;&gt;"",MAX($A$7:A42)+1,"")</f>
        <v/>
      </c>
      <c r="B43" s="243" t="str">
        <f t="shared" si="28"/>
        <v/>
      </c>
      <c r="C43" s="273"/>
      <c r="D43" s="246"/>
      <c r="E43" s="247"/>
      <c r="F43" s="247"/>
      <c r="G43" s="248"/>
      <c r="H43" s="241"/>
      <c r="I43" s="274"/>
      <c r="J43" s="275"/>
      <c r="K43" s="276"/>
      <c r="L43" s="277"/>
      <c r="M43" s="278"/>
      <c r="N43" s="279"/>
      <c r="O43" s="274"/>
      <c r="P43" s="275"/>
      <c r="Q43" s="276"/>
      <c r="R43" s="277"/>
      <c r="S43" s="278"/>
      <c r="T43" s="279"/>
      <c r="U43" s="279"/>
      <c r="V43" s="279"/>
      <c r="W43" s="279"/>
      <c r="X43" s="279"/>
      <c r="Y43" s="279"/>
      <c r="Z43" s="279"/>
      <c r="AA43" s="279"/>
      <c r="AB43" s="279"/>
      <c r="AC43" s="279"/>
      <c r="AD43" s="279"/>
      <c r="AE43" s="279"/>
      <c r="AF43" s="279"/>
      <c r="AG43" s="280"/>
      <c r="AH43" s="281"/>
      <c r="AI43" s="282"/>
      <c r="AJ43" s="283"/>
      <c r="AK43" s="22" t="s">
        <v>58</v>
      </c>
      <c r="AL43" s="22" t="s">
        <v>58</v>
      </c>
      <c r="AM43" s="22" t="s">
        <v>58</v>
      </c>
    </row>
    <row r="44" spans="1:39" s="22" customFormat="1" x14ac:dyDescent="0.25">
      <c r="A44" s="28" t="str">
        <f>IF(H44&lt;&gt;"",MAX($A$7:A43)+1,"")</f>
        <v/>
      </c>
      <c r="B44" s="243" t="str">
        <f t="shared" si="28"/>
        <v/>
      </c>
      <c r="C44" s="273"/>
      <c r="D44" s="246"/>
      <c r="E44" s="247"/>
      <c r="F44" s="247"/>
      <c r="G44" s="248"/>
      <c r="H44" s="241"/>
      <c r="I44" s="274"/>
      <c r="J44" s="275"/>
      <c r="K44" s="276"/>
      <c r="L44" s="277"/>
      <c r="M44" s="278"/>
      <c r="N44" s="279"/>
      <c r="O44" s="274"/>
      <c r="P44" s="275"/>
      <c r="Q44" s="276"/>
      <c r="R44" s="277"/>
      <c r="S44" s="278"/>
      <c r="T44" s="279"/>
      <c r="U44" s="279"/>
      <c r="V44" s="279"/>
      <c r="W44" s="279"/>
      <c r="X44" s="279"/>
      <c r="Y44" s="279"/>
      <c r="Z44" s="279"/>
      <c r="AA44" s="279"/>
      <c r="AB44" s="279"/>
      <c r="AC44" s="279"/>
      <c r="AD44" s="279"/>
      <c r="AE44" s="279"/>
      <c r="AF44" s="279"/>
      <c r="AG44" s="280"/>
      <c r="AH44" s="281"/>
      <c r="AI44" s="282"/>
      <c r="AJ44" s="283"/>
      <c r="AK44" s="22" t="s">
        <v>58</v>
      </c>
      <c r="AL44" s="22" t="s">
        <v>58</v>
      </c>
      <c r="AM44" s="22" t="s">
        <v>58</v>
      </c>
    </row>
    <row r="45" spans="1:39" s="22" customFormat="1" x14ac:dyDescent="0.25">
      <c r="A45" s="28" t="str">
        <f>IF(H45&lt;&gt;"",MAX($A$7:A44)+1,"")</f>
        <v/>
      </c>
      <c r="B45" s="243" t="str">
        <f t="shared" si="28"/>
        <v/>
      </c>
      <c r="C45" s="273"/>
      <c r="D45" s="246"/>
      <c r="E45" s="247"/>
      <c r="F45" s="247"/>
      <c r="G45" s="248"/>
      <c r="H45" s="241"/>
      <c r="I45" s="274"/>
      <c r="J45" s="275"/>
      <c r="K45" s="276"/>
      <c r="L45" s="277"/>
      <c r="M45" s="278"/>
      <c r="N45" s="279"/>
      <c r="O45" s="274"/>
      <c r="P45" s="275"/>
      <c r="Q45" s="276"/>
      <c r="R45" s="277"/>
      <c r="S45" s="278"/>
      <c r="T45" s="279"/>
      <c r="U45" s="279"/>
      <c r="V45" s="279"/>
      <c r="W45" s="279"/>
      <c r="X45" s="279"/>
      <c r="Y45" s="279"/>
      <c r="Z45" s="279"/>
      <c r="AA45" s="279"/>
      <c r="AB45" s="279"/>
      <c r="AC45" s="279"/>
      <c r="AD45" s="279"/>
      <c r="AE45" s="279"/>
      <c r="AF45" s="279"/>
      <c r="AG45" s="280"/>
      <c r="AH45" s="281"/>
      <c r="AI45" s="282"/>
      <c r="AJ45" s="283"/>
      <c r="AK45" s="22" t="s">
        <v>58</v>
      </c>
      <c r="AL45" s="22" t="s">
        <v>58</v>
      </c>
      <c r="AM45" s="22" t="s">
        <v>58</v>
      </c>
    </row>
    <row r="46" spans="1:39" s="22" customFormat="1" x14ac:dyDescent="0.25">
      <c r="A46" s="28" t="str">
        <f>IF(H46&lt;&gt;"",MAX($A$7:A45)+1,"")</f>
        <v/>
      </c>
      <c r="B46" s="243" t="str">
        <f t="shared" si="28"/>
        <v/>
      </c>
      <c r="C46" s="273"/>
      <c r="D46" s="246"/>
      <c r="E46" s="247"/>
      <c r="F46" s="247"/>
      <c r="G46" s="248"/>
      <c r="H46" s="241"/>
      <c r="I46" s="274"/>
      <c r="J46" s="275"/>
      <c r="K46" s="276"/>
      <c r="L46" s="277"/>
      <c r="M46" s="278"/>
      <c r="N46" s="279"/>
      <c r="O46" s="274"/>
      <c r="P46" s="275"/>
      <c r="Q46" s="276"/>
      <c r="R46" s="277"/>
      <c r="S46" s="278"/>
      <c r="T46" s="279"/>
      <c r="U46" s="279"/>
      <c r="V46" s="279"/>
      <c r="W46" s="279"/>
      <c r="X46" s="279"/>
      <c r="Y46" s="279"/>
      <c r="Z46" s="279"/>
      <c r="AA46" s="279"/>
      <c r="AB46" s="279"/>
      <c r="AC46" s="279"/>
      <c r="AD46" s="279"/>
      <c r="AE46" s="279"/>
      <c r="AF46" s="279"/>
      <c r="AG46" s="280"/>
      <c r="AH46" s="281"/>
      <c r="AI46" s="282"/>
      <c r="AJ46" s="283"/>
      <c r="AK46" s="22" t="s">
        <v>58</v>
      </c>
      <c r="AL46" s="22" t="s">
        <v>58</v>
      </c>
      <c r="AM46" s="22" t="s">
        <v>58</v>
      </c>
    </row>
    <row r="47" spans="1:39" s="22" customFormat="1" x14ac:dyDescent="0.25">
      <c r="A47" s="28" t="str">
        <f>IF(H47&lt;&gt;"",MAX($A$7:A46)+1,"")</f>
        <v/>
      </c>
      <c r="B47" s="243" t="str">
        <f t="shared" si="28"/>
        <v/>
      </c>
      <c r="C47" s="273"/>
      <c r="D47" s="246"/>
      <c r="E47" s="247"/>
      <c r="F47" s="247"/>
      <c r="G47" s="248"/>
      <c r="H47" s="241"/>
      <c r="I47" s="274"/>
      <c r="J47" s="275"/>
      <c r="K47" s="276"/>
      <c r="L47" s="277"/>
      <c r="M47" s="278"/>
      <c r="N47" s="279"/>
      <c r="O47" s="274"/>
      <c r="P47" s="275"/>
      <c r="Q47" s="276"/>
      <c r="R47" s="277"/>
      <c r="S47" s="278"/>
      <c r="T47" s="279"/>
      <c r="U47" s="279"/>
      <c r="V47" s="279"/>
      <c r="W47" s="279"/>
      <c r="X47" s="279"/>
      <c r="Y47" s="279"/>
      <c r="Z47" s="279"/>
      <c r="AA47" s="279"/>
      <c r="AB47" s="279"/>
      <c r="AC47" s="279"/>
      <c r="AD47" s="279"/>
      <c r="AE47" s="279"/>
      <c r="AF47" s="279"/>
      <c r="AG47" s="280"/>
      <c r="AH47" s="281"/>
      <c r="AI47" s="282"/>
      <c r="AJ47" s="283"/>
      <c r="AK47" s="22" t="s">
        <v>58</v>
      </c>
      <c r="AL47" s="22" t="s">
        <v>58</v>
      </c>
      <c r="AM47" s="22" t="s">
        <v>58</v>
      </c>
    </row>
    <row r="48" spans="1:39" s="22" customFormat="1" x14ac:dyDescent="0.25">
      <c r="A48" s="28" t="str">
        <f>IF(H48&lt;&gt;"",MAX($A$7:A47)+1,"")</f>
        <v/>
      </c>
      <c r="B48" s="243" t="str">
        <f t="shared" si="28"/>
        <v/>
      </c>
      <c r="C48" s="273"/>
      <c r="D48" s="246"/>
      <c r="E48" s="247"/>
      <c r="F48" s="247"/>
      <c r="G48" s="248"/>
      <c r="H48" s="241"/>
      <c r="I48" s="274"/>
      <c r="J48" s="275"/>
      <c r="K48" s="276"/>
      <c r="L48" s="277"/>
      <c r="M48" s="278"/>
      <c r="N48" s="279"/>
      <c r="O48" s="274"/>
      <c r="P48" s="275"/>
      <c r="Q48" s="276"/>
      <c r="R48" s="277"/>
      <c r="S48" s="278"/>
      <c r="T48" s="279"/>
      <c r="U48" s="279"/>
      <c r="V48" s="279"/>
      <c r="W48" s="279"/>
      <c r="X48" s="279"/>
      <c r="Y48" s="279"/>
      <c r="Z48" s="279"/>
      <c r="AA48" s="279"/>
      <c r="AB48" s="279"/>
      <c r="AC48" s="279"/>
      <c r="AD48" s="279"/>
      <c r="AE48" s="279"/>
      <c r="AF48" s="279"/>
      <c r="AG48" s="280"/>
      <c r="AH48" s="281"/>
      <c r="AI48" s="282"/>
      <c r="AJ48" s="283"/>
      <c r="AK48" s="22" t="s">
        <v>58</v>
      </c>
      <c r="AL48" s="22" t="s">
        <v>58</v>
      </c>
      <c r="AM48" s="22" t="s">
        <v>58</v>
      </c>
    </row>
    <row r="49" spans="1:39" s="22" customFormat="1" x14ac:dyDescent="0.25">
      <c r="A49" s="28" t="str">
        <f>IF(H49&lt;&gt;"",MAX($A$7:A48)+1,"")</f>
        <v/>
      </c>
      <c r="B49" s="243" t="str">
        <f t="shared" si="28"/>
        <v/>
      </c>
      <c r="C49" s="273"/>
      <c r="D49" s="246"/>
      <c r="E49" s="247"/>
      <c r="F49" s="247"/>
      <c r="G49" s="248"/>
      <c r="H49" s="241"/>
      <c r="I49" s="274"/>
      <c r="J49" s="275"/>
      <c r="K49" s="276"/>
      <c r="L49" s="277"/>
      <c r="M49" s="278"/>
      <c r="N49" s="279"/>
      <c r="O49" s="274"/>
      <c r="P49" s="275"/>
      <c r="Q49" s="276"/>
      <c r="R49" s="277"/>
      <c r="S49" s="278"/>
      <c r="T49" s="279"/>
      <c r="U49" s="279"/>
      <c r="V49" s="279"/>
      <c r="W49" s="279"/>
      <c r="X49" s="279"/>
      <c r="Y49" s="279"/>
      <c r="Z49" s="279"/>
      <c r="AA49" s="279"/>
      <c r="AB49" s="279"/>
      <c r="AC49" s="279"/>
      <c r="AD49" s="279"/>
      <c r="AE49" s="279"/>
      <c r="AF49" s="279"/>
      <c r="AG49" s="280"/>
      <c r="AH49" s="281"/>
      <c r="AI49" s="282"/>
      <c r="AJ49" s="283"/>
      <c r="AK49" s="22" t="s">
        <v>58</v>
      </c>
      <c r="AL49" s="22" t="s">
        <v>58</v>
      </c>
      <c r="AM49" s="22" t="s">
        <v>58</v>
      </c>
    </row>
    <row r="50" spans="1:39" s="22" customFormat="1" x14ac:dyDescent="0.25">
      <c r="A50" s="28" t="str">
        <f>IF(H50&lt;&gt;"",MAX($A$7:A49)+1,"")</f>
        <v/>
      </c>
      <c r="B50" s="243" t="str">
        <f t="shared" si="28"/>
        <v/>
      </c>
      <c r="C50" s="273"/>
      <c r="D50" s="246"/>
      <c r="E50" s="247"/>
      <c r="F50" s="247"/>
      <c r="G50" s="248"/>
      <c r="H50" s="241"/>
      <c r="I50" s="274"/>
      <c r="J50" s="275"/>
      <c r="K50" s="276"/>
      <c r="L50" s="277"/>
      <c r="M50" s="278"/>
      <c r="N50" s="279"/>
      <c r="O50" s="274"/>
      <c r="P50" s="275"/>
      <c r="Q50" s="276"/>
      <c r="R50" s="277"/>
      <c r="S50" s="278"/>
      <c r="T50" s="279"/>
      <c r="U50" s="279"/>
      <c r="V50" s="279"/>
      <c r="W50" s="279"/>
      <c r="X50" s="279"/>
      <c r="Y50" s="279"/>
      <c r="Z50" s="279"/>
      <c r="AA50" s="279"/>
      <c r="AB50" s="279"/>
      <c r="AC50" s="279"/>
      <c r="AD50" s="279"/>
      <c r="AE50" s="279"/>
      <c r="AF50" s="279"/>
      <c r="AG50" s="280"/>
      <c r="AH50" s="281"/>
      <c r="AI50" s="282"/>
      <c r="AJ50" s="283"/>
      <c r="AK50" s="22" t="s">
        <v>58</v>
      </c>
      <c r="AL50" s="22" t="s">
        <v>58</v>
      </c>
      <c r="AM50" s="22" t="s">
        <v>58</v>
      </c>
    </row>
    <row r="51" spans="1:39" s="22" customFormat="1" x14ac:dyDescent="0.25">
      <c r="A51" s="28" t="str">
        <f>IF(H51&lt;&gt;"",MAX($A$7:A50)+1,"")</f>
        <v/>
      </c>
      <c r="B51" s="243" t="str">
        <f t="shared" si="28"/>
        <v/>
      </c>
      <c r="C51" s="273"/>
      <c r="D51" s="246"/>
      <c r="E51" s="247"/>
      <c r="F51" s="247"/>
      <c r="G51" s="248"/>
      <c r="H51" s="241"/>
      <c r="I51" s="274"/>
      <c r="J51" s="275"/>
      <c r="K51" s="276"/>
      <c r="L51" s="277"/>
      <c r="M51" s="278"/>
      <c r="N51" s="279"/>
      <c r="O51" s="274"/>
      <c r="P51" s="275"/>
      <c r="Q51" s="276"/>
      <c r="R51" s="277"/>
      <c r="S51" s="278"/>
      <c r="T51" s="279"/>
      <c r="U51" s="279"/>
      <c r="V51" s="279"/>
      <c r="W51" s="279"/>
      <c r="X51" s="279"/>
      <c r="Y51" s="279"/>
      <c r="Z51" s="279"/>
      <c r="AA51" s="279"/>
      <c r="AB51" s="279"/>
      <c r="AC51" s="279"/>
      <c r="AD51" s="279"/>
      <c r="AE51" s="279"/>
      <c r="AF51" s="279"/>
      <c r="AG51" s="280"/>
      <c r="AH51" s="281"/>
      <c r="AI51" s="282"/>
      <c r="AJ51" s="283"/>
      <c r="AK51" s="22" t="s">
        <v>58</v>
      </c>
      <c r="AL51" s="22" t="s">
        <v>58</v>
      </c>
      <c r="AM51" s="22" t="s">
        <v>58</v>
      </c>
    </row>
    <row r="52" spans="1:39" s="22" customFormat="1" x14ac:dyDescent="0.25">
      <c r="A52" s="28" t="str">
        <f>IF(H52&lt;&gt;"",MAX($A$7:A51)+1,"")</f>
        <v/>
      </c>
      <c r="B52" s="243" t="str">
        <f t="shared" si="28"/>
        <v/>
      </c>
      <c r="C52" s="273"/>
      <c r="D52" s="246"/>
      <c r="E52" s="247"/>
      <c r="F52" s="247"/>
      <c r="G52" s="248"/>
      <c r="H52" s="241"/>
      <c r="I52" s="274"/>
      <c r="J52" s="275"/>
      <c r="K52" s="276"/>
      <c r="L52" s="277"/>
      <c r="M52" s="278"/>
      <c r="N52" s="279"/>
      <c r="O52" s="274"/>
      <c r="P52" s="275"/>
      <c r="Q52" s="276"/>
      <c r="R52" s="277"/>
      <c r="S52" s="278"/>
      <c r="T52" s="279"/>
      <c r="U52" s="279"/>
      <c r="V52" s="279"/>
      <c r="W52" s="279"/>
      <c r="X52" s="279"/>
      <c r="Y52" s="279"/>
      <c r="Z52" s="279"/>
      <c r="AA52" s="279"/>
      <c r="AB52" s="279"/>
      <c r="AC52" s="279"/>
      <c r="AD52" s="279"/>
      <c r="AE52" s="279"/>
      <c r="AF52" s="279"/>
      <c r="AG52" s="280"/>
      <c r="AH52" s="281"/>
      <c r="AI52" s="282"/>
      <c r="AJ52" s="283"/>
      <c r="AK52" s="22" t="s">
        <v>58</v>
      </c>
      <c r="AL52" s="22" t="s">
        <v>58</v>
      </c>
      <c r="AM52" s="22" t="s">
        <v>58</v>
      </c>
    </row>
    <row r="53" spans="1:39" s="22" customFormat="1" x14ac:dyDescent="0.25">
      <c r="A53" s="28" t="str">
        <f>IF(H53&lt;&gt;"",MAX($A$7:A52)+1,"")</f>
        <v/>
      </c>
      <c r="B53" s="243" t="str">
        <f t="shared" si="28"/>
        <v/>
      </c>
      <c r="C53" s="273"/>
      <c r="D53" s="246"/>
      <c r="E53" s="247"/>
      <c r="F53" s="247"/>
      <c r="G53" s="248"/>
      <c r="H53" s="241"/>
      <c r="I53" s="274"/>
      <c r="J53" s="275"/>
      <c r="K53" s="276"/>
      <c r="L53" s="277"/>
      <c r="M53" s="278"/>
      <c r="N53" s="279"/>
      <c r="O53" s="274"/>
      <c r="P53" s="275"/>
      <c r="Q53" s="276"/>
      <c r="R53" s="277"/>
      <c r="S53" s="278"/>
      <c r="T53" s="279"/>
      <c r="U53" s="279"/>
      <c r="V53" s="279"/>
      <c r="W53" s="279"/>
      <c r="X53" s="279"/>
      <c r="Y53" s="279"/>
      <c r="Z53" s="279"/>
      <c r="AA53" s="279"/>
      <c r="AB53" s="279"/>
      <c r="AC53" s="279"/>
      <c r="AD53" s="279"/>
      <c r="AE53" s="279"/>
      <c r="AF53" s="279"/>
      <c r="AG53" s="280"/>
      <c r="AH53" s="281"/>
      <c r="AI53" s="282"/>
      <c r="AJ53" s="283"/>
      <c r="AK53" s="22" t="s">
        <v>58</v>
      </c>
      <c r="AL53" s="22" t="s">
        <v>58</v>
      </c>
      <c r="AM53" s="22" t="s">
        <v>58</v>
      </c>
    </row>
    <row r="54" spans="1:39" s="22" customFormat="1" x14ac:dyDescent="0.25">
      <c r="A54" s="28" t="str">
        <f>IF(H54&lt;&gt;"",MAX($A$7:A53)+1,"")</f>
        <v/>
      </c>
      <c r="B54" s="243" t="str">
        <f t="shared" si="28"/>
        <v/>
      </c>
      <c r="C54" s="273"/>
      <c r="D54" s="246"/>
      <c r="E54" s="247"/>
      <c r="F54" s="247"/>
      <c r="G54" s="248"/>
      <c r="H54" s="241"/>
      <c r="I54" s="274"/>
      <c r="J54" s="275"/>
      <c r="K54" s="276"/>
      <c r="L54" s="277"/>
      <c r="M54" s="278"/>
      <c r="N54" s="279"/>
      <c r="O54" s="274"/>
      <c r="P54" s="275"/>
      <c r="Q54" s="276"/>
      <c r="R54" s="277"/>
      <c r="S54" s="278"/>
      <c r="T54" s="279"/>
      <c r="U54" s="279"/>
      <c r="V54" s="279"/>
      <c r="W54" s="279"/>
      <c r="X54" s="279"/>
      <c r="Y54" s="279"/>
      <c r="Z54" s="279"/>
      <c r="AA54" s="279"/>
      <c r="AB54" s="279"/>
      <c r="AC54" s="279"/>
      <c r="AD54" s="279"/>
      <c r="AE54" s="279"/>
      <c r="AF54" s="279"/>
      <c r="AG54" s="280"/>
      <c r="AH54" s="281"/>
      <c r="AI54" s="282"/>
      <c r="AJ54" s="283"/>
      <c r="AK54" s="22" t="s">
        <v>58</v>
      </c>
      <c r="AL54" s="22" t="s">
        <v>58</v>
      </c>
      <c r="AM54" s="22" t="s">
        <v>58</v>
      </c>
    </row>
    <row r="55" spans="1:39" s="22" customFormat="1" x14ac:dyDescent="0.25">
      <c r="A55" s="28" t="str">
        <f>IF(H55&lt;&gt;"",MAX($A$7:A54)+1,"")</f>
        <v/>
      </c>
      <c r="B55" s="243" t="str">
        <f t="shared" si="28"/>
        <v/>
      </c>
      <c r="C55" s="273"/>
      <c r="D55" s="246"/>
      <c r="E55" s="247"/>
      <c r="F55" s="247"/>
      <c r="G55" s="248"/>
      <c r="H55" s="241"/>
      <c r="I55" s="274"/>
      <c r="J55" s="275"/>
      <c r="K55" s="276"/>
      <c r="L55" s="277"/>
      <c r="M55" s="278"/>
      <c r="N55" s="279"/>
      <c r="O55" s="274"/>
      <c r="P55" s="275"/>
      <c r="Q55" s="276"/>
      <c r="R55" s="277"/>
      <c r="S55" s="278"/>
      <c r="T55" s="279"/>
      <c r="U55" s="279"/>
      <c r="V55" s="279"/>
      <c r="W55" s="279"/>
      <c r="X55" s="279"/>
      <c r="Y55" s="279"/>
      <c r="Z55" s="279"/>
      <c r="AA55" s="279"/>
      <c r="AB55" s="279"/>
      <c r="AC55" s="279"/>
      <c r="AD55" s="279"/>
      <c r="AE55" s="279"/>
      <c r="AF55" s="279"/>
      <c r="AG55" s="280"/>
      <c r="AH55" s="281"/>
      <c r="AI55" s="282"/>
      <c r="AJ55" s="283"/>
      <c r="AK55" s="22" t="s">
        <v>58</v>
      </c>
      <c r="AL55" s="22" t="s">
        <v>58</v>
      </c>
      <c r="AM55" s="22" t="s">
        <v>58</v>
      </c>
    </row>
    <row r="56" spans="1:39" s="22" customFormat="1" x14ac:dyDescent="0.25">
      <c r="A56" s="28" t="str">
        <f>IF(H56&lt;&gt;"",MAX($A$7:A55)+1,"")</f>
        <v/>
      </c>
      <c r="B56" s="243" t="str">
        <f t="shared" si="28"/>
        <v/>
      </c>
      <c r="C56" s="273"/>
      <c r="D56" s="246"/>
      <c r="E56" s="247"/>
      <c r="F56" s="247"/>
      <c r="G56" s="248"/>
      <c r="H56" s="241"/>
      <c r="I56" s="274"/>
      <c r="J56" s="275"/>
      <c r="K56" s="276"/>
      <c r="L56" s="277"/>
      <c r="M56" s="278"/>
      <c r="N56" s="279"/>
      <c r="O56" s="274"/>
      <c r="P56" s="275"/>
      <c r="Q56" s="276"/>
      <c r="R56" s="277"/>
      <c r="S56" s="278"/>
      <c r="T56" s="279"/>
      <c r="U56" s="279"/>
      <c r="V56" s="279"/>
      <c r="W56" s="279"/>
      <c r="X56" s="279"/>
      <c r="Y56" s="279"/>
      <c r="Z56" s="279"/>
      <c r="AA56" s="279"/>
      <c r="AB56" s="279"/>
      <c r="AC56" s="279"/>
      <c r="AD56" s="279"/>
      <c r="AE56" s="279"/>
      <c r="AF56" s="279"/>
      <c r="AG56" s="280"/>
      <c r="AH56" s="281"/>
      <c r="AI56" s="282"/>
      <c r="AJ56" s="283"/>
      <c r="AK56" s="22" t="s">
        <v>58</v>
      </c>
      <c r="AL56" s="22" t="s">
        <v>58</v>
      </c>
      <c r="AM56" s="22" t="s">
        <v>58</v>
      </c>
    </row>
    <row r="57" spans="1:39" s="22" customFormat="1" x14ac:dyDescent="0.25">
      <c r="A57" s="28" t="str">
        <f>IF(H57&lt;&gt;"",MAX($A$7:A56)+1,"")</f>
        <v/>
      </c>
      <c r="B57" s="243" t="str">
        <f t="shared" si="28"/>
        <v/>
      </c>
      <c r="C57" s="273"/>
      <c r="D57" s="246"/>
      <c r="E57" s="247"/>
      <c r="F57" s="247"/>
      <c r="G57" s="248"/>
      <c r="H57" s="241"/>
      <c r="I57" s="274"/>
      <c r="J57" s="275"/>
      <c r="K57" s="276"/>
      <c r="L57" s="277"/>
      <c r="M57" s="278"/>
      <c r="N57" s="279"/>
      <c r="O57" s="274"/>
      <c r="P57" s="275"/>
      <c r="Q57" s="276"/>
      <c r="R57" s="277"/>
      <c r="S57" s="278"/>
      <c r="T57" s="279"/>
      <c r="U57" s="279"/>
      <c r="V57" s="279"/>
      <c r="W57" s="279"/>
      <c r="X57" s="279"/>
      <c r="Y57" s="279"/>
      <c r="Z57" s="279"/>
      <c r="AA57" s="279"/>
      <c r="AB57" s="279"/>
      <c r="AC57" s="279"/>
      <c r="AD57" s="279"/>
      <c r="AE57" s="279"/>
      <c r="AF57" s="279"/>
      <c r="AG57" s="280"/>
      <c r="AH57" s="281"/>
      <c r="AI57" s="282"/>
      <c r="AJ57" s="283"/>
      <c r="AK57" s="22" t="s">
        <v>58</v>
      </c>
      <c r="AL57" s="22" t="s">
        <v>58</v>
      </c>
      <c r="AM57" s="22" t="s">
        <v>58</v>
      </c>
    </row>
    <row r="58" spans="1:39" s="22" customFormat="1" x14ac:dyDescent="0.25">
      <c r="A58" s="28" t="str">
        <f>IF(H58&lt;&gt;"",MAX($A$7:A57)+1,"")</f>
        <v/>
      </c>
      <c r="B58" s="243" t="str">
        <f t="shared" si="28"/>
        <v/>
      </c>
      <c r="C58" s="273"/>
      <c r="D58" s="246"/>
      <c r="E58" s="247"/>
      <c r="F58" s="247"/>
      <c r="G58" s="248"/>
      <c r="H58" s="241"/>
      <c r="I58" s="274"/>
      <c r="J58" s="275"/>
      <c r="K58" s="276"/>
      <c r="L58" s="277"/>
      <c r="M58" s="278"/>
      <c r="N58" s="279"/>
      <c r="O58" s="274"/>
      <c r="P58" s="275"/>
      <c r="Q58" s="276"/>
      <c r="R58" s="277"/>
      <c r="S58" s="278"/>
      <c r="T58" s="279"/>
      <c r="U58" s="279"/>
      <c r="V58" s="279"/>
      <c r="W58" s="279"/>
      <c r="X58" s="279"/>
      <c r="Y58" s="279"/>
      <c r="Z58" s="279"/>
      <c r="AA58" s="279"/>
      <c r="AB58" s="279"/>
      <c r="AC58" s="279"/>
      <c r="AD58" s="279"/>
      <c r="AE58" s="279"/>
      <c r="AF58" s="279"/>
      <c r="AG58" s="280"/>
      <c r="AH58" s="281"/>
      <c r="AI58" s="282"/>
      <c r="AJ58" s="283"/>
      <c r="AK58" s="22" t="s">
        <v>58</v>
      </c>
      <c r="AL58" s="22" t="s">
        <v>58</v>
      </c>
      <c r="AM58" s="22" t="s">
        <v>58</v>
      </c>
    </row>
    <row r="59" spans="1:39" s="22" customFormat="1" x14ac:dyDescent="0.25">
      <c r="A59" s="28" t="str">
        <f>IF(H59&lt;&gt;"",MAX($A$7:A58)+1,"")</f>
        <v/>
      </c>
      <c r="B59" s="243" t="str">
        <f t="shared" si="28"/>
        <v/>
      </c>
      <c r="C59" s="273"/>
      <c r="D59" s="246"/>
      <c r="E59" s="247"/>
      <c r="F59" s="247"/>
      <c r="G59" s="248"/>
      <c r="H59" s="241"/>
      <c r="I59" s="274"/>
      <c r="J59" s="275"/>
      <c r="K59" s="276"/>
      <c r="L59" s="277"/>
      <c r="M59" s="278"/>
      <c r="N59" s="279"/>
      <c r="O59" s="274"/>
      <c r="P59" s="275"/>
      <c r="Q59" s="276"/>
      <c r="R59" s="277"/>
      <c r="S59" s="278"/>
      <c r="T59" s="279"/>
      <c r="U59" s="279"/>
      <c r="V59" s="279"/>
      <c r="W59" s="279"/>
      <c r="X59" s="279"/>
      <c r="Y59" s="279"/>
      <c r="Z59" s="279"/>
      <c r="AA59" s="279"/>
      <c r="AB59" s="279"/>
      <c r="AC59" s="279"/>
      <c r="AD59" s="279"/>
      <c r="AE59" s="279"/>
      <c r="AF59" s="279"/>
      <c r="AG59" s="280"/>
      <c r="AH59" s="281"/>
      <c r="AI59" s="282"/>
      <c r="AJ59" s="283"/>
      <c r="AK59" s="22" t="s">
        <v>58</v>
      </c>
      <c r="AL59" s="22" t="s">
        <v>58</v>
      </c>
      <c r="AM59" s="22" t="s">
        <v>58</v>
      </c>
    </row>
    <row r="60" spans="1:39" s="22" customFormat="1" x14ac:dyDescent="0.25">
      <c r="A60" s="28" t="str">
        <f>IF(H60&lt;&gt;"",MAX($A$7:A59)+1,"")</f>
        <v/>
      </c>
      <c r="B60" s="243" t="str">
        <f t="shared" si="28"/>
        <v/>
      </c>
      <c r="C60" s="273"/>
      <c r="D60" s="246"/>
      <c r="E60" s="247"/>
      <c r="F60" s="247"/>
      <c r="G60" s="248"/>
      <c r="H60" s="241"/>
      <c r="I60" s="274"/>
      <c r="J60" s="275"/>
      <c r="K60" s="276"/>
      <c r="L60" s="277"/>
      <c r="M60" s="278"/>
      <c r="N60" s="279"/>
      <c r="O60" s="274"/>
      <c r="P60" s="275"/>
      <c r="Q60" s="276"/>
      <c r="R60" s="277"/>
      <c r="S60" s="278"/>
      <c r="T60" s="279"/>
      <c r="U60" s="279"/>
      <c r="V60" s="279"/>
      <c r="W60" s="279"/>
      <c r="X60" s="279"/>
      <c r="Y60" s="279"/>
      <c r="Z60" s="279"/>
      <c r="AA60" s="279"/>
      <c r="AB60" s="279"/>
      <c r="AC60" s="279"/>
      <c r="AD60" s="279"/>
      <c r="AE60" s="279"/>
      <c r="AF60" s="279"/>
      <c r="AG60" s="280"/>
      <c r="AH60" s="281"/>
      <c r="AI60" s="282"/>
      <c r="AJ60" s="283"/>
      <c r="AK60" s="22" t="s">
        <v>58</v>
      </c>
      <c r="AL60" s="22" t="s">
        <v>58</v>
      </c>
      <c r="AM60" s="22" t="s">
        <v>58</v>
      </c>
    </row>
    <row r="61" spans="1:39" s="22" customFormat="1" x14ac:dyDescent="0.25">
      <c r="A61" s="28" t="str">
        <f>IF(H61&lt;&gt;"",MAX($A$7:A60)+1,"")</f>
        <v/>
      </c>
      <c r="B61" s="243" t="str">
        <f t="shared" si="28"/>
        <v/>
      </c>
      <c r="C61" s="273"/>
      <c r="D61" s="246"/>
      <c r="E61" s="247"/>
      <c r="F61" s="247"/>
      <c r="G61" s="248"/>
      <c r="H61" s="241"/>
      <c r="I61" s="274"/>
      <c r="J61" s="275"/>
      <c r="K61" s="276"/>
      <c r="L61" s="277"/>
      <c r="M61" s="278"/>
      <c r="N61" s="279"/>
      <c r="O61" s="274"/>
      <c r="P61" s="275"/>
      <c r="Q61" s="276"/>
      <c r="R61" s="277"/>
      <c r="S61" s="278"/>
      <c r="T61" s="279"/>
      <c r="U61" s="279"/>
      <c r="V61" s="279"/>
      <c r="W61" s="279"/>
      <c r="X61" s="279"/>
      <c r="Y61" s="279"/>
      <c r="Z61" s="279"/>
      <c r="AA61" s="279"/>
      <c r="AB61" s="279"/>
      <c r="AC61" s="279"/>
      <c r="AD61" s="279"/>
      <c r="AE61" s="279"/>
      <c r="AF61" s="279"/>
      <c r="AG61" s="280"/>
      <c r="AH61" s="281"/>
      <c r="AI61" s="282"/>
      <c r="AJ61" s="283"/>
      <c r="AK61" s="22" t="s">
        <v>58</v>
      </c>
      <c r="AL61" s="22" t="s">
        <v>58</v>
      </c>
      <c r="AM61" s="22" t="s">
        <v>58</v>
      </c>
    </row>
    <row r="62" spans="1:39" s="22" customFormat="1" x14ac:dyDescent="0.25">
      <c r="A62" s="28" t="str">
        <f>IF(H62&lt;&gt;"",MAX($A$7:A61)+1,"")</f>
        <v/>
      </c>
      <c r="B62" s="243" t="str">
        <f t="shared" si="28"/>
        <v/>
      </c>
      <c r="C62" s="273"/>
      <c r="D62" s="246"/>
      <c r="E62" s="247"/>
      <c r="F62" s="247"/>
      <c r="G62" s="248"/>
      <c r="H62" s="241"/>
      <c r="I62" s="274"/>
      <c r="J62" s="275"/>
      <c r="K62" s="276"/>
      <c r="L62" s="277"/>
      <c r="M62" s="278"/>
      <c r="N62" s="279"/>
      <c r="O62" s="274"/>
      <c r="P62" s="275"/>
      <c r="Q62" s="276"/>
      <c r="R62" s="277"/>
      <c r="S62" s="278"/>
      <c r="T62" s="279"/>
      <c r="U62" s="279"/>
      <c r="V62" s="279"/>
      <c r="W62" s="279"/>
      <c r="X62" s="279"/>
      <c r="Y62" s="279"/>
      <c r="Z62" s="279"/>
      <c r="AA62" s="279"/>
      <c r="AB62" s="279"/>
      <c r="AC62" s="279"/>
      <c r="AD62" s="279"/>
      <c r="AE62" s="279"/>
      <c r="AF62" s="279"/>
      <c r="AG62" s="280"/>
      <c r="AH62" s="281"/>
      <c r="AI62" s="282"/>
      <c r="AJ62" s="283"/>
      <c r="AK62" s="22" t="s">
        <v>58</v>
      </c>
      <c r="AL62" s="22" t="s">
        <v>58</v>
      </c>
      <c r="AM62" s="22" t="s">
        <v>58</v>
      </c>
    </row>
    <row r="63" spans="1:39" s="22" customFormat="1" x14ac:dyDescent="0.25">
      <c r="A63" s="28" t="str">
        <f>IF(H63&lt;&gt;"",MAX($A$7:A62)+1,"")</f>
        <v/>
      </c>
      <c r="B63" s="243" t="str">
        <f t="shared" si="28"/>
        <v/>
      </c>
      <c r="C63" s="273"/>
      <c r="D63" s="246"/>
      <c r="E63" s="247"/>
      <c r="F63" s="247"/>
      <c r="G63" s="248"/>
      <c r="H63" s="241"/>
      <c r="I63" s="274"/>
      <c r="J63" s="275"/>
      <c r="K63" s="276"/>
      <c r="L63" s="277"/>
      <c r="M63" s="278"/>
      <c r="N63" s="279"/>
      <c r="O63" s="274"/>
      <c r="P63" s="275"/>
      <c r="Q63" s="276"/>
      <c r="R63" s="277"/>
      <c r="S63" s="278"/>
      <c r="T63" s="279"/>
      <c r="U63" s="279"/>
      <c r="V63" s="279"/>
      <c r="W63" s="279"/>
      <c r="X63" s="279"/>
      <c r="Y63" s="279"/>
      <c r="Z63" s="279"/>
      <c r="AA63" s="279"/>
      <c r="AB63" s="279"/>
      <c r="AC63" s="279"/>
      <c r="AD63" s="279"/>
      <c r="AE63" s="279"/>
      <c r="AF63" s="279"/>
      <c r="AG63" s="280"/>
      <c r="AH63" s="281"/>
      <c r="AI63" s="282"/>
      <c r="AJ63" s="283"/>
      <c r="AK63" s="22" t="s">
        <v>58</v>
      </c>
      <c r="AL63" s="22" t="s">
        <v>58</v>
      </c>
      <c r="AM63" s="22" t="s">
        <v>58</v>
      </c>
    </row>
    <row r="64" spans="1:39" s="22" customFormat="1" x14ac:dyDescent="0.25">
      <c r="A64" s="28" t="str">
        <f>IF(H64&lt;&gt;"",MAX($A$7:A63)+1,"")</f>
        <v/>
      </c>
      <c r="B64" s="243" t="str">
        <f t="shared" si="28"/>
        <v/>
      </c>
      <c r="C64" s="273"/>
      <c r="D64" s="246"/>
      <c r="E64" s="247"/>
      <c r="F64" s="247"/>
      <c r="G64" s="248"/>
      <c r="H64" s="241"/>
      <c r="I64" s="274"/>
      <c r="J64" s="275"/>
      <c r="K64" s="276"/>
      <c r="L64" s="277"/>
      <c r="M64" s="278"/>
      <c r="N64" s="279"/>
      <c r="O64" s="274"/>
      <c r="P64" s="275"/>
      <c r="Q64" s="276"/>
      <c r="R64" s="277"/>
      <c r="S64" s="278"/>
      <c r="T64" s="279"/>
      <c r="U64" s="279"/>
      <c r="V64" s="279"/>
      <c r="W64" s="279"/>
      <c r="X64" s="279"/>
      <c r="Y64" s="279"/>
      <c r="Z64" s="279"/>
      <c r="AA64" s="279"/>
      <c r="AB64" s="279"/>
      <c r="AC64" s="279"/>
      <c r="AD64" s="279"/>
      <c r="AE64" s="279"/>
      <c r="AF64" s="279"/>
      <c r="AG64" s="280"/>
      <c r="AH64" s="281"/>
      <c r="AI64" s="282"/>
      <c r="AJ64" s="283"/>
      <c r="AK64" s="22" t="s">
        <v>58</v>
      </c>
      <c r="AL64" s="22" t="s">
        <v>58</v>
      </c>
      <c r="AM64" s="22" t="s">
        <v>58</v>
      </c>
    </row>
    <row r="65" spans="1:39" s="22" customFormat="1" x14ac:dyDescent="0.25">
      <c r="A65" s="28" t="str">
        <f>IF(H65&lt;&gt;"",MAX($A$7:A64)+1,"")</f>
        <v/>
      </c>
      <c r="B65" s="243" t="str">
        <f t="shared" si="28"/>
        <v/>
      </c>
      <c r="C65" s="273"/>
      <c r="D65" s="246"/>
      <c r="E65" s="247"/>
      <c r="F65" s="247"/>
      <c r="G65" s="248"/>
      <c r="H65" s="241"/>
      <c r="I65" s="274"/>
      <c r="J65" s="275"/>
      <c r="K65" s="276"/>
      <c r="L65" s="277"/>
      <c r="M65" s="278"/>
      <c r="N65" s="279"/>
      <c r="O65" s="274"/>
      <c r="P65" s="275"/>
      <c r="Q65" s="276"/>
      <c r="R65" s="277"/>
      <c r="S65" s="278"/>
      <c r="T65" s="279"/>
      <c r="U65" s="279"/>
      <c r="V65" s="279"/>
      <c r="W65" s="279"/>
      <c r="X65" s="279"/>
      <c r="Y65" s="279"/>
      <c r="Z65" s="279"/>
      <c r="AA65" s="279"/>
      <c r="AB65" s="279"/>
      <c r="AC65" s="279"/>
      <c r="AD65" s="279"/>
      <c r="AE65" s="279"/>
      <c r="AF65" s="279"/>
      <c r="AG65" s="280"/>
      <c r="AH65" s="281"/>
      <c r="AI65" s="282"/>
      <c r="AJ65" s="283"/>
      <c r="AK65" s="22" t="s">
        <v>58</v>
      </c>
      <c r="AL65" s="22" t="s">
        <v>58</v>
      </c>
      <c r="AM65" s="22" t="s">
        <v>58</v>
      </c>
    </row>
    <row r="66" spans="1:39" s="22" customFormat="1" x14ac:dyDescent="0.25">
      <c r="A66" s="28" t="str">
        <f>IF(H66&lt;&gt;"",MAX($A$7:A65)+1,"")</f>
        <v/>
      </c>
      <c r="B66" s="243" t="str">
        <f t="shared" si="28"/>
        <v/>
      </c>
      <c r="C66" s="273"/>
      <c r="D66" s="246"/>
      <c r="E66" s="247"/>
      <c r="F66" s="247"/>
      <c r="G66" s="248"/>
      <c r="H66" s="241"/>
      <c r="I66" s="274"/>
      <c r="J66" s="275"/>
      <c r="K66" s="276"/>
      <c r="L66" s="277"/>
      <c r="M66" s="278"/>
      <c r="N66" s="279"/>
      <c r="O66" s="274"/>
      <c r="P66" s="275"/>
      <c r="Q66" s="276"/>
      <c r="R66" s="277"/>
      <c r="S66" s="278"/>
      <c r="T66" s="279"/>
      <c r="U66" s="279"/>
      <c r="V66" s="279"/>
      <c r="W66" s="279"/>
      <c r="X66" s="279"/>
      <c r="Y66" s="279"/>
      <c r="Z66" s="279"/>
      <c r="AA66" s="279"/>
      <c r="AB66" s="279"/>
      <c r="AC66" s="279"/>
      <c r="AD66" s="279"/>
      <c r="AE66" s="279"/>
      <c r="AF66" s="279"/>
      <c r="AG66" s="280"/>
      <c r="AH66" s="281"/>
      <c r="AI66" s="282"/>
      <c r="AJ66" s="283"/>
      <c r="AK66" s="22" t="s">
        <v>58</v>
      </c>
      <c r="AL66" s="22" t="s">
        <v>58</v>
      </c>
      <c r="AM66" s="22" t="s">
        <v>58</v>
      </c>
    </row>
    <row r="67" spans="1:39" s="22" customFormat="1" x14ac:dyDescent="0.25">
      <c r="A67" s="28" t="str">
        <f>IF(H67&lt;&gt;"",MAX($A$7:A66)+1,"")</f>
        <v/>
      </c>
      <c r="B67" s="243" t="str">
        <f t="shared" si="28"/>
        <v/>
      </c>
      <c r="C67" s="273"/>
      <c r="D67" s="246"/>
      <c r="E67" s="247"/>
      <c r="F67" s="247"/>
      <c r="G67" s="248"/>
      <c r="H67" s="241"/>
      <c r="I67" s="274"/>
      <c r="J67" s="275"/>
      <c r="K67" s="276"/>
      <c r="L67" s="277"/>
      <c r="M67" s="278"/>
      <c r="N67" s="279"/>
      <c r="O67" s="274"/>
      <c r="P67" s="275"/>
      <c r="Q67" s="276"/>
      <c r="R67" s="277"/>
      <c r="S67" s="278"/>
      <c r="T67" s="279"/>
      <c r="U67" s="279"/>
      <c r="V67" s="279"/>
      <c r="W67" s="279"/>
      <c r="X67" s="279"/>
      <c r="Y67" s="279"/>
      <c r="Z67" s="279"/>
      <c r="AA67" s="279"/>
      <c r="AB67" s="279"/>
      <c r="AC67" s="279"/>
      <c r="AD67" s="279"/>
      <c r="AE67" s="279"/>
      <c r="AF67" s="279"/>
      <c r="AG67" s="280"/>
      <c r="AH67" s="281"/>
      <c r="AI67" s="282"/>
      <c r="AJ67" s="283"/>
      <c r="AK67" s="22" t="s">
        <v>58</v>
      </c>
      <c r="AL67" s="22" t="s">
        <v>58</v>
      </c>
      <c r="AM67" s="22" t="s">
        <v>58</v>
      </c>
    </row>
    <row r="68" spans="1:39" s="22" customFormat="1" x14ac:dyDescent="0.25">
      <c r="A68" s="28" t="str">
        <f>IF(H68&lt;&gt;"",MAX($A$7:A67)+1,"")</f>
        <v/>
      </c>
      <c r="B68" s="243" t="str">
        <f t="shared" si="28"/>
        <v/>
      </c>
      <c r="C68" s="273"/>
      <c r="D68" s="246"/>
      <c r="E68" s="247"/>
      <c r="F68" s="247"/>
      <c r="G68" s="248"/>
      <c r="H68" s="241"/>
      <c r="I68" s="274"/>
      <c r="J68" s="275"/>
      <c r="K68" s="276"/>
      <c r="L68" s="277"/>
      <c r="M68" s="278"/>
      <c r="N68" s="279"/>
      <c r="O68" s="274"/>
      <c r="P68" s="275"/>
      <c r="Q68" s="276"/>
      <c r="R68" s="277"/>
      <c r="S68" s="278"/>
      <c r="T68" s="279"/>
      <c r="U68" s="279"/>
      <c r="V68" s="279"/>
      <c r="W68" s="279"/>
      <c r="X68" s="279"/>
      <c r="Y68" s="279"/>
      <c r="Z68" s="279"/>
      <c r="AA68" s="279"/>
      <c r="AB68" s="279"/>
      <c r="AC68" s="279"/>
      <c r="AD68" s="279"/>
      <c r="AE68" s="279"/>
      <c r="AF68" s="279"/>
      <c r="AG68" s="280"/>
      <c r="AH68" s="281"/>
      <c r="AI68" s="282"/>
      <c r="AJ68" s="283"/>
      <c r="AK68" s="22" t="s">
        <v>58</v>
      </c>
      <c r="AL68" s="22" t="s">
        <v>58</v>
      </c>
      <c r="AM68" s="22" t="s">
        <v>58</v>
      </c>
    </row>
    <row r="69" spans="1:39" s="22" customFormat="1" x14ac:dyDescent="0.25">
      <c r="A69" s="28" t="str">
        <f>IF(H69&lt;&gt;"",MAX($A$7:A68)+1,"")</f>
        <v/>
      </c>
      <c r="B69" s="243" t="str">
        <f t="shared" si="28"/>
        <v/>
      </c>
      <c r="C69" s="273"/>
      <c r="D69" s="246"/>
      <c r="E69" s="247"/>
      <c r="F69" s="247"/>
      <c r="G69" s="248"/>
      <c r="H69" s="241"/>
      <c r="I69" s="274"/>
      <c r="J69" s="275"/>
      <c r="K69" s="276"/>
      <c r="L69" s="277"/>
      <c r="M69" s="278"/>
      <c r="N69" s="279"/>
      <c r="O69" s="274"/>
      <c r="P69" s="275"/>
      <c r="Q69" s="276"/>
      <c r="R69" s="277"/>
      <c r="S69" s="278"/>
      <c r="T69" s="279"/>
      <c r="U69" s="279"/>
      <c r="V69" s="279"/>
      <c r="W69" s="279"/>
      <c r="X69" s="279"/>
      <c r="Y69" s="279"/>
      <c r="Z69" s="279"/>
      <c r="AA69" s="279"/>
      <c r="AB69" s="279"/>
      <c r="AC69" s="279"/>
      <c r="AD69" s="279"/>
      <c r="AE69" s="279"/>
      <c r="AF69" s="279"/>
      <c r="AG69" s="280"/>
      <c r="AH69" s="281"/>
      <c r="AI69" s="282"/>
      <c r="AJ69" s="283"/>
      <c r="AK69" s="22" t="s">
        <v>58</v>
      </c>
      <c r="AL69" s="22" t="s">
        <v>58</v>
      </c>
      <c r="AM69" s="22" t="s">
        <v>58</v>
      </c>
    </row>
    <row r="70" spans="1:39" s="22" customFormat="1" x14ac:dyDescent="0.25">
      <c r="A70" s="28" t="str">
        <f>IF(H70&lt;&gt;"",MAX($A$7:A69)+1,"")</f>
        <v/>
      </c>
      <c r="B70" s="243" t="str">
        <f t="shared" si="28"/>
        <v/>
      </c>
      <c r="C70" s="273"/>
      <c r="D70" s="246"/>
      <c r="E70" s="247"/>
      <c r="F70" s="247"/>
      <c r="G70" s="248"/>
      <c r="H70" s="241"/>
      <c r="I70" s="274"/>
      <c r="J70" s="275"/>
      <c r="K70" s="276"/>
      <c r="L70" s="277"/>
      <c r="M70" s="278"/>
      <c r="N70" s="279"/>
      <c r="O70" s="274"/>
      <c r="P70" s="275"/>
      <c r="Q70" s="276"/>
      <c r="R70" s="277"/>
      <c r="S70" s="278"/>
      <c r="T70" s="279"/>
      <c r="U70" s="279"/>
      <c r="V70" s="279"/>
      <c r="W70" s="279"/>
      <c r="X70" s="279"/>
      <c r="Y70" s="279"/>
      <c r="Z70" s="279"/>
      <c r="AA70" s="279"/>
      <c r="AB70" s="279"/>
      <c r="AC70" s="279"/>
      <c r="AD70" s="279"/>
      <c r="AE70" s="279"/>
      <c r="AF70" s="279"/>
      <c r="AG70" s="280"/>
      <c r="AH70" s="281"/>
      <c r="AI70" s="282"/>
      <c r="AJ70" s="283"/>
      <c r="AK70" s="22" t="s">
        <v>58</v>
      </c>
      <c r="AL70" s="22" t="s">
        <v>58</v>
      </c>
      <c r="AM70" s="22" t="s">
        <v>58</v>
      </c>
    </row>
    <row r="71" spans="1:39" s="22" customFormat="1" x14ac:dyDescent="0.25">
      <c r="A71" s="28" t="str">
        <f>IF(H71&lt;&gt;"",MAX($A$7:A70)+1,"")</f>
        <v/>
      </c>
      <c r="B71" s="243" t="str">
        <f t="shared" ref="B71:B134" si="29">IF(A71="","",PREF_PREGUNTA&amp;" - "&amp;IF(MAX(A:A)&gt;99,IF(A71&lt;100,"0",""),"")&amp;IF(A71&lt;10,"0","")&amp;A71&amp;IF(G71&lt;&gt;""," "&amp;G71,""))</f>
        <v/>
      </c>
      <c r="C71" s="273"/>
      <c r="D71" s="246"/>
      <c r="E71" s="247"/>
      <c r="F71" s="247"/>
      <c r="G71" s="248"/>
      <c r="H71" s="241"/>
      <c r="I71" s="274"/>
      <c r="J71" s="275"/>
      <c r="K71" s="276"/>
      <c r="L71" s="277"/>
      <c r="M71" s="278"/>
      <c r="N71" s="279"/>
      <c r="O71" s="274"/>
      <c r="P71" s="275"/>
      <c r="Q71" s="276"/>
      <c r="R71" s="277"/>
      <c r="S71" s="278"/>
      <c r="T71" s="279"/>
      <c r="U71" s="279"/>
      <c r="V71" s="279"/>
      <c r="W71" s="279"/>
      <c r="X71" s="279"/>
      <c r="Y71" s="279"/>
      <c r="Z71" s="279"/>
      <c r="AA71" s="279"/>
      <c r="AB71" s="279"/>
      <c r="AC71" s="279"/>
      <c r="AD71" s="279"/>
      <c r="AE71" s="279"/>
      <c r="AF71" s="279"/>
      <c r="AG71" s="280"/>
      <c r="AH71" s="281"/>
      <c r="AI71" s="282"/>
      <c r="AJ71" s="283"/>
      <c r="AK71" s="22" t="s">
        <v>58</v>
      </c>
      <c r="AL71" s="22" t="s">
        <v>58</v>
      </c>
      <c r="AM71" s="22" t="s">
        <v>58</v>
      </c>
    </row>
    <row r="72" spans="1:39" s="22" customFormat="1" x14ac:dyDescent="0.25">
      <c r="A72" s="28" t="str">
        <f>IF(H72&lt;&gt;"",MAX($A$7:A71)+1,"")</f>
        <v/>
      </c>
      <c r="B72" s="243" t="str">
        <f t="shared" si="29"/>
        <v/>
      </c>
      <c r="C72" s="273"/>
      <c r="D72" s="246"/>
      <c r="E72" s="247"/>
      <c r="F72" s="247"/>
      <c r="G72" s="248"/>
      <c r="H72" s="241"/>
      <c r="I72" s="274"/>
      <c r="J72" s="275"/>
      <c r="K72" s="276"/>
      <c r="L72" s="277"/>
      <c r="M72" s="278"/>
      <c r="N72" s="279"/>
      <c r="O72" s="274"/>
      <c r="P72" s="275"/>
      <c r="Q72" s="276"/>
      <c r="R72" s="277"/>
      <c r="S72" s="278"/>
      <c r="T72" s="279"/>
      <c r="U72" s="279"/>
      <c r="V72" s="279"/>
      <c r="W72" s="279"/>
      <c r="X72" s="279"/>
      <c r="Y72" s="279"/>
      <c r="Z72" s="279"/>
      <c r="AA72" s="279"/>
      <c r="AB72" s="279"/>
      <c r="AC72" s="279"/>
      <c r="AD72" s="279"/>
      <c r="AE72" s="279"/>
      <c r="AF72" s="279"/>
      <c r="AG72" s="280"/>
      <c r="AH72" s="281"/>
      <c r="AI72" s="282"/>
      <c r="AJ72" s="283"/>
      <c r="AK72" s="22" t="s">
        <v>58</v>
      </c>
      <c r="AL72" s="22" t="s">
        <v>58</v>
      </c>
      <c r="AM72" s="22" t="s">
        <v>58</v>
      </c>
    </row>
    <row r="73" spans="1:39" s="22" customFormat="1" x14ac:dyDescent="0.25">
      <c r="A73" s="28" t="str">
        <f>IF(H73&lt;&gt;"",MAX($A$7:A72)+1,"")</f>
        <v/>
      </c>
      <c r="B73" s="243" t="str">
        <f t="shared" si="29"/>
        <v/>
      </c>
      <c r="C73" s="273"/>
      <c r="D73" s="246"/>
      <c r="E73" s="247"/>
      <c r="F73" s="247"/>
      <c r="G73" s="248"/>
      <c r="H73" s="241"/>
      <c r="I73" s="274"/>
      <c r="J73" s="275"/>
      <c r="K73" s="276"/>
      <c r="L73" s="277"/>
      <c r="M73" s="278"/>
      <c r="N73" s="279"/>
      <c r="O73" s="274"/>
      <c r="P73" s="275"/>
      <c r="Q73" s="276"/>
      <c r="R73" s="277"/>
      <c r="S73" s="278"/>
      <c r="T73" s="279"/>
      <c r="U73" s="279"/>
      <c r="V73" s="279"/>
      <c r="W73" s="279"/>
      <c r="X73" s="279"/>
      <c r="Y73" s="279"/>
      <c r="Z73" s="279"/>
      <c r="AA73" s="279"/>
      <c r="AB73" s="279"/>
      <c r="AC73" s="279"/>
      <c r="AD73" s="279"/>
      <c r="AE73" s="279"/>
      <c r="AF73" s="279"/>
      <c r="AG73" s="280"/>
      <c r="AH73" s="281"/>
      <c r="AI73" s="282"/>
      <c r="AJ73" s="283"/>
      <c r="AK73" s="22" t="s">
        <v>58</v>
      </c>
      <c r="AL73" s="22" t="s">
        <v>58</v>
      </c>
      <c r="AM73" s="22" t="s">
        <v>58</v>
      </c>
    </row>
    <row r="74" spans="1:39" s="22" customFormat="1" x14ac:dyDescent="0.25">
      <c r="A74" s="28" t="str">
        <f>IF(H74&lt;&gt;"",MAX($A$7:A73)+1,"")</f>
        <v/>
      </c>
      <c r="B74" s="243" t="str">
        <f t="shared" si="29"/>
        <v/>
      </c>
      <c r="C74" s="273"/>
      <c r="D74" s="246"/>
      <c r="E74" s="247"/>
      <c r="F74" s="247"/>
      <c r="G74" s="248"/>
      <c r="H74" s="241"/>
      <c r="I74" s="274"/>
      <c r="J74" s="275"/>
      <c r="K74" s="276"/>
      <c r="L74" s="277"/>
      <c r="M74" s="278"/>
      <c r="N74" s="279"/>
      <c r="O74" s="274"/>
      <c r="P74" s="275"/>
      <c r="Q74" s="276"/>
      <c r="R74" s="277"/>
      <c r="S74" s="278"/>
      <c r="T74" s="279"/>
      <c r="U74" s="279"/>
      <c r="V74" s="279"/>
      <c r="W74" s="279"/>
      <c r="X74" s="279"/>
      <c r="Y74" s="279"/>
      <c r="Z74" s="279"/>
      <c r="AA74" s="279"/>
      <c r="AB74" s="279"/>
      <c r="AC74" s="279"/>
      <c r="AD74" s="279"/>
      <c r="AE74" s="279"/>
      <c r="AF74" s="279"/>
      <c r="AG74" s="280"/>
      <c r="AH74" s="281"/>
      <c r="AI74" s="282"/>
      <c r="AJ74" s="283"/>
      <c r="AK74" s="22" t="s">
        <v>58</v>
      </c>
      <c r="AL74" s="22" t="s">
        <v>58</v>
      </c>
      <c r="AM74" s="22" t="s">
        <v>58</v>
      </c>
    </row>
    <row r="75" spans="1:39" s="22" customFormat="1" x14ac:dyDescent="0.25">
      <c r="A75" s="28" t="str">
        <f>IF(H75&lt;&gt;"",MAX($A$7:A74)+1,"")</f>
        <v/>
      </c>
      <c r="B75" s="243" t="str">
        <f t="shared" si="29"/>
        <v/>
      </c>
      <c r="C75" s="273"/>
      <c r="D75" s="246"/>
      <c r="E75" s="247"/>
      <c r="F75" s="247"/>
      <c r="G75" s="248"/>
      <c r="H75" s="241"/>
      <c r="I75" s="274"/>
      <c r="J75" s="275"/>
      <c r="K75" s="276"/>
      <c r="L75" s="277"/>
      <c r="M75" s="278"/>
      <c r="N75" s="279"/>
      <c r="O75" s="274"/>
      <c r="P75" s="275"/>
      <c r="Q75" s="276"/>
      <c r="R75" s="277"/>
      <c r="S75" s="278"/>
      <c r="T75" s="279"/>
      <c r="U75" s="279"/>
      <c r="V75" s="279"/>
      <c r="W75" s="279"/>
      <c r="X75" s="279"/>
      <c r="Y75" s="279"/>
      <c r="Z75" s="279"/>
      <c r="AA75" s="279"/>
      <c r="AB75" s="279"/>
      <c r="AC75" s="279"/>
      <c r="AD75" s="279"/>
      <c r="AE75" s="279"/>
      <c r="AF75" s="279"/>
      <c r="AG75" s="280"/>
      <c r="AH75" s="281"/>
      <c r="AI75" s="282"/>
      <c r="AJ75" s="283"/>
      <c r="AK75" s="22" t="s">
        <v>58</v>
      </c>
      <c r="AL75" s="22" t="s">
        <v>58</v>
      </c>
      <c r="AM75" s="22" t="s">
        <v>58</v>
      </c>
    </row>
    <row r="76" spans="1:39" s="22" customFormat="1" x14ac:dyDescent="0.25">
      <c r="A76" s="28" t="str">
        <f>IF(H76&lt;&gt;"",MAX($A$7:A75)+1,"")</f>
        <v/>
      </c>
      <c r="B76" s="243" t="str">
        <f t="shared" si="29"/>
        <v/>
      </c>
      <c r="C76" s="273"/>
      <c r="D76" s="246"/>
      <c r="E76" s="247"/>
      <c r="F76" s="247"/>
      <c r="G76" s="248"/>
      <c r="H76" s="241"/>
      <c r="I76" s="274"/>
      <c r="J76" s="275"/>
      <c r="K76" s="276"/>
      <c r="L76" s="277"/>
      <c r="M76" s="278"/>
      <c r="N76" s="279"/>
      <c r="O76" s="274"/>
      <c r="P76" s="275"/>
      <c r="Q76" s="276"/>
      <c r="R76" s="277"/>
      <c r="S76" s="278"/>
      <c r="T76" s="279"/>
      <c r="U76" s="279"/>
      <c r="V76" s="279"/>
      <c r="W76" s="279"/>
      <c r="X76" s="279"/>
      <c r="Y76" s="279"/>
      <c r="Z76" s="279"/>
      <c r="AA76" s="279"/>
      <c r="AB76" s="279"/>
      <c r="AC76" s="279"/>
      <c r="AD76" s="279"/>
      <c r="AE76" s="279"/>
      <c r="AF76" s="279"/>
      <c r="AG76" s="280"/>
      <c r="AH76" s="281"/>
      <c r="AI76" s="282"/>
      <c r="AJ76" s="283"/>
      <c r="AK76" s="22" t="s">
        <v>58</v>
      </c>
      <c r="AL76" s="22" t="s">
        <v>58</v>
      </c>
      <c r="AM76" s="22" t="s">
        <v>58</v>
      </c>
    </row>
    <row r="77" spans="1:39" s="22" customFormat="1" x14ac:dyDescent="0.25">
      <c r="A77" s="28" t="str">
        <f>IF(H77&lt;&gt;"",MAX($A$7:A76)+1,"")</f>
        <v/>
      </c>
      <c r="B77" s="243" t="str">
        <f t="shared" si="29"/>
        <v/>
      </c>
      <c r="C77" s="273"/>
      <c r="D77" s="246"/>
      <c r="E77" s="247"/>
      <c r="F77" s="247"/>
      <c r="G77" s="248"/>
      <c r="H77" s="241"/>
      <c r="I77" s="274"/>
      <c r="J77" s="275"/>
      <c r="K77" s="276"/>
      <c r="L77" s="277"/>
      <c r="M77" s="278"/>
      <c r="N77" s="279"/>
      <c r="O77" s="274"/>
      <c r="P77" s="275"/>
      <c r="Q77" s="276"/>
      <c r="R77" s="277"/>
      <c r="S77" s="278"/>
      <c r="T77" s="279"/>
      <c r="U77" s="279"/>
      <c r="V77" s="279"/>
      <c r="W77" s="279"/>
      <c r="X77" s="279"/>
      <c r="Y77" s="279"/>
      <c r="Z77" s="279"/>
      <c r="AA77" s="279"/>
      <c r="AB77" s="279"/>
      <c r="AC77" s="279"/>
      <c r="AD77" s="279"/>
      <c r="AE77" s="279"/>
      <c r="AF77" s="279"/>
      <c r="AG77" s="280"/>
      <c r="AH77" s="281"/>
      <c r="AI77" s="282"/>
      <c r="AJ77" s="283"/>
      <c r="AK77" s="22" t="s">
        <v>58</v>
      </c>
      <c r="AL77" s="22" t="s">
        <v>58</v>
      </c>
      <c r="AM77" s="22" t="s">
        <v>58</v>
      </c>
    </row>
    <row r="78" spans="1:39" s="22" customFormat="1" x14ac:dyDescent="0.25">
      <c r="A78" s="28" t="str">
        <f>IF(H78&lt;&gt;"",MAX($A$7:A77)+1,"")</f>
        <v/>
      </c>
      <c r="B78" s="243" t="str">
        <f t="shared" si="29"/>
        <v/>
      </c>
      <c r="C78" s="273"/>
      <c r="D78" s="246"/>
      <c r="E78" s="247"/>
      <c r="F78" s="247"/>
      <c r="G78" s="248"/>
      <c r="H78" s="241"/>
      <c r="I78" s="274"/>
      <c r="J78" s="275"/>
      <c r="K78" s="276"/>
      <c r="L78" s="277"/>
      <c r="M78" s="278"/>
      <c r="N78" s="279"/>
      <c r="O78" s="274"/>
      <c r="P78" s="275"/>
      <c r="Q78" s="276"/>
      <c r="R78" s="277"/>
      <c r="S78" s="278"/>
      <c r="T78" s="279"/>
      <c r="U78" s="279"/>
      <c r="V78" s="279"/>
      <c r="W78" s="279"/>
      <c r="X78" s="279"/>
      <c r="Y78" s="279"/>
      <c r="Z78" s="279"/>
      <c r="AA78" s="279"/>
      <c r="AB78" s="279"/>
      <c r="AC78" s="279"/>
      <c r="AD78" s="279"/>
      <c r="AE78" s="279"/>
      <c r="AF78" s="279"/>
      <c r="AG78" s="280"/>
      <c r="AH78" s="281"/>
      <c r="AI78" s="282"/>
      <c r="AJ78" s="283"/>
      <c r="AK78" s="22" t="s">
        <v>58</v>
      </c>
      <c r="AL78" s="22" t="s">
        <v>58</v>
      </c>
      <c r="AM78" s="22" t="s">
        <v>58</v>
      </c>
    </row>
    <row r="79" spans="1:39" s="22" customFormat="1" x14ac:dyDescent="0.25">
      <c r="A79" s="28" t="str">
        <f>IF(H79&lt;&gt;"",MAX($A$7:A78)+1,"")</f>
        <v/>
      </c>
      <c r="B79" s="243" t="str">
        <f t="shared" si="29"/>
        <v/>
      </c>
      <c r="C79" s="273"/>
      <c r="D79" s="246"/>
      <c r="E79" s="247"/>
      <c r="F79" s="247"/>
      <c r="G79" s="248"/>
      <c r="H79" s="241"/>
      <c r="I79" s="274"/>
      <c r="J79" s="275"/>
      <c r="K79" s="276"/>
      <c r="L79" s="277"/>
      <c r="M79" s="278"/>
      <c r="N79" s="279"/>
      <c r="O79" s="274"/>
      <c r="P79" s="275"/>
      <c r="Q79" s="276"/>
      <c r="R79" s="277"/>
      <c r="S79" s="278"/>
      <c r="T79" s="279"/>
      <c r="U79" s="279"/>
      <c r="V79" s="279"/>
      <c r="W79" s="279"/>
      <c r="X79" s="279"/>
      <c r="Y79" s="279"/>
      <c r="Z79" s="279"/>
      <c r="AA79" s="279"/>
      <c r="AB79" s="279"/>
      <c r="AC79" s="279"/>
      <c r="AD79" s="279"/>
      <c r="AE79" s="279"/>
      <c r="AF79" s="279"/>
      <c r="AG79" s="280"/>
      <c r="AH79" s="281"/>
      <c r="AI79" s="282"/>
      <c r="AJ79" s="283"/>
      <c r="AK79" s="22" t="s">
        <v>58</v>
      </c>
      <c r="AL79" s="22" t="s">
        <v>58</v>
      </c>
      <c r="AM79" s="22" t="s">
        <v>58</v>
      </c>
    </row>
    <row r="80" spans="1:39" s="22" customFormat="1" x14ac:dyDescent="0.25">
      <c r="A80" s="28" t="str">
        <f>IF(H80&lt;&gt;"",MAX($A$7:A79)+1,"")</f>
        <v/>
      </c>
      <c r="B80" s="243" t="str">
        <f t="shared" si="29"/>
        <v/>
      </c>
      <c r="C80" s="273"/>
      <c r="D80" s="246"/>
      <c r="E80" s="247"/>
      <c r="F80" s="247"/>
      <c r="G80" s="248"/>
      <c r="H80" s="241"/>
      <c r="I80" s="274"/>
      <c r="J80" s="275"/>
      <c r="K80" s="276"/>
      <c r="L80" s="277"/>
      <c r="M80" s="278"/>
      <c r="N80" s="279"/>
      <c r="O80" s="274"/>
      <c r="P80" s="275"/>
      <c r="Q80" s="276"/>
      <c r="R80" s="277"/>
      <c r="S80" s="278"/>
      <c r="T80" s="279"/>
      <c r="U80" s="279"/>
      <c r="V80" s="279"/>
      <c r="W80" s="279"/>
      <c r="X80" s="279"/>
      <c r="Y80" s="279"/>
      <c r="Z80" s="279"/>
      <c r="AA80" s="279"/>
      <c r="AB80" s="279"/>
      <c r="AC80" s="279"/>
      <c r="AD80" s="279"/>
      <c r="AE80" s="279"/>
      <c r="AF80" s="279"/>
      <c r="AG80" s="280"/>
      <c r="AH80" s="281"/>
      <c r="AI80" s="282"/>
      <c r="AJ80" s="283"/>
      <c r="AK80" s="22" t="s">
        <v>58</v>
      </c>
      <c r="AL80" s="22" t="s">
        <v>58</v>
      </c>
      <c r="AM80" s="22" t="s">
        <v>58</v>
      </c>
    </row>
    <row r="81" spans="1:39" s="22" customFormat="1" x14ac:dyDescent="0.25">
      <c r="A81" s="28" t="str">
        <f>IF(H81&lt;&gt;"",MAX($A$7:A80)+1,"")</f>
        <v/>
      </c>
      <c r="B81" s="243" t="str">
        <f t="shared" si="29"/>
        <v/>
      </c>
      <c r="C81" s="273"/>
      <c r="D81" s="246"/>
      <c r="E81" s="247"/>
      <c r="F81" s="247"/>
      <c r="G81" s="248"/>
      <c r="H81" s="241"/>
      <c r="I81" s="274"/>
      <c r="J81" s="275"/>
      <c r="K81" s="276"/>
      <c r="L81" s="277"/>
      <c r="M81" s="278"/>
      <c r="N81" s="279"/>
      <c r="O81" s="274"/>
      <c r="P81" s="275"/>
      <c r="Q81" s="276"/>
      <c r="R81" s="277"/>
      <c r="S81" s="278"/>
      <c r="T81" s="279"/>
      <c r="U81" s="279"/>
      <c r="V81" s="279"/>
      <c r="W81" s="279"/>
      <c r="X81" s="279"/>
      <c r="Y81" s="279"/>
      <c r="Z81" s="279"/>
      <c r="AA81" s="279"/>
      <c r="AB81" s="279"/>
      <c r="AC81" s="279"/>
      <c r="AD81" s="279"/>
      <c r="AE81" s="279"/>
      <c r="AF81" s="279"/>
      <c r="AG81" s="280"/>
      <c r="AH81" s="281"/>
      <c r="AI81" s="282"/>
      <c r="AJ81" s="283"/>
      <c r="AK81" s="22" t="s">
        <v>58</v>
      </c>
      <c r="AL81" s="22" t="s">
        <v>58</v>
      </c>
      <c r="AM81" s="22" t="s">
        <v>58</v>
      </c>
    </row>
    <row r="82" spans="1:39" s="22" customFormat="1" x14ac:dyDescent="0.25">
      <c r="A82" s="28" t="str">
        <f>IF(H82&lt;&gt;"",MAX($A$7:A81)+1,"")</f>
        <v/>
      </c>
      <c r="B82" s="243" t="str">
        <f t="shared" si="29"/>
        <v/>
      </c>
      <c r="C82" s="273"/>
      <c r="D82" s="246"/>
      <c r="E82" s="247"/>
      <c r="F82" s="247"/>
      <c r="G82" s="248"/>
      <c r="H82" s="241"/>
      <c r="I82" s="274"/>
      <c r="J82" s="275"/>
      <c r="K82" s="276"/>
      <c r="L82" s="277"/>
      <c r="M82" s="278"/>
      <c r="N82" s="279"/>
      <c r="O82" s="274"/>
      <c r="P82" s="275"/>
      <c r="Q82" s="276"/>
      <c r="R82" s="277"/>
      <c r="S82" s="278"/>
      <c r="T82" s="279"/>
      <c r="U82" s="279"/>
      <c r="V82" s="279"/>
      <c r="W82" s="279"/>
      <c r="X82" s="279"/>
      <c r="Y82" s="279"/>
      <c r="Z82" s="279"/>
      <c r="AA82" s="279"/>
      <c r="AB82" s="279"/>
      <c r="AC82" s="279"/>
      <c r="AD82" s="279"/>
      <c r="AE82" s="279"/>
      <c r="AF82" s="279"/>
      <c r="AG82" s="280"/>
      <c r="AH82" s="281"/>
      <c r="AI82" s="282"/>
      <c r="AJ82" s="283"/>
      <c r="AK82" s="22" t="s">
        <v>58</v>
      </c>
      <c r="AL82" s="22" t="s">
        <v>58</v>
      </c>
      <c r="AM82" s="22" t="s">
        <v>58</v>
      </c>
    </row>
    <row r="83" spans="1:39" s="22" customFormat="1" x14ac:dyDescent="0.25">
      <c r="A83" s="28" t="str">
        <f>IF(H83&lt;&gt;"",MAX($A$7:A82)+1,"")</f>
        <v/>
      </c>
      <c r="B83" s="243" t="str">
        <f t="shared" si="29"/>
        <v/>
      </c>
      <c r="C83" s="273"/>
      <c r="D83" s="246"/>
      <c r="E83" s="247"/>
      <c r="F83" s="247"/>
      <c r="G83" s="248"/>
      <c r="H83" s="241"/>
      <c r="I83" s="274"/>
      <c r="J83" s="275"/>
      <c r="K83" s="276"/>
      <c r="L83" s="277"/>
      <c r="M83" s="278"/>
      <c r="N83" s="279"/>
      <c r="O83" s="274"/>
      <c r="P83" s="275"/>
      <c r="Q83" s="276"/>
      <c r="R83" s="277"/>
      <c r="S83" s="278"/>
      <c r="T83" s="279"/>
      <c r="U83" s="279"/>
      <c r="V83" s="279"/>
      <c r="W83" s="279"/>
      <c r="X83" s="279"/>
      <c r="Y83" s="279"/>
      <c r="Z83" s="279"/>
      <c r="AA83" s="279"/>
      <c r="AB83" s="279"/>
      <c r="AC83" s="279"/>
      <c r="AD83" s="279"/>
      <c r="AE83" s="279"/>
      <c r="AF83" s="279"/>
      <c r="AG83" s="280"/>
      <c r="AH83" s="281"/>
      <c r="AI83" s="282"/>
      <c r="AJ83" s="283"/>
      <c r="AK83" s="22" t="s">
        <v>58</v>
      </c>
      <c r="AL83" s="22" t="s">
        <v>58</v>
      </c>
      <c r="AM83" s="22" t="s">
        <v>58</v>
      </c>
    </row>
    <row r="84" spans="1:39" s="22" customFormat="1" x14ac:dyDescent="0.25">
      <c r="A84" s="28" t="str">
        <f>IF(H84&lt;&gt;"",MAX($A$7:A83)+1,"")</f>
        <v/>
      </c>
      <c r="B84" s="243" t="str">
        <f t="shared" si="29"/>
        <v/>
      </c>
      <c r="C84" s="273"/>
      <c r="D84" s="246"/>
      <c r="E84" s="247"/>
      <c r="F84" s="247"/>
      <c r="G84" s="248"/>
      <c r="H84" s="241"/>
      <c r="I84" s="274"/>
      <c r="J84" s="275"/>
      <c r="K84" s="276"/>
      <c r="L84" s="277"/>
      <c r="M84" s="278"/>
      <c r="N84" s="279"/>
      <c r="O84" s="274"/>
      <c r="P84" s="275"/>
      <c r="Q84" s="276"/>
      <c r="R84" s="277"/>
      <c r="S84" s="278"/>
      <c r="T84" s="279"/>
      <c r="U84" s="279"/>
      <c r="V84" s="279"/>
      <c r="W84" s="279"/>
      <c r="X84" s="279"/>
      <c r="Y84" s="279"/>
      <c r="Z84" s="279"/>
      <c r="AA84" s="279"/>
      <c r="AB84" s="279"/>
      <c r="AC84" s="279"/>
      <c r="AD84" s="279"/>
      <c r="AE84" s="279"/>
      <c r="AF84" s="279"/>
      <c r="AG84" s="280"/>
      <c r="AH84" s="281"/>
      <c r="AI84" s="282"/>
      <c r="AJ84" s="283"/>
      <c r="AK84" s="22" t="s">
        <v>58</v>
      </c>
      <c r="AL84" s="22" t="s">
        <v>58</v>
      </c>
      <c r="AM84" s="22" t="s">
        <v>58</v>
      </c>
    </row>
    <row r="85" spans="1:39" s="22" customFormat="1" x14ac:dyDescent="0.25">
      <c r="A85" s="28" t="str">
        <f>IF(H85&lt;&gt;"",MAX($A$7:A84)+1,"")</f>
        <v/>
      </c>
      <c r="B85" s="243" t="str">
        <f t="shared" si="29"/>
        <v/>
      </c>
      <c r="C85" s="273"/>
      <c r="D85" s="246"/>
      <c r="E85" s="247"/>
      <c r="F85" s="247"/>
      <c r="G85" s="248"/>
      <c r="H85" s="241"/>
      <c r="I85" s="274"/>
      <c r="J85" s="275"/>
      <c r="K85" s="276"/>
      <c r="L85" s="277"/>
      <c r="M85" s="278"/>
      <c r="N85" s="279"/>
      <c r="O85" s="274"/>
      <c r="P85" s="275"/>
      <c r="Q85" s="276"/>
      <c r="R85" s="277"/>
      <c r="S85" s="278"/>
      <c r="T85" s="279"/>
      <c r="U85" s="279"/>
      <c r="V85" s="279"/>
      <c r="W85" s="279"/>
      <c r="X85" s="279"/>
      <c r="Y85" s="279"/>
      <c r="Z85" s="279"/>
      <c r="AA85" s="279"/>
      <c r="AB85" s="279"/>
      <c r="AC85" s="279"/>
      <c r="AD85" s="279"/>
      <c r="AE85" s="279"/>
      <c r="AF85" s="279"/>
      <c r="AG85" s="280"/>
      <c r="AH85" s="281"/>
      <c r="AI85" s="282"/>
      <c r="AJ85" s="283"/>
      <c r="AK85" s="22" t="s">
        <v>58</v>
      </c>
      <c r="AL85" s="22" t="s">
        <v>58</v>
      </c>
      <c r="AM85" s="22" t="s">
        <v>58</v>
      </c>
    </row>
    <row r="86" spans="1:39" s="22" customFormat="1" x14ac:dyDescent="0.25">
      <c r="A86" s="28" t="str">
        <f>IF(H86&lt;&gt;"",MAX($A$7:A85)+1,"")</f>
        <v/>
      </c>
      <c r="B86" s="243" t="str">
        <f t="shared" si="29"/>
        <v/>
      </c>
      <c r="C86" s="273"/>
      <c r="D86" s="246"/>
      <c r="E86" s="247"/>
      <c r="F86" s="247"/>
      <c r="G86" s="248"/>
      <c r="H86" s="241"/>
      <c r="I86" s="274"/>
      <c r="J86" s="275"/>
      <c r="K86" s="276"/>
      <c r="L86" s="277"/>
      <c r="M86" s="278"/>
      <c r="N86" s="279"/>
      <c r="O86" s="274"/>
      <c r="P86" s="275"/>
      <c r="Q86" s="276"/>
      <c r="R86" s="277"/>
      <c r="S86" s="278"/>
      <c r="T86" s="279"/>
      <c r="U86" s="279"/>
      <c r="V86" s="279"/>
      <c r="W86" s="279"/>
      <c r="X86" s="279"/>
      <c r="Y86" s="279"/>
      <c r="Z86" s="279"/>
      <c r="AA86" s="279"/>
      <c r="AB86" s="279"/>
      <c r="AC86" s="279"/>
      <c r="AD86" s="279"/>
      <c r="AE86" s="279"/>
      <c r="AF86" s="279"/>
      <c r="AG86" s="280"/>
      <c r="AH86" s="281"/>
      <c r="AI86" s="282"/>
      <c r="AJ86" s="283"/>
      <c r="AK86" s="22" t="s">
        <v>58</v>
      </c>
      <c r="AL86" s="22" t="s">
        <v>58</v>
      </c>
      <c r="AM86" s="22" t="s">
        <v>58</v>
      </c>
    </row>
    <row r="87" spans="1:39" s="22" customFormat="1" x14ac:dyDescent="0.25">
      <c r="A87" s="28" t="str">
        <f>IF(H87&lt;&gt;"",MAX($A$7:A86)+1,"")</f>
        <v/>
      </c>
      <c r="B87" s="243" t="str">
        <f t="shared" si="29"/>
        <v/>
      </c>
      <c r="C87" s="273"/>
      <c r="D87" s="246"/>
      <c r="E87" s="247"/>
      <c r="F87" s="247"/>
      <c r="G87" s="248"/>
      <c r="H87" s="241"/>
      <c r="I87" s="274"/>
      <c r="J87" s="275"/>
      <c r="K87" s="276"/>
      <c r="L87" s="277"/>
      <c r="M87" s="278"/>
      <c r="N87" s="279"/>
      <c r="O87" s="274"/>
      <c r="P87" s="275"/>
      <c r="Q87" s="276"/>
      <c r="R87" s="277"/>
      <c r="S87" s="278"/>
      <c r="T87" s="279"/>
      <c r="U87" s="279"/>
      <c r="V87" s="279"/>
      <c r="W87" s="279"/>
      <c r="X87" s="279"/>
      <c r="Y87" s="279"/>
      <c r="Z87" s="279"/>
      <c r="AA87" s="279"/>
      <c r="AB87" s="279"/>
      <c r="AC87" s="279"/>
      <c r="AD87" s="279"/>
      <c r="AE87" s="279"/>
      <c r="AF87" s="279"/>
      <c r="AG87" s="280"/>
      <c r="AH87" s="281"/>
      <c r="AI87" s="282"/>
      <c r="AJ87" s="283"/>
      <c r="AK87" s="22" t="s">
        <v>58</v>
      </c>
      <c r="AL87" s="22" t="s">
        <v>58</v>
      </c>
      <c r="AM87" s="22" t="s">
        <v>58</v>
      </c>
    </row>
    <row r="88" spans="1:39" s="22" customFormat="1" x14ac:dyDescent="0.25">
      <c r="A88" s="28" t="str">
        <f>IF(H88&lt;&gt;"",MAX($A$7:A87)+1,"")</f>
        <v/>
      </c>
      <c r="B88" s="243" t="str">
        <f t="shared" si="29"/>
        <v/>
      </c>
      <c r="C88" s="273"/>
      <c r="D88" s="246"/>
      <c r="E88" s="247"/>
      <c r="F88" s="247"/>
      <c r="G88" s="248"/>
      <c r="H88" s="241"/>
      <c r="I88" s="274"/>
      <c r="J88" s="275"/>
      <c r="K88" s="276"/>
      <c r="L88" s="277"/>
      <c r="M88" s="278"/>
      <c r="N88" s="279"/>
      <c r="O88" s="274"/>
      <c r="P88" s="275"/>
      <c r="Q88" s="276"/>
      <c r="R88" s="277"/>
      <c r="S88" s="278"/>
      <c r="T88" s="279"/>
      <c r="U88" s="279"/>
      <c r="V88" s="279"/>
      <c r="W88" s="279"/>
      <c r="X88" s="279"/>
      <c r="Y88" s="279"/>
      <c r="Z88" s="279"/>
      <c r="AA88" s="279"/>
      <c r="AB88" s="279"/>
      <c r="AC88" s="279"/>
      <c r="AD88" s="279"/>
      <c r="AE88" s="279"/>
      <c r="AF88" s="279"/>
      <c r="AG88" s="280"/>
      <c r="AH88" s="281"/>
      <c r="AI88" s="282"/>
      <c r="AJ88" s="283"/>
      <c r="AK88" s="22" t="s">
        <v>58</v>
      </c>
      <c r="AL88" s="22" t="s">
        <v>58</v>
      </c>
      <c r="AM88" s="22" t="s">
        <v>58</v>
      </c>
    </row>
    <row r="89" spans="1:39" s="22" customFormat="1" x14ac:dyDescent="0.25">
      <c r="A89" s="28" t="str">
        <f>IF(H89&lt;&gt;"",MAX($A$7:A88)+1,"")</f>
        <v/>
      </c>
      <c r="B89" s="243" t="str">
        <f t="shared" si="29"/>
        <v/>
      </c>
      <c r="C89" s="273"/>
      <c r="D89" s="246"/>
      <c r="E89" s="247"/>
      <c r="F89" s="247"/>
      <c r="G89" s="248"/>
      <c r="H89" s="241"/>
      <c r="I89" s="274"/>
      <c r="J89" s="275"/>
      <c r="K89" s="276"/>
      <c r="L89" s="277"/>
      <c r="M89" s="278"/>
      <c r="N89" s="279"/>
      <c r="O89" s="274"/>
      <c r="P89" s="275"/>
      <c r="Q89" s="276"/>
      <c r="R89" s="277"/>
      <c r="S89" s="278"/>
      <c r="T89" s="279"/>
      <c r="U89" s="279"/>
      <c r="V89" s="279"/>
      <c r="W89" s="279"/>
      <c r="X89" s="279"/>
      <c r="Y89" s="279"/>
      <c r="Z89" s="279"/>
      <c r="AA89" s="279"/>
      <c r="AB89" s="279"/>
      <c r="AC89" s="279"/>
      <c r="AD89" s="279"/>
      <c r="AE89" s="279"/>
      <c r="AF89" s="279"/>
      <c r="AG89" s="280"/>
      <c r="AH89" s="281"/>
      <c r="AI89" s="282"/>
      <c r="AJ89" s="283"/>
      <c r="AK89" s="22" t="s">
        <v>58</v>
      </c>
      <c r="AL89" s="22" t="s">
        <v>58</v>
      </c>
      <c r="AM89" s="22" t="s">
        <v>58</v>
      </c>
    </row>
    <row r="90" spans="1:39" s="22" customFormat="1" x14ac:dyDescent="0.25">
      <c r="A90" s="28" t="str">
        <f>IF(H90&lt;&gt;"",MAX($A$7:A89)+1,"")</f>
        <v/>
      </c>
      <c r="B90" s="243" t="str">
        <f t="shared" si="29"/>
        <v/>
      </c>
      <c r="C90" s="273"/>
      <c r="D90" s="246"/>
      <c r="E90" s="247"/>
      <c r="F90" s="247"/>
      <c r="G90" s="248"/>
      <c r="H90" s="241"/>
      <c r="I90" s="274"/>
      <c r="J90" s="275"/>
      <c r="K90" s="276"/>
      <c r="L90" s="277"/>
      <c r="M90" s="278"/>
      <c r="N90" s="279"/>
      <c r="O90" s="274"/>
      <c r="P90" s="275"/>
      <c r="Q90" s="276"/>
      <c r="R90" s="277"/>
      <c r="S90" s="278"/>
      <c r="T90" s="279"/>
      <c r="U90" s="279"/>
      <c r="V90" s="279"/>
      <c r="W90" s="279"/>
      <c r="X90" s="279"/>
      <c r="Y90" s="279"/>
      <c r="Z90" s="279"/>
      <c r="AA90" s="279"/>
      <c r="AB90" s="279"/>
      <c r="AC90" s="279"/>
      <c r="AD90" s="279"/>
      <c r="AE90" s="279"/>
      <c r="AF90" s="279"/>
      <c r="AG90" s="280"/>
      <c r="AH90" s="281"/>
      <c r="AI90" s="282"/>
      <c r="AJ90" s="283"/>
      <c r="AK90" s="22" t="s">
        <v>58</v>
      </c>
      <c r="AL90" s="22" t="s">
        <v>58</v>
      </c>
      <c r="AM90" s="22" t="s">
        <v>58</v>
      </c>
    </row>
    <row r="91" spans="1:39" s="22" customFormat="1" x14ac:dyDescent="0.25">
      <c r="A91" s="28" t="str">
        <f>IF(H91&lt;&gt;"",MAX($A$7:A90)+1,"")</f>
        <v/>
      </c>
      <c r="B91" s="243" t="str">
        <f t="shared" si="29"/>
        <v/>
      </c>
      <c r="C91" s="273"/>
      <c r="D91" s="246"/>
      <c r="E91" s="247"/>
      <c r="F91" s="247"/>
      <c r="G91" s="248"/>
      <c r="H91" s="241"/>
      <c r="I91" s="274"/>
      <c r="J91" s="275"/>
      <c r="K91" s="276"/>
      <c r="L91" s="277"/>
      <c r="M91" s="278"/>
      <c r="N91" s="279"/>
      <c r="O91" s="274"/>
      <c r="P91" s="275"/>
      <c r="Q91" s="276"/>
      <c r="R91" s="277"/>
      <c r="S91" s="278"/>
      <c r="T91" s="279"/>
      <c r="U91" s="279"/>
      <c r="V91" s="279"/>
      <c r="W91" s="279"/>
      <c r="X91" s="279"/>
      <c r="Y91" s="279"/>
      <c r="Z91" s="279"/>
      <c r="AA91" s="279"/>
      <c r="AB91" s="279"/>
      <c r="AC91" s="279"/>
      <c r="AD91" s="279"/>
      <c r="AE91" s="279"/>
      <c r="AF91" s="279"/>
      <c r="AG91" s="280"/>
      <c r="AH91" s="281"/>
      <c r="AI91" s="282"/>
      <c r="AJ91" s="283"/>
      <c r="AK91" s="22" t="s">
        <v>58</v>
      </c>
      <c r="AL91" s="22" t="s">
        <v>58</v>
      </c>
      <c r="AM91" s="22" t="s">
        <v>58</v>
      </c>
    </row>
    <row r="92" spans="1:39" s="22" customFormat="1" x14ac:dyDescent="0.25">
      <c r="A92" s="28" t="str">
        <f>IF(H92&lt;&gt;"",MAX($A$7:A91)+1,"")</f>
        <v/>
      </c>
      <c r="B92" s="243" t="str">
        <f t="shared" si="29"/>
        <v/>
      </c>
      <c r="C92" s="273"/>
      <c r="D92" s="246"/>
      <c r="E92" s="247"/>
      <c r="F92" s="247"/>
      <c r="G92" s="248"/>
      <c r="H92" s="241"/>
      <c r="I92" s="274"/>
      <c r="J92" s="275"/>
      <c r="K92" s="276"/>
      <c r="L92" s="277"/>
      <c r="M92" s="278"/>
      <c r="N92" s="279"/>
      <c r="O92" s="274"/>
      <c r="P92" s="275"/>
      <c r="Q92" s="276"/>
      <c r="R92" s="277"/>
      <c r="S92" s="278"/>
      <c r="T92" s="279"/>
      <c r="U92" s="279"/>
      <c r="V92" s="279"/>
      <c r="W92" s="279"/>
      <c r="X92" s="279"/>
      <c r="Y92" s="279"/>
      <c r="Z92" s="279"/>
      <c r="AA92" s="279"/>
      <c r="AB92" s="279"/>
      <c r="AC92" s="279"/>
      <c r="AD92" s="279"/>
      <c r="AE92" s="279"/>
      <c r="AF92" s="279"/>
      <c r="AG92" s="280"/>
      <c r="AH92" s="281"/>
      <c r="AI92" s="282"/>
      <c r="AJ92" s="283"/>
      <c r="AK92" s="22" t="s">
        <v>58</v>
      </c>
      <c r="AL92" s="22" t="s">
        <v>58</v>
      </c>
      <c r="AM92" s="22" t="s">
        <v>58</v>
      </c>
    </row>
    <row r="93" spans="1:39" s="22" customFormat="1" x14ac:dyDescent="0.25">
      <c r="A93" s="28" t="str">
        <f>IF(H93&lt;&gt;"",MAX($A$7:A92)+1,"")</f>
        <v/>
      </c>
      <c r="B93" s="243" t="str">
        <f t="shared" si="29"/>
        <v/>
      </c>
      <c r="C93" s="273"/>
      <c r="D93" s="246"/>
      <c r="E93" s="247"/>
      <c r="F93" s="247"/>
      <c r="G93" s="248"/>
      <c r="H93" s="241"/>
      <c r="I93" s="274"/>
      <c r="J93" s="275"/>
      <c r="K93" s="276"/>
      <c r="L93" s="277"/>
      <c r="M93" s="278"/>
      <c r="N93" s="279"/>
      <c r="O93" s="274"/>
      <c r="P93" s="275"/>
      <c r="Q93" s="276"/>
      <c r="R93" s="277"/>
      <c r="S93" s="278"/>
      <c r="T93" s="279"/>
      <c r="U93" s="279"/>
      <c r="V93" s="279"/>
      <c r="W93" s="279"/>
      <c r="X93" s="279"/>
      <c r="Y93" s="279"/>
      <c r="Z93" s="279"/>
      <c r="AA93" s="279"/>
      <c r="AB93" s="279"/>
      <c r="AC93" s="279"/>
      <c r="AD93" s="279"/>
      <c r="AE93" s="279"/>
      <c r="AF93" s="279"/>
      <c r="AG93" s="280"/>
      <c r="AH93" s="281"/>
      <c r="AI93" s="282"/>
      <c r="AJ93" s="283"/>
      <c r="AK93" s="22" t="s">
        <v>58</v>
      </c>
      <c r="AL93" s="22" t="s">
        <v>58</v>
      </c>
      <c r="AM93" s="22" t="s">
        <v>58</v>
      </c>
    </row>
    <row r="94" spans="1:39" s="22" customFormat="1" x14ac:dyDescent="0.25">
      <c r="A94" s="28" t="str">
        <f>IF(H94&lt;&gt;"",MAX($A$7:A93)+1,"")</f>
        <v/>
      </c>
      <c r="B94" s="243" t="str">
        <f t="shared" si="29"/>
        <v/>
      </c>
      <c r="C94" s="273"/>
      <c r="D94" s="246"/>
      <c r="E94" s="247"/>
      <c r="F94" s="247"/>
      <c r="G94" s="248"/>
      <c r="H94" s="241"/>
      <c r="I94" s="274"/>
      <c r="J94" s="275"/>
      <c r="K94" s="276"/>
      <c r="L94" s="277"/>
      <c r="M94" s="278"/>
      <c r="N94" s="279"/>
      <c r="O94" s="274"/>
      <c r="P94" s="275"/>
      <c r="Q94" s="276"/>
      <c r="R94" s="277"/>
      <c r="S94" s="278"/>
      <c r="T94" s="279"/>
      <c r="U94" s="279"/>
      <c r="V94" s="279"/>
      <c r="W94" s="279"/>
      <c r="X94" s="279"/>
      <c r="Y94" s="279"/>
      <c r="Z94" s="279"/>
      <c r="AA94" s="279"/>
      <c r="AB94" s="279"/>
      <c r="AC94" s="279"/>
      <c r="AD94" s="279"/>
      <c r="AE94" s="279"/>
      <c r="AF94" s="279"/>
      <c r="AG94" s="280"/>
      <c r="AH94" s="281"/>
      <c r="AI94" s="282"/>
      <c r="AJ94" s="283"/>
      <c r="AK94" s="22" t="s">
        <v>58</v>
      </c>
      <c r="AL94" s="22" t="s">
        <v>58</v>
      </c>
      <c r="AM94" s="22" t="s">
        <v>58</v>
      </c>
    </row>
    <row r="95" spans="1:39" s="22" customFormat="1" x14ac:dyDescent="0.25">
      <c r="A95" s="28" t="str">
        <f>IF(H95&lt;&gt;"",MAX($A$7:A94)+1,"")</f>
        <v/>
      </c>
      <c r="B95" s="243" t="str">
        <f t="shared" si="29"/>
        <v/>
      </c>
      <c r="C95" s="273"/>
      <c r="D95" s="246"/>
      <c r="E95" s="247"/>
      <c r="F95" s="247"/>
      <c r="G95" s="248"/>
      <c r="H95" s="241"/>
      <c r="I95" s="274"/>
      <c r="J95" s="275"/>
      <c r="K95" s="276"/>
      <c r="L95" s="277"/>
      <c r="M95" s="278"/>
      <c r="N95" s="279"/>
      <c r="O95" s="274"/>
      <c r="P95" s="275"/>
      <c r="Q95" s="276"/>
      <c r="R95" s="277"/>
      <c r="S95" s="278"/>
      <c r="T95" s="279"/>
      <c r="U95" s="279"/>
      <c r="V95" s="279"/>
      <c r="W95" s="279"/>
      <c r="X95" s="279"/>
      <c r="Y95" s="279"/>
      <c r="Z95" s="279"/>
      <c r="AA95" s="279"/>
      <c r="AB95" s="279"/>
      <c r="AC95" s="279"/>
      <c r="AD95" s="279"/>
      <c r="AE95" s="279"/>
      <c r="AF95" s="279"/>
      <c r="AG95" s="280"/>
      <c r="AH95" s="281"/>
      <c r="AI95" s="282"/>
      <c r="AJ95" s="283"/>
      <c r="AK95" s="22" t="s">
        <v>58</v>
      </c>
      <c r="AL95" s="22" t="s">
        <v>58</v>
      </c>
      <c r="AM95" s="22" t="s">
        <v>58</v>
      </c>
    </row>
    <row r="96" spans="1:39" s="22" customFormat="1" x14ac:dyDescent="0.25">
      <c r="A96" s="28" t="str">
        <f>IF(H96&lt;&gt;"",MAX($A$7:A95)+1,"")</f>
        <v/>
      </c>
      <c r="B96" s="243" t="str">
        <f t="shared" si="29"/>
        <v/>
      </c>
      <c r="C96" s="273"/>
      <c r="D96" s="246"/>
      <c r="E96" s="247"/>
      <c r="F96" s="247"/>
      <c r="G96" s="248"/>
      <c r="H96" s="241"/>
      <c r="I96" s="274"/>
      <c r="J96" s="275"/>
      <c r="K96" s="276"/>
      <c r="L96" s="277"/>
      <c r="M96" s="278"/>
      <c r="N96" s="279"/>
      <c r="O96" s="274"/>
      <c r="P96" s="275"/>
      <c r="Q96" s="276"/>
      <c r="R96" s="277"/>
      <c r="S96" s="278"/>
      <c r="T96" s="279"/>
      <c r="U96" s="279"/>
      <c r="V96" s="279"/>
      <c r="W96" s="279"/>
      <c r="X96" s="279"/>
      <c r="Y96" s="279"/>
      <c r="Z96" s="279"/>
      <c r="AA96" s="279"/>
      <c r="AB96" s="279"/>
      <c r="AC96" s="279"/>
      <c r="AD96" s="279"/>
      <c r="AE96" s="279"/>
      <c r="AF96" s="279"/>
      <c r="AG96" s="280"/>
      <c r="AH96" s="281"/>
      <c r="AI96" s="282"/>
      <c r="AJ96" s="283"/>
      <c r="AK96" s="22" t="s">
        <v>58</v>
      </c>
      <c r="AL96" s="22" t="s">
        <v>58</v>
      </c>
      <c r="AM96" s="22" t="s">
        <v>58</v>
      </c>
    </row>
    <row r="97" spans="1:39" s="22" customFormat="1" x14ac:dyDescent="0.25">
      <c r="A97" s="28" t="str">
        <f>IF(H97&lt;&gt;"",MAX($A$7:A96)+1,"")</f>
        <v/>
      </c>
      <c r="B97" s="243" t="str">
        <f t="shared" si="29"/>
        <v/>
      </c>
      <c r="C97" s="273"/>
      <c r="D97" s="246"/>
      <c r="E97" s="247"/>
      <c r="F97" s="247"/>
      <c r="G97" s="248"/>
      <c r="H97" s="241"/>
      <c r="I97" s="274"/>
      <c r="J97" s="275"/>
      <c r="K97" s="276"/>
      <c r="L97" s="277"/>
      <c r="M97" s="278"/>
      <c r="N97" s="279"/>
      <c r="O97" s="274"/>
      <c r="P97" s="275"/>
      <c r="Q97" s="276"/>
      <c r="R97" s="277"/>
      <c r="S97" s="278"/>
      <c r="T97" s="279"/>
      <c r="U97" s="279"/>
      <c r="V97" s="279"/>
      <c r="W97" s="279"/>
      <c r="X97" s="279"/>
      <c r="Y97" s="279"/>
      <c r="Z97" s="279"/>
      <c r="AA97" s="279"/>
      <c r="AB97" s="279"/>
      <c r="AC97" s="279"/>
      <c r="AD97" s="279"/>
      <c r="AE97" s="279"/>
      <c r="AF97" s="279"/>
      <c r="AG97" s="280"/>
      <c r="AH97" s="281"/>
      <c r="AI97" s="282"/>
      <c r="AJ97" s="283"/>
      <c r="AK97" s="22" t="s">
        <v>58</v>
      </c>
      <c r="AL97" s="22" t="s">
        <v>58</v>
      </c>
      <c r="AM97" s="22" t="s">
        <v>58</v>
      </c>
    </row>
    <row r="98" spans="1:39" s="22" customFormat="1" x14ac:dyDescent="0.25">
      <c r="A98" s="28" t="str">
        <f>IF(H98&lt;&gt;"",MAX($A$7:A97)+1,"")</f>
        <v/>
      </c>
      <c r="B98" s="243" t="str">
        <f t="shared" si="29"/>
        <v/>
      </c>
      <c r="C98" s="273"/>
      <c r="D98" s="246"/>
      <c r="E98" s="247"/>
      <c r="F98" s="247"/>
      <c r="G98" s="248"/>
      <c r="H98" s="241"/>
      <c r="I98" s="274"/>
      <c r="J98" s="275"/>
      <c r="K98" s="276"/>
      <c r="L98" s="277"/>
      <c r="M98" s="278"/>
      <c r="N98" s="279"/>
      <c r="O98" s="274"/>
      <c r="P98" s="275"/>
      <c r="Q98" s="276"/>
      <c r="R98" s="277"/>
      <c r="S98" s="278"/>
      <c r="T98" s="279"/>
      <c r="U98" s="279"/>
      <c r="V98" s="279"/>
      <c r="W98" s="279"/>
      <c r="X98" s="279"/>
      <c r="Y98" s="279"/>
      <c r="Z98" s="279"/>
      <c r="AA98" s="279"/>
      <c r="AB98" s="279"/>
      <c r="AC98" s="279"/>
      <c r="AD98" s="279"/>
      <c r="AE98" s="279"/>
      <c r="AF98" s="279"/>
      <c r="AG98" s="280"/>
      <c r="AH98" s="281"/>
      <c r="AI98" s="282"/>
      <c r="AJ98" s="283"/>
      <c r="AK98" s="22" t="s">
        <v>58</v>
      </c>
      <c r="AL98" s="22" t="s">
        <v>58</v>
      </c>
      <c r="AM98" s="22" t="s">
        <v>58</v>
      </c>
    </row>
    <row r="99" spans="1:39" s="22" customFormat="1" x14ac:dyDescent="0.25">
      <c r="A99" s="28" t="str">
        <f>IF(H99&lt;&gt;"",MAX($A$7:A98)+1,"")</f>
        <v/>
      </c>
      <c r="B99" s="243" t="str">
        <f t="shared" si="29"/>
        <v/>
      </c>
      <c r="C99" s="273"/>
      <c r="D99" s="246"/>
      <c r="E99" s="247"/>
      <c r="F99" s="247"/>
      <c r="G99" s="248"/>
      <c r="H99" s="241"/>
      <c r="I99" s="274"/>
      <c r="J99" s="275"/>
      <c r="K99" s="276"/>
      <c r="L99" s="277"/>
      <c r="M99" s="278"/>
      <c r="N99" s="279"/>
      <c r="O99" s="274"/>
      <c r="P99" s="275"/>
      <c r="Q99" s="276"/>
      <c r="R99" s="277"/>
      <c r="S99" s="278"/>
      <c r="T99" s="279"/>
      <c r="U99" s="279"/>
      <c r="V99" s="279"/>
      <c r="W99" s="279"/>
      <c r="X99" s="279"/>
      <c r="Y99" s="279"/>
      <c r="Z99" s="279"/>
      <c r="AA99" s="279"/>
      <c r="AB99" s="279"/>
      <c r="AC99" s="279"/>
      <c r="AD99" s="279"/>
      <c r="AE99" s="279"/>
      <c r="AF99" s="279"/>
      <c r="AG99" s="280"/>
      <c r="AH99" s="281"/>
      <c r="AI99" s="282"/>
      <c r="AJ99" s="283"/>
      <c r="AK99" s="22" t="s">
        <v>58</v>
      </c>
      <c r="AL99" s="22" t="s">
        <v>58</v>
      </c>
      <c r="AM99" s="22" t="s">
        <v>58</v>
      </c>
    </row>
    <row r="100" spans="1:39" s="22" customFormat="1" x14ac:dyDescent="0.25">
      <c r="A100" s="28" t="str">
        <f>IF(H100&lt;&gt;"",MAX($A$7:A99)+1,"")</f>
        <v/>
      </c>
      <c r="B100" s="243" t="str">
        <f t="shared" si="29"/>
        <v/>
      </c>
      <c r="C100" s="273"/>
      <c r="D100" s="246"/>
      <c r="E100" s="247"/>
      <c r="F100" s="247"/>
      <c r="G100" s="248"/>
      <c r="H100" s="241"/>
      <c r="I100" s="274"/>
      <c r="J100" s="275"/>
      <c r="K100" s="276"/>
      <c r="L100" s="277"/>
      <c r="M100" s="278"/>
      <c r="N100" s="279"/>
      <c r="O100" s="274"/>
      <c r="P100" s="275"/>
      <c r="Q100" s="276"/>
      <c r="R100" s="277"/>
      <c r="S100" s="278"/>
      <c r="T100" s="279"/>
      <c r="U100" s="279"/>
      <c r="V100" s="279"/>
      <c r="W100" s="279"/>
      <c r="X100" s="279"/>
      <c r="Y100" s="279"/>
      <c r="Z100" s="279"/>
      <c r="AA100" s="279"/>
      <c r="AB100" s="279"/>
      <c r="AC100" s="279"/>
      <c r="AD100" s="279"/>
      <c r="AE100" s="279"/>
      <c r="AF100" s="279"/>
      <c r="AG100" s="280"/>
      <c r="AH100" s="281"/>
      <c r="AI100" s="282"/>
      <c r="AJ100" s="283"/>
      <c r="AK100" s="22" t="s">
        <v>58</v>
      </c>
      <c r="AL100" s="22" t="s">
        <v>58</v>
      </c>
      <c r="AM100" s="22" t="s">
        <v>58</v>
      </c>
    </row>
    <row r="101" spans="1:39" s="22" customFormat="1" x14ac:dyDescent="0.25">
      <c r="A101" s="28" t="str">
        <f>IF(H101&lt;&gt;"",MAX($A$7:A100)+1,"")</f>
        <v/>
      </c>
      <c r="B101" s="243" t="str">
        <f t="shared" si="29"/>
        <v/>
      </c>
      <c r="C101" s="273"/>
      <c r="D101" s="246"/>
      <c r="E101" s="247"/>
      <c r="F101" s="247"/>
      <c r="G101" s="248"/>
      <c r="H101" s="241"/>
      <c r="I101" s="274"/>
      <c r="J101" s="275"/>
      <c r="K101" s="276"/>
      <c r="L101" s="277"/>
      <c r="M101" s="278"/>
      <c r="N101" s="279"/>
      <c r="O101" s="274"/>
      <c r="P101" s="275"/>
      <c r="Q101" s="276"/>
      <c r="R101" s="277"/>
      <c r="S101" s="278"/>
      <c r="T101" s="279"/>
      <c r="U101" s="279"/>
      <c r="V101" s="279"/>
      <c r="W101" s="279"/>
      <c r="X101" s="279"/>
      <c r="Y101" s="279"/>
      <c r="Z101" s="279"/>
      <c r="AA101" s="279"/>
      <c r="AB101" s="279"/>
      <c r="AC101" s="279"/>
      <c r="AD101" s="279"/>
      <c r="AE101" s="279"/>
      <c r="AF101" s="279"/>
      <c r="AG101" s="280"/>
      <c r="AH101" s="281"/>
      <c r="AI101" s="282"/>
      <c r="AJ101" s="283"/>
      <c r="AK101" s="22" t="s">
        <v>58</v>
      </c>
      <c r="AL101" s="22" t="s">
        <v>58</v>
      </c>
      <c r="AM101" s="22" t="s">
        <v>58</v>
      </c>
    </row>
    <row r="102" spans="1:39" s="22" customFormat="1" x14ac:dyDescent="0.25">
      <c r="A102" s="28" t="str">
        <f>IF(H102&lt;&gt;"",MAX($A$7:A101)+1,"")</f>
        <v/>
      </c>
      <c r="B102" s="243" t="str">
        <f t="shared" si="29"/>
        <v/>
      </c>
      <c r="C102" s="273"/>
      <c r="D102" s="246"/>
      <c r="E102" s="247"/>
      <c r="F102" s="247"/>
      <c r="G102" s="248"/>
      <c r="H102" s="241"/>
      <c r="I102" s="274"/>
      <c r="J102" s="275"/>
      <c r="K102" s="276"/>
      <c r="L102" s="277"/>
      <c r="M102" s="278"/>
      <c r="N102" s="279"/>
      <c r="O102" s="274"/>
      <c r="P102" s="275"/>
      <c r="Q102" s="276"/>
      <c r="R102" s="277"/>
      <c r="S102" s="278"/>
      <c r="T102" s="279"/>
      <c r="U102" s="279"/>
      <c r="V102" s="279"/>
      <c r="W102" s="279"/>
      <c r="X102" s="279"/>
      <c r="Y102" s="279"/>
      <c r="Z102" s="279"/>
      <c r="AA102" s="279"/>
      <c r="AB102" s="279"/>
      <c r="AC102" s="279"/>
      <c r="AD102" s="279"/>
      <c r="AE102" s="279"/>
      <c r="AF102" s="279"/>
      <c r="AG102" s="280"/>
      <c r="AH102" s="281"/>
      <c r="AI102" s="282"/>
      <c r="AJ102" s="283"/>
      <c r="AK102" s="22" t="s">
        <v>58</v>
      </c>
      <c r="AL102" s="22" t="s">
        <v>58</v>
      </c>
      <c r="AM102" s="22" t="s">
        <v>58</v>
      </c>
    </row>
    <row r="103" spans="1:39" s="22" customFormat="1" x14ac:dyDescent="0.25">
      <c r="A103" s="28" t="str">
        <f>IF(H103&lt;&gt;"",MAX($A$7:A102)+1,"")</f>
        <v/>
      </c>
      <c r="B103" s="243" t="str">
        <f t="shared" si="29"/>
        <v/>
      </c>
      <c r="C103" s="273"/>
      <c r="D103" s="246"/>
      <c r="E103" s="247"/>
      <c r="F103" s="247"/>
      <c r="G103" s="248"/>
      <c r="H103" s="241"/>
      <c r="I103" s="274"/>
      <c r="J103" s="275"/>
      <c r="K103" s="276"/>
      <c r="L103" s="277"/>
      <c r="M103" s="278"/>
      <c r="N103" s="279"/>
      <c r="O103" s="274"/>
      <c r="P103" s="275"/>
      <c r="Q103" s="276"/>
      <c r="R103" s="277"/>
      <c r="S103" s="278"/>
      <c r="T103" s="279"/>
      <c r="U103" s="279"/>
      <c r="V103" s="279"/>
      <c r="W103" s="279"/>
      <c r="X103" s="279"/>
      <c r="Y103" s="279"/>
      <c r="Z103" s="279"/>
      <c r="AA103" s="279"/>
      <c r="AB103" s="279"/>
      <c r="AC103" s="279"/>
      <c r="AD103" s="279"/>
      <c r="AE103" s="279"/>
      <c r="AF103" s="279"/>
      <c r="AG103" s="280"/>
      <c r="AH103" s="281"/>
      <c r="AI103" s="282"/>
      <c r="AJ103" s="283"/>
      <c r="AK103" s="22" t="s">
        <v>58</v>
      </c>
      <c r="AL103" s="22" t="s">
        <v>58</v>
      </c>
      <c r="AM103" s="22" t="s">
        <v>58</v>
      </c>
    </row>
    <row r="104" spans="1:39" s="22" customFormat="1" x14ac:dyDescent="0.25">
      <c r="A104" s="28" t="str">
        <f>IF(H104&lt;&gt;"",MAX($A$7:A103)+1,"")</f>
        <v/>
      </c>
      <c r="B104" s="243" t="str">
        <f t="shared" si="29"/>
        <v/>
      </c>
      <c r="C104" s="273"/>
      <c r="D104" s="246"/>
      <c r="E104" s="247"/>
      <c r="F104" s="247"/>
      <c r="G104" s="248"/>
      <c r="H104" s="241"/>
      <c r="I104" s="274"/>
      <c r="J104" s="275"/>
      <c r="K104" s="276"/>
      <c r="L104" s="277"/>
      <c r="M104" s="278"/>
      <c r="N104" s="279"/>
      <c r="O104" s="274"/>
      <c r="P104" s="275"/>
      <c r="Q104" s="276"/>
      <c r="R104" s="277"/>
      <c r="S104" s="278"/>
      <c r="T104" s="279"/>
      <c r="U104" s="279"/>
      <c r="V104" s="279"/>
      <c r="W104" s="279"/>
      <c r="X104" s="279"/>
      <c r="Y104" s="279"/>
      <c r="Z104" s="279"/>
      <c r="AA104" s="279"/>
      <c r="AB104" s="279"/>
      <c r="AC104" s="279"/>
      <c r="AD104" s="279"/>
      <c r="AE104" s="279"/>
      <c r="AF104" s="279"/>
      <c r="AG104" s="280"/>
      <c r="AH104" s="281"/>
      <c r="AI104" s="282"/>
      <c r="AJ104" s="283"/>
      <c r="AK104" s="22" t="s">
        <v>58</v>
      </c>
      <c r="AL104" s="22" t="s">
        <v>58</v>
      </c>
      <c r="AM104" s="22" t="s">
        <v>58</v>
      </c>
    </row>
    <row r="105" spans="1:39" s="22" customFormat="1" x14ac:dyDescent="0.25">
      <c r="A105" s="28" t="str">
        <f>IF(H105&lt;&gt;"",MAX($A$7:A104)+1,"")</f>
        <v/>
      </c>
      <c r="B105" s="243" t="str">
        <f t="shared" si="29"/>
        <v/>
      </c>
      <c r="C105" s="273"/>
      <c r="D105" s="246"/>
      <c r="E105" s="247"/>
      <c r="F105" s="247"/>
      <c r="G105" s="248"/>
      <c r="H105" s="241"/>
      <c r="I105" s="274"/>
      <c r="J105" s="275"/>
      <c r="K105" s="276"/>
      <c r="L105" s="277"/>
      <c r="M105" s="278"/>
      <c r="N105" s="279"/>
      <c r="O105" s="274"/>
      <c r="P105" s="275"/>
      <c r="Q105" s="276"/>
      <c r="R105" s="277"/>
      <c r="S105" s="278"/>
      <c r="T105" s="279"/>
      <c r="U105" s="279"/>
      <c r="V105" s="279"/>
      <c r="W105" s="279"/>
      <c r="X105" s="279"/>
      <c r="Y105" s="279"/>
      <c r="Z105" s="279"/>
      <c r="AA105" s="279"/>
      <c r="AB105" s="279"/>
      <c r="AC105" s="279"/>
      <c r="AD105" s="279"/>
      <c r="AE105" s="279"/>
      <c r="AF105" s="279"/>
      <c r="AG105" s="280"/>
      <c r="AH105" s="281"/>
      <c r="AI105" s="282"/>
      <c r="AJ105" s="283"/>
      <c r="AK105" s="22" t="s">
        <v>58</v>
      </c>
      <c r="AL105" s="22" t="s">
        <v>58</v>
      </c>
      <c r="AM105" s="22" t="s">
        <v>58</v>
      </c>
    </row>
    <row r="106" spans="1:39" s="22" customFormat="1" x14ac:dyDescent="0.25">
      <c r="A106" s="28" t="str">
        <f>IF(H106&lt;&gt;"",MAX($A$7:A105)+1,"")</f>
        <v/>
      </c>
      <c r="B106" s="243" t="str">
        <f t="shared" si="29"/>
        <v/>
      </c>
      <c r="C106" s="273"/>
      <c r="D106" s="246"/>
      <c r="E106" s="247"/>
      <c r="F106" s="247"/>
      <c r="G106" s="248"/>
      <c r="H106" s="241"/>
      <c r="I106" s="274"/>
      <c r="J106" s="275"/>
      <c r="K106" s="276"/>
      <c r="L106" s="277"/>
      <c r="M106" s="278"/>
      <c r="N106" s="279"/>
      <c r="O106" s="274"/>
      <c r="P106" s="275"/>
      <c r="Q106" s="276"/>
      <c r="R106" s="277"/>
      <c r="S106" s="278"/>
      <c r="T106" s="279"/>
      <c r="U106" s="279"/>
      <c r="V106" s="279"/>
      <c r="W106" s="279"/>
      <c r="X106" s="279"/>
      <c r="Y106" s="279"/>
      <c r="Z106" s="279"/>
      <c r="AA106" s="279"/>
      <c r="AB106" s="279"/>
      <c r="AC106" s="279"/>
      <c r="AD106" s="279"/>
      <c r="AE106" s="279"/>
      <c r="AF106" s="279"/>
      <c r="AG106" s="280"/>
      <c r="AH106" s="281"/>
      <c r="AI106" s="282"/>
      <c r="AJ106" s="283"/>
      <c r="AK106" s="22" t="s">
        <v>58</v>
      </c>
      <c r="AL106" s="22" t="s">
        <v>58</v>
      </c>
      <c r="AM106" s="22" t="s">
        <v>58</v>
      </c>
    </row>
    <row r="107" spans="1:39" s="22" customFormat="1" x14ac:dyDescent="0.25">
      <c r="A107" s="28" t="str">
        <f>IF(H107&lt;&gt;"",MAX($A$7:A106)+1,"")</f>
        <v/>
      </c>
      <c r="B107" s="243" t="str">
        <f t="shared" si="29"/>
        <v/>
      </c>
      <c r="C107" s="273"/>
      <c r="D107" s="246"/>
      <c r="E107" s="247"/>
      <c r="F107" s="247"/>
      <c r="G107" s="248"/>
      <c r="H107" s="241"/>
      <c r="I107" s="274"/>
      <c r="J107" s="275"/>
      <c r="K107" s="276"/>
      <c r="L107" s="277"/>
      <c r="M107" s="278"/>
      <c r="N107" s="279"/>
      <c r="O107" s="274"/>
      <c r="P107" s="275"/>
      <c r="Q107" s="276"/>
      <c r="R107" s="277"/>
      <c r="S107" s="278"/>
      <c r="T107" s="279"/>
      <c r="U107" s="279"/>
      <c r="V107" s="279"/>
      <c r="W107" s="279"/>
      <c r="X107" s="279"/>
      <c r="Y107" s="279"/>
      <c r="Z107" s="279"/>
      <c r="AA107" s="279"/>
      <c r="AB107" s="279"/>
      <c r="AC107" s="279"/>
      <c r="AD107" s="279"/>
      <c r="AE107" s="279"/>
      <c r="AF107" s="279"/>
      <c r="AG107" s="280"/>
      <c r="AH107" s="281"/>
      <c r="AI107" s="282"/>
      <c r="AJ107" s="283"/>
      <c r="AK107" s="22" t="s">
        <v>58</v>
      </c>
      <c r="AL107" s="22" t="s">
        <v>58</v>
      </c>
      <c r="AM107" s="22" t="s">
        <v>58</v>
      </c>
    </row>
    <row r="108" spans="1:39" s="22" customFormat="1" x14ac:dyDescent="0.25">
      <c r="A108" s="28" t="str">
        <f>IF(H108&lt;&gt;"",MAX($A$7:A107)+1,"")</f>
        <v/>
      </c>
      <c r="B108" s="243" t="str">
        <f t="shared" si="29"/>
        <v/>
      </c>
      <c r="C108" s="273"/>
      <c r="D108" s="246"/>
      <c r="E108" s="247"/>
      <c r="F108" s="247"/>
      <c r="G108" s="248"/>
      <c r="H108" s="241"/>
      <c r="I108" s="274"/>
      <c r="J108" s="275"/>
      <c r="K108" s="276"/>
      <c r="L108" s="277"/>
      <c r="M108" s="278"/>
      <c r="N108" s="279"/>
      <c r="O108" s="274"/>
      <c r="P108" s="275"/>
      <c r="Q108" s="276"/>
      <c r="R108" s="277"/>
      <c r="S108" s="278"/>
      <c r="T108" s="279"/>
      <c r="U108" s="279"/>
      <c r="V108" s="279"/>
      <c r="W108" s="279"/>
      <c r="X108" s="279"/>
      <c r="Y108" s="279"/>
      <c r="Z108" s="279"/>
      <c r="AA108" s="279"/>
      <c r="AB108" s="279"/>
      <c r="AC108" s="279"/>
      <c r="AD108" s="279"/>
      <c r="AE108" s="279"/>
      <c r="AF108" s="279"/>
      <c r="AG108" s="280"/>
      <c r="AH108" s="281"/>
      <c r="AI108" s="282"/>
      <c r="AJ108" s="283"/>
      <c r="AK108" s="22" t="s">
        <v>58</v>
      </c>
      <c r="AL108" s="22" t="s">
        <v>58</v>
      </c>
      <c r="AM108" s="22" t="s">
        <v>58</v>
      </c>
    </row>
    <row r="109" spans="1:39" s="22" customFormat="1" x14ac:dyDescent="0.25">
      <c r="A109" s="28" t="str">
        <f>IF(H109&lt;&gt;"",MAX($A$7:A108)+1,"")</f>
        <v/>
      </c>
      <c r="B109" s="243" t="str">
        <f t="shared" si="29"/>
        <v/>
      </c>
      <c r="C109" s="273"/>
      <c r="D109" s="246"/>
      <c r="E109" s="247"/>
      <c r="F109" s="247"/>
      <c r="G109" s="248"/>
      <c r="H109" s="241"/>
      <c r="I109" s="274"/>
      <c r="J109" s="275"/>
      <c r="K109" s="276"/>
      <c r="L109" s="277"/>
      <c r="M109" s="278"/>
      <c r="N109" s="279"/>
      <c r="O109" s="274"/>
      <c r="P109" s="275"/>
      <c r="Q109" s="276"/>
      <c r="R109" s="277"/>
      <c r="S109" s="278"/>
      <c r="T109" s="279"/>
      <c r="U109" s="279"/>
      <c r="V109" s="279"/>
      <c r="W109" s="279"/>
      <c r="X109" s="279"/>
      <c r="Y109" s="279"/>
      <c r="Z109" s="279"/>
      <c r="AA109" s="279"/>
      <c r="AB109" s="279"/>
      <c r="AC109" s="279"/>
      <c r="AD109" s="279"/>
      <c r="AE109" s="279"/>
      <c r="AF109" s="279"/>
      <c r="AG109" s="280"/>
      <c r="AH109" s="281"/>
      <c r="AI109" s="282"/>
      <c r="AJ109" s="283"/>
      <c r="AK109" s="22" t="s">
        <v>58</v>
      </c>
      <c r="AL109" s="22" t="s">
        <v>58</v>
      </c>
      <c r="AM109" s="22" t="s">
        <v>58</v>
      </c>
    </row>
    <row r="110" spans="1:39" s="22" customFormat="1" x14ac:dyDescent="0.25">
      <c r="A110" s="28" t="str">
        <f>IF(H110&lt;&gt;"",MAX($A$7:A109)+1,"")</f>
        <v/>
      </c>
      <c r="B110" s="243" t="str">
        <f t="shared" si="29"/>
        <v/>
      </c>
      <c r="C110" s="273"/>
      <c r="D110" s="246"/>
      <c r="E110" s="247"/>
      <c r="F110" s="247"/>
      <c r="G110" s="248"/>
      <c r="H110" s="241"/>
      <c r="I110" s="274"/>
      <c r="J110" s="275"/>
      <c r="K110" s="276"/>
      <c r="L110" s="277"/>
      <c r="M110" s="278"/>
      <c r="N110" s="279"/>
      <c r="O110" s="274"/>
      <c r="P110" s="275"/>
      <c r="Q110" s="276"/>
      <c r="R110" s="277"/>
      <c r="S110" s="278"/>
      <c r="T110" s="279"/>
      <c r="U110" s="279"/>
      <c r="V110" s="279"/>
      <c r="W110" s="279"/>
      <c r="X110" s="279"/>
      <c r="Y110" s="279"/>
      <c r="Z110" s="279"/>
      <c r="AA110" s="279"/>
      <c r="AB110" s="279"/>
      <c r="AC110" s="279"/>
      <c r="AD110" s="279"/>
      <c r="AE110" s="279"/>
      <c r="AF110" s="279"/>
      <c r="AG110" s="280"/>
      <c r="AH110" s="281"/>
      <c r="AI110" s="282"/>
      <c r="AJ110" s="283"/>
      <c r="AK110" s="22" t="s">
        <v>58</v>
      </c>
      <c r="AL110" s="22" t="s">
        <v>58</v>
      </c>
      <c r="AM110" s="22" t="s">
        <v>58</v>
      </c>
    </row>
    <row r="111" spans="1:39" s="22" customFormat="1" x14ac:dyDescent="0.25">
      <c r="A111" s="28" t="str">
        <f>IF(H111&lt;&gt;"",MAX($A$7:A110)+1,"")</f>
        <v/>
      </c>
      <c r="B111" s="243" t="str">
        <f t="shared" si="29"/>
        <v/>
      </c>
      <c r="C111" s="273"/>
      <c r="D111" s="246"/>
      <c r="E111" s="247"/>
      <c r="F111" s="247"/>
      <c r="G111" s="248"/>
      <c r="H111" s="241"/>
      <c r="I111" s="274"/>
      <c r="J111" s="275"/>
      <c r="K111" s="276"/>
      <c r="L111" s="277"/>
      <c r="M111" s="278"/>
      <c r="N111" s="279"/>
      <c r="O111" s="274"/>
      <c r="P111" s="275"/>
      <c r="Q111" s="276"/>
      <c r="R111" s="277"/>
      <c r="S111" s="278"/>
      <c r="T111" s="279"/>
      <c r="U111" s="279"/>
      <c r="V111" s="279"/>
      <c r="W111" s="279"/>
      <c r="X111" s="279"/>
      <c r="Y111" s="279"/>
      <c r="Z111" s="279"/>
      <c r="AA111" s="279"/>
      <c r="AB111" s="279"/>
      <c r="AC111" s="279"/>
      <c r="AD111" s="279"/>
      <c r="AE111" s="279"/>
      <c r="AF111" s="279"/>
      <c r="AG111" s="280"/>
      <c r="AH111" s="281"/>
      <c r="AI111" s="282"/>
      <c r="AJ111" s="283"/>
      <c r="AK111" s="22" t="s">
        <v>58</v>
      </c>
      <c r="AL111" s="22" t="s">
        <v>58</v>
      </c>
      <c r="AM111" s="22" t="s">
        <v>58</v>
      </c>
    </row>
    <row r="112" spans="1:39" s="22" customFormat="1" x14ac:dyDescent="0.25">
      <c r="A112" s="28" t="str">
        <f>IF(H112&lt;&gt;"",MAX($A$7:A111)+1,"")</f>
        <v/>
      </c>
      <c r="B112" s="243" t="str">
        <f t="shared" si="29"/>
        <v/>
      </c>
      <c r="C112" s="273"/>
      <c r="D112" s="246"/>
      <c r="E112" s="247"/>
      <c r="F112" s="247"/>
      <c r="G112" s="248"/>
      <c r="H112" s="241"/>
      <c r="I112" s="274"/>
      <c r="J112" s="275"/>
      <c r="K112" s="276"/>
      <c r="L112" s="277"/>
      <c r="M112" s="278"/>
      <c r="N112" s="279"/>
      <c r="O112" s="274"/>
      <c r="P112" s="275"/>
      <c r="Q112" s="276"/>
      <c r="R112" s="277"/>
      <c r="S112" s="278"/>
      <c r="T112" s="279"/>
      <c r="U112" s="279"/>
      <c r="V112" s="279"/>
      <c r="W112" s="279"/>
      <c r="X112" s="279"/>
      <c r="Y112" s="279"/>
      <c r="Z112" s="279"/>
      <c r="AA112" s="279"/>
      <c r="AB112" s="279"/>
      <c r="AC112" s="279"/>
      <c r="AD112" s="279"/>
      <c r="AE112" s="279"/>
      <c r="AF112" s="279"/>
      <c r="AG112" s="280"/>
      <c r="AH112" s="281"/>
      <c r="AI112" s="282"/>
      <c r="AJ112" s="283"/>
      <c r="AK112" s="22" t="s">
        <v>58</v>
      </c>
      <c r="AL112" s="22" t="s">
        <v>58</v>
      </c>
      <c r="AM112" s="22" t="s">
        <v>58</v>
      </c>
    </row>
    <row r="113" spans="1:39" s="22" customFormat="1" x14ac:dyDescent="0.25">
      <c r="A113" s="28" t="str">
        <f>IF(H113&lt;&gt;"",MAX($A$7:A112)+1,"")</f>
        <v/>
      </c>
      <c r="B113" s="243" t="str">
        <f t="shared" si="29"/>
        <v/>
      </c>
      <c r="C113" s="273"/>
      <c r="D113" s="246"/>
      <c r="E113" s="247"/>
      <c r="F113" s="247"/>
      <c r="G113" s="248"/>
      <c r="H113" s="241"/>
      <c r="I113" s="274"/>
      <c r="J113" s="275"/>
      <c r="K113" s="276"/>
      <c r="L113" s="277"/>
      <c r="M113" s="278"/>
      <c r="N113" s="279"/>
      <c r="O113" s="274"/>
      <c r="P113" s="275"/>
      <c r="Q113" s="276"/>
      <c r="R113" s="277"/>
      <c r="S113" s="278"/>
      <c r="T113" s="279"/>
      <c r="U113" s="279"/>
      <c r="V113" s="279"/>
      <c r="W113" s="279"/>
      <c r="X113" s="279"/>
      <c r="Y113" s="279"/>
      <c r="Z113" s="279"/>
      <c r="AA113" s="279"/>
      <c r="AB113" s="279"/>
      <c r="AC113" s="279"/>
      <c r="AD113" s="279"/>
      <c r="AE113" s="279"/>
      <c r="AF113" s="279"/>
      <c r="AG113" s="280"/>
      <c r="AH113" s="281"/>
      <c r="AI113" s="282"/>
      <c r="AJ113" s="283"/>
      <c r="AK113" s="22" t="s">
        <v>58</v>
      </c>
      <c r="AL113" s="22" t="s">
        <v>58</v>
      </c>
      <c r="AM113" s="22" t="s">
        <v>58</v>
      </c>
    </row>
    <row r="114" spans="1:39" s="22" customFormat="1" x14ac:dyDescent="0.25">
      <c r="A114" s="28" t="str">
        <f>IF(H114&lt;&gt;"",MAX($A$7:A113)+1,"")</f>
        <v/>
      </c>
      <c r="B114" s="243" t="str">
        <f t="shared" si="29"/>
        <v/>
      </c>
      <c r="C114" s="273"/>
      <c r="D114" s="246"/>
      <c r="E114" s="247"/>
      <c r="F114" s="247"/>
      <c r="G114" s="248"/>
      <c r="H114" s="241"/>
      <c r="I114" s="274"/>
      <c r="J114" s="275"/>
      <c r="K114" s="276"/>
      <c r="L114" s="277"/>
      <c r="M114" s="278"/>
      <c r="N114" s="279"/>
      <c r="O114" s="274"/>
      <c r="P114" s="275"/>
      <c r="Q114" s="276"/>
      <c r="R114" s="277"/>
      <c r="S114" s="278"/>
      <c r="T114" s="279"/>
      <c r="U114" s="279"/>
      <c r="V114" s="279"/>
      <c r="W114" s="279"/>
      <c r="X114" s="279"/>
      <c r="Y114" s="279"/>
      <c r="Z114" s="279"/>
      <c r="AA114" s="279"/>
      <c r="AB114" s="279"/>
      <c r="AC114" s="279"/>
      <c r="AD114" s="279"/>
      <c r="AE114" s="279"/>
      <c r="AF114" s="279"/>
      <c r="AG114" s="280"/>
      <c r="AH114" s="281"/>
      <c r="AI114" s="282"/>
      <c r="AJ114" s="283"/>
      <c r="AK114" s="22" t="s">
        <v>58</v>
      </c>
      <c r="AL114" s="22" t="s">
        <v>58</v>
      </c>
      <c r="AM114" s="22" t="s">
        <v>58</v>
      </c>
    </row>
    <row r="115" spans="1:39" s="22" customFormat="1" x14ac:dyDescent="0.25">
      <c r="A115" s="28" t="str">
        <f>IF(H115&lt;&gt;"",MAX($A$7:A114)+1,"")</f>
        <v/>
      </c>
      <c r="B115" s="243" t="str">
        <f t="shared" si="29"/>
        <v/>
      </c>
      <c r="C115" s="273"/>
      <c r="D115" s="246"/>
      <c r="E115" s="247"/>
      <c r="F115" s="247"/>
      <c r="G115" s="248"/>
      <c r="H115" s="241"/>
      <c r="I115" s="274"/>
      <c r="J115" s="275"/>
      <c r="K115" s="276"/>
      <c r="L115" s="277"/>
      <c r="M115" s="278"/>
      <c r="N115" s="279"/>
      <c r="O115" s="274"/>
      <c r="P115" s="275"/>
      <c r="Q115" s="276"/>
      <c r="R115" s="277"/>
      <c r="S115" s="278"/>
      <c r="T115" s="279"/>
      <c r="U115" s="279"/>
      <c r="V115" s="279"/>
      <c r="W115" s="279"/>
      <c r="X115" s="279"/>
      <c r="Y115" s="279"/>
      <c r="Z115" s="279"/>
      <c r="AA115" s="279"/>
      <c r="AB115" s="279"/>
      <c r="AC115" s="279"/>
      <c r="AD115" s="279"/>
      <c r="AE115" s="279"/>
      <c r="AF115" s="279"/>
      <c r="AG115" s="280"/>
      <c r="AH115" s="281"/>
      <c r="AI115" s="282"/>
      <c r="AJ115" s="283"/>
      <c r="AK115" s="22" t="s">
        <v>58</v>
      </c>
      <c r="AL115" s="22" t="s">
        <v>58</v>
      </c>
      <c r="AM115" s="22" t="s">
        <v>58</v>
      </c>
    </row>
    <row r="116" spans="1:39" s="22" customFormat="1" x14ac:dyDescent="0.25">
      <c r="A116" s="28" t="str">
        <f>IF(H116&lt;&gt;"",MAX($A$7:A115)+1,"")</f>
        <v/>
      </c>
      <c r="B116" s="243" t="str">
        <f t="shared" si="29"/>
        <v/>
      </c>
      <c r="C116" s="273"/>
      <c r="D116" s="246"/>
      <c r="E116" s="247"/>
      <c r="F116" s="247"/>
      <c r="G116" s="248"/>
      <c r="H116" s="241"/>
      <c r="I116" s="274"/>
      <c r="J116" s="275"/>
      <c r="K116" s="276"/>
      <c r="L116" s="277"/>
      <c r="M116" s="278"/>
      <c r="N116" s="279"/>
      <c r="O116" s="274"/>
      <c r="P116" s="275"/>
      <c r="Q116" s="276"/>
      <c r="R116" s="277"/>
      <c r="S116" s="278"/>
      <c r="T116" s="279"/>
      <c r="U116" s="279"/>
      <c r="V116" s="279"/>
      <c r="W116" s="279"/>
      <c r="X116" s="279"/>
      <c r="Y116" s="279"/>
      <c r="Z116" s="279"/>
      <c r="AA116" s="279"/>
      <c r="AB116" s="279"/>
      <c r="AC116" s="279"/>
      <c r="AD116" s="279"/>
      <c r="AE116" s="279"/>
      <c r="AF116" s="279"/>
      <c r="AG116" s="280"/>
      <c r="AH116" s="281"/>
      <c r="AI116" s="282"/>
      <c r="AJ116" s="283"/>
      <c r="AK116" s="22" t="s">
        <v>58</v>
      </c>
      <c r="AL116" s="22" t="s">
        <v>58</v>
      </c>
      <c r="AM116" s="22" t="s">
        <v>58</v>
      </c>
    </row>
    <row r="117" spans="1:39" s="22" customFormat="1" x14ac:dyDescent="0.25">
      <c r="A117" s="28" t="str">
        <f>IF(H117&lt;&gt;"",MAX($A$7:A116)+1,"")</f>
        <v/>
      </c>
      <c r="B117" s="243" t="str">
        <f t="shared" si="29"/>
        <v/>
      </c>
      <c r="C117" s="273"/>
      <c r="D117" s="246"/>
      <c r="E117" s="247"/>
      <c r="F117" s="247"/>
      <c r="G117" s="248"/>
      <c r="H117" s="241"/>
      <c r="I117" s="274"/>
      <c r="J117" s="275"/>
      <c r="K117" s="276"/>
      <c r="L117" s="277"/>
      <c r="M117" s="278"/>
      <c r="N117" s="279"/>
      <c r="O117" s="274"/>
      <c r="P117" s="275"/>
      <c r="Q117" s="276"/>
      <c r="R117" s="277"/>
      <c r="S117" s="278"/>
      <c r="T117" s="279"/>
      <c r="U117" s="279"/>
      <c r="V117" s="279"/>
      <c r="W117" s="279"/>
      <c r="X117" s="279"/>
      <c r="Y117" s="279"/>
      <c r="Z117" s="279"/>
      <c r="AA117" s="279"/>
      <c r="AB117" s="279"/>
      <c r="AC117" s="279"/>
      <c r="AD117" s="279"/>
      <c r="AE117" s="279"/>
      <c r="AF117" s="279"/>
      <c r="AG117" s="280"/>
      <c r="AH117" s="281"/>
      <c r="AI117" s="282"/>
      <c r="AJ117" s="283"/>
      <c r="AK117" s="22" t="s">
        <v>58</v>
      </c>
      <c r="AL117" s="22" t="s">
        <v>58</v>
      </c>
      <c r="AM117" s="22" t="s">
        <v>58</v>
      </c>
    </row>
    <row r="118" spans="1:39" s="22" customFormat="1" x14ac:dyDescent="0.25">
      <c r="A118" s="28" t="str">
        <f>IF(H118&lt;&gt;"",MAX($A$7:A117)+1,"")</f>
        <v/>
      </c>
      <c r="B118" s="243" t="str">
        <f t="shared" si="29"/>
        <v/>
      </c>
      <c r="C118" s="273"/>
      <c r="D118" s="246"/>
      <c r="E118" s="247"/>
      <c r="F118" s="247"/>
      <c r="G118" s="248"/>
      <c r="H118" s="241"/>
      <c r="I118" s="274"/>
      <c r="J118" s="275"/>
      <c r="K118" s="276"/>
      <c r="L118" s="277"/>
      <c r="M118" s="278"/>
      <c r="N118" s="279"/>
      <c r="O118" s="274"/>
      <c r="P118" s="275"/>
      <c r="Q118" s="276"/>
      <c r="R118" s="277"/>
      <c r="S118" s="278"/>
      <c r="T118" s="279"/>
      <c r="U118" s="279"/>
      <c r="V118" s="279"/>
      <c r="W118" s="279"/>
      <c r="X118" s="279"/>
      <c r="Y118" s="279"/>
      <c r="Z118" s="279"/>
      <c r="AA118" s="279"/>
      <c r="AB118" s="279"/>
      <c r="AC118" s="279"/>
      <c r="AD118" s="279"/>
      <c r="AE118" s="279"/>
      <c r="AF118" s="279"/>
      <c r="AG118" s="280"/>
      <c r="AH118" s="281"/>
      <c r="AI118" s="282"/>
      <c r="AJ118" s="283"/>
      <c r="AK118" s="22" t="s">
        <v>58</v>
      </c>
      <c r="AL118" s="22" t="s">
        <v>58</v>
      </c>
      <c r="AM118" s="22" t="s">
        <v>58</v>
      </c>
    </row>
    <row r="119" spans="1:39" s="22" customFormat="1" x14ac:dyDescent="0.25">
      <c r="A119" s="28" t="str">
        <f>IF(H119&lt;&gt;"",MAX($A$7:A118)+1,"")</f>
        <v/>
      </c>
      <c r="B119" s="243" t="str">
        <f t="shared" si="29"/>
        <v/>
      </c>
      <c r="C119" s="273"/>
      <c r="D119" s="246"/>
      <c r="E119" s="247"/>
      <c r="F119" s="247"/>
      <c r="G119" s="248"/>
      <c r="H119" s="241"/>
      <c r="I119" s="274"/>
      <c r="J119" s="275"/>
      <c r="K119" s="276"/>
      <c r="L119" s="277"/>
      <c r="M119" s="278"/>
      <c r="N119" s="279"/>
      <c r="O119" s="274"/>
      <c r="P119" s="275"/>
      <c r="Q119" s="276"/>
      <c r="R119" s="277"/>
      <c r="S119" s="278"/>
      <c r="T119" s="279"/>
      <c r="U119" s="279"/>
      <c r="V119" s="279"/>
      <c r="W119" s="279"/>
      <c r="X119" s="279"/>
      <c r="Y119" s="279"/>
      <c r="Z119" s="279"/>
      <c r="AA119" s="279"/>
      <c r="AB119" s="279"/>
      <c r="AC119" s="279"/>
      <c r="AD119" s="279"/>
      <c r="AE119" s="279"/>
      <c r="AF119" s="279"/>
      <c r="AG119" s="280"/>
      <c r="AH119" s="281"/>
      <c r="AI119" s="282"/>
      <c r="AJ119" s="283"/>
      <c r="AK119" s="22" t="s">
        <v>58</v>
      </c>
      <c r="AL119" s="22" t="s">
        <v>58</v>
      </c>
      <c r="AM119" s="22" t="s">
        <v>58</v>
      </c>
    </row>
    <row r="120" spans="1:39" s="22" customFormat="1" x14ac:dyDescent="0.25">
      <c r="A120" s="28" t="str">
        <f>IF(H120&lt;&gt;"",MAX($A$7:A119)+1,"")</f>
        <v/>
      </c>
      <c r="B120" s="243" t="str">
        <f t="shared" si="29"/>
        <v/>
      </c>
      <c r="C120" s="273"/>
      <c r="D120" s="246"/>
      <c r="E120" s="247"/>
      <c r="F120" s="247"/>
      <c r="G120" s="248"/>
      <c r="H120" s="241"/>
      <c r="I120" s="274"/>
      <c r="J120" s="275"/>
      <c r="K120" s="276"/>
      <c r="L120" s="277"/>
      <c r="M120" s="278"/>
      <c r="N120" s="279"/>
      <c r="O120" s="274"/>
      <c r="P120" s="275"/>
      <c r="Q120" s="276"/>
      <c r="R120" s="277"/>
      <c r="S120" s="278"/>
      <c r="T120" s="279"/>
      <c r="U120" s="279"/>
      <c r="V120" s="279"/>
      <c r="W120" s="279"/>
      <c r="X120" s="279"/>
      <c r="Y120" s="279"/>
      <c r="Z120" s="279"/>
      <c r="AA120" s="279"/>
      <c r="AB120" s="279"/>
      <c r="AC120" s="279"/>
      <c r="AD120" s="279"/>
      <c r="AE120" s="279"/>
      <c r="AF120" s="279"/>
      <c r="AG120" s="280"/>
      <c r="AH120" s="281"/>
      <c r="AI120" s="282"/>
      <c r="AJ120" s="283"/>
      <c r="AK120" s="22" t="s">
        <v>58</v>
      </c>
      <c r="AL120" s="22" t="s">
        <v>58</v>
      </c>
      <c r="AM120" s="22" t="s">
        <v>58</v>
      </c>
    </row>
    <row r="121" spans="1:39" s="22" customFormat="1" x14ac:dyDescent="0.25">
      <c r="A121" s="28" t="str">
        <f>IF(H121&lt;&gt;"",MAX($A$7:A120)+1,"")</f>
        <v/>
      </c>
      <c r="B121" s="243" t="str">
        <f t="shared" si="29"/>
        <v/>
      </c>
      <c r="C121" s="273"/>
      <c r="D121" s="246"/>
      <c r="E121" s="247"/>
      <c r="F121" s="247"/>
      <c r="G121" s="248"/>
      <c r="H121" s="241"/>
      <c r="I121" s="274"/>
      <c r="J121" s="275"/>
      <c r="K121" s="276"/>
      <c r="L121" s="277"/>
      <c r="M121" s="278"/>
      <c r="N121" s="279"/>
      <c r="O121" s="274"/>
      <c r="P121" s="275"/>
      <c r="Q121" s="276"/>
      <c r="R121" s="277"/>
      <c r="S121" s="278"/>
      <c r="T121" s="279"/>
      <c r="U121" s="279"/>
      <c r="V121" s="279"/>
      <c r="W121" s="279"/>
      <c r="X121" s="279"/>
      <c r="Y121" s="279"/>
      <c r="Z121" s="279"/>
      <c r="AA121" s="279"/>
      <c r="AB121" s="279"/>
      <c r="AC121" s="279"/>
      <c r="AD121" s="279"/>
      <c r="AE121" s="279"/>
      <c r="AF121" s="279"/>
      <c r="AG121" s="280"/>
      <c r="AH121" s="281"/>
      <c r="AI121" s="282"/>
      <c r="AJ121" s="283"/>
      <c r="AK121" s="22" t="s">
        <v>58</v>
      </c>
      <c r="AL121" s="22" t="s">
        <v>58</v>
      </c>
      <c r="AM121" s="22" t="s">
        <v>58</v>
      </c>
    </row>
    <row r="122" spans="1:39" s="22" customFormat="1" x14ac:dyDescent="0.25">
      <c r="A122" s="28" t="str">
        <f>IF(H122&lt;&gt;"",MAX($A$7:A121)+1,"")</f>
        <v/>
      </c>
      <c r="B122" s="243" t="str">
        <f t="shared" si="29"/>
        <v/>
      </c>
      <c r="C122" s="273"/>
      <c r="D122" s="246"/>
      <c r="E122" s="247"/>
      <c r="F122" s="247"/>
      <c r="G122" s="248"/>
      <c r="H122" s="241"/>
      <c r="I122" s="274"/>
      <c r="J122" s="275"/>
      <c r="K122" s="276"/>
      <c r="L122" s="277"/>
      <c r="M122" s="278"/>
      <c r="N122" s="279"/>
      <c r="O122" s="274"/>
      <c r="P122" s="275"/>
      <c r="Q122" s="276"/>
      <c r="R122" s="277"/>
      <c r="S122" s="278"/>
      <c r="T122" s="279"/>
      <c r="U122" s="279"/>
      <c r="V122" s="279"/>
      <c r="W122" s="279"/>
      <c r="X122" s="279"/>
      <c r="Y122" s="279"/>
      <c r="Z122" s="279"/>
      <c r="AA122" s="279"/>
      <c r="AB122" s="279"/>
      <c r="AC122" s="279"/>
      <c r="AD122" s="279"/>
      <c r="AE122" s="279"/>
      <c r="AF122" s="279"/>
      <c r="AG122" s="280"/>
      <c r="AH122" s="281"/>
      <c r="AI122" s="282"/>
      <c r="AJ122" s="283"/>
      <c r="AK122" s="22" t="s">
        <v>58</v>
      </c>
      <c r="AL122" s="22" t="s">
        <v>58</v>
      </c>
      <c r="AM122" s="22" t="s">
        <v>58</v>
      </c>
    </row>
    <row r="123" spans="1:39" s="22" customFormat="1" x14ac:dyDescent="0.25">
      <c r="A123" s="28" t="str">
        <f>IF(H123&lt;&gt;"",MAX($A$7:A122)+1,"")</f>
        <v/>
      </c>
      <c r="B123" s="243" t="str">
        <f t="shared" si="29"/>
        <v/>
      </c>
      <c r="C123" s="273"/>
      <c r="D123" s="246"/>
      <c r="E123" s="247"/>
      <c r="F123" s="247"/>
      <c r="G123" s="248"/>
      <c r="H123" s="241"/>
      <c r="I123" s="274"/>
      <c r="J123" s="275"/>
      <c r="K123" s="276"/>
      <c r="L123" s="277"/>
      <c r="M123" s="278"/>
      <c r="N123" s="279"/>
      <c r="O123" s="274"/>
      <c r="P123" s="275"/>
      <c r="Q123" s="276"/>
      <c r="R123" s="277"/>
      <c r="S123" s="278"/>
      <c r="T123" s="279"/>
      <c r="U123" s="279"/>
      <c r="V123" s="279"/>
      <c r="W123" s="279"/>
      <c r="X123" s="279"/>
      <c r="Y123" s="279"/>
      <c r="Z123" s="279"/>
      <c r="AA123" s="279"/>
      <c r="AB123" s="279"/>
      <c r="AC123" s="279"/>
      <c r="AD123" s="279"/>
      <c r="AE123" s="279"/>
      <c r="AF123" s="279"/>
      <c r="AG123" s="280"/>
      <c r="AH123" s="281"/>
      <c r="AI123" s="282"/>
      <c r="AJ123" s="283"/>
      <c r="AK123" s="22" t="s">
        <v>58</v>
      </c>
      <c r="AL123" s="22" t="s">
        <v>58</v>
      </c>
      <c r="AM123" s="22" t="s">
        <v>58</v>
      </c>
    </row>
    <row r="124" spans="1:39" s="22" customFormat="1" x14ac:dyDescent="0.25">
      <c r="A124" s="28" t="str">
        <f>IF(H124&lt;&gt;"",MAX($A$7:A123)+1,"")</f>
        <v/>
      </c>
      <c r="B124" s="243" t="str">
        <f t="shared" si="29"/>
        <v/>
      </c>
      <c r="C124" s="273"/>
      <c r="D124" s="246"/>
      <c r="E124" s="247"/>
      <c r="F124" s="247"/>
      <c r="G124" s="248"/>
      <c r="H124" s="241"/>
      <c r="I124" s="274"/>
      <c r="J124" s="275"/>
      <c r="K124" s="276"/>
      <c r="L124" s="277"/>
      <c r="M124" s="278"/>
      <c r="N124" s="279"/>
      <c r="O124" s="274"/>
      <c r="P124" s="275"/>
      <c r="Q124" s="276"/>
      <c r="R124" s="277"/>
      <c r="S124" s="278"/>
      <c r="T124" s="279"/>
      <c r="U124" s="279"/>
      <c r="V124" s="279"/>
      <c r="W124" s="279"/>
      <c r="X124" s="279"/>
      <c r="Y124" s="279"/>
      <c r="Z124" s="279"/>
      <c r="AA124" s="279"/>
      <c r="AB124" s="279"/>
      <c r="AC124" s="279"/>
      <c r="AD124" s="279"/>
      <c r="AE124" s="279"/>
      <c r="AF124" s="279"/>
      <c r="AG124" s="280"/>
      <c r="AH124" s="281"/>
      <c r="AI124" s="282"/>
      <c r="AJ124" s="283"/>
      <c r="AK124" s="22" t="s">
        <v>58</v>
      </c>
      <c r="AL124" s="22" t="s">
        <v>58</v>
      </c>
      <c r="AM124" s="22" t="s">
        <v>58</v>
      </c>
    </row>
    <row r="125" spans="1:39" s="22" customFormat="1" x14ac:dyDescent="0.25">
      <c r="A125" s="28" t="str">
        <f>IF(H125&lt;&gt;"",MAX($A$7:A124)+1,"")</f>
        <v/>
      </c>
      <c r="B125" s="243" t="str">
        <f t="shared" si="29"/>
        <v/>
      </c>
      <c r="C125" s="273"/>
      <c r="D125" s="246"/>
      <c r="E125" s="247"/>
      <c r="F125" s="247"/>
      <c r="G125" s="248"/>
      <c r="H125" s="241"/>
      <c r="I125" s="274"/>
      <c r="J125" s="275"/>
      <c r="K125" s="276"/>
      <c r="L125" s="277"/>
      <c r="M125" s="278"/>
      <c r="N125" s="279"/>
      <c r="O125" s="274"/>
      <c r="P125" s="275"/>
      <c r="Q125" s="276"/>
      <c r="R125" s="277"/>
      <c r="S125" s="278"/>
      <c r="T125" s="279"/>
      <c r="U125" s="279"/>
      <c r="V125" s="279"/>
      <c r="W125" s="279"/>
      <c r="X125" s="279"/>
      <c r="Y125" s="279"/>
      <c r="Z125" s="279"/>
      <c r="AA125" s="279"/>
      <c r="AB125" s="279"/>
      <c r="AC125" s="279"/>
      <c r="AD125" s="279"/>
      <c r="AE125" s="279"/>
      <c r="AF125" s="279"/>
      <c r="AG125" s="280"/>
      <c r="AH125" s="281"/>
      <c r="AI125" s="282"/>
      <c r="AJ125" s="283"/>
      <c r="AK125" s="22" t="s">
        <v>58</v>
      </c>
      <c r="AL125" s="22" t="s">
        <v>58</v>
      </c>
      <c r="AM125" s="22" t="s">
        <v>58</v>
      </c>
    </row>
    <row r="126" spans="1:39" s="22" customFormat="1" x14ac:dyDescent="0.25">
      <c r="A126" s="28" t="str">
        <f>IF(H126&lt;&gt;"",MAX($A$7:A125)+1,"")</f>
        <v/>
      </c>
      <c r="B126" s="243" t="str">
        <f t="shared" si="29"/>
        <v/>
      </c>
      <c r="C126" s="273"/>
      <c r="D126" s="246"/>
      <c r="E126" s="247"/>
      <c r="F126" s="247"/>
      <c r="G126" s="248"/>
      <c r="H126" s="241"/>
      <c r="I126" s="274"/>
      <c r="J126" s="275"/>
      <c r="K126" s="276"/>
      <c r="L126" s="277"/>
      <c r="M126" s="278"/>
      <c r="N126" s="279"/>
      <c r="O126" s="274"/>
      <c r="P126" s="275"/>
      <c r="Q126" s="276"/>
      <c r="R126" s="277"/>
      <c r="S126" s="278"/>
      <c r="T126" s="279"/>
      <c r="U126" s="279"/>
      <c r="V126" s="279"/>
      <c r="W126" s="279"/>
      <c r="X126" s="279"/>
      <c r="Y126" s="279"/>
      <c r="Z126" s="279"/>
      <c r="AA126" s="279"/>
      <c r="AB126" s="279"/>
      <c r="AC126" s="279"/>
      <c r="AD126" s="279"/>
      <c r="AE126" s="279"/>
      <c r="AF126" s="279"/>
      <c r="AG126" s="280"/>
      <c r="AH126" s="281"/>
      <c r="AI126" s="282"/>
      <c r="AJ126" s="283"/>
      <c r="AK126" s="22" t="s">
        <v>58</v>
      </c>
      <c r="AL126" s="22" t="s">
        <v>58</v>
      </c>
      <c r="AM126" s="22" t="s">
        <v>58</v>
      </c>
    </row>
    <row r="127" spans="1:39" s="22" customFormat="1" x14ac:dyDescent="0.25">
      <c r="A127" s="28" t="str">
        <f>IF(H127&lt;&gt;"",MAX($A$7:A126)+1,"")</f>
        <v/>
      </c>
      <c r="B127" s="243" t="str">
        <f t="shared" si="29"/>
        <v/>
      </c>
      <c r="C127" s="273"/>
      <c r="D127" s="246"/>
      <c r="E127" s="247"/>
      <c r="F127" s="247"/>
      <c r="G127" s="248"/>
      <c r="H127" s="241"/>
      <c r="I127" s="274"/>
      <c r="J127" s="275"/>
      <c r="K127" s="276"/>
      <c r="L127" s="277"/>
      <c r="M127" s="278"/>
      <c r="N127" s="279"/>
      <c r="O127" s="274"/>
      <c r="P127" s="275"/>
      <c r="Q127" s="276"/>
      <c r="R127" s="277"/>
      <c r="S127" s="278"/>
      <c r="T127" s="279"/>
      <c r="U127" s="279"/>
      <c r="V127" s="279"/>
      <c r="W127" s="279"/>
      <c r="X127" s="279"/>
      <c r="Y127" s="279"/>
      <c r="Z127" s="279"/>
      <c r="AA127" s="279"/>
      <c r="AB127" s="279"/>
      <c r="AC127" s="279"/>
      <c r="AD127" s="279"/>
      <c r="AE127" s="279"/>
      <c r="AF127" s="279"/>
      <c r="AG127" s="280"/>
      <c r="AH127" s="281"/>
      <c r="AI127" s="282"/>
      <c r="AJ127" s="283"/>
      <c r="AK127" s="22" t="s">
        <v>58</v>
      </c>
      <c r="AL127" s="22" t="s">
        <v>58</v>
      </c>
      <c r="AM127" s="22" t="s">
        <v>58</v>
      </c>
    </row>
    <row r="128" spans="1:39" s="22" customFormat="1" x14ac:dyDescent="0.25">
      <c r="A128" s="28" t="str">
        <f>IF(H128&lt;&gt;"",MAX($A$7:A127)+1,"")</f>
        <v/>
      </c>
      <c r="B128" s="243" t="str">
        <f t="shared" si="29"/>
        <v/>
      </c>
      <c r="C128" s="273"/>
      <c r="D128" s="246"/>
      <c r="E128" s="247"/>
      <c r="F128" s="247"/>
      <c r="G128" s="248"/>
      <c r="H128" s="241"/>
      <c r="I128" s="274"/>
      <c r="J128" s="275"/>
      <c r="K128" s="276"/>
      <c r="L128" s="277"/>
      <c r="M128" s="278"/>
      <c r="N128" s="279"/>
      <c r="O128" s="274"/>
      <c r="P128" s="275"/>
      <c r="Q128" s="276"/>
      <c r="R128" s="277"/>
      <c r="S128" s="278"/>
      <c r="T128" s="279"/>
      <c r="U128" s="279"/>
      <c r="V128" s="279"/>
      <c r="W128" s="279"/>
      <c r="X128" s="279"/>
      <c r="Y128" s="279"/>
      <c r="Z128" s="279"/>
      <c r="AA128" s="279"/>
      <c r="AB128" s="279"/>
      <c r="AC128" s="279"/>
      <c r="AD128" s="279"/>
      <c r="AE128" s="279"/>
      <c r="AF128" s="279"/>
      <c r="AG128" s="280"/>
      <c r="AH128" s="281"/>
      <c r="AI128" s="282"/>
      <c r="AJ128" s="283"/>
      <c r="AK128" s="22" t="s">
        <v>58</v>
      </c>
      <c r="AL128" s="22" t="s">
        <v>58</v>
      </c>
      <c r="AM128" s="22" t="s">
        <v>58</v>
      </c>
    </row>
    <row r="129" spans="1:39" s="22" customFormat="1" x14ac:dyDescent="0.25">
      <c r="A129" s="28" t="str">
        <f>IF(H129&lt;&gt;"",MAX($A$7:A128)+1,"")</f>
        <v/>
      </c>
      <c r="B129" s="243" t="str">
        <f t="shared" si="29"/>
        <v/>
      </c>
      <c r="C129" s="273"/>
      <c r="D129" s="246"/>
      <c r="E129" s="247"/>
      <c r="F129" s="247"/>
      <c r="G129" s="248"/>
      <c r="H129" s="241"/>
      <c r="I129" s="274"/>
      <c r="J129" s="275"/>
      <c r="K129" s="276"/>
      <c r="L129" s="277"/>
      <c r="M129" s="278"/>
      <c r="N129" s="279"/>
      <c r="O129" s="274"/>
      <c r="P129" s="275"/>
      <c r="Q129" s="276"/>
      <c r="R129" s="277"/>
      <c r="S129" s="278"/>
      <c r="T129" s="279"/>
      <c r="U129" s="279"/>
      <c r="V129" s="279"/>
      <c r="W129" s="279"/>
      <c r="X129" s="279"/>
      <c r="Y129" s="279"/>
      <c r="Z129" s="279"/>
      <c r="AA129" s="279"/>
      <c r="AB129" s="279"/>
      <c r="AC129" s="279"/>
      <c r="AD129" s="279"/>
      <c r="AE129" s="279"/>
      <c r="AF129" s="279"/>
      <c r="AG129" s="280"/>
      <c r="AH129" s="281"/>
      <c r="AI129" s="282"/>
      <c r="AJ129" s="283"/>
      <c r="AK129" s="22" t="s">
        <v>58</v>
      </c>
      <c r="AL129" s="22" t="s">
        <v>58</v>
      </c>
      <c r="AM129" s="22" t="s">
        <v>58</v>
      </c>
    </row>
    <row r="130" spans="1:39" s="22" customFormat="1" x14ac:dyDescent="0.25">
      <c r="A130" s="28" t="str">
        <f>IF(H130&lt;&gt;"",MAX($A$7:A129)+1,"")</f>
        <v/>
      </c>
      <c r="B130" s="243" t="str">
        <f t="shared" si="29"/>
        <v/>
      </c>
      <c r="C130" s="273"/>
      <c r="D130" s="246"/>
      <c r="E130" s="247"/>
      <c r="F130" s="247"/>
      <c r="G130" s="248"/>
      <c r="H130" s="241"/>
      <c r="I130" s="274"/>
      <c r="J130" s="275"/>
      <c r="K130" s="276"/>
      <c r="L130" s="277"/>
      <c r="M130" s="278"/>
      <c r="N130" s="279"/>
      <c r="O130" s="274"/>
      <c r="P130" s="275"/>
      <c r="Q130" s="276"/>
      <c r="R130" s="277"/>
      <c r="S130" s="278"/>
      <c r="T130" s="279"/>
      <c r="U130" s="279"/>
      <c r="V130" s="279"/>
      <c r="W130" s="279"/>
      <c r="X130" s="279"/>
      <c r="Y130" s="279"/>
      <c r="Z130" s="279"/>
      <c r="AA130" s="279"/>
      <c r="AB130" s="279"/>
      <c r="AC130" s="279"/>
      <c r="AD130" s="279"/>
      <c r="AE130" s="279"/>
      <c r="AF130" s="279"/>
      <c r="AG130" s="280"/>
      <c r="AH130" s="281"/>
      <c r="AI130" s="282"/>
      <c r="AJ130" s="283"/>
      <c r="AK130" s="22" t="s">
        <v>58</v>
      </c>
      <c r="AL130" s="22" t="s">
        <v>58</v>
      </c>
      <c r="AM130" s="22" t="s">
        <v>58</v>
      </c>
    </row>
    <row r="131" spans="1:39" s="22" customFormat="1" x14ac:dyDescent="0.25">
      <c r="A131" s="28" t="str">
        <f>IF(H131&lt;&gt;"",MAX($A$7:A130)+1,"")</f>
        <v/>
      </c>
      <c r="B131" s="243" t="str">
        <f t="shared" si="29"/>
        <v/>
      </c>
      <c r="C131" s="273"/>
      <c r="D131" s="246"/>
      <c r="E131" s="247"/>
      <c r="F131" s="247"/>
      <c r="G131" s="248"/>
      <c r="H131" s="241"/>
      <c r="I131" s="274"/>
      <c r="J131" s="275"/>
      <c r="K131" s="276"/>
      <c r="L131" s="277"/>
      <c r="M131" s="278"/>
      <c r="N131" s="279"/>
      <c r="O131" s="274"/>
      <c r="P131" s="275"/>
      <c r="Q131" s="276"/>
      <c r="R131" s="277"/>
      <c r="S131" s="278"/>
      <c r="T131" s="279"/>
      <c r="U131" s="279"/>
      <c r="V131" s="279"/>
      <c r="W131" s="279"/>
      <c r="X131" s="279"/>
      <c r="Y131" s="279"/>
      <c r="Z131" s="279"/>
      <c r="AA131" s="279"/>
      <c r="AB131" s="279"/>
      <c r="AC131" s="279"/>
      <c r="AD131" s="279"/>
      <c r="AE131" s="279"/>
      <c r="AF131" s="279"/>
      <c r="AG131" s="280"/>
      <c r="AH131" s="281"/>
      <c r="AI131" s="282"/>
      <c r="AJ131" s="283"/>
      <c r="AK131" s="22" t="s">
        <v>58</v>
      </c>
      <c r="AL131" s="22" t="s">
        <v>58</v>
      </c>
      <c r="AM131" s="22" t="s">
        <v>58</v>
      </c>
    </row>
    <row r="132" spans="1:39" s="22" customFormat="1" x14ac:dyDescent="0.25">
      <c r="A132" s="28" t="str">
        <f>IF(H132&lt;&gt;"",MAX($A$7:A131)+1,"")</f>
        <v/>
      </c>
      <c r="B132" s="243" t="str">
        <f t="shared" si="29"/>
        <v/>
      </c>
      <c r="C132" s="273"/>
      <c r="D132" s="246"/>
      <c r="E132" s="247"/>
      <c r="F132" s="247"/>
      <c r="G132" s="248"/>
      <c r="H132" s="241"/>
      <c r="I132" s="274"/>
      <c r="J132" s="275"/>
      <c r="K132" s="276"/>
      <c r="L132" s="277"/>
      <c r="M132" s="278"/>
      <c r="N132" s="279"/>
      <c r="O132" s="274"/>
      <c r="P132" s="275"/>
      <c r="Q132" s="276"/>
      <c r="R132" s="277"/>
      <c r="S132" s="278"/>
      <c r="T132" s="279"/>
      <c r="U132" s="279"/>
      <c r="V132" s="279"/>
      <c r="W132" s="279"/>
      <c r="X132" s="279"/>
      <c r="Y132" s="279"/>
      <c r="Z132" s="279"/>
      <c r="AA132" s="279"/>
      <c r="AB132" s="279"/>
      <c r="AC132" s="279"/>
      <c r="AD132" s="279"/>
      <c r="AE132" s="279"/>
      <c r="AF132" s="279"/>
      <c r="AG132" s="280"/>
      <c r="AH132" s="281"/>
      <c r="AI132" s="282"/>
      <c r="AJ132" s="283"/>
      <c r="AK132" s="22" t="s">
        <v>58</v>
      </c>
      <c r="AL132" s="22" t="s">
        <v>58</v>
      </c>
      <c r="AM132" s="22" t="s">
        <v>58</v>
      </c>
    </row>
    <row r="133" spans="1:39" s="22" customFormat="1" x14ac:dyDescent="0.25">
      <c r="A133" s="28" t="str">
        <f>IF(H133&lt;&gt;"",MAX($A$7:A132)+1,"")</f>
        <v/>
      </c>
      <c r="B133" s="243" t="str">
        <f t="shared" si="29"/>
        <v/>
      </c>
      <c r="C133" s="273"/>
      <c r="D133" s="246"/>
      <c r="E133" s="247"/>
      <c r="F133" s="247"/>
      <c r="G133" s="248"/>
      <c r="H133" s="241"/>
      <c r="I133" s="274"/>
      <c r="J133" s="275"/>
      <c r="K133" s="276"/>
      <c r="L133" s="277"/>
      <c r="M133" s="278"/>
      <c r="N133" s="279"/>
      <c r="O133" s="274"/>
      <c r="P133" s="275"/>
      <c r="Q133" s="276"/>
      <c r="R133" s="277"/>
      <c r="S133" s="278"/>
      <c r="T133" s="279"/>
      <c r="U133" s="279"/>
      <c r="V133" s="279"/>
      <c r="W133" s="279"/>
      <c r="X133" s="279"/>
      <c r="Y133" s="279"/>
      <c r="Z133" s="279"/>
      <c r="AA133" s="279"/>
      <c r="AB133" s="279"/>
      <c r="AC133" s="279"/>
      <c r="AD133" s="279"/>
      <c r="AE133" s="279"/>
      <c r="AF133" s="279"/>
      <c r="AG133" s="280"/>
      <c r="AH133" s="281"/>
      <c r="AI133" s="282"/>
      <c r="AJ133" s="283"/>
      <c r="AK133" s="22" t="s">
        <v>58</v>
      </c>
      <c r="AL133" s="22" t="s">
        <v>58</v>
      </c>
      <c r="AM133" s="22" t="s">
        <v>58</v>
      </c>
    </row>
    <row r="134" spans="1:39" s="22" customFormat="1" x14ac:dyDescent="0.25">
      <c r="A134" s="28" t="str">
        <f>IF(H134&lt;&gt;"",MAX($A$7:A133)+1,"")</f>
        <v/>
      </c>
      <c r="B134" s="243" t="str">
        <f t="shared" si="29"/>
        <v/>
      </c>
      <c r="C134" s="273"/>
      <c r="D134" s="246"/>
      <c r="E134" s="247"/>
      <c r="F134" s="247"/>
      <c r="G134" s="248"/>
      <c r="H134" s="241"/>
      <c r="I134" s="274"/>
      <c r="J134" s="275"/>
      <c r="K134" s="276"/>
      <c r="L134" s="277"/>
      <c r="M134" s="278"/>
      <c r="N134" s="279"/>
      <c r="O134" s="274"/>
      <c r="P134" s="275"/>
      <c r="Q134" s="276"/>
      <c r="R134" s="277"/>
      <c r="S134" s="278"/>
      <c r="T134" s="279"/>
      <c r="U134" s="279"/>
      <c r="V134" s="279"/>
      <c r="W134" s="279"/>
      <c r="X134" s="279"/>
      <c r="Y134" s="279"/>
      <c r="Z134" s="279"/>
      <c r="AA134" s="279"/>
      <c r="AB134" s="279"/>
      <c r="AC134" s="279"/>
      <c r="AD134" s="279"/>
      <c r="AE134" s="279"/>
      <c r="AF134" s="279"/>
      <c r="AG134" s="280"/>
      <c r="AH134" s="281"/>
      <c r="AI134" s="282"/>
      <c r="AJ134" s="283"/>
      <c r="AK134" s="22" t="s">
        <v>58</v>
      </c>
      <c r="AL134" s="22" t="s">
        <v>58</v>
      </c>
      <c r="AM134" s="22" t="s">
        <v>58</v>
      </c>
    </row>
    <row r="135" spans="1:39" s="22" customFormat="1" x14ac:dyDescent="0.25">
      <c r="A135" s="28" t="str">
        <f>IF(H135&lt;&gt;"",MAX($A$7:A134)+1,"")</f>
        <v/>
      </c>
      <c r="B135" s="243" t="str">
        <f t="shared" ref="B135:B198" si="30">IF(A135="","",PREF_PREGUNTA&amp;" - "&amp;IF(MAX(A:A)&gt;99,IF(A135&lt;100,"0",""),"")&amp;IF(A135&lt;10,"0","")&amp;A135&amp;IF(G135&lt;&gt;""," "&amp;G135,""))</f>
        <v/>
      </c>
      <c r="C135" s="273"/>
      <c r="D135" s="246"/>
      <c r="E135" s="247"/>
      <c r="F135" s="247"/>
      <c r="G135" s="248"/>
      <c r="H135" s="241"/>
      <c r="I135" s="274"/>
      <c r="J135" s="275"/>
      <c r="K135" s="276"/>
      <c r="L135" s="277"/>
      <c r="M135" s="278"/>
      <c r="N135" s="279"/>
      <c r="O135" s="274"/>
      <c r="P135" s="275"/>
      <c r="Q135" s="276"/>
      <c r="R135" s="277"/>
      <c r="S135" s="278"/>
      <c r="T135" s="279"/>
      <c r="U135" s="279"/>
      <c r="V135" s="279"/>
      <c r="W135" s="279"/>
      <c r="X135" s="279"/>
      <c r="Y135" s="279"/>
      <c r="Z135" s="279"/>
      <c r="AA135" s="279"/>
      <c r="AB135" s="279"/>
      <c r="AC135" s="279"/>
      <c r="AD135" s="279"/>
      <c r="AE135" s="279"/>
      <c r="AF135" s="279"/>
      <c r="AG135" s="280"/>
      <c r="AH135" s="281"/>
      <c r="AI135" s="282"/>
      <c r="AJ135" s="283"/>
      <c r="AK135" s="22" t="s">
        <v>58</v>
      </c>
      <c r="AL135" s="22" t="s">
        <v>58</v>
      </c>
      <c r="AM135" s="22" t="s">
        <v>58</v>
      </c>
    </row>
    <row r="136" spans="1:39" s="22" customFormat="1" x14ac:dyDescent="0.25">
      <c r="A136" s="28" t="str">
        <f>IF(H136&lt;&gt;"",MAX($A$7:A135)+1,"")</f>
        <v/>
      </c>
      <c r="B136" s="243" t="str">
        <f t="shared" si="30"/>
        <v/>
      </c>
      <c r="C136" s="273"/>
      <c r="D136" s="246"/>
      <c r="E136" s="247"/>
      <c r="F136" s="247"/>
      <c r="G136" s="248"/>
      <c r="H136" s="241"/>
      <c r="I136" s="274"/>
      <c r="J136" s="275"/>
      <c r="K136" s="276"/>
      <c r="L136" s="277"/>
      <c r="M136" s="278"/>
      <c r="N136" s="279"/>
      <c r="O136" s="274"/>
      <c r="P136" s="275"/>
      <c r="Q136" s="276"/>
      <c r="R136" s="277"/>
      <c r="S136" s="278"/>
      <c r="T136" s="279"/>
      <c r="U136" s="279"/>
      <c r="V136" s="279"/>
      <c r="W136" s="279"/>
      <c r="X136" s="279"/>
      <c r="Y136" s="279"/>
      <c r="Z136" s="279"/>
      <c r="AA136" s="279"/>
      <c r="AB136" s="279"/>
      <c r="AC136" s="279"/>
      <c r="AD136" s="279"/>
      <c r="AE136" s="279"/>
      <c r="AF136" s="279"/>
      <c r="AG136" s="280"/>
      <c r="AH136" s="281"/>
      <c r="AI136" s="282"/>
      <c r="AJ136" s="283"/>
      <c r="AK136" s="22" t="s">
        <v>58</v>
      </c>
      <c r="AL136" s="22" t="s">
        <v>58</v>
      </c>
      <c r="AM136" s="22" t="s">
        <v>58</v>
      </c>
    </row>
    <row r="137" spans="1:39" s="22" customFormat="1" x14ac:dyDescent="0.25">
      <c r="A137" s="28" t="str">
        <f>IF(H137&lt;&gt;"",MAX($A$7:A136)+1,"")</f>
        <v/>
      </c>
      <c r="B137" s="243" t="str">
        <f t="shared" si="30"/>
        <v/>
      </c>
      <c r="C137" s="273"/>
      <c r="D137" s="246"/>
      <c r="E137" s="247"/>
      <c r="F137" s="247"/>
      <c r="G137" s="248"/>
      <c r="H137" s="241"/>
      <c r="I137" s="274"/>
      <c r="J137" s="275"/>
      <c r="K137" s="276"/>
      <c r="L137" s="277"/>
      <c r="M137" s="278"/>
      <c r="N137" s="279"/>
      <c r="O137" s="274"/>
      <c r="P137" s="275"/>
      <c r="Q137" s="276"/>
      <c r="R137" s="277"/>
      <c r="S137" s="278"/>
      <c r="T137" s="279"/>
      <c r="U137" s="279"/>
      <c r="V137" s="279"/>
      <c r="W137" s="279"/>
      <c r="X137" s="279"/>
      <c r="Y137" s="279"/>
      <c r="Z137" s="279"/>
      <c r="AA137" s="279"/>
      <c r="AB137" s="279"/>
      <c r="AC137" s="279"/>
      <c r="AD137" s="279"/>
      <c r="AE137" s="279"/>
      <c r="AF137" s="279"/>
      <c r="AG137" s="280"/>
      <c r="AH137" s="281"/>
      <c r="AI137" s="282"/>
      <c r="AJ137" s="283"/>
      <c r="AK137" s="22" t="s">
        <v>58</v>
      </c>
      <c r="AL137" s="22" t="s">
        <v>58</v>
      </c>
      <c r="AM137" s="22" t="s">
        <v>58</v>
      </c>
    </row>
    <row r="138" spans="1:39" s="22" customFormat="1" x14ac:dyDescent="0.25">
      <c r="A138" s="28" t="str">
        <f>IF(H138&lt;&gt;"",MAX($A$7:A137)+1,"")</f>
        <v/>
      </c>
      <c r="B138" s="243" t="str">
        <f t="shared" si="30"/>
        <v/>
      </c>
      <c r="C138" s="273"/>
      <c r="D138" s="246"/>
      <c r="E138" s="247"/>
      <c r="F138" s="247"/>
      <c r="G138" s="248"/>
      <c r="H138" s="241"/>
      <c r="I138" s="274"/>
      <c r="J138" s="275"/>
      <c r="K138" s="276"/>
      <c r="L138" s="277"/>
      <c r="M138" s="278"/>
      <c r="N138" s="279"/>
      <c r="O138" s="274"/>
      <c r="P138" s="275"/>
      <c r="Q138" s="276"/>
      <c r="R138" s="277"/>
      <c r="S138" s="278"/>
      <c r="T138" s="279"/>
      <c r="U138" s="279"/>
      <c r="V138" s="279"/>
      <c r="W138" s="279"/>
      <c r="X138" s="279"/>
      <c r="Y138" s="279"/>
      <c r="Z138" s="279"/>
      <c r="AA138" s="279"/>
      <c r="AB138" s="279"/>
      <c r="AC138" s="279"/>
      <c r="AD138" s="279"/>
      <c r="AE138" s="279"/>
      <c r="AF138" s="279"/>
      <c r="AG138" s="280"/>
      <c r="AH138" s="281"/>
      <c r="AI138" s="282"/>
      <c r="AJ138" s="283"/>
      <c r="AK138" s="22" t="s">
        <v>58</v>
      </c>
      <c r="AL138" s="22" t="s">
        <v>58</v>
      </c>
      <c r="AM138" s="22" t="s">
        <v>58</v>
      </c>
    </row>
    <row r="139" spans="1:39" s="22" customFormat="1" x14ac:dyDescent="0.25">
      <c r="A139" s="28" t="str">
        <f>IF(H139&lt;&gt;"",MAX($A$7:A138)+1,"")</f>
        <v/>
      </c>
      <c r="B139" s="243" t="str">
        <f t="shared" si="30"/>
        <v/>
      </c>
      <c r="C139" s="273"/>
      <c r="D139" s="246"/>
      <c r="E139" s="247"/>
      <c r="F139" s="247"/>
      <c r="G139" s="248"/>
      <c r="H139" s="241"/>
      <c r="I139" s="274"/>
      <c r="J139" s="275"/>
      <c r="K139" s="276"/>
      <c r="L139" s="277"/>
      <c r="M139" s="278"/>
      <c r="N139" s="279"/>
      <c r="O139" s="274"/>
      <c r="P139" s="275"/>
      <c r="Q139" s="276"/>
      <c r="R139" s="277"/>
      <c r="S139" s="278"/>
      <c r="T139" s="279"/>
      <c r="U139" s="279"/>
      <c r="V139" s="279"/>
      <c r="W139" s="279"/>
      <c r="X139" s="279"/>
      <c r="Y139" s="279"/>
      <c r="Z139" s="279"/>
      <c r="AA139" s="279"/>
      <c r="AB139" s="279"/>
      <c r="AC139" s="279"/>
      <c r="AD139" s="279"/>
      <c r="AE139" s="279"/>
      <c r="AF139" s="279"/>
      <c r="AG139" s="280"/>
      <c r="AH139" s="281"/>
      <c r="AI139" s="282"/>
      <c r="AJ139" s="283"/>
      <c r="AK139" s="22" t="s">
        <v>58</v>
      </c>
      <c r="AL139" s="22" t="s">
        <v>58</v>
      </c>
      <c r="AM139" s="22" t="s">
        <v>58</v>
      </c>
    </row>
    <row r="140" spans="1:39" s="22" customFormat="1" x14ac:dyDescent="0.25">
      <c r="A140" s="28" t="str">
        <f>IF(H140&lt;&gt;"",MAX($A$7:A139)+1,"")</f>
        <v/>
      </c>
      <c r="B140" s="243" t="str">
        <f t="shared" si="30"/>
        <v/>
      </c>
      <c r="C140" s="273"/>
      <c r="D140" s="246"/>
      <c r="E140" s="247"/>
      <c r="F140" s="247"/>
      <c r="G140" s="248"/>
      <c r="H140" s="241"/>
      <c r="I140" s="274"/>
      <c r="J140" s="275"/>
      <c r="K140" s="276"/>
      <c r="L140" s="277"/>
      <c r="M140" s="278"/>
      <c r="N140" s="279"/>
      <c r="O140" s="274"/>
      <c r="P140" s="275"/>
      <c r="Q140" s="276"/>
      <c r="R140" s="277"/>
      <c r="S140" s="278"/>
      <c r="T140" s="279"/>
      <c r="U140" s="279"/>
      <c r="V140" s="279"/>
      <c r="W140" s="279"/>
      <c r="X140" s="279"/>
      <c r="Y140" s="279"/>
      <c r="Z140" s="279"/>
      <c r="AA140" s="279"/>
      <c r="AB140" s="279"/>
      <c r="AC140" s="279"/>
      <c r="AD140" s="279"/>
      <c r="AE140" s="279"/>
      <c r="AF140" s="279"/>
      <c r="AG140" s="280"/>
      <c r="AH140" s="281"/>
      <c r="AI140" s="282"/>
      <c r="AJ140" s="283"/>
      <c r="AK140" s="22" t="s">
        <v>58</v>
      </c>
      <c r="AL140" s="22" t="s">
        <v>58</v>
      </c>
      <c r="AM140" s="22" t="s">
        <v>58</v>
      </c>
    </row>
    <row r="141" spans="1:39" s="22" customFormat="1" x14ac:dyDescent="0.25">
      <c r="A141" s="28" t="str">
        <f>IF(H141&lt;&gt;"",MAX($A$7:A140)+1,"")</f>
        <v/>
      </c>
      <c r="B141" s="243" t="str">
        <f t="shared" si="30"/>
        <v/>
      </c>
      <c r="C141" s="273"/>
      <c r="D141" s="246"/>
      <c r="E141" s="247"/>
      <c r="F141" s="247"/>
      <c r="G141" s="248"/>
      <c r="H141" s="241"/>
      <c r="I141" s="274"/>
      <c r="J141" s="275"/>
      <c r="K141" s="276"/>
      <c r="L141" s="277"/>
      <c r="M141" s="278"/>
      <c r="N141" s="279"/>
      <c r="O141" s="274"/>
      <c r="P141" s="275"/>
      <c r="Q141" s="276"/>
      <c r="R141" s="277"/>
      <c r="S141" s="278"/>
      <c r="T141" s="279"/>
      <c r="U141" s="279"/>
      <c r="V141" s="279"/>
      <c r="W141" s="279"/>
      <c r="X141" s="279"/>
      <c r="Y141" s="279"/>
      <c r="Z141" s="279"/>
      <c r="AA141" s="279"/>
      <c r="AB141" s="279"/>
      <c r="AC141" s="279"/>
      <c r="AD141" s="279"/>
      <c r="AE141" s="279"/>
      <c r="AF141" s="279"/>
      <c r="AG141" s="280"/>
      <c r="AH141" s="281"/>
      <c r="AI141" s="282"/>
      <c r="AJ141" s="283"/>
      <c r="AK141" s="22" t="s">
        <v>58</v>
      </c>
      <c r="AL141" s="22" t="s">
        <v>58</v>
      </c>
      <c r="AM141" s="22" t="s">
        <v>58</v>
      </c>
    </row>
    <row r="142" spans="1:39" s="22" customFormat="1" x14ac:dyDescent="0.25">
      <c r="A142" s="28" t="str">
        <f>IF(H142&lt;&gt;"",MAX($A$7:A141)+1,"")</f>
        <v/>
      </c>
      <c r="B142" s="243" t="str">
        <f t="shared" si="30"/>
        <v/>
      </c>
      <c r="C142" s="273"/>
      <c r="D142" s="246"/>
      <c r="E142" s="247"/>
      <c r="F142" s="247"/>
      <c r="G142" s="248"/>
      <c r="H142" s="241"/>
      <c r="I142" s="274"/>
      <c r="J142" s="275"/>
      <c r="K142" s="276"/>
      <c r="L142" s="277"/>
      <c r="M142" s="278"/>
      <c r="N142" s="279"/>
      <c r="O142" s="274"/>
      <c r="P142" s="275"/>
      <c r="Q142" s="276"/>
      <c r="R142" s="277"/>
      <c r="S142" s="278"/>
      <c r="T142" s="279"/>
      <c r="U142" s="279"/>
      <c r="V142" s="279"/>
      <c r="W142" s="279"/>
      <c r="X142" s="279"/>
      <c r="Y142" s="279"/>
      <c r="Z142" s="279"/>
      <c r="AA142" s="279"/>
      <c r="AB142" s="279"/>
      <c r="AC142" s="279"/>
      <c r="AD142" s="279"/>
      <c r="AE142" s="279"/>
      <c r="AF142" s="279"/>
      <c r="AG142" s="280"/>
      <c r="AH142" s="281"/>
      <c r="AI142" s="282"/>
      <c r="AJ142" s="283"/>
      <c r="AK142" s="22" t="s">
        <v>58</v>
      </c>
      <c r="AL142" s="22" t="s">
        <v>58</v>
      </c>
      <c r="AM142" s="22" t="s">
        <v>58</v>
      </c>
    </row>
    <row r="143" spans="1:39" s="22" customFormat="1" x14ac:dyDescent="0.25">
      <c r="A143" s="28" t="str">
        <f>IF(H143&lt;&gt;"",MAX($A$7:A142)+1,"")</f>
        <v/>
      </c>
      <c r="B143" s="243" t="str">
        <f t="shared" si="30"/>
        <v/>
      </c>
      <c r="C143" s="273"/>
      <c r="D143" s="246"/>
      <c r="E143" s="247"/>
      <c r="F143" s="247"/>
      <c r="G143" s="248"/>
      <c r="H143" s="241"/>
      <c r="I143" s="274"/>
      <c r="J143" s="275"/>
      <c r="K143" s="276"/>
      <c r="L143" s="277"/>
      <c r="M143" s="278"/>
      <c r="N143" s="279"/>
      <c r="O143" s="274"/>
      <c r="P143" s="275"/>
      <c r="Q143" s="276"/>
      <c r="R143" s="277"/>
      <c r="S143" s="278"/>
      <c r="T143" s="279"/>
      <c r="U143" s="279"/>
      <c r="V143" s="279"/>
      <c r="W143" s="279"/>
      <c r="X143" s="279"/>
      <c r="Y143" s="279"/>
      <c r="Z143" s="279"/>
      <c r="AA143" s="279"/>
      <c r="AB143" s="279"/>
      <c r="AC143" s="279"/>
      <c r="AD143" s="279"/>
      <c r="AE143" s="279"/>
      <c r="AF143" s="279"/>
      <c r="AG143" s="280"/>
      <c r="AH143" s="281"/>
      <c r="AI143" s="282"/>
      <c r="AJ143" s="283"/>
      <c r="AK143" s="22" t="s">
        <v>58</v>
      </c>
      <c r="AL143" s="22" t="s">
        <v>58</v>
      </c>
      <c r="AM143" s="22" t="s">
        <v>58</v>
      </c>
    </row>
    <row r="144" spans="1:39" s="22" customFormat="1" x14ac:dyDescent="0.25">
      <c r="A144" s="28" t="str">
        <f>IF(H144&lt;&gt;"",MAX($A$7:A143)+1,"")</f>
        <v/>
      </c>
      <c r="B144" s="243" t="str">
        <f t="shared" si="30"/>
        <v/>
      </c>
      <c r="C144" s="273"/>
      <c r="D144" s="246"/>
      <c r="E144" s="247"/>
      <c r="F144" s="247"/>
      <c r="G144" s="248"/>
      <c r="H144" s="241"/>
      <c r="I144" s="274"/>
      <c r="J144" s="275"/>
      <c r="K144" s="276"/>
      <c r="L144" s="277"/>
      <c r="M144" s="278"/>
      <c r="N144" s="279"/>
      <c r="O144" s="274"/>
      <c r="P144" s="275"/>
      <c r="Q144" s="276"/>
      <c r="R144" s="277"/>
      <c r="S144" s="278"/>
      <c r="T144" s="279"/>
      <c r="U144" s="279"/>
      <c r="V144" s="279"/>
      <c r="W144" s="279"/>
      <c r="X144" s="279"/>
      <c r="Y144" s="279"/>
      <c r="Z144" s="279"/>
      <c r="AA144" s="279"/>
      <c r="AB144" s="279"/>
      <c r="AC144" s="279"/>
      <c r="AD144" s="279"/>
      <c r="AE144" s="279"/>
      <c r="AF144" s="279"/>
      <c r="AG144" s="280"/>
      <c r="AH144" s="281"/>
      <c r="AI144" s="282"/>
      <c r="AJ144" s="283"/>
      <c r="AK144" s="22" t="s">
        <v>58</v>
      </c>
      <c r="AL144" s="22" t="s">
        <v>58</v>
      </c>
      <c r="AM144" s="22" t="s">
        <v>58</v>
      </c>
    </row>
    <row r="145" spans="1:39" s="22" customFormat="1" x14ac:dyDescent="0.25">
      <c r="A145" s="28" t="str">
        <f>IF(H145&lt;&gt;"",MAX($A$7:A144)+1,"")</f>
        <v/>
      </c>
      <c r="B145" s="243" t="str">
        <f t="shared" si="30"/>
        <v/>
      </c>
      <c r="C145" s="273"/>
      <c r="D145" s="246"/>
      <c r="E145" s="247"/>
      <c r="F145" s="247"/>
      <c r="G145" s="248"/>
      <c r="H145" s="241"/>
      <c r="I145" s="274"/>
      <c r="J145" s="275"/>
      <c r="K145" s="276"/>
      <c r="L145" s="277"/>
      <c r="M145" s="278"/>
      <c r="N145" s="279"/>
      <c r="O145" s="274"/>
      <c r="P145" s="275"/>
      <c r="Q145" s="276"/>
      <c r="R145" s="277"/>
      <c r="S145" s="278"/>
      <c r="T145" s="279"/>
      <c r="U145" s="279"/>
      <c r="V145" s="279"/>
      <c r="W145" s="279"/>
      <c r="X145" s="279"/>
      <c r="Y145" s="279"/>
      <c r="Z145" s="279"/>
      <c r="AA145" s="279"/>
      <c r="AB145" s="279"/>
      <c r="AC145" s="279"/>
      <c r="AD145" s="279"/>
      <c r="AE145" s="279"/>
      <c r="AF145" s="279"/>
      <c r="AG145" s="280"/>
      <c r="AH145" s="281"/>
      <c r="AI145" s="282"/>
      <c r="AJ145" s="283"/>
      <c r="AK145" s="22" t="s">
        <v>58</v>
      </c>
      <c r="AL145" s="22" t="s">
        <v>58</v>
      </c>
      <c r="AM145" s="22" t="s">
        <v>58</v>
      </c>
    </row>
    <row r="146" spans="1:39" s="22" customFormat="1" x14ac:dyDescent="0.25">
      <c r="A146" s="28" t="str">
        <f>IF(H146&lt;&gt;"",MAX($A$7:A145)+1,"")</f>
        <v/>
      </c>
      <c r="B146" s="243" t="str">
        <f t="shared" si="30"/>
        <v/>
      </c>
      <c r="C146" s="273"/>
      <c r="D146" s="246"/>
      <c r="E146" s="247"/>
      <c r="F146" s="247"/>
      <c r="G146" s="248"/>
      <c r="H146" s="241"/>
      <c r="I146" s="274"/>
      <c r="J146" s="275"/>
      <c r="K146" s="276"/>
      <c r="L146" s="277"/>
      <c r="M146" s="278"/>
      <c r="N146" s="279"/>
      <c r="O146" s="274"/>
      <c r="P146" s="275"/>
      <c r="Q146" s="276"/>
      <c r="R146" s="277"/>
      <c r="S146" s="278"/>
      <c r="T146" s="279"/>
      <c r="U146" s="279"/>
      <c r="V146" s="279"/>
      <c r="W146" s="279"/>
      <c r="X146" s="279"/>
      <c r="Y146" s="279"/>
      <c r="Z146" s="279"/>
      <c r="AA146" s="279"/>
      <c r="AB146" s="279"/>
      <c r="AC146" s="279"/>
      <c r="AD146" s="279"/>
      <c r="AE146" s="279"/>
      <c r="AF146" s="279"/>
      <c r="AG146" s="280"/>
      <c r="AH146" s="281"/>
      <c r="AI146" s="282"/>
      <c r="AJ146" s="283"/>
      <c r="AK146" s="22" t="s">
        <v>58</v>
      </c>
      <c r="AL146" s="22" t="s">
        <v>58</v>
      </c>
      <c r="AM146" s="22" t="s">
        <v>58</v>
      </c>
    </row>
    <row r="147" spans="1:39" s="22" customFormat="1" x14ac:dyDescent="0.25">
      <c r="A147" s="28" t="str">
        <f>IF(H147&lt;&gt;"",MAX($A$7:A146)+1,"")</f>
        <v/>
      </c>
      <c r="B147" s="243" t="str">
        <f t="shared" si="30"/>
        <v/>
      </c>
      <c r="C147" s="273"/>
      <c r="D147" s="246"/>
      <c r="E147" s="247"/>
      <c r="F147" s="247"/>
      <c r="G147" s="248"/>
      <c r="H147" s="241"/>
      <c r="I147" s="274"/>
      <c r="J147" s="275"/>
      <c r="K147" s="276"/>
      <c r="L147" s="277"/>
      <c r="M147" s="278"/>
      <c r="N147" s="279"/>
      <c r="O147" s="274"/>
      <c r="P147" s="275"/>
      <c r="Q147" s="276"/>
      <c r="R147" s="277"/>
      <c r="S147" s="278"/>
      <c r="T147" s="279"/>
      <c r="U147" s="279"/>
      <c r="V147" s="279"/>
      <c r="W147" s="279"/>
      <c r="X147" s="279"/>
      <c r="Y147" s="279"/>
      <c r="Z147" s="279"/>
      <c r="AA147" s="279"/>
      <c r="AB147" s="279"/>
      <c r="AC147" s="279"/>
      <c r="AD147" s="279"/>
      <c r="AE147" s="279"/>
      <c r="AF147" s="279"/>
      <c r="AG147" s="280"/>
      <c r="AH147" s="281"/>
      <c r="AI147" s="282"/>
      <c r="AJ147" s="283"/>
      <c r="AK147" s="22" t="s">
        <v>58</v>
      </c>
      <c r="AL147" s="22" t="s">
        <v>58</v>
      </c>
      <c r="AM147" s="22" t="s">
        <v>58</v>
      </c>
    </row>
    <row r="148" spans="1:39" s="22" customFormat="1" x14ac:dyDescent="0.25">
      <c r="A148" s="28" t="str">
        <f>IF(H148&lt;&gt;"",MAX($A$7:A147)+1,"")</f>
        <v/>
      </c>
      <c r="B148" s="243" t="str">
        <f t="shared" si="30"/>
        <v/>
      </c>
      <c r="C148" s="273"/>
      <c r="D148" s="246"/>
      <c r="E148" s="247"/>
      <c r="F148" s="247"/>
      <c r="G148" s="248"/>
      <c r="H148" s="241"/>
      <c r="I148" s="274"/>
      <c r="J148" s="275"/>
      <c r="K148" s="276"/>
      <c r="L148" s="277"/>
      <c r="M148" s="278"/>
      <c r="N148" s="279"/>
      <c r="O148" s="274"/>
      <c r="P148" s="275"/>
      <c r="Q148" s="276"/>
      <c r="R148" s="277"/>
      <c r="S148" s="278"/>
      <c r="T148" s="279"/>
      <c r="U148" s="279"/>
      <c r="V148" s="279"/>
      <c r="W148" s="279"/>
      <c r="X148" s="279"/>
      <c r="Y148" s="279"/>
      <c r="Z148" s="279"/>
      <c r="AA148" s="279"/>
      <c r="AB148" s="279"/>
      <c r="AC148" s="279"/>
      <c r="AD148" s="279"/>
      <c r="AE148" s="279"/>
      <c r="AF148" s="279"/>
      <c r="AG148" s="280"/>
      <c r="AH148" s="281"/>
      <c r="AI148" s="282"/>
      <c r="AJ148" s="283"/>
      <c r="AK148" s="22" t="s">
        <v>58</v>
      </c>
      <c r="AL148" s="22" t="s">
        <v>58</v>
      </c>
      <c r="AM148" s="22" t="s">
        <v>58</v>
      </c>
    </row>
    <row r="149" spans="1:39" s="22" customFormat="1" x14ac:dyDescent="0.25">
      <c r="A149" s="28" t="str">
        <f>IF(H149&lt;&gt;"",MAX($A$7:A148)+1,"")</f>
        <v/>
      </c>
      <c r="B149" s="243" t="str">
        <f t="shared" si="30"/>
        <v/>
      </c>
      <c r="C149" s="273"/>
      <c r="D149" s="246"/>
      <c r="E149" s="247"/>
      <c r="F149" s="247"/>
      <c r="G149" s="248"/>
      <c r="H149" s="241"/>
      <c r="I149" s="274"/>
      <c r="J149" s="275"/>
      <c r="K149" s="276"/>
      <c r="L149" s="277"/>
      <c r="M149" s="278"/>
      <c r="N149" s="279"/>
      <c r="O149" s="274"/>
      <c r="P149" s="275"/>
      <c r="Q149" s="276"/>
      <c r="R149" s="277"/>
      <c r="S149" s="278"/>
      <c r="T149" s="279"/>
      <c r="U149" s="279"/>
      <c r="V149" s="279"/>
      <c r="W149" s="279"/>
      <c r="X149" s="279"/>
      <c r="Y149" s="279"/>
      <c r="Z149" s="279"/>
      <c r="AA149" s="279"/>
      <c r="AB149" s="279"/>
      <c r="AC149" s="279"/>
      <c r="AD149" s="279"/>
      <c r="AE149" s="279"/>
      <c r="AF149" s="279"/>
      <c r="AG149" s="280"/>
      <c r="AH149" s="281"/>
      <c r="AI149" s="282"/>
      <c r="AJ149" s="283"/>
      <c r="AK149" s="22" t="s">
        <v>58</v>
      </c>
      <c r="AL149" s="22" t="s">
        <v>58</v>
      </c>
      <c r="AM149" s="22" t="s">
        <v>58</v>
      </c>
    </row>
    <row r="150" spans="1:39" s="22" customFormat="1" x14ac:dyDescent="0.25">
      <c r="A150" s="28" t="str">
        <f>IF(H150&lt;&gt;"",MAX($A$7:A149)+1,"")</f>
        <v/>
      </c>
      <c r="B150" s="243" t="str">
        <f t="shared" si="30"/>
        <v/>
      </c>
      <c r="C150" s="273"/>
      <c r="D150" s="246"/>
      <c r="E150" s="247"/>
      <c r="F150" s="247"/>
      <c r="G150" s="248"/>
      <c r="H150" s="241"/>
      <c r="I150" s="274"/>
      <c r="J150" s="275"/>
      <c r="K150" s="276"/>
      <c r="L150" s="277"/>
      <c r="M150" s="278"/>
      <c r="N150" s="279"/>
      <c r="O150" s="274"/>
      <c r="P150" s="275"/>
      <c r="Q150" s="276"/>
      <c r="R150" s="277"/>
      <c r="S150" s="278"/>
      <c r="T150" s="279"/>
      <c r="U150" s="279"/>
      <c r="V150" s="279"/>
      <c r="W150" s="279"/>
      <c r="X150" s="279"/>
      <c r="Y150" s="279"/>
      <c r="Z150" s="279"/>
      <c r="AA150" s="279"/>
      <c r="AB150" s="279"/>
      <c r="AC150" s="279"/>
      <c r="AD150" s="279"/>
      <c r="AE150" s="279"/>
      <c r="AF150" s="279"/>
      <c r="AG150" s="280"/>
      <c r="AH150" s="281"/>
      <c r="AI150" s="282"/>
      <c r="AJ150" s="283"/>
      <c r="AK150" s="22" t="s">
        <v>58</v>
      </c>
      <c r="AL150" s="22" t="s">
        <v>58</v>
      </c>
      <c r="AM150" s="22" t="s">
        <v>58</v>
      </c>
    </row>
    <row r="151" spans="1:39" s="22" customFormat="1" x14ac:dyDescent="0.25">
      <c r="A151" s="28" t="str">
        <f>IF(H151&lt;&gt;"",MAX($A$7:A150)+1,"")</f>
        <v/>
      </c>
      <c r="B151" s="243" t="str">
        <f t="shared" si="30"/>
        <v/>
      </c>
      <c r="C151" s="273"/>
      <c r="D151" s="246"/>
      <c r="E151" s="247"/>
      <c r="F151" s="247"/>
      <c r="G151" s="248"/>
      <c r="H151" s="241"/>
      <c r="I151" s="274"/>
      <c r="J151" s="275"/>
      <c r="K151" s="276"/>
      <c r="L151" s="277"/>
      <c r="M151" s="278"/>
      <c r="N151" s="279"/>
      <c r="O151" s="274"/>
      <c r="P151" s="275"/>
      <c r="Q151" s="276"/>
      <c r="R151" s="277"/>
      <c r="S151" s="278"/>
      <c r="T151" s="279"/>
      <c r="U151" s="279"/>
      <c r="V151" s="279"/>
      <c r="W151" s="279"/>
      <c r="X151" s="279"/>
      <c r="Y151" s="279"/>
      <c r="Z151" s="279"/>
      <c r="AA151" s="279"/>
      <c r="AB151" s="279"/>
      <c r="AC151" s="279"/>
      <c r="AD151" s="279"/>
      <c r="AE151" s="279"/>
      <c r="AF151" s="279"/>
      <c r="AG151" s="280"/>
      <c r="AH151" s="281"/>
      <c r="AI151" s="282"/>
      <c r="AJ151" s="283"/>
      <c r="AK151" s="22" t="s">
        <v>58</v>
      </c>
      <c r="AL151" s="22" t="s">
        <v>58</v>
      </c>
      <c r="AM151" s="22" t="s">
        <v>58</v>
      </c>
    </row>
    <row r="152" spans="1:39" s="22" customFormat="1" x14ac:dyDescent="0.25">
      <c r="A152" s="28" t="str">
        <f>IF(H152&lt;&gt;"",MAX($A$7:A151)+1,"")</f>
        <v/>
      </c>
      <c r="B152" s="243" t="str">
        <f t="shared" si="30"/>
        <v/>
      </c>
      <c r="C152" s="273"/>
      <c r="D152" s="246"/>
      <c r="E152" s="247"/>
      <c r="F152" s="247"/>
      <c r="G152" s="248"/>
      <c r="H152" s="241"/>
      <c r="I152" s="274"/>
      <c r="J152" s="275"/>
      <c r="K152" s="276"/>
      <c r="L152" s="277"/>
      <c r="M152" s="278"/>
      <c r="N152" s="279"/>
      <c r="O152" s="274"/>
      <c r="P152" s="275"/>
      <c r="Q152" s="276"/>
      <c r="R152" s="277"/>
      <c r="S152" s="278"/>
      <c r="T152" s="279"/>
      <c r="U152" s="279"/>
      <c r="V152" s="279"/>
      <c r="W152" s="279"/>
      <c r="X152" s="279"/>
      <c r="Y152" s="279"/>
      <c r="Z152" s="279"/>
      <c r="AA152" s="279"/>
      <c r="AB152" s="279"/>
      <c r="AC152" s="279"/>
      <c r="AD152" s="279"/>
      <c r="AE152" s="279"/>
      <c r="AF152" s="279"/>
      <c r="AG152" s="280"/>
      <c r="AH152" s="281"/>
      <c r="AI152" s="282"/>
      <c r="AJ152" s="283"/>
      <c r="AK152" s="22" t="s">
        <v>58</v>
      </c>
      <c r="AL152" s="22" t="s">
        <v>58</v>
      </c>
      <c r="AM152" s="22" t="s">
        <v>58</v>
      </c>
    </row>
    <row r="153" spans="1:39" s="22" customFormat="1" x14ac:dyDescent="0.25">
      <c r="A153" s="28" t="str">
        <f>IF(H153&lt;&gt;"",MAX($A$7:A152)+1,"")</f>
        <v/>
      </c>
      <c r="B153" s="243" t="str">
        <f t="shared" si="30"/>
        <v/>
      </c>
      <c r="C153" s="273"/>
      <c r="D153" s="246"/>
      <c r="E153" s="247"/>
      <c r="F153" s="247"/>
      <c r="G153" s="248"/>
      <c r="H153" s="241"/>
      <c r="I153" s="274"/>
      <c r="J153" s="275"/>
      <c r="K153" s="276"/>
      <c r="L153" s="277"/>
      <c r="M153" s="278"/>
      <c r="N153" s="279"/>
      <c r="O153" s="274"/>
      <c r="P153" s="275"/>
      <c r="Q153" s="276"/>
      <c r="R153" s="277"/>
      <c r="S153" s="278"/>
      <c r="T153" s="279"/>
      <c r="U153" s="279"/>
      <c r="V153" s="279"/>
      <c r="W153" s="279"/>
      <c r="X153" s="279"/>
      <c r="Y153" s="279"/>
      <c r="Z153" s="279"/>
      <c r="AA153" s="279"/>
      <c r="AB153" s="279"/>
      <c r="AC153" s="279"/>
      <c r="AD153" s="279"/>
      <c r="AE153" s="279"/>
      <c r="AF153" s="279"/>
      <c r="AG153" s="280"/>
      <c r="AH153" s="281"/>
      <c r="AI153" s="282"/>
      <c r="AJ153" s="283"/>
      <c r="AK153" s="22" t="s">
        <v>58</v>
      </c>
      <c r="AL153" s="22" t="s">
        <v>58</v>
      </c>
      <c r="AM153" s="22" t="s">
        <v>58</v>
      </c>
    </row>
    <row r="154" spans="1:39" s="22" customFormat="1" x14ac:dyDescent="0.25">
      <c r="A154" s="28" t="str">
        <f>IF(H154&lt;&gt;"",MAX($A$7:A153)+1,"")</f>
        <v/>
      </c>
      <c r="B154" s="243" t="str">
        <f t="shared" si="30"/>
        <v/>
      </c>
      <c r="C154" s="273"/>
      <c r="D154" s="246"/>
      <c r="E154" s="247"/>
      <c r="F154" s="247"/>
      <c r="G154" s="248"/>
      <c r="H154" s="241"/>
      <c r="I154" s="274"/>
      <c r="J154" s="275"/>
      <c r="K154" s="276"/>
      <c r="L154" s="277"/>
      <c r="M154" s="278"/>
      <c r="N154" s="279"/>
      <c r="O154" s="274"/>
      <c r="P154" s="275"/>
      <c r="Q154" s="276"/>
      <c r="R154" s="277"/>
      <c r="S154" s="278"/>
      <c r="T154" s="279"/>
      <c r="U154" s="279"/>
      <c r="V154" s="279"/>
      <c r="W154" s="279"/>
      <c r="X154" s="279"/>
      <c r="Y154" s="279"/>
      <c r="Z154" s="279"/>
      <c r="AA154" s="279"/>
      <c r="AB154" s="279"/>
      <c r="AC154" s="279"/>
      <c r="AD154" s="279"/>
      <c r="AE154" s="279"/>
      <c r="AF154" s="279"/>
      <c r="AG154" s="280"/>
      <c r="AH154" s="281"/>
      <c r="AI154" s="282"/>
      <c r="AJ154" s="283"/>
      <c r="AK154" s="22" t="s">
        <v>58</v>
      </c>
      <c r="AL154" s="22" t="s">
        <v>58</v>
      </c>
      <c r="AM154" s="22" t="s">
        <v>58</v>
      </c>
    </row>
    <row r="155" spans="1:39" s="22" customFormat="1" x14ac:dyDescent="0.25">
      <c r="A155" s="28" t="str">
        <f>IF(H155&lt;&gt;"",MAX($A$7:A154)+1,"")</f>
        <v/>
      </c>
      <c r="B155" s="243" t="str">
        <f t="shared" si="30"/>
        <v/>
      </c>
      <c r="C155" s="273"/>
      <c r="D155" s="246"/>
      <c r="E155" s="247"/>
      <c r="F155" s="247"/>
      <c r="G155" s="248"/>
      <c r="H155" s="241"/>
      <c r="I155" s="274"/>
      <c r="J155" s="275"/>
      <c r="K155" s="276"/>
      <c r="L155" s="277"/>
      <c r="M155" s="278"/>
      <c r="N155" s="279"/>
      <c r="O155" s="274"/>
      <c r="P155" s="275"/>
      <c r="Q155" s="276"/>
      <c r="R155" s="277"/>
      <c r="S155" s="278"/>
      <c r="T155" s="279"/>
      <c r="U155" s="279"/>
      <c r="V155" s="279"/>
      <c r="W155" s="279"/>
      <c r="X155" s="279"/>
      <c r="Y155" s="279"/>
      <c r="Z155" s="279"/>
      <c r="AA155" s="279"/>
      <c r="AB155" s="279"/>
      <c r="AC155" s="279"/>
      <c r="AD155" s="279"/>
      <c r="AE155" s="279"/>
      <c r="AF155" s="279"/>
      <c r="AG155" s="280"/>
      <c r="AH155" s="281"/>
      <c r="AI155" s="282"/>
      <c r="AJ155" s="283"/>
      <c r="AK155" s="22" t="s">
        <v>58</v>
      </c>
      <c r="AL155" s="22" t="s">
        <v>58</v>
      </c>
      <c r="AM155" s="22" t="s">
        <v>58</v>
      </c>
    </row>
    <row r="156" spans="1:39" s="22" customFormat="1" x14ac:dyDescent="0.25">
      <c r="A156" s="28" t="str">
        <f>IF(H156&lt;&gt;"",MAX($A$7:A155)+1,"")</f>
        <v/>
      </c>
      <c r="B156" s="243" t="str">
        <f t="shared" si="30"/>
        <v/>
      </c>
      <c r="C156" s="273"/>
      <c r="D156" s="246"/>
      <c r="E156" s="247"/>
      <c r="F156" s="247"/>
      <c r="G156" s="248"/>
      <c r="H156" s="241"/>
      <c r="I156" s="274"/>
      <c r="J156" s="275"/>
      <c r="K156" s="276"/>
      <c r="L156" s="277"/>
      <c r="M156" s="278"/>
      <c r="N156" s="279"/>
      <c r="O156" s="274"/>
      <c r="P156" s="275"/>
      <c r="Q156" s="276"/>
      <c r="R156" s="277"/>
      <c r="S156" s="278"/>
      <c r="T156" s="279"/>
      <c r="U156" s="279"/>
      <c r="V156" s="279"/>
      <c r="W156" s="279"/>
      <c r="X156" s="279"/>
      <c r="Y156" s="279"/>
      <c r="Z156" s="279"/>
      <c r="AA156" s="279"/>
      <c r="AB156" s="279"/>
      <c r="AC156" s="279"/>
      <c r="AD156" s="279"/>
      <c r="AE156" s="279"/>
      <c r="AF156" s="279"/>
      <c r="AG156" s="280"/>
      <c r="AH156" s="281"/>
      <c r="AI156" s="282"/>
      <c r="AJ156" s="283"/>
      <c r="AK156" s="22" t="s">
        <v>58</v>
      </c>
      <c r="AL156" s="22" t="s">
        <v>58</v>
      </c>
      <c r="AM156" s="22" t="s">
        <v>58</v>
      </c>
    </row>
    <row r="157" spans="1:39" s="22" customFormat="1" x14ac:dyDescent="0.25">
      <c r="A157" s="28" t="str">
        <f>IF(H157&lt;&gt;"",MAX($A$7:A156)+1,"")</f>
        <v/>
      </c>
      <c r="B157" s="243" t="str">
        <f t="shared" si="30"/>
        <v/>
      </c>
      <c r="C157" s="273"/>
      <c r="D157" s="246"/>
      <c r="E157" s="247"/>
      <c r="F157" s="247"/>
      <c r="G157" s="248"/>
      <c r="H157" s="241"/>
      <c r="I157" s="274"/>
      <c r="J157" s="275"/>
      <c r="K157" s="276"/>
      <c r="L157" s="277"/>
      <c r="M157" s="278"/>
      <c r="N157" s="279"/>
      <c r="O157" s="274"/>
      <c r="P157" s="275"/>
      <c r="Q157" s="276"/>
      <c r="R157" s="277"/>
      <c r="S157" s="278"/>
      <c r="T157" s="279"/>
      <c r="U157" s="279"/>
      <c r="V157" s="279"/>
      <c r="W157" s="279"/>
      <c r="X157" s="279"/>
      <c r="Y157" s="279"/>
      <c r="Z157" s="279"/>
      <c r="AA157" s="279"/>
      <c r="AB157" s="279"/>
      <c r="AC157" s="279"/>
      <c r="AD157" s="279"/>
      <c r="AE157" s="279"/>
      <c r="AF157" s="279"/>
      <c r="AG157" s="280"/>
      <c r="AH157" s="281"/>
      <c r="AI157" s="282"/>
      <c r="AJ157" s="283"/>
      <c r="AK157" s="22" t="s">
        <v>58</v>
      </c>
      <c r="AL157" s="22" t="s">
        <v>58</v>
      </c>
      <c r="AM157" s="22" t="s">
        <v>58</v>
      </c>
    </row>
    <row r="158" spans="1:39" s="22" customFormat="1" x14ac:dyDescent="0.25">
      <c r="A158" s="28" t="str">
        <f>IF(H158&lt;&gt;"",MAX($A$7:A157)+1,"")</f>
        <v/>
      </c>
      <c r="B158" s="243" t="str">
        <f t="shared" si="30"/>
        <v/>
      </c>
      <c r="C158" s="273"/>
      <c r="D158" s="246"/>
      <c r="E158" s="247"/>
      <c r="F158" s="247"/>
      <c r="G158" s="248"/>
      <c r="H158" s="241"/>
      <c r="I158" s="274"/>
      <c r="J158" s="275"/>
      <c r="K158" s="276"/>
      <c r="L158" s="277"/>
      <c r="M158" s="278"/>
      <c r="N158" s="279"/>
      <c r="O158" s="274"/>
      <c r="P158" s="275"/>
      <c r="Q158" s="276"/>
      <c r="R158" s="277"/>
      <c r="S158" s="278"/>
      <c r="T158" s="279"/>
      <c r="U158" s="279"/>
      <c r="V158" s="279"/>
      <c r="W158" s="279"/>
      <c r="X158" s="279"/>
      <c r="Y158" s="279"/>
      <c r="Z158" s="279"/>
      <c r="AA158" s="279"/>
      <c r="AB158" s="279"/>
      <c r="AC158" s="279"/>
      <c r="AD158" s="279"/>
      <c r="AE158" s="279"/>
      <c r="AF158" s="279"/>
      <c r="AG158" s="280"/>
      <c r="AH158" s="281"/>
      <c r="AI158" s="282"/>
      <c r="AJ158" s="283"/>
      <c r="AK158" s="22" t="s">
        <v>58</v>
      </c>
      <c r="AL158" s="22" t="s">
        <v>58</v>
      </c>
      <c r="AM158" s="22" t="s">
        <v>58</v>
      </c>
    </row>
    <row r="159" spans="1:39" s="22" customFormat="1" x14ac:dyDescent="0.25">
      <c r="A159" s="28" t="str">
        <f>IF(H159&lt;&gt;"",MAX($A$7:A158)+1,"")</f>
        <v/>
      </c>
      <c r="B159" s="243" t="str">
        <f t="shared" si="30"/>
        <v/>
      </c>
      <c r="C159" s="273"/>
      <c r="D159" s="246"/>
      <c r="E159" s="247"/>
      <c r="F159" s="247"/>
      <c r="G159" s="248"/>
      <c r="H159" s="241"/>
      <c r="I159" s="274"/>
      <c r="J159" s="275"/>
      <c r="K159" s="276"/>
      <c r="L159" s="277"/>
      <c r="M159" s="278"/>
      <c r="N159" s="279"/>
      <c r="O159" s="274"/>
      <c r="P159" s="275"/>
      <c r="Q159" s="276"/>
      <c r="R159" s="277"/>
      <c r="S159" s="278"/>
      <c r="T159" s="279"/>
      <c r="U159" s="279"/>
      <c r="V159" s="279"/>
      <c r="W159" s="279"/>
      <c r="X159" s="279"/>
      <c r="Y159" s="279"/>
      <c r="Z159" s="279"/>
      <c r="AA159" s="279"/>
      <c r="AB159" s="279"/>
      <c r="AC159" s="279"/>
      <c r="AD159" s="279"/>
      <c r="AE159" s="279"/>
      <c r="AF159" s="279"/>
      <c r="AG159" s="280"/>
      <c r="AH159" s="281"/>
      <c r="AI159" s="282"/>
      <c r="AJ159" s="283"/>
      <c r="AK159" s="22" t="s">
        <v>58</v>
      </c>
      <c r="AL159" s="22" t="s">
        <v>58</v>
      </c>
      <c r="AM159" s="22" t="s">
        <v>58</v>
      </c>
    </row>
    <row r="160" spans="1:39" s="22" customFormat="1" x14ac:dyDescent="0.25">
      <c r="A160" s="28" t="str">
        <f>IF(H160&lt;&gt;"",MAX($A$7:A159)+1,"")</f>
        <v/>
      </c>
      <c r="B160" s="243" t="str">
        <f t="shared" si="30"/>
        <v/>
      </c>
      <c r="C160" s="273"/>
      <c r="D160" s="246"/>
      <c r="E160" s="247"/>
      <c r="F160" s="247"/>
      <c r="G160" s="248"/>
      <c r="H160" s="241"/>
      <c r="I160" s="274"/>
      <c r="J160" s="275"/>
      <c r="K160" s="276"/>
      <c r="L160" s="277"/>
      <c r="M160" s="278"/>
      <c r="N160" s="279"/>
      <c r="O160" s="274"/>
      <c r="P160" s="275"/>
      <c r="Q160" s="276"/>
      <c r="R160" s="277"/>
      <c r="S160" s="278"/>
      <c r="T160" s="279"/>
      <c r="U160" s="279"/>
      <c r="V160" s="279"/>
      <c r="W160" s="279"/>
      <c r="X160" s="279"/>
      <c r="Y160" s="279"/>
      <c r="Z160" s="279"/>
      <c r="AA160" s="279"/>
      <c r="AB160" s="279"/>
      <c r="AC160" s="279"/>
      <c r="AD160" s="279"/>
      <c r="AE160" s="279"/>
      <c r="AF160" s="279"/>
      <c r="AG160" s="280"/>
      <c r="AH160" s="281"/>
      <c r="AI160" s="282"/>
      <c r="AJ160" s="283"/>
      <c r="AK160" s="22" t="s">
        <v>58</v>
      </c>
      <c r="AL160" s="22" t="s">
        <v>58</v>
      </c>
      <c r="AM160" s="22" t="s">
        <v>58</v>
      </c>
    </row>
    <row r="161" spans="1:39" s="22" customFormat="1" x14ac:dyDescent="0.25">
      <c r="A161" s="28" t="str">
        <f>IF(H161&lt;&gt;"",MAX($A$7:A160)+1,"")</f>
        <v/>
      </c>
      <c r="B161" s="243" t="str">
        <f t="shared" si="30"/>
        <v/>
      </c>
      <c r="C161" s="273"/>
      <c r="D161" s="246"/>
      <c r="E161" s="247"/>
      <c r="F161" s="247"/>
      <c r="G161" s="248"/>
      <c r="H161" s="241"/>
      <c r="I161" s="274"/>
      <c r="J161" s="275"/>
      <c r="K161" s="276"/>
      <c r="L161" s="277"/>
      <c r="M161" s="278"/>
      <c r="N161" s="279"/>
      <c r="O161" s="274"/>
      <c r="P161" s="275"/>
      <c r="Q161" s="276"/>
      <c r="R161" s="277"/>
      <c r="S161" s="278"/>
      <c r="T161" s="279"/>
      <c r="U161" s="279"/>
      <c r="V161" s="279"/>
      <c r="W161" s="279"/>
      <c r="X161" s="279"/>
      <c r="Y161" s="279"/>
      <c r="Z161" s="279"/>
      <c r="AA161" s="279"/>
      <c r="AB161" s="279"/>
      <c r="AC161" s="279"/>
      <c r="AD161" s="279"/>
      <c r="AE161" s="279"/>
      <c r="AF161" s="279"/>
      <c r="AG161" s="280"/>
      <c r="AH161" s="281"/>
      <c r="AI161" s="282"/>
      <c r="AJ161" s="283"/>
      <c r="AK161" s="22" t="s">
        <v>58</v>
      </c>
      <c r="AL161" s="22" t="s">
        <v>58</v>
      </c>
      <c r="AM161" s="22" t="s">
        <v>58</v>
      </c>
    </row>
    <row r="162" spans="1:39" s="22" customFormat="1" x14ac:dyDescent="0.25">
      <c r="A162" s="28" t="str">
        <f>IF(H162&lt;&gt;"",MAX($A$7:A161)+1,"")</f>
        <v/>
      </c>
      <c r="B162" s="243" t="str">
        <f t="shared" si="30"/>
        <v/>
      </c>
      <c r="C162" s="273"/>
      <c r="D162" s="246"/>
      <c r="E162" s="247"/>
      <c r="F162" s="247"/>
      <c r="G162" s="248"/>
      <c r="H162" s="241"/>
      <c r="I162" s="274"/>
      <c r="J162" s="275"/>
      <c r="K162" s="276"/>
      <c r="L162" s="277"/>
      <c r="M162" s="278"/>
      <c r="N162" s="279"/>
      <c r="O162" s="274"/>
      <c r="P162" s="275"/>
      <c r="Q162" s="276"/>
      <c r="R162" s="277"/>
      <c r="S162" s="278"/>
      <c r="T162" s="279"/>
      <c r="U162" s="279"/>
      <c r="V162" s="279"/>
      <c r="W162" s="279"/>
      <c r="X162" s="279"/>
      <c r="Y162" s="279"/>
      <c r="Z162" s="279"/>
      <c r="AA162" s="279"/>
      <c r="AB162" s="279"/>
      <c r="AC162" s="279"/>
      <c r="AD162" s="279"/>
      <c r="AE162" s="279"/>
      <c r="AF162" s="279"/>
      <c r="AG162" s="280"/>
      <c r="AH162" s="281"/>
      <c r="AI162" s="282"/>
      <c r="AJ162" s="283"/>
      <c r="AK162" s="22" t="s">
        <v>58</v>
      </c>
      <c r="AL162" s="22" t="s">
        <v>58</v>
      </c>
      <c r="AM162" s="22" t="s">
        <v>58</v>
      </c>
    </row>
    <row r="163" spans="1:39" s="22" customFormat="1" x14ac:dyDescent="0.25">
      <c r="A163" s="28" t="str">
        <f>IF(H163&lt;&gt;"",MAX($A$7:A162)+1,"")</f>
        <v/>
      </c>
      <c r="B163" s="243" t="str">
        <f t="shared" si="30"/>
        <v/>
      </c>
      <c r="C163" s="273"/>
      <c r="D163" s="246"/>
      <c r="E163" s="247"/>
      <c r="F163" s="247"/>
      <c r="G163" s="248"/>
      <c r="H163" s="241"/>
      <c r="I163" s="274"/>
      <c r="J163" s="275"/>
      <c r="K163" s="276"/>
      <c r="L163" s="277"/>
      <c r="M163" s="278"/>
      <c r="N163" s="279"/>
      <c r="O163" s="274"/>
      <c r="P163" s="275"/>
      <c r="Q163" s="276"/>
      <c r="R163" s="277"/>
      <c r="S163" s="278"/>
      <c r="T163" s="279"/>
      <c r="U163" s="279"/>
      <c r="V163" s="279"/>
      <c r="W163" s="279"/>
      <c r="X163" s="279"/>
      <c r="Y163" s="279"/>
      <c r="Z163" s="279"/>
      <c r="AA163" s="279"/>
      <c r="AB163" s="279"/>
      <c r="AC163" s="279"/>
      <c r="AD163" s="279"/>
      <c r="AE163" s="279"/>
      <c r="AF163" s="279"/>
      <c r="AG163" s="280"/>
      <c r="AH163" s="281"/>
      <c r="AI163" s="282"/>
      <c r="AJ163" s="283"/>
      <c r="AK163" s="22" t="s">
        <v>58</v>
      </c>
      <c r="AL163" s="22" t="s">
        <v>58</v>
      </c>
      <c r="AM163" s="22" t="s">
        <v>58</v>
      </c>
    </row>
    <row r="164" spans="1:39" s="22" customFormat="1" x14ac:dyDescent="0.25">
      <c r="A164" s="28" t="str">
        <f>IF(H164&lt;&gt;"",MAX($A$7:A163)+1,"")</f>
        <v/>
      </c>
      <c r="B164" s="243" t="str">
        <f t="shared" si="30"/>
        <v/>
      </c>
      <c r="C164" s="273"/>
      <c r="D164" s="246"/>
      <c r="E164" s="247"/>
      <c r="F164" s="247"/>
      <c r="G164" s="248"/>
      <c r="H164" s="241"/>
      <c r="I164" s="274"/>
      <c r="J164" s="275"/>
      <c r="K164" s="276"/>
      <c r="L164" s="277"/>
      <c r="M164" s="278"/>
      <c r="N164" s="279"/>
      <c r="O164" s="274"/>
      <c r="P164" s="275"/>
      <c r="Q164" s="276"/>
      <c r="R164" s="277"/>
      <c r="S164" s="278"/>
      <c r="T164" s="279"/>
      <c r="U164" s="279"/>
      <c r="V164" s="279"/>
      <c r="W164" s="279"/>
      <c r="X164" s="279"/>
      <c r="Y164" s="279"/>
      <c r="Z164" s="279"/>
      <c r="AA164" s="279"/>
      <c r="AB164" s="279"/>
      <c r="AC164" s="279"/>
      <c r="AD164" s="279"/>
      <c r="AE164" s="279"/>
      <c r="AF164" s="279"/>
      <c r="AG164" s="280"/>
      <c r="AH164" s="281"/>
      <c r="AI164" s="282"/>
      <c r="AJ164" s="283"/>
      <c r="AK164" s="22" t="s">
        <v>58</v>
      </c>
      <c r="AL164" s="22" t="s">
        <v>58</v>
      </c>
      <c r="AM164" s="22" t="s">
        <v>58</v>
      </c>
    </row>
    <row r="165" spans="1:39" s="22" customFormat="1" x14ac:dyDescent="0.25">
      <c r="A165" s="28" t="str">
        <f>IF(H165&lt;&gt;"",MAX($A$7:A164)+1,"")</f>
        <v/>
      </c>
      <c r="B165" s="243" t="str">
        <f t="shared" si="30"/>
        <v/>
      </c>
      <c r="C165" s="273"/>
      <c r="D165" s="246"/>
      <c r="E165" s="247"/>
      <c r="F165" s="247"/>
      <c r="G165" s="248"/>
      <c r="H165" s="241"/>
      <c r="I165" s="274"/>
      <c r="J165" s="275"/>
      <c r="K165" s="276"/>
      <c r="L165" s="277"/>
      <c r="M165" s="278"/>
      <c r="N165" s="279"/>
      <c r="O165" s="274"/>
      <c r="P165" s="275"/>
      <c r="Q165" s="276"/>
      <c r="R165" s="277"/>
      <c r="S165" s="278"/>
      <c r="T165" s="279"/>
      <c r="U165" s="279"/>
      <c r="V165" s="279"/>
      <c r="W165" s="279"/>
      <c r="X165" s="279"/>
      <c r="Y165" s="279"/>
      <c r="Z165" s="279"/>
      <c r="AA165" s="279"/>
      <c r="AB165" s="279"/>
      <c r="AC165" s="279"/>
      <c r="AD165" s="279"/>
      <c r="AE165" s="279"/>
      <c r="AF165" s="279"/>
      <c r="AG165" s="280"/>
      <c r="AH165" s="281"/>
      <c r="AI165" s="282"/>
      <c r="AJ165" s="283"/>
      <c r="AK165" s="22" t="s">
        <v>58</v>
      </c>
      <c r="AL165" s="22" t="s">
        <v>58</v>
      </c>
      <c r="AM165" s="22" t="s">
        <v>58</v>
      </c>
    </row>
    <row r="166" spans="1:39" s="22" customFormat="1" x14ac:dyDescent="0.25">
      <c r="A166" s="28" t="str">
        <f>IF(H166&lt;&gt;"",MAX($A$7:A165)+1,"")</f>
        <v/>
      </c>
      <c r="B166" s="243" t="str">
        <f t="shared" si="30"/>
        <v/>
      </c>
      <c r="C166" s="273"/>
      <c r="D166" s="246"/>
      <c r="E166" s="247"/>
      <c r="F166" s="247"/>
      <c r="G166" s="248"/>
      <c r="H166" s="241"/>
      <c r="I166" s="274"/>
      <c r="J166" s="275"/>
      <c r="K166" s="276"/>
      <c r="L166" s="277"/>
      <c r="M166" s="278"/>
      <c r="N166" s="279"/>
      <c r="O166" s="274"/>
      <c r="P166" s="275"/>
      <c r="Q166" s="276"/>
      <c r="R166" s="277"/>
      <c r="S166" s="278"/>
      <c r="T166" s="279"/>
      <c r="U166" s="279"/>
      <c r="V166" s="279"/>
      <c r="W166" s="279"/>
      <c r="X166" s="279"/>
      <c r="Y166" s="279"/>
      <c r="Z166" s="279"/>
      <c r="AA166" s="279"/>
      <c r="AB166" s="279"/>
      <c r="AC166" s="279"/>
      <c r="AD166" s="279"/>
      <c r="AE166" s="279"/>
      <c r="AF166" s="279"/>
      <c r="AG166" s="280"/>
      <c r="AH166" s="281"/>
      <c r="AI166" s="282"/>
      <c r="AJ166" s="283"/>
      <c r="AK166" s="22" t="s">
        <v>58</v>
      </c>
      <c r="AL166" s="22" t="s">
        <v>58</v>
      </c>
      <c r="AM166" s="22" t="s">
        <v>58</v>
      </c>
    </row>
    <row r="167" spans="1:39" s="22" customFormat="1" x14ac:dyDescent="0.25">
      <c r="A167" s="28" t="str">
        <f>IF(H167&lt;&gt;"",MAX($A$7:A166)+1,"")</f>
        <v/>
      </c>
      <c r="B167" s="243" t="str">
        <f t="shared" si="30"/>
        <v/>
      </c>
      <c r="C167" s="273"/>
      <c r="D167" s="246"/>
      <c r="E167" s="247"/>
      <c r="F167" s="247"/>
      <c r="G167" s="248"/>
      <c r="H167" s="241"/>
      <c r="I167" s="274"/>
      <c r="J167" s="275"/>
      <c r="K167" s="276"/>
      <c r="L167" s="277"/>
      <c r="M167" s="278"/>
      <c r="N167" s="279"/>
      <c r="O167" s="274"/>
      <c r="P167" s="275"/>
      <c r="Q167" s="276"/>
      <c r="R167" s="277"/>
      <c r="S167" s="278"/>
      <c r="T167" s="279"/>
      <c r="U167" s="279"/>
      <c r="V167" s="279"/>
      <c r="W167" s="279"/>
      <c r="X167" s="279"/>
      <c r="Y167" s="279"/>
      <c r="Z167" s="279"/>
      <c r="AA167" s="279"/>
      <c r="AB167" s="279"/>
      <c r="AC167" s="279"/>
      <c r="AD167" s="279"/>
      <c r="AE167" s="279"/>
      <c r="AF167" s="279"/>
      <c r="AG167" s="280"/>
      <c r="AH167" s="281"/>
      <c r="AI167" s="282"/>
      <c r="AJ167" s="283"/>
      <c r="AK167" s="22" t="s">
        <v>58</v>
      </c>
      <c r="AL167" s="22" t="s">
        <v>58</v>
      </c>
      <c r="AM167" s="22" t="s">
        <v>58</v>
      </c>
    </row>
    <row r="168" spans="1:39" s="22" customFormat="1" x14ac:dyDescent="0.25">
      <c r="A168" s="28" t="str">
        <f>IF(H168&lt;&gt;"",MAX($A$7:A167)+1,"")</f>
        <v/>
      </c>
      <c r="B168" s="243" t="str">
        <f t="shared" si="30"/>
        <v/>
      </c>
      <c r="C168" s="273"/>
      <c r="D168" s="246"/>
      <c r="E168" s="247"/>
      <c r="F168" s="247"/>
      <c r="G168" s="248"/>
      <c r="H168" s="241"/>
      <c r="I168" s="274"/>
      <c r="J168" s="275"/>
      <c r="K168" s="276"/>
      <c r="L168" s="277"/>
      <c r="M168" s="278"/>
      <c r="N168" s="279"/>
      <c r="O168" s="274"/>
      <c r="P168" s="275"/>
      <c r="Q168" s="276"/>
      <c r="R168" s="277"/>
      <c r="S168" s="278"/>
      <c r="T168" s="279"/>
      <c r="U168" s="279"/>
      <c r="V168" s="279"/>
      <c r="W168" s="279"/>
      <c r="X168" s="279"/>
      <c r="Y168" s="279"/>
      <c r="Z168" s="279"/>
      <c r="AA168" s="279"/>
      <c r="AB168" s="279"/>
      <c r="AC168" s="279"/>
      <c r="AD168" s="279"/>
      <c r="AE168" s="279"/>
      <c r="AF168" s="279"/>
      <c r="AG168" s="280"/>
      <c r="AH168" s="281"/>
      <c r="AI168" s="282"/>
      <c r="AJ168" s="283"/>
      <c r="AK168" s="22" t="s">
        <v>58</v>
      </c>
      <c r="AL168" s="22" t="s">
        <v>58</v>
      </c>
      <c r="AM168" s="22" t="s">
        <v>58</v>
      </c>
    </row>
    <row r="169" spans="1:39" s="22" customFormat="1" x14ac:dyDescent="0.25">
      <c r="A169" s="28" t="str">
        <f>IF(H169&lt;&gt;"",MAX($A$7:A168)+1,"")</f>
        <v/>
      </c>
      <c r="B169" s="243" t="str">
        <f t="shared" si="30"/>
        <v/>
      </c>
      <c r="C169" s="273"/>
      <c r="D169" s="246"/>
      <c r="E169" s="247"/>
      <c r="F169" s="247"/>
      <c r="G169" s="248"/>
      <c r="H169" s="241"/>
      <c r="I169" s="274"/>
      <c r="J169" s="275"/>
      <c r="K169" s="276"/>
      <c r="L169" s="277"/>
      <c r="M169" s="278"/>
      <c r="N169" s="279"/>
      <c r="O169" s="274"/>
      <c r="P169" s="275"/>
      <c r="Q169" s="276"/>
      <c r="R169" s="277"/>
      <c r="S169" s="278"/>
      <c r="T169" s="279"/>
      <c r="U169" s="279"/>
      <c r="V169" s="279"/>
      <c r="W169" s="279"/>
      <c r="X169" s="279"/>
      <c r="Y169" s="279"/>
      <c r="Z169" s="279"/>
      <c r="AA169" s="279"/>
      <c r="AB169" s="279"/>
      <c r="AC169" s="279"/>
      <c r="AD169" s="279"/>
      <c r="AE169" s="279"/>
      <c r="AF169" s="279"/>
      <c r="AG169" s="280"/>
      <c r="AH169" s="281"/>
      <c r="AI169" s="282"/>
      <c r="AJ169" s="283"/>
      <c r="AK169" s="22" t="s">
        <v>58</v>
      </c>
      <c r="AL169" s="22" t="s">
        <v>58</v>
      </c>
      <c r="AM169" s="22" t="s">
        <v>58</v>
      </c>
    </row>
    <row r="170" spans="1:39" s="22" customFormat="1" x14ac:dyDescent="0.25">
      <c r="A170" s="28" t="str">
        <f>IF(H170&lt;&gt;"",MAX($A$7:A169)+1,"")</f>
        <v/>
      </c>
      <c r="B170" s="243" t="str">
        <f t="shared" si="30"/>
        <v/>
      </c>
      <c r="C170" s="273"/>
      <c r="D170" s="246"/>
      <c r="E170" s="247"/>
      <c r="F170" s="247"/>
      <c r="G170" s="248"/>
      <c r="H170" s="241"/>
      <c r="I170" s="274"/>
      <c r="J170" s="275"/>
      <c r="K170" s="276"/>
      <c r="L170" s="277"/>
      <c r="M170" s="278"/>
      <c r="N170" s="279"/>
      <c r="O170" s="274"/>
      <c r="P170" s="275"/>
      <c r="Q170" s="276"/>
      <c r="R170" s="277"/>
      <c r="S170" s="278"/>
      <c r="T170" s="279"/>
      <c r="U170" s="279"/>
      <c r="V170" s="279"/>
      <c r="W170" s="279"/>
      <c r="X170" s="279"/>
      <c r="Y170" s="279"/>
      <c r="Z170" s="279"/>
      <c r="AA170" s="279"/>
      <c r="AB170" s="279"/>
      <c r="AC170" s="279"/>
      <c r="AD170" s="279"/>
      <c r="AE170" s="279"/>
      <c r="AF170" s="279"/>
      <c r="AG170" s="280"/>
      <c r="AH170" s="281"/>
      <c r="AI170" s="282"/>
      <c r="AJ170" s="283"/>
      <c r="AK170" s="22" t="s">
        <v>58</v>
      </c>
      <c r="AL170" s="22" t="s">
        <v>58</v>
      </c>
      <c r="AM170" s="22" t="s">
        <v>58</v>
      </c>
    </row>
    <row r="171" spans="1:39" s="22" customFormat="1" x14ac:dyDescent="0.25">
      <c r="A171" s="28" t="str">
        <f>IF(H171&lt;&gt;"",MAX($A$7:A170)+1,"")</f>
        <v/>
      </c>
      <c r="B171" s="243" t="str">
        <f t="shared" si="30"/>
        <v/>
      </c>
      <c r="C171" s="273"/>
      <c r="D171" s="246"/>
      <c r="E171" s="247"/>
      <c r="F171" s="247"/>
      <c r="G171" s="248"/>
      <c r="H171" s="241"/>
      <c r="I171" s="274"/>
      <c r="J171" s="275"/>
      <c r="K171" s="276"/>
      <c r="L171" s="277"/>
      <c r="M171" s="278"/>
      <c r="N171" s="279"/>
      <c r="O171" s="274"/>
      <c r="P171" s="275"/>
      <c r="Q171" s="276"/>
      <c r="R171" s="277"/>
      <c r="S171" s="278"/>
      <c r="T171" s="279"/>
      <c r="U171" s="279"/>
      <c r="V171" s="279"/>
      <c r="W171" s="279"/>
      <c r="X171" s="279"/>
      <c r="Y171" s="279"/>
      <c r="Z171" s="279"/>
      <c r="AA171" s="279"/>
      <c r="AB171" s="279"/>
      <c r="AC171" s="279"/>
      <c r="AD171" s="279"/>
      <c r="AE171" s="279"/>
      <c r="AF171" s="279"/>
      <c r="AG171" s="280"/>
      <c r="AH171" s="281"/>
      <c r="AI171" s="282"/>
      <c r="AJ171" s="283"/>
      <c r="AK171" s="22" t="s">
        <v>58</v>
      </c>
      <c r="AL171" s="22" t="s">
        <v>58</v>
      </c>
      <c r="AM171" s="22" t="s">
        <v>58</v>
      </c>
    </row>
    <row r="172" spans="1:39" s="22" customFormat="1" x14ac:dyDescent="0.25">
      <c r="A172" s="28" t="str">
        <f>IF(H172&lt;&gt;"",MAX($A$7:A171)+1,"")</f>
        <v/>
      </c>
      <c r="B172" s="243" t="str">
        <f t="shared" si="30"/>
        <v/>
      </c>
      <c r="C172" s="273"/>
      <c r="D172" s="246"/>
      <c r="E172" s="247"/>
      <c r="F172" s="247"/>
      <c r="G172" s="248"/>
      <c r="H172" s="241"/>
      <c r="I172" s="274"/>
      <c r="J172" s="275"/>
      <c r="K172" s="276"/>
      <c r="L172" s="277"/>
      <c r="M172" s="278"/>
      <c r="N172" s="279"/>
      <c r="O172" s="274"/>
      <c r="P172" s="275"/>
      <c r="Q172" s="276"/>
      <c r="R172" s="277"/>
      <c r="S172" s="278"/>
      <c r="T172" s="279"/>
      <c r="U172" s="279"/>
      <c r="V172" s="279"/>
      <c r="W172" s="279"/>
      <c r="X172" s="279"/>
      <c r="Y172" s="279"/>
      <c r="Z172" s="279"/>
      <c r="AA172" s="279"/>
      <c r="AB172" s="279"/>
      <c r="AC172" s="279"/>
      <c r="AD172" s="279"/>
      <c r="AE172" s="279"/>
      <c r="AF172" s="279"/>
      <c r="AG172" s="280"/>
      <c r="AH172" s="281"/>
      <c r="AI172" s="282"/>
      <c r="AJ172" s="283"/>
      <c r="AK172" s="22" t="s">
        <v>58</v>
      </c>
      <c r="AL172" s="22" t="s">
        <v>58</v>
      </c>
      <c r="AM172" s="22" t="s">
        <v>58</v>
      </c>
    </row>
    <row r="173" spans="1:39" s="22" customFormat="1" x14ac:dyDescent="0.25">
      <c r="A173" s="28" t="str">
        <f>IF(H173&lt;&gt;"",MAX($A$7:A172)+1,"")</f>
        <v/>
      </c>
      <c r="B173" s="243" t="str">
        <f t="shared" si="30"/>
        <v/>
      </c>
      <c r="C173" s="273"/>
      <c r="D173" s="246"/>
      <c r="E173" s="247"/>
      <c r="F173" s="247"/>
      <c r="G173" s="248"/>
      <c r="H173" s="241"/>
      <c r="I173" s="274"/>
      <c r="J173" s="275"/>
      <c r="K173" s="276"/>
      <c r="L173" s="277"/>
      <c r="M173" s="278"/>
      <c r="N173" s="279"/>
      <c r="O173" s="274"/>
      <c r="P173" s="275"/>
      <c r="Q173" s="276"/>
      <c r="R173" s="277"/>
      <c r="S173" s="278"/>
      <c r="T173" s="279"/>
      <c r="U173" s="279"/>
      <c r="V173" s="279"/>
      <c r="W173" s="279"/>
      <c r="X173" s="279"/>
      <c r="Y173" s="279"/>
      <c r="Z173" s="279"/>
      <c r="AA173" s="279"/>
      <c r="AB173" s="279"/>
      <c r="AC173" s="279"/>
      <c r="AD173" s="279"/>
      <c r="AE173" s="279"/>
      <c r="AF173" s="279"/>
      <c r="AG173" s="280"/>
      <c r="AH173" s="281"/>
      <c r="AI173" s="282"/>
      <c r="AJ173" s="283"/>
      <c r="AK173" s="22" t="s">
        <v>58</v>
      </c>
      <c r="AL173" s="22" t="s">
        <v>58</v>
      </c>
      <c r="AM173" s="22" t="s">
        <v>58</v>
      </c>
    </row>
    <row r="174" spans="1:39" s="22" customFormat="1" x14ac:dyDescent="0.25">
      <c r="A174" s="28" t="str">
        <f>IF(H174&lt;&gt;"",MAX($A$7:A173)+1,"")</f>
        <v/>
      </c>
      <c r="B174" s="243" t="str">
        <f t="shared" si="30"/>
        <v/>
      </c>
      <c r="C174" s="273"/>
      <c r="D174" s="246"/>
      <c r="E174" s="247"/>
      <c r="F174" s="247"/>
      <c r="G174" s="248"/>
      <c r="H174" s="241"/>
      <c r="I174" s="274"/>
      <c r="J174" s="275"/>
      <c r="K174" s="276"/>
      <c r="L174" s="277"/>
      <c r="M174" s="278"/>
      <c r="N174" s="279"/>
      <c r="O174" s="274"/>
      <c r="P174" s="275"/>
      <c r="Q174" s="276"/>
      <c r="R174" s="277"/>
      <c r="S174" s="278"/>
      <c r="T174" s="279"/>
      <c r="U174" s="279"/>
      <c r="V174" s="279"/>
      <c r="W174" s="279"/>
      <c r="X174" s="279"/>
      <c r="Y174" s="279"/>
      <c r="Z174" s="279"/>
      <c r="AA174" s="279"/>
      <c r="AB174" s="279"/>
      <c r="AC174" s="279"/>
      <c r="AD174" s="279"/>
      <c r="AE174" s="279"/>
      <c r="AF174" s="279"/>
      <c r="AG174" s="280"/>
      <c r="AH174" s="281"/>
      <c r="AI174" s="282"/>
      <c r="AJ174" s="283"/>
      <c r="AK174" s="22" t="s">
        <v>58</v>
      </c>
      <c r="AL174" s="22" t="s">
        <v>58</v>
      </c>
      <c r="AM174" s="22" t="s">
        <v>58</v>
      </c>
    </row>
    <row r="175" spans="1:39" s="22" customFormat="1" x14ac:dyDescent="0.25">
      <c r="A175" s="28" t="str">
        <f>IF(H175&lt;&gt;"",MAX($A$7:A174)+1,"")</f>
        <v/>
      </c>
      <c r="B175" s="243" t="str">
        <f t="shared" si="30"/>
        <v/>
      </c>
      <c r="C175" s="273"/>
      <c r="D175" s="246"/>
      <c r="E175" s="247"/>
      <c r="F175" s="247"/>
      <c r="G175" s="248"/>
      <c r="H175" s="241"/>
      <c r="I175" s="274"/>
      <c r="J175" s="275"/>
      <c r="K175" s="276"/>
      <c r="L175" s="277"/>
      <c r="M175" s="278"/>
      <c r="N175" s="279"/>
      <c r="O175" s="274"/>
      <c r="P175" s="275"/>
      <c r="Q175" s="276"/>
      <c r="R175" s="277"/>
      <c r="S175" s="278"/>
      <c r="T175" s="279"/>
      <c r="U175" s="279"/>
      <c r="V175" s="279"/>
      <c r="W175" s="279"/>
      <c r="X175" s="279"/>
      <c r="Y175" s="279"/>
      <c r="Z175" s="279"/>
      <c r="AA175" s="279"/>
      <c r="AB175" s="279"/>
      <c r="AC175" s="279"/>
      <c r="AD175" s="279"/>
      <c r="AE175" s="279"/>
      <c r="AF175" s="279"/>
      <c r="AG175" s="280"/>
      <c r="AH175" s="281"/>
      <c r="AI175" s="282"/>
      <c r="AJ175" s="283"/>
      <c r="AK175" s="22" t="s">
        <v>58</v>
      </c>
      <c r="AL175" s="22" t="s">
        <v>58</v>
      </c>
      <c r="AM175" s="22" t="s">
        <v>58</v>
      </c>
    </row>
    <row r="176" spans="1:39" s="22" customFormat="1" x14ac:dyDescent="0.25">
      <c r="A176" s="28" t="str">
        <f>IF(H176&lt;&gt;"",MAX($A$7:A175)+1,"")</f>
        <v/>
      </c>
      <c r="B176" s="243" t="str">
        <f t="shared" si="30"/>
        <v/>
      </c>
      <c r="C176" s="273"/>
      <c r="D176" s="246"/>
      <c r="E176" s="247"/>
      <c r="F176" s="247"/>
      <c r="G176" s="248"/>
      <c r="H176" s="241"/>
      <c r="I176" s="274"/>
      <c r="J176" s="275"/>
      <c r="K176" s="276"/>
      <c r="L176" s="277"/>
      <c r="M176" s="278"/>
      <c r="N176" s="279"/>
      <c r="O176" s="274"/>
      <c r="P176" s="275"/>
      <c r="Q176" s="276"/>
      <c r="R176" s="277"/>
      <c r="S176" s="278"/>
      <c r="T176" s="279"/>
      <c r="U176" s="279"/>
      <c r="V176" s="279"/>
      <c r="W176" s="279"/>
      <c r="X176" s="279"/>
      <c r="Y176" s="279"/>
      <c r="Z176" s="279"/>
      <c r="AA176" s="279"/>
      <c r="AB176" s="279"/>
      <c r="AC176" s="279"/>
      <c r="AD176" s="279"/>
      <c r="AE176" s="279"/>
      <c r="AF176" s="279"/>
      <c r="AG176" s="280"/>
      <c r="AH176" s="281"/>
      <c r="AI176" s="282"/>
      <c r="AJ176" s="283"/>
      <c r="AK176" s="22" t="s">
        <v>58</v>
      </c>
      <c r="AL176" s="22" t="s">
        <v>58</v>
      </c>
      <c r="AM176" s="22" t="s">
        <v>58</v>
      </c>
    </row>
    <row r="177" spans="1:39" s="22" customFormat="1" x14ac:dyDescent="0.25">
      <c r="A177" s="28" t="str">
        <f>IF(H177&lt;&gt;"",MAX($A$7:A176)+1,"")</f>
        <v/>
      </c>
      <c r="B177" s="243" t="str">
        <f t="shared" si="30"/>
        <v/>
      </c>
      <c r="C177" s="273"/>
      <c r="D177" s="246"/>
      <c r="E177" s="247"/>
      <c r="F177" s="247"/>
      <c r="G177" s="248"/>
      <c r="H177" s="241"/>
      <c r="I177" s="274"/>
      <c r="J177" s="275"/>
      <c r="K177" s="276"/>
      <c r="L177" s="277"/>
      <c r="M177" s="278"/>
      <c r="N177" s="279"/>
      <c r="O177" s="274"/>
      <c r="P177" s="275"/>
      <c r="Q177" s="276"/>
      <c r="R177" s="277"/>
      <c r="S177" s="278"/>
      <c r="T177" s="279"/>
      <c r="U177" s="279"/>
      <c r="V177" s="279"/>
      <c r="W177" s="279"/>
      <c r="X177" s="279"/>
      <c r="Y177" s="279"/>
      <c r="Z177" s="279"/>
      <c r="AA177" s="279"/>
      <c r="AB177" s="279"/>
      <c r="AC177" s="279"/>
      <c r="AD177" s="279"/>
      <c r="AE177" s="279"/>
      <c r="AF177" s="279"/>
      <c r="AG177" s="280"/>
      <c r="AH177" s="281"/>
      <c r="AI177" s="282"/>
      <c r="AJ177" s="283"/>
      <c r="AK177" s="22" t="s">
        <v>58</v>
      </c>
      <c r="AL177" s="22" t="s">
        <v>58</v>
      </c>
      <c r="AM177" s="22" t="s">
        <v>58</v>
      </c>
    </row>
    <row r="178" spans="1:39" s="22" customFormat="1" x14ac:dyDescent="0.25">
      <c r="A178" s="28" t="str">
        <f>IF(H178&lt;&gt;"",MAX($A$7:A177)+1,"")</f>
        <v/>
      </c>
      <c r="B178" s="243" t="str">
        <f t="shared" si="30"/>
        <v/>
      </c>
      <c r="C178" s="273"/>
      <c r="D178" s="246"/>
      <c r="E178" s="247"/>
      <c r="F178" s="247"/>
      <c r="G178" s="248"/>
      <c r="H178" s="241"/>
      <c r="I178" s="274"/>
      <c r="J178" s="275"/>
      <c r="K178" s="276"/>
      <c r="L178" s="277"/>
      <c r="M178" s="278"/>
      <c r="N178" s="279"/>
      <c r="O178" s="274"/>
      <c r="P178" s="275"/>
      <c r="Q178" s="276"/>
      <c r="R178" s="277"/>
      <c r="S178" s="278"/>
      <c r="T178" s="279"/>
      <c r="U178" s="279"/>
      <c r="V178" s="279"/>
      <c r="W178" s="279"/>
      <c r="X178" s="279"/>
      <c r="Y178" s="279"/>
      <c r="Z178" s="279"/>
      <c r="AA178" s="279"/>
      <c r="AB178" s="279"/>
      <c r="AC178" s="279"/>
      <c r="AD178" s="279"/>
      <c r="AE178" s="279"/>
      <c r="AF178" s="279"/>
      <c r="AG178" s="280"/>
      <c r="AH178" s="281"/>
      <c r="AI178" s="282"/>
      <c r="AJ178" s="283"/>
      <c r="AK178" s="22" t="s">
        <v>58</v>
      </c>
      <c r="AL178" s="22" t="s">
        <v>58</v>
      </c>
      <c r="AM178" s="22" t="s">
        <v>58</v>
      </c>
    </row>
    <row r="179" spans="1:39" s="22" customFormat="1" x14ac:dyDescent="0.25">
      <c r="A179" s="28" t="str">
        <f>IF(H179&lt;&gt;"",MAX($A$7:A178)+1,"")</f>
        <v/>
      </c>
      <c r="B179" s="243" t="str">
        <f t="shared" si="30"/>
        <v/>
      </c>
      <c r="C179" s="273"/>
      <c r="D179" s="246"/>
      <c r="E179" s="247"/>
      <c r="F179" s="247"/>
      <c r="G179" s="248"/>
      <c r="H179" s="241"/>
      <c r="I179" s="274"/>
      <c r="J179" s="275"/>
      <c r="K179" s="276"/>
      <c r="L179" s="277"/>
      <c r="M179" s="278"/>
      <c r="N179" s="279"/>
      <c r="O179" s="274"/>
      <c r="P179" s="275"/>
      <c r="Q179" s="276"/>
      <c r="R179" s="277"/>
      <c r="S179" s="278"/>
      <c r="T179" s="279"/>
      <c r="U179" s="279"/>
      <c r="V179" s="279"/>
      <c r="W179" s="279"/>
      <c r="X179" s="279"/>
      <c r="Y179" s="279"/>
      <c r="Z179" s="279"/>
      <c r="AA179" s="279"/>
      <c r="AB179" s="279"/>
      <c r="AC179" s="279"/>
      <c r="AD179" s="279"/>
      <c r="AE179" s="279"/>
      <c r="AF179" s="279"/>
      <c r="AG179" s="280"/>
      <c r="AH179" s="281"/>
      <c r="AI179" s="282"/>
      <c r="AJ179" s="283"/>
      <c r="AK179" s="22" t="s">
        <v>58</v>
      </c>
      <c r="AL179" s="22" t="s">
        <v>58</v>
      </c>
      <c r="AM179" s="22" t="s">
        <v>58</v>
      </c>
    </row>
    <row r="180" spans="1:39" s="22" customFormat="1" x14ac:dyDescent="0.25">
      <c r="A180" s="28" t="str">
        <f>IF(H180&lt;&gt;"",MAX($A$7:A179)+1,"")</f>
        <v/>
      </c>
      <c r="B180" s="243" t="str">
        <f t="shared" si="30"/>
        <v/>
      </c>
      <c r="C180" s="273"/>
      <c r="D180" s="246"/>
      <c r="E180" s="247"/>
      <c r="F180" s="247"/>
      <c r="G180" s="248"/>
      <c r="H180" s="241"/>
      <c r="I180" s="274"/>
      <c r="J180" s="275"/>
      <c r="K180" s="276"/>
      <c r="L180" s="277"/>
      <c r="M180" s="278"/>
      <c r="N180" s="279"/>
      <c r="O180" s="274"/>
      <c r="P180" s="275"/>
      <c r="Q180" s="276"/>
      <c r="R180" s="277"/>
      <c r="S180" s="278"/>
      <c r="T180" s="279"/>
      <c r="U180" s="279"/>
      <c r="V180" s="279"/>
      <c r="W180" s="279"/>
      <c r="X180" s="279"/>
      <c r="Y180" s="279"/>
      <c r="Z180" s="279"/>
      <c r="AA180" s="279"/>
      <c r="AB180" s="279"/>
      <c r="AC180" s="279"/>
      <c r="AD180" s="279"/>
      <c r="AE180" s="279"/>
      <c r="AF180" s="279"/>
      <c r="AG180" s="280"/>
      <c r="AH180" s="281"/>
      <c r="AI180" s="282"/>
      <c r="AJ180" s="283"/>
      <c r="AK180" s="22" t="s">
        <v>58</v>
      </c>
      <c r="AL180" s="22" t="s">
        <v>58</v>
      </c>
      <c r="AM180" s="22" t="s">
        <v>58</v>
      </c>
    </row>
    <row r="181" spans="1:39" s="22" customFormat="1" x14ac:dyDescent="0.25">
      <c r="A181" s="28" t="str">
        <f>IF(H181&lt;&gt;"",MAX($A$7:A180)+1,"")</f>
        <v/>
      </c>
      <c r="B181" s="243" t="str">
        <f t="shared" si="30"/>
        <v/>
      </c>
      <c r="C181" s="273"/>
      <c r="D181" s="246"/>
      <c r="E181" s="247"/>
      <c r="F181" s="247"/>
      <c r="G181" s="248"/>
      <c r="H181" s="241"/>
      <c r="I181" s="274"/>
      <c r="J181" s="275"/>
      <c r="K181" s="276"/>
      <c r="L181" s="277"/>
      <c r="M181" s="278"/>
      <c r="N181" s="279"/>
      <c r="O181" s="274"/>
      <c r="P181" s="275"/>
      <c r="Q181" s="276"/>
      <c r="R181" s="277"/>
      <c r="S181" s="278"/>
      <c r="T181" s="279"/>
      <c r="U181" s="279"/>
      <c r="V181" s="279"/>
      <c r="W181" s="279"/>
      <c r="X181" s="279"/>
      <c r="Y181" s="279"/>
      <c r="Z181" s="279"/>
      <c r="AA181" s="279"/>
      <c r="AB181" s="279"/>
      <c r="AC181" s="279"/>
      <c r="AD181" s="279"/>
      <c r="AE181" s="279"/>
      <c r="AF181" s="279"/>
      <c r="AG181" s="280"/>
      <c r="AH181" s="281"/>
      <c r="AI181" s="282"/>
      <c r="AJ181" s="283"/>
      <c r="AK181" s="22" t="s">
        <v>58</v>
      </c>
      <c r="AL181" s="22" t="s">
        <v>58</v>
      </c>
      <c r="AM181" s="22" t="s">
        <v>58</v>
      </c>
    </row>
    <row r="182" spans="1:39" s="22" customFormat="1" x14ac:dyDescent="0.25">
      <c r="A182" s="28" t="str">
        <f>IF(H182&lt;&gt;"",MAX($A$7:A181)+1,"")</f>
        <v/>
      </c>
      <c r="B182" s="243" t="str">
        <f t="shared" si="30"/>
        <v/>
      </c>
      <c r="C182" s="273"/>
      <c r="D182" s="246"/>
      <c r="E182" s="247"/>
      <c r="F182" s="247"/>
      <c r="G182" s="248"/>
      <c r="H182" s="241"/>
      <c r="I182" s="274"/>
      <c r="J182" s="275"/>
      <c r="K182" s="276"/>
      <c r="L182" s="277"/>
      <c r="M182" s="278"/>
      <c r="N182" s="279"/>
      <c r="O182" s="274"/>
      <c r="P182" s="275"/>
      <c r="Q182" s="276"/>
      <c r="R182" s="277"/>
      <c r="S182" s="278"/>
      <c r="T182" s="279"/>
      <c r="U182" s="279"/>
      <c r="V182" s="279"/>
      <c r="W182" s="279"/>
      <c r="X182" s="279"/>
      <c r="Y182" s="279"/>
      <c r="Z182" s="279"/>
      <c r="AA182" s="279"/>
      <c r="AB182" s="279"/>
      <c r="AC182" s="279"/>
      <c r="AD182" s="279"/>
      <c r="AE182" s="279"/>
      <c r="AF182" s="279"/>
      <c r="AG182" s="280"/>
      <c r="AH182" s="281"/>
      <c r="AI182" s="282"/>
      <c r="AJ182" s="283"/>
      <c r="AK182" s="22" t="s">
        <v>58</v>
      </c>
      <c r="AL182" s="22" t="s">
        <v>58</v>
      </c>
      <c r="AM182" s="22" t="s">
        <v>58</v>
      </c>
    </row>
    <row r="183" spans="1:39" s="22" customFormat="1" x14ac:dyDescent="0.25">
      <c r="A183" s="28" t="str">
        <f>IF(H183&lt;&gt;"",MAX($A$7:A182)+1,"")</f>
        <v/>
      </c>
      <c r="B183" s="243" t="str">
        <f t="shared" si="30"/>
        <v/>
      </c>
      <c r="C183" s="273"/>
      <c r="D183" s="246"/>
      <c r="E183" s="247"/>
      <c r="F183" s="247"/>
      <c r="G183" s="248"/>
      <c r="H183" s="241"/>
      <c r="I183" s="274"/>
      <c r="J183" s="275"/>
      <c r="K183" s="276"/>
      <c r="L183" s="277"/>
      <c r="M183" s="278"/>
      <c r="N183" s="279"/>
      <c r="O183" s="274"/>
      <c r="P183" s="275"/>
      <c r="Q183" s="276"/>
      <c r="R183" s="277"/>
      <c r="S183" s="278"/>
      <c r="T183" s="279"/>
      <c r="U183" s="279"/>
      <c r="V183" s="279"/>
      <c r="W183" s="279"/>
      <c r="X183" s="279"/>
      <c r="Y183" s="279"/>
      <c r="Z183" s="279"/>
      <c r="AA183" s="279"/>
      <c r="AB183" s="279"/>
      <c r="AC183" s="279"/>
      <c r="AD183" s="279"/>
      <c r="AE183" s="279"/>
      <c r="AF183" s="279"/>
      <c r="AG183" s="280"/>
      <c r="AH183" s="281"/>
      <c r="AI183" s="282"/>
      <c r="AJ183" s="283"/>
      <c r="AK183" s="22" t="s">
        <v>58</v>
      </c>
      <c r="AL183" s="22" t="s">
        <v>58</v>
      </c>
      <c r="AM183" s="22" t="s">
        <v>58</v>
      </c>
    </row>
    <row r="184" spans="1:39" s="22" customFormat="1" x14ac:dyDescent="0.25">
      <c r="A184" s="28" t="str">
        <f>IF(H184&lt;&gt;"",MAX($A$7:A183)+1,"")</f>
        <v/>
      </c>
      <c r="B184" s="243" t="str">
        <f t="shared" si="30"/>
        <v/>
      </c>
      <c r="C184" s="273"/>
      <c r="D184" s="246"/>
      <c r="E184" s="247"/>
      <c r="F184" s="247"/>
      <c r="G184" s="248"/>
      <c r="H184" s="241"/>
      <c r="I184" s="274"/>
      <c r="J184" s="275"/>
      <c r="K184" s="276"/>
      <c r="L184" s="277"/>
      <c r="M184" s="278"/>
      <c r="N184" s="279"/>
      <c r="O184" s="274"/>
      <c r="P184" s="275"/>
      <c r="Q184" s="276"/>
      <c r="R184" s="277"/>
      <c r="S184" s="278"/>
      <c r="T184" s="279"/>
      <c r="U184" s="279"/>
      <c r="V184" s="279"/>
      <c r="W184" s="279"/>
      <c r="X184" s="279"/>
      <c r="Y184" s="279"/>
      <c r="Z184" s="279"/>
      <c r="AA184" s="279"/>
      <c r="AB184" s="279"/>
      <c r="AC184" s="279"/>
      <c r="AD184" s="279"/>
      <c r="AE184" s="279"/>
      <c r="AF184" s="279"/>
      <c r="AG184" s="280"/>
      <c r="AH184" s="281"/>
      <c r="AI184" s="282"/>
      <c r="AJ184" s="283"/>
      <c r="AK184" s="22" t="s">
        <v>58</v>
      </c>
      <c r="AL184" s="22" t="s">
        <v>58</v>
      </c>
      <c r="AM184" s="22" t="s">
        <v>58</v>
      </c>
    </row>
    <row r="185" spans="1:39" s="22" customFormat="1" x14ac:dyDescent="0.25">
      <c r="A185" s="28" t="str">
        <f>IF(H185&lt;&gt;"",MAX($A$7:A184)+1,"")</f>
        <v/>
      </c>
      <c r="B185" s="243" t="str">
        <f t="shared" si="30"/>
        <v/>
      </c>
      <c r="C185" s="273"/>
      <c r="D185" s="246"/>
      <c r="E185" s="247"/>
      <c r="F185" s="247"/>
      <c r="G185" s="248"/>
      <c r="H185" s="241"/>
      <c r="I185" s="274"/>
      <c r="J185" s="275"/>
      <c r="K185" s="276"/>
      <c r="L185" s="277"/>
      <c r="M185" s="278"/>
      <c r="N185" s="279"/>
      <c r="O185" s="274"/>
      <c r="P185" s="275"/>
      <c r="Q185" s="276"/>
      <c r="R185" s="277"/>
      <c r="S185" s="278"/>
      <c r="T185" s="279"/>
      <c r="U185" s="279"/>
      <c r="V185" s="279"/>
      <c r="W185" s="279"/>
      <c r="X185" s="279"/>
      <c r="Y185" s="279"/>
      <c r="Z185" s="279"/>
      <c r="AA185" s="279"/>
      <c r="AB185" s="279"/>
      <c r="AC185" s="279"/>
      <c r="AD185" s="279"/>
      <c r="AE185" s="279"/>
      <c r="AF185" s="279"/>
      <c r="AG185" s="280"/>
      <c r="AH185" s="281"/>
      <c r="AI185" s="282"/>
      <c r="AJ185" s="283"/>
      <c r="AK185" s="22" t="s">
        <v>58</v>
      </c>
      <c r="AL185" s="22" t="s">
        <v>58</v>
      </c>
      <c r="AM185" s="22" t="s">
        <v>58</v>
      </c>
    </row>
    <row r="186" spans="1:39" s="22" customFormat="1" x14ac:dyDescent="0.25">
      <c r="A186" s="28" t="str">
        <f>IF(H186&lt;&gt;"",MAX($A$7:A185)+1,"")</f>
        <v/>
      </c>
      <c r="B186" s="243" t="str">
        <f t="shared" si="30"/>
        <v/>
      </c>
      <c r="C186" s="273"/>
      <c r="D186" s="246"/>
      <c r="E186" s="247"/>
      <c r="F186" s="247"/>
      <c r="G186" s="248"/>
      <c r="H186" s="241"/>
      <c r="I186" s="274"/>
      <c r="J186" s="275"/>
      <c r="K186" s="276"/>
      <c r="L186" s="277"/>
      <c r="M186" s="278"/>
      <c r="N186" s="279"/>
      <c r="O186" s="274"/>
      <c r="P186" s="275"/>
      <c r="Q186" s="276"/>
      <c r="R186" s="277"/>
      <c r="S186" s="278"/>
      <c r="T186" s="279"/>
      <c r="U186" s="279"/>
      <c r="V186" s="279"/>
      <c r="W186" s="279"/>
      <c r="X186" s="279"/>
      <c r="Y186" s="279"/>
      <c r="Z186" s="279"/>
      <c r="AA186" s="279"/>
      <c r="AB186" s="279"/>
      <c r="AC186" s="279"/>
      <c r="AD186" s="279"/>
      <c r="AE186" s="279"/>
      <c r="AF186" s="279"/>
      <c r="AG186" s="280"/>
      <c r="AH186" s="281"/>
      <c r="AI186" s="282"/>
      <c r="AJ186" s="283"/>
      <c r="AK186" s="22" t="s">
        <v>58</v>
      </c>
      <c r="AL186" s="22" t="s">
        <v>58</v>
      </c>
      <c r="AM186" s="22" t="s">
        <v>58</v>
      </c>
    </row>
    <row r="187" spans="1:39" s="22" customFormat="1" x14ac:dyDescent="0.25">
      <c r="A187" s="28" t="str">
        <f>IF(H187&lt;&gt;"",MAX($A$7:A186)+1,"")</f>
        <v/>
      </c>
      <c r="B187" s="243" t="str">
        <f t="shared" si="30"/>
        <v/>
      </c>
      <c r="C187" s="273"/>
      <c r="D187" s="246"/>
      <c r="E187" s="247"/>
      <c r="F187" s="247"/>
      <c r="G187" s="248"/>
      <c r="H187" s="241"/>
      <c r="I187" s="274"/>
      <c r="J187" s="275"/>
      <c r="K187" s="276"/>
      <c r="L187" s="277"/>
      <c r="M187" s="278"/>
      <c r="N187" s="279"/>
      <c r="O187" s="274"/>
      <c r="P187" s="275"/>
      <c r="Q187" s="276"/>
      <c r="R187" s="277"/>
      <c r="S187" s="278"/>
      <c r="T187" s="279"/>
      <c r="U187" s="279"/>
      <c r="V187" s="279"/>
      <c r="W187" s="279"/>
      <c r="X187" s="279"/>
      <c r="Y187" s="279"/>
      <c r="Z187" s="279"/>
      <c r="AA187" s="279"/>
      <c r="AB187" s="279"/>
      <c r="AC187" s="279"/>
      <c r="AD187" s="279"/>
      <c r="AE187" s="279"/>
      <c r="AF187" s="279"/>
      <c r="AG187" s="280"/>
      <c r="AH187" s="281"/>
      <c r="AI187" s="282"/>
      <c r="AJ187" s="283"/>
      <c r="AK187" s="22" t="s">
        <v>58</v>
      </c>
      <c r="AL187" s="22" t="s">
        <v>58</v>
      </c>
      <c r="AM187" s="22" t="s">
        <v>58</v>
      </c>
    </row>
    <row r="188" spans="1:39" s="22" customFormat="1" x14ac:dyDescent="0.25">
      <c r="A188" s="28" t="str">
        <f>IF(H188&lt;&gt;"",MAX($A$7:A187)+1,"")</f>
        <v/>
      </c>
      <c r="B188" s="243" t="str">
        <f t="shared" si="30"/>
        <v/>
      </c>
      <c r="C188" s="273"/>
      <c r="D188" s="246"/>
      <c r="E188" s="247"/>
      <c r="F188" s="247"/>
      <c r="G188" s="248"/>
      <c r="H188" s="241"/>
      <c r="I188" s="274"/>
      <c r="J188" s="275"/>
      <c r="K188" s="276"/>
      <c r="L188" s="277"/>
      <c r="M188" s="278"/>
      <c r="N188" s="279"/>
      <c r="O188" s="274"/>
      <c r="P188" s="275"/>
      <c r="Q188" s="276"/>
      <c r="R188" s="277"/>
      <c r="S188" s="278"/>
      <c r="T188" s="279"/>
      <c r="U188" s="279"/>
      <c r="V188" s="279"/>
      <c r="W188" s="279"/>
      <c r="X188" s="279"/>
      <c r="Y188" s="279"/>
      <c r="Z188" s="279"/>
      <c r="AA188" s="279"/>
      <c r="AB188" s="279"/>
      <c r="AC188" s="279"/>
      <c r="AD188" s="279"/>
      <c r="AE188" s="279"/>
      <c r="AF188" s="279"/>
      <c r="AG188" s="280"/>
      <c r="AH188" s="281"/>
      <c r="AI188" s="282"/>
      <c r="AJ188" s="283"/>
      <c r="AK188" s="22" t="s">
        <v>58</v>
      </c>
      <c r="AL188" s="22" t="s">
        <v>58</v>
      </c>
      <c r="AM188" s="22" t="s">
        <v>58</v>
      </c>
    </row>
    <row r="189" spans="1:39" s="22" customFormat="1" x14ac:dyDescent="0.25">
      <c r="A189" s="28" t="str">
        <f>IF(H189&lt;&gt;"",MAX($A$7:A188)+1,"")</f>
        <v/>
      </c>
      <c r="B189" s="243" t="str">
        <f t="shared" si="30"/>
        <v/>
      </c>
      <c r="C189" s="273"/>
      <c r="D189" s="246"/>
      <c r="E189" s="247"/>
      <c r="F189" s="247"/>
      <c r="G189" s="248"/>
      <c r="H189" s="241"/>
      <c r="I189" s="274"/>
      <c r="J189" s="275"/>
      <c r="K189" s="276"/>
      <c r="L189" s="277"/>
      <c r="M189" s="278"/>
      <c r="N189" s="279"/>
      <c r="O189" s="274"/>
      <c r="P189" s="275"/>
      <c r="Q189" s="276"/>
      <c r="R189" s="277"/>
      <c r="S189" s="278"/>
      <c r="T189" s="279"/>
      <c r="U189" s="279"/>
      <c r="V189" s="279"/>
      <c r="W189" s="279"/>
      <c r="X189" s="279"/>
      <c r="Y189" s="279"/>
      <c r="Z189" s="279"/>
      <c r="AA189" s="279"/>
      <c r="AB189" s="279"/>
      <c r="AC189" s="279"/>
      <c r="AD189" s="279"/>
      <c r="AE189" s="279"/>
      <c r="AF189" s="279"/>
      <c r="AG189" s="280"/>
      <c r="AH189" s="281"/>
      <c r="AI189" s="282"/>
      <c r="AJ189" s="283"/>
      <c r="AK189" s="22" t="s">
        <v>58</v>
      </c>
      <c r="AL189" s="22" t="s">
        <v>58</v>
      </c>
      <c r="AM189" s="22" t="s">
        <v>58</v>
      </c>
    </row>
    <row r="190" spans="1:39" s="22" customFormat="1" x14ac:dyDescent="0.25">
      <c r="A190" s="28" t="str">
        <f>IF(H190&lt;&gt;"",MAX($A$7:A189)+1,"")</f>
        <v/>
      </c>
      <c r="B190" s="243" t="str">
        <f t="shared" si="30"/>
        <v/>
      </c>
      <c r="C190" s="273"/>
      <c r="D190" s="246"/>
      <c r="E190" s="247"/>
      <c r="F190" s="247"/>
      <c r="G190" s="248"/>
      <c r="H190" s="241"/>
      <c r="I190" s="274"/>
      <c r="J190" s="275"/>
      <c r="K190" s="276"/>
      <c r="L190" s="277"/>
      <c r="M190" s="278"/>
      <c r="N190" s="279"/>
      <c r="O190" s="274"/>
      <c r="P190" s="275"/>
      <c r="Q190" s="276"/>
      <c r="R190" s="277"/>
      <c r="S190" s="278"/>
      <c r="T190" s="279"/>
      <c r="U190" s="279"/>
      <c r="V190" s="279"/>
      <c r="W190" s="279"/>
      <c r="X190" s="279"/>
      <c r="Y190" s="279"/>
      <c r="Z190" s="279"/>
      <c r="AA190" s="279"/>
      <c r="AB190" s="279"/>
      <c r="AC190" s="279"/>
      <c r="AD190" s="279"/>
      <c r="AE190" s="279"/>
      <c r="AF190" s="279"/>
      <c r="AG190" s="280"/>
      <c r="AH190" s="281"/>
      <c r="AI190" s="282"/>
      <c r="AJ190" s="283"/>
      <c r="AK190" s="22" t="s">
        <v>58</v>
      </c>
      <c r="AL190" s="22" t="s">
        <v>58</v>
      </c>
      <c r="AM190" s="22" t="s">
        <v>58</v>
      </c>
    </row>
    <row r="191" spans="1:39" s="22" customFormat="1" x14ac:dyDescent="0.25">
      <c r="A191" s="28" t="str">
        <f>IF(H191&lt;&gt;"",MAX($A$7:A190)+1,"")</f>
        <v/>
      </c>
      <c r="B191" s="243" t="str">
        <f t="shared" si="30"/>
        <v/>
      </c>
      <c r="C191" s="273"/>
      <c r="D191" s="246"/>
      <c r="E191" s="247"/>
      <c r="F191" s="247"/>
      <c r="G191" s="248"/>
      <c r="H191" s="241"/>
      <c r="I191" s="274"/>
      <c r="J191" s="275"/>
      <c r="K191" s="276"/>
      <c r="L191" s="277"/>
      <c r="M191" s="278"/>
      <c r="N191" s="279"/>
      <c r="O191" s="274"/>
      <c r="P191" s="275"/>
      <c r="Q191" s="276"/>
      <c r="R191" s="277"/>
      <c r="S191" s="278"/>
      <c r="T191" s="279"/>
      <c r="U191" s="279"/>
      <c r="V191" s="279"/>
      <c r="W191" s="279"/>
      <c r="X191" s="279"/>
      <c r="Y191" s="279"/>
      <c r="Z191" s="279"/>
      <c r="AA191" s="279"/>
      <c r="AB191" s="279"/>
      <c r="AC191" s="279"/>
      <c r="AD191" s="279"/>
      <c r="AE191" s="279"/>
      <c r="AF191" s="279"/>
      <c r="AG191" s="280"/>
      <c r="AH191" s="281"/>
      <c r="AI191" s="282"/>
      <c r="AJ191" s="283"/>
      <c r="AK191" s="22" t="s">
        <v>58</v>
      </c>
      <c r="AL191" s="22" t="s">
        <v>58</v>
      </c>
      <c r="AM191" s="22" t="s">
        <v>58</v>
      </c>
    </row>
    <row r="192" spans="1:39" s="22" customFormat="1" x14ac:dyDescent="0.25">
      <c r="A192" s="28" t="str">
        <f>IF(H192&lt;&gt;"",MAX($A$7:A191)+1,"")</f>
        <v/>
      </c>
      <c r="B192" s="243" t="str">
        <f t="shared" si="30"/>
        <v/>
      </c>
      <c r="C192" s="273"/>
      <c r="D192" s="246"/>
      <c r="E192" s="247"/>
      <c r="F192" s="247"/>
      <c r="G192" s="248"/>
      <c r="H192" s="241"/>
      <c r="I192" s="274"/>
      <c r="J192" s="275"/>
      <c r="K192" s="276"/>
      <c r="L192" s="277"/>
      <c r="M192" s="278"/>
      <c r="N192" s="279"/>
      <c r="O192" s="274"/>
      <c r="P192" s="275"/>
      <c r="Q192" s="276"/>
      <c r="R192" s="277"/>
      <c r="S192" s="278"/>
      <c r="T192" s="279"/>
      <c r="U192" s="279"/>
      <c r="V192" s="279"/>
      <c r="W192" s="279"/>
      <c r="X192" s="279"/>
      <c r="Y192" s="279"/>
      <c r="Z192" s="279"/>
      <c r="AA192" s="279"/>
      <c r="AB192" s="279"/>
      <c r="AC192" s="279"/>
      <c r="AD192" s="279"/>
      <c r="AE192" s="279"/>
      <c r="AF192" s="279"/>
      <c r="AG192" s="280"/>
      <c r="AH192" s="281"/>
      <c r="AI192" s="282"/>
      <c r="AJ192" s="283"/>
      <c r="AK192" s="22" t="s">
        <v>58</v>
      </c>
      <c r="AL192" s="22" t="s">
        <v>58</v>
      </c>
      <c r="AM192" s="22" t="s">
        <v>58</v>
      </c>
    </row>
    <row r="193" spans="1:39" s="22" customFormat="1" x14ac:dyDescent="0.25">
      <c r="A193" s="28" t="str">
        <f>IF(H193&lt;&gt;"",MAX($A$7:A192)+1,"")</f>
        <v/>
      </c>
      <c r="B193" s="243" t="str">
        <f t="shared" si="30"/>
        <v/>
      </c>
      <c r="C193" s="273"/>
      <c r="D193" s="246"/>
      <c r="E193" s="247"/>
      <c r="F193" s="247"/>
      <c r="G193" s="248"/>
      <c r="H193" s="241"/>
      <c r="I193" s="274"/>
      <c r="J193" s="275"/>
      <c r="K193" s="276"/>
      <c r="L193" s="277"/>
      <c r="M193" s="278"/>
      <c r="N193" s="279"/>
      <c r="O193" s="274"/>
      <c r="P193" s="275"/>
      <c r="Q193" s="276"/>
      <c r="R193" s="277"/>
      <c r="S193" s="278"/>
      <c r="T193" s="279"/>
      <c r="U193" s="279"/>
      <c r="V193" s="279"/>
      <c r="W193" s="279"/>
      <c r="X193" s="279"/>
      <c r="Y193" s="279"/>
      <c r="Z193" s="279"/>
      <c r="AA193" s="279"/>
      <c r="AB193" s="279"/>
      <c r="AC193" s="279"/>
      <c r="AD193" s="279"/>
      <c r="AE193" s="279"/>
      <c r="AF193" s="279"/>
      <c r="AG193" s="280"/>
      <c r="AH193" s="281"/>
      <c r="AI193" s="282"/>
      <c r="AJ193" s="283"/>
      <c r="AK193" s="22" t="s">
        <v>58</v>
      </c>
      <c r="AL193" s="22" t="s">
        <v>58</v>
      </c>
      <c r="AM193" s="22" t="s">
        <v>58</v>
      </c>
    </row>
    <row r="194" spans="1:39" s="22" customFormat="1" x14ac:dyDescent="0.25">
      <c r="A194" s="28" t="str">
        <f>IF(H194&lt;&gt;"",MAX($A$7:A193)+1,"")</f>
        <v/>
      </c>
      <c r="B194" s="243" t="str">
        <f t="shared" si="30"/>
        <v/>
      </c>
      <c r="C194" s="273"/>
      <c r="D194" s="246"/>
      <c r="E194" s="247"/>
      <c r="F194" s="247"/>
      <c r="G194" s="248"/>
      <c r="H194" s="241"/>
      <c r="I194" s="274"/>
      <c r="J194" s="275"/>
      <c r="K194" s="276"/>
      <c r="L194" s="277"/>
      <c r="M194" s="278"/>
      <c r="N194" s="279"/>
      <c r="O194" s="274"/>
      <c r="P194" s="275"/>
      <c r="Q194" s="276"/>
      <c r="R194" s="277"/>
      <c r="S194" s="278"/>
      <c r="T194" s="279"/>
      <c r="U194" s="279"/>
      <c r="V194" s="279"/>
      <c r="W194" s="279"/>
      <c r="X194" s="279"/>
      <c r="Y194" s="279"/>
      <c r="Z194" s="279"/>
      <c r="AA194" s="279"/>
      <c r="AB194" s="279"/>
      <c r="AC194" s="279"/>
      <c r="AD194" s="279"/>
      <c r="AE194" s="279"/>
      <c r="AF194" s="279"/>
      <c r="AG194" s="280"/>
      <c r="AH194" s="281"/>
      <c r="AI194" s="282"/>
      <c r="AJ194" s="283"/>
      <c r="AK194" s="22" t="s">
        <v>58</v>
      </c>
      <c r="AL194" s="22" t="s">
        <v>58</v>
      </c>
      <c r="AM194" s="22" t="s">
        <v>58</v>
      </c>
    </row>
    <row r="195" spans="1:39" s="22" customFormat="1" x14ac:dyDescent="0.25">
      <c r="A195" s="28" t="str">
        <f>IF(H195&lt;&gt;"",MAX($A$7:A194)+1,"")</f>
        <v/>
      </c>
      <c r="B195" s="243" t="str">
        <f t="shared" si="30"/>
        <v/>
      </c>
      <c r="C195" s="273"/>
      <c r="D195" s="246"/>
      <c r="E195" s="247"/>
      <c r="F195" s="247"/>
      <c r="G195" s="248"/>
      <c r="H195" s="241"/>
      <c r="I195" s="274"/>
      <c r="J195" s="275"/>
      <c r="K195" s="276"/>
      <c r="L195" s="277"/>
      <c r="M195" s="278"/>
      <c r="N195" s="279"/>
      <c r="O195" s="274"/>
      <c r="P195" s="275"/>
      <c r="Q195" s="276"/>
      <c r="R195" s="277"/>
      <c r="S195" s="278"/>
      <c r="T195" s="279"/>
      <c r="U195" s="279"/>
      <c r="V195" s="279"/>
      <c r="W195" s="279"/>
      <c r="X195" s="279"/>
      <c r="Y195" s="279"/>
      <c r="Z195" s="279"/>
      <c r="AA195" s="279"/>
      <c r="AB195" s="279"/>
      <c r="AC195" s="279"/>
      <c r="AD195" s="279"/>
      <c r="AE195" s="279"/>
      <c r="AF195" s="279"/>
      <c r="AG195" s="280"/>
      <c r="AH195" s="281"/>
      <c r="AI195" s="282"/>
      <c r="AJ195" s="283"/>
      <c r="AK195" s="22" t="s">
        <v>58</v>
      </c>
      <c r="AL195" s="22" t="s">
        <v>58</v>
      </c>
      <c r="AM195" s="22" t="s">
        <v>58</v>
      </c>
    </row>
    <row r="196" spans="1:39" s="22" customFormat="1" x14ac:dyDescent="0.25">
      <c r="A196" s="28" t="str">
        <f>IF(H196&lt;&gt;"",MAX($A$7:A195)+1,"")</f>
        <v/>
      </c>
      <c r="B196" s="243" t="str">
        <f t="shared" si="30"/>
        <v/>
      </c>
      <c r="C196" s="273"/>
      <c r="D196" s="246"/>
      <c r="E196" s="247"/>
      <c r="F196" s="247"/>
      <c r="G196" s="248"/>
      <c r="H196" s="241"/>
      <c r="I196" s="274"/>
      <c r="J196" s="275"/>
      <c r="K196" s="276"/>
      <c r="L196" s="277"/>
      <c r="M196" s="278"/>
      <c r="N196" s="279"/>
      <c r="O196" s="274"/>
      <c r="P196" s="275"/>
      <c r="Q196" s="276"/>
      <c r="R196" s="277"/>
      <c r="S196" s="278"/>
      <c r="T196" s="279"/>
      <c r="U196" s="279"/>
      <c r="V196" s="279"/>
      <c r="W196" s="279"/>
      <c r="X196" s="279"/>
      <c r="Y196" s="279"/>
      <c r="Z196" s="279"/>
      <c r="AA196" s="279"/>
      <c r="AB196" s="279"/>
      <c r="AC196" s="279"/>
      <c r="AD196" s="279"/>
      <c r="AE196" s="279"/>
      <c r="AF196" s="279"/>
      <c r="AG196" s="280"/>
      <c r="AH196" s="281"/>
      <c r="AI196" s="282"/>
      <c r="AJ196" s="283"/>
      <c r="AK196" s="22" t="s">
        <v>58</v>
      </c>
      <c r="AL196" s="22" t="s">
        <v>58</v>
      </c>
      <c r="AM196" s="22" t="s">
        <v>58</v>
      </c>
    </row>
    <row r="197" spans="1:39" s="22" customFormat="1" x14ac:dyDescent="0.25">
      <c r="A197" s="28" t="str">
        <f>IF(H197&lt;&gt;"",MAX($A$7:A196)+1,"")</f>
        <v/>
      </c>
      <c r="B197" s="243" t="str">
        <f t="shared" si="30"/>
        <v/>
      </c>
      <c r="C197" s="273"/>
      <c r="D197" s="246"/>
      <c r="E197" s="247"/>
      <c r="F197" s="247"/>
      <c r="G197" s="248"/>
      <c r="H197" s="241"/>
      <c r="I197" s="274"/>
      <c r="J197" s="275"/>
      <c r="K197" s="276"/>
      <c r="L197" s="277"/>
      <c r="M197" s="278"/>
      <c r="N197" s="279"/>
      <c r="O197" s="274"/>
      <c r="P197" s="275"/>
      <c r="Q197" s="276"/>
      <c r="R197" s="277"/>
      <c r="S197" s="278"/>
      <c r="T197" s="279"/>
      <c r="U197" s="279"/>
      <c r="V197" s="279"/>
      <c r="W197" s="279"/>
      <c r="X197" s="279"/>
      <c r="Y197" s="279"/>
      <c r="Z197" s="279"/>
      <c r="AA197" s="279"/>
      <c r="AB197" s="279"/>
      <c r="AC197" s="279"/>
      <c r="AD197" s="279"/>
      <c r="AE197" s="279"/>
      <c r="AF197" s="279"/>
      <c r="AG197" s="280"/>
      <c r="AH197" s="281"/>
      <c r="AI197" s="282"/>
      <c r="AJ197" s="283"/>
      <c r="AK197" s="22" t="s">
        <v>58</v>
      </c>
      <c r="AL197" s="22" t="s">
        <v>58</v>
      </c>
      <c r="AM197" s="22" t="s">
        <v>58</v>
      </c>
    </row>
    <row r="198" spans="1:39" s="22" customFormat="1" x14ac:dyDescent="0.25">
      <c r="A198" s="28" t="str">
        <f>IF(H198&lt;&gt;"",MAX($A$7:A197)+1,"")</f>
        <v/>
      </c>
      <c r="B198" s="243" t="str">
        <f t="shared" si="30"/>
        <v/>
      </c>
      <c r="C198" s="273"/>
      <c r="D198" s="246"/>
      <c r="E198" s="247"/>
      <c r="F198" s="247"/>
      <c r="G198" s="248"/>
      <c r="H198" s="241"/>
      <c r="I198" s="274"/>
      <c r="J198" s="275"/>
      <c r="K198" s="276"/>
      <c r="L198" s="277"/>
      <c r="M198" s="278"/>
      <c r="N198" s="279"/>
      <c r="O198" s="274"/>
      <c r="P198" s="275"/>
      <c r="Q198" s="276"/>
      <c r="R198" s="277"/>
      <c r="S198" s="278"/>
      <c r="T198" s="279"/>
      <c r="U198" s="279"/>
      <c r="V198" s="279"/>
      <c r="W198" s="279"/>
      <c r="X198" s="279"/>
      <c r="Y198" s="279"/>
      <c r="Z198" s="279"/>
      <c r="AA198" s="279"/>
      <c r="AB198" s="279"/>
      <c r="AC198" s="279"/>
      <c r="AD198" s="279"/>
      <c r="AE198" s="279"/>
      <c r="AF198" s="279"/>
      <c r="AG198" s="280"/>
      <c r="AH198" s="281"/>
      <c r="AI198" s="282"/>
      <c r="AJ198" s="283"/>
      <c r="AK198" s="22" t="s">
        <v>58</v>
      </c>
      <c r="AL198" s="22" t="s">
        <v>58</v>
      </c>
      <c r="AM198" s="22" t="s">
        <v>58</v>
      </c>
    </row>
    <row r="199" spans="1:39" s="22" customFormat="1" x14ac:dyDescent="0.25">
      <c r="A199" s="28" t="str">
        <f>IF(H199&lt;&gt;"",MAX($A$7:A198)+1,"")</f>
        <v/>
      </c>
      <c r="B199" s="243" t="str">
        <f t="shared" ref="B199:B262" si="31">IF(A199="","",PREF_PREGUNTA&amp;" - "&amp;IF(MAX(A:A)&gt;99,IF(A199&lt;100,"0",""),"")&amp;IF(A199&lt;10,"0","")&amp;A199&amp;IF(G199&lt;&gt;""," "&amp;G199,""))</f>
        <v/>
      </c>
      <c r="C199" s="273"/>
      <c r="D199" s="246"/>
      <c r="E199" s="247"/>
      <c r="F199" s="247"/>
      <c r="G199" s="248"/>
      <c r="H199" s="241"/>
      <c r="I199" s="274"/>
      <c r="J199" s="275"/>
      <c r="K199" s="276"/>
      <c r="L199" s="277"/>
      <c r="M199" s="278"/>
      <c r="N199" s="279"/>
      <c r="O199" s="274"/>
      <c r="P199" s="275"/>
      <c r="Q199" s="276"/>
      <c r="R199" s="277"/>
      <c r="S199" s="278"/>
      <c r="T199" s="279"/>
      <c r="U199" s="279"/>
      <c r="V199" s="279"/>
      <c r="W199" s="279"/>
      <c r="X199" s="279"/>
      <c r="Y199" s="279"/>
      <c r="Z199" s="279"/>
      <c r="AA199" s="279"/>
      <c r="AB199" s="279"/>
      <c r="AC199" s="279"/>
      <c r="AD199" s="279"/>
      <c r="AE199" s="279"/>
      <c r="AF199" s="279"/>
      <c r="AG199" s="280"/>
      <c r="AH199" s="281"/>
      <c r="AI199" s="282"/>
      <c r="AJ199" s="283"/>
      <c r="AK199" s="22" t="s">
        <v>58</v>
      </c>
      <c r="AL199" s="22" t="s">
        <v>58</v>
      </c>
      <c r="AM199" s="22" t="s">
        <v>58</v>
      </c>
    </row>
    <row r="200" spans="1:39" s="22" customFormat="1" x14ac:dyDescent="0.25">
      <c r="A200" s="28" t="str">
        <f>IF(H200&lt;&gt;"",MAX($A$7:A199)+1,"")</f>
        <v/>
      </c>
      <c r="B200" s="243" t="str">
        <f t="shared" si="31"/>
        <v/>
      </c>
      <c r="C200" s="273"/>
      <c r="D200" s="246"/>
      <c r="E200" s="247"/>
      <c r="F200" s="247"/>
      <c r="G200" s="248"/>
      <c r="H200" s="241"/>
      <c r="I200" s="274"/>
      <c r="J200" s="275"/>
      <c r="K200" s="276"/>
      <c r="L200" s="277"/>
      <c r="M200" s="278"/>
      <c r="N200" s="279"/>
      <c r="O200" s="274"/>
      <c r="P200" s="275"/>
      <c r="Q200" s="276"/>
      <c r="R200" s="277"/>
      <c r="S200" s="278"/>
      <c r="T200" s="279"/>
      <c r="U200" s="279"/>
      <c r="V200" s="279"/>
      <c r="W200" s="279"/>
      <c r="X200" s="279"/>
      <c r="Y200" s="279"/>
      <c r="Z200" s="279"/>
      <c r="AA200" s="279"/>
      <c r="AB200" s="279"/>
      <c r="AC200" s="279"/>
      <c r="AD200" s="279"/>
      <c r="AE200" s="279"/>
      <c r="AF200" s="279"/>
      <c r="AG200" s="280"/>
      <c r="AH200" s="281"/>
      <c r="AI200" s="282"/>
      <c r="AJ200" s="283"/>
      <c r="AK200" s="22" t="s">
        <v>58</v>
      </c>
      <c r="AL200" s="22" t="s">
        <v>58</v>
      </c>
      <c r="AM200" s="22" t="s">
        <v>58</v>
      </c>
    </row>
    <row r="201" spans="1:39" s="22" customFormat="1" x14ac:dyDescent="0.25">
      <c r="A201" s="28" t="str">
        <f>IF(H201&lt;&gt;"",MAX($A$7:A200)+1,"")</f>
        <v/>
      </c>
      <c r="B201" s="243" t="str">
        <f t="shared" si="31"/>
        <v/>
      </c>
      <c r="C201" s="273"/>
      <c r="D201" s="246"/>
      <c r="E201" s="247"/>
      <c r="F201" s="247"/>
      <c r="G201" s="248"/>
      <c r="H201" s="241"/>
      <c r="I201" s="274"/>
      <c r="J201" s="275"/>
      <c r="K201" s="276"/>
      <c r="L201" s="277"/>
      <c r="M201" s="278"/>
      <c r="N201" s="279"/>
      <c r="O201" s="274"/>
      <c r="P201" s="275"/>
      <c r="Q201" s="276"/>
      <c r="R201" s="277"/>
      <c r="S201" s="278"/>
      <c r="T201" s="279"/>
      <c r="U201" s="279"/>
      <c r="V201" s="279"/>
      <c r="W201" s="279"/>
      <c r="X201" s="279"/>
      <c r="Y201" s="279"/>
      <c r="Z201" s="279"/>
      <c r="AA201" s="279"/>
      <c r="AB201" s="279"/>
      <c r="AC201" s="279"/>
      <c r="AD201" s="279"/>
      <c r="AE201" s="279"/>
      <c r="AF201" s="279"/>
      <c r="AG201" s="280"/>
      <c r="AH201" s="281"/>
      <c r="AI201" s="282"/>
      <c r="AJ201" s="283"/>
      <c r="AK201" s="22" t="s">
        <v>58</v>
      </c>
      <c r="AL201" s="22" t="s">
        <v>58</v>
      </c>
      <c r="AM201" s="22" t="s">
        <v>58</v>
      </c>
    </row>
    <row r="202" spans="1:39" s="22" customFormat="1" x14ac:dyDescent="0.25">
      <c r="A202" s="28" t="str">
        <f>IF(H202&lt;&gt;"",MAX($A$7:A201)+1,"")</f>
        <v/>
      </c>
      <c r="B202" s="243" t="str">
        <f t="shared" si="31"/>
        <v/>
      </c>
      <c r="C202" s="273"/>
      <c r="D202" s="246"/>
      <c r="E202" s="247"/>
      <c r="F202" s="247"/>
      <c r="G202" s="248"/>
      <c r="H202" s="241"/>
      <c r="I202" s="274"/>
      <c r="J202" s="275"/>
      <c r="K202" s="276"/>
      <c r="L202" s="277"/>
      <c r="M202" s="278"/>
      <c r="N202" s="279"/>
      <c r="O202" s="274"/>
      <c r="P202" s="275"/>
      <c r="Q202" s="276"/>
      <c r="R202" s="277"/>
      <c r="S202" s="278"/>
      <c r="T202" s="279"/>
      <c r="U202" s="279"/>
      <c r="V202" s="279"/>
      <c r="W202" s="279"/>
      <c r="X202" s="279"/>
      <c r="Y202" s="279"/>
      <c r="Z202" s="279"/>
      <c r="AA202" s="279"/>
      <c r="AB202" s="279"/>
      <c r="AC202" s="279"/>
      <c r="AD202" s="279"/>
      <c r="AE202" s="279"/>
      <c r="AF202" s="279"/>
      <c r="AG202" s="280"/>
      <c r="AH202" s="281"/>
      <c r="AI202" s="282"/>
      <c r="AJ202" s="283"/>
      <c r="AK202" s="22" t="s">
        <v>58</v>
      </c>
      <c r="AL202" s="22" t="s">
        <v>58</v>
      </c>
      <c r="AM202" s="22" t="s">
        <v>58</v>
      </c>
    </row>
    <row r="203" spans="1:39" s="22" customFormat="1" x14ac:dyDescent="0.25">
      <c r="A203" s="28" t="str">
        <f>IF(H203&lt;&gt;"",MAX($A$7:A202)+1,"")</f>
        <v/>
      </c>
      <c r="B203" s="243" t="str">
        <f t="shared" si="31"/>
        <v/>
      </c>
      <c r="C203" s="273"/>
      <c r="D203" s="246"/>
      <c r="E203" s="247"/>
      <c r="F203" s="247"/>
      <c r="G203" s="248"/>
      <c r="H203" s="241"/>
      <c r="I203" s="274"/>
      <c r="J203" s="275"/>
      <c r="K203" s="276"/>
      <c r="L203" s="277"/>
      <c r="M203" s="278"/>
      <c r="N203" s="279"/>
      <c r="O203" s="274"/>
      <c r="P203" s="275"/>
      <c r="Q203" s="276"/>
      <c r="R203" s="277"/>
      <c r="S203" s="278"/>
      <c r="T203" s="279"/>
      <c r="U203" s="279"/>
      <c r="V203" s="279"/>
      <c r="W203" s="279"/>
      <c r="X203" s="279"/>
      <c r="Y203" s="279"/>
      <c r="Z203" s="279"/>
      <c r="AA203" s="279"/>
      <c r="AB203" s="279"/>
      <c r="AC203" s="279"/>
      <c r="AD203" s="279"/>
      <c r="AE203" s="279"/>
      <c r="AF203" s="279"/>
      <c r="AG203" s="280"/>
      <c r="AH203" s="281"/>
      <c r="AI203" s="282"/>
      <c r="AJ203" s="283"/>
      <c r="AK203" s="22" t="s">
        <v>58</v>
      </c>
      <c r="AL203" s="22" t="s">
        <v>58</v>
      </c>
      <c r="AM203" s="22" t="s">
        <v>58</v>
      </c>
    </row>
    <row r="204" spans="1:39" s="22" customFormat="1" x14ac:dyDescent="0.25">
      <c r="A204" s="28" t="str">
        <f>IF(H204&lt;&gt;"",MAX($A$7:A203)+1,"")</f>
        <v/>
      </c>
      <c r="B204" s="243" t="str">
        <f t="shared" si="31"/>
        <v/>
      </c>
      <c r="C204" s="273"/>
      <c r="D204" s="246"/>
      <c r="E204" s="247"/>
      <c r="F204" s="247"/>
      <c r="G204" s="248"/>
      <c r="H204" s="241"/>
      <c r="I204" s="274"/>
      <c r="J204" s="275"/>
      <c r="K204" s="276"/>
      <c r="L204" s="277"/>
      <c r="M204" s="278"/>
      <c r="N204" s="279"/>
      <c r="O204" s="274"/>
      <c r="P204" s="275"/>
      <c r="Q204" s="276"/>
      <c r="R204" s="277"/>
      <c r="S204" s="278"/>
      <c r="T204" s="279"/>
      <c r="U204" s="279"/>
      <c r="V204" s="279"/>
      <c r="W204" s="279"/>
      <c r="X204" s="279"/>
      <c r="Y204" s="279"/>
      <c r="Z204" s="279"/>
      <c r="AA204" s="279"/>
      <c r="AB204" s="279"/>
      <c r="AC204" s="279"/>
      <c r="AD204" s="279"/>
      <c r="AE204" s="279"/>
      <c r="AF204" s="279"/>
      <c r="AG204" s="280"/>
      <c r="AH204" s="281"/>
      <c r="AI204" s="282"/>
      <c r="AJ204" s="283"/>
      <c r="AK204" s="22" t="s">
        <v>58</v>
      </c>
      <c r="AL204" s="22" t="s">
        <v>58</v>
      </c>
      <c r="AM204" s="22" t="s">
        <v>58</v>
      </c>
    </row>
    <row r="205" spans="1:39" s="22" customFormat="1" x14ac:dyDescent="0.25">
      <c r="A205" s="28" t="str">
        <f>IF(H205&lt;&gt;"",MAX($A$7:A204)+1,"")</f>
        <v/>
      </c>
      <c r="B205" s="243" t="str">
        <f t="shared" si="31"/>
        <v/>
      </c>
      <c r="C205" s="273"/>
      <c r="D205" s="246"/>
      <c r="E205" s="247"/>
      <c r="F205" s="247"/>
      <c r="G205" s="248"/>
      <c r="H205" s="241"/>
      <c r="I205" s="274"/>
      <c r="J205" s="275"/>
      <c r="K205" s="276"/>
      <c r="L205" s="277"/>
      <c r="M205" s="278"/>
      <c r="N205" s="279"/>
      <c r="O205" s="274"/>
      <c r="P205" s="275"/>
      <c r="Q205" s="276"/>
      <c r="R205" s="277"/>
      <c r="S205" s="278"/>
      <c r="T205" s="279"/>
      <c r="U205" s="279"/>
      <c r="V205" s="279"/>
      <c r="W205" s="279"/>
      <c r="X205" s="279"/>
      <c r="Y205" s="279"/>
      <c r="Z205" s="279"/>
      <c r="AA205" s="279"/>
      <c r="AB205" s="279"/>
      <c r="AC205" s="279"/>
      <c r="AD205" s="279"/>
      <c r="AE205" s="279"/>
      <c r="AF205" s="279"/>
      <c r="AG205" s="280"/>
      <c r="AH205" s="281"/>
      <c r="AI205" s="282"/>
      <c r="AJ205" s="283"/>
      <c r="AK205" s="22" t="s">
        <v>58</v>
      </c>
      <c r="AL205" s="22" t="s">
        <v>58</v>
      </c>
      <c r="AM205" s="22" t="s">
        <v>58</v>
      </c>
    </row>
    <row r="206" spans="1:39" s="22" customFormat="1" x14ac:dyDescent="0.25">
      <c r="A206" s="28" t="str">
        <f>IF(H206&lt;&gt;"",MAX($A$7:A205)+1,"")</f>
        <v/>
      </c>
      <c r="B206" s="243" t="str">
        <f t="shared" si="31"/>
        <v/>
      </c>
      <c r="C206" s="273"/>
      <c r="D206" s="246"/>
      <c r="E206" s="247"/>
      <c r="F206" s="247"/>
      <c r="G206" s="248"/>
      <c r="H206" s="241"/>
      <c r="I206" s="274"/>
      <c r="J206" s="275"/>
      <c r="K206" s="276"/>
      <c r="L206" s="277"/>
      <c r="M206" s="278"/>
      <c r="N206" s="279"/>
      <c r="O206" s="274"/>
      <c r="P206" s="275"/>
      <c r="Q206" s="276"/>
      <c r="R206" s="277"/>
      <c r="S206" s="278"/>
      <c r="T206" s="279"/>
      <c r="U206" s="279"/>
      <c r="V206" s="279"/>
      <c r="W206" s="279"/>
      <c r="X206" s="279"/>
      <c r="Y206" s="279"/>
      <c r="Z206" s="279"/>
      <c r="AA206" s="279"/>
      <c r="AB206" s="279"/>
      <c r="AC206" s="279"/>
      <c r="AD206" s="279"/>
      <c r="AE206" s="279"/>
      <c r="AF206" s="279"/>
      <c r="AG206" s="280"/>
      <c r="AH206" s="281"/>
      <c r="AI206" s="282"/>
      <c r="AJ206" s="283"/>
      <c r="AK206" s="22" t="s">
        <v>58</v>
      </c>
      <c r="AL206" s="22" t="s">
        <v>58</v>
      </c>
      <c r="AM206" s="22" t="s">
        <v>58</v>
      </c>
    </row>
    <row r="207" spans="1:39" s="22" customFormat="1" x14ac:dyDescent="0.25">
      <c r="A207" s="28" t="str">
        <f>IF(H207&lt;&gt;"",MAX($A$7:A206)+1,"")</f>
        <v/>
      </c>
      <c r="B207" s="243" t="str">
        <f t="shared" si="31"/>
        <v/>
      </c>
      <c r="C207" s="273"/>
      <c r="D207" s="246"/>
      <c r="E207" s="247"/>
      <c r="F207" s="247"/>
      <c r="G207" s="248"/>
      <c r="H207" s="241"/>
      <c r="I207" s="274"/>
      <c r="J207" s="275"/>
      <c r="K207" s="276"/>
      <c r="L207" s="277"/>
      <c r="M207" s="278"/>
      <c r="N207" s="279"/>
      <c r="O207" s="274"/>
      <c r="P207" s="275"/>
      <c r="Q207" s="276"/>
      <c r="R207" s="277"/>
      <c r="S207" s="278"/>
      <c r="T207" s="279"/>
      <c r="U207" s="279"/>
      <c r="V207" s="279"/>
      <c r="W207" s="279"/>
      <c r="X207" s="279"/>
      <c r="Y207" s="279"/>
      <c r="Z207" s="279"/>
      <c r="AA207" s="279"/>
      <c r="AB207" s="279"/>
      <c r="AC207" s="279"/>
      <c r="AD207" s="279"/>
      <c r="AE207" s="279"/>
      <c r="AF207" s="279"/>
      <c r="AG207" s="280"/>
      <c r="AH207" s="281"/>
      <c r="AI207" s="282"/>
      <c r="AJ207" s="283"/>
      <c r="AK207" s="22" t="s">
        <v>58</v>
      </c>
      <c r="AL207" s="22" t="s">
        <v>58</v>
      </c>
      <c r="AM207" s="22" t="s">
        <v>58</v>
      </c>
    </row>
    <row r="208" spans="1:39" s="22" customFormat="1" x14ac:dyDescent="0.25">
      <c r="A208" s="28" t="str">
        <f>IF(H208&lt;&gt;"",MAX($A$7:A207)+1,"")</f>
        <v/>
      </c>
      <c r="B208" s="243" t="str">
        <f t="shared" si="31"/>
        <v/>
      </c>
      <c r="C208" s="273"/>
      <c r="D208" s="246"/>
      <c r="E208" s="247"/>
      <c r="F208" s="247"/>
      <c r="G208" s="248"/>
      <c r="H208" s="241"/>
      <c r="I208" s="274"/>
      <c r="J208" s="275"/>
      <c r="K208" s="276"/>
      <c r="L208" s="277"/>
      <c r="M208" s="278"/>
      <c r="N208" s="279"/>
      <c r="O208" s="274"/>
      <c r="P208" s="275"/>
      <c r="Q208" s="276"/>
      <c r="R208" s="277"/>
      <c r="S208" s="278"/>
      <c r="T208" s="279"/>
      <c r="U208" s="279"/>
      <c r="V208" s="279"/>
      <c r="W208" s="279"/>
      <c r="X208" s="279"/>
      <c r="Y208" s="279"/>
      <c r="Z208" s="279"/>
      <c r="AA208" s="279"/>
      <c r="AB208" s="279"/>
      <c r="AC208" s="279"/>
      <c r="AD208" s="279"/>
      <c r="AE208" s="279"/>
      <c r="AF208" s="279"/>
      <c r="AG208" s="280"/>
      <c r="AH208" s="281"/>
      <c r="AI208" s="282"/>
      <c r="AJ208" s="283"/>
      <c r="AK208" s="22" t="s">
        <v>58</v>
      </c>
      <c r="AL208" s="22" t="s">
        <v>58</v>
      </c>
      <c r="AM208" s="22" t="s">
        <v>58</v>
      </c>
    </row>
    <row r="209" spans="1:39" s="22" customFormat="1" x14ac:dyDescent="0.25">
      <c r="A209" s="28" t="str">
        <f>IF(H209&lt;&gt;"",MAX($A$7:A208)+1,"")</f>
        <v/>
      </c>
      <c r="B209" s="243" t="str">
        <f t="shared" si="31"/>
        <v/>
      </c>
      <c r="C209" s="273"/>
      <c r="D209" s="246"/>
      <c r="E209" s="247"/>
      <c r="F209" s="247"/>
      <c r="G209" s="248"/>
      <c r="H209" s="241"/>
      <c r="I209" s="274"/>
      <c r="J209" s="275"/>
      <c r="K209" s="276"/>
      <c r="L209" s="277"/>
      <c r="M209" s="278"/>
      <c r="N209" s="279"/>
      <c r="O209" s="274"/>
      <c r="P209" s="275"/>
      <c r="Q209" s="276"/>
      <c r="R209" s="277"/>
      <c r="S209" s="278"/>
      <c r="T209" s="279"/>
      <c r="U209" s="279"/>
      <c r="V209" s="279"/>
      <c r="W209" s="279"/>
      <c r="X209" s="279"/>
      <c r="Y209" s="279"/>
      <c r="Z209" s="279"/>
      <c r="AA209" s="279"/>
      <c r="AB209" s="279"/>
      <c r="AC209" s="279"/>
      <c r="AD209" s="279"/>
      <c r="AE209" s="279"/>
      <c r="AF209" s="279"/>
      <c r="AG209" s="280"/>
      <c r="AH209" s="281"/>
      <c r="AI209" s="282"/>
      <c r="AJ209" s="283"/>
      <c r="AK209" s="22" t="s">
        <v>58</v>
      </c>
      <c r="AL209" s="22" t="s">
        <v>58</v>
      </c>
      <c r="AM209" s="22" t="s">
        <v>58</v>
      </c>
    </row>
    <row r="210" spans="1:39" s="22" customFormat="1" x14ac:dyDescent="0.25">
      <c r="A210" s="28" t="str">
        <f>IF(H210&lt;&gt;"",MAX($A$7:A209)+1,"")</f>
        <v/>
      </c>
      <c r="B210" s="243" t="str">
        <f t="shared" si="31"/>
        <v/>
      </c>
      <c r="C210" s="273"/>
      <c r="D210" s="246"/>
      <c r="E210" s="247"/>
      <c r="F210" s="247"/>
      <c r="G210" s="248"/>
      <c r="H210" s="241"/>
      <c r="I210" s="274"/>
      <c r="J210" s="275"/>
      <c r="K210" s="276"/>
      <c r="L210" s="277"/>
      <c r="M210" s="278"/>
      <c r="N210" s="279"/>
      <c r="O210" s="274"/>
      <c r="P210" s="275"/>
      <c r="Q210" s="276"/>
      <c r="R210" s="277"/>
      <c r="S210" s="278"/>
      <c r="T210" s="279"/>
      <c r="U210" s="279"/>
      <c r="V210" s="279"/>
      <c r="W210" s="279"/>
      <c r="X210" s="279"/>
      <c r="Y210" s="279"/>
      <c r="Z210" s="279"/>
      <c r="AA210" s="279"/>
      <c r="AB210" s="279"/>
      <c r="AC210" s="279"/>
      <c r="AD210" s="279"/>
      <c r="AE210" s="279"/>
      <c r="AF210" s="279"/>
      <c r="AG210" s="280"/>
      <c r="AH210" s="281"/>
      <c r="AI210" s="282"/>
      <c r="AJ210" s="283"/>
      <c r="AK210" s="22" t="s">
        <v>58</v>
      </c>
      <c r="AL210" s="22" t="s">
        <v>58</v>
      </c>
      <c r="AM210" s="22" t="s">
        <v>58</v>
      </c>
    </row>
    <row r="211" spans="1:39" s="22" customFormat="1" x14ac:dyDescent="0.25">
      <c r="A211" s="28" t="str">
        <f>IF(H211&lt;&gt;"",MAX($A$7:A210)+1,"")</f>
        <v/>
      </c>
      <c r="B211" s="243" t="str">
        <f t="shared" si="31"/>
        <v/>
      </c>
      <c r="C211" s="273"/>
      <c r="D211" s="246"/>
      <c r="E211" s="247"/>
      <c r="F211" s="247"/>
      <c r="G211" s="248"/>
      <c r="H211" s="241"/>
      <c r="I211" s="274"/>
      <c r="J211" s="275"/>
      <c r="K211" s="276"/>
      <c r="L211" s="277"/>
      <c r="M211" s="278"/>
      <c r="N211" s="279"/>
      <c r="O211" s="274"/>
      <c r="P211" s="275"/>
      <c r="Q211" s="276"/>
      <c r="R211" s="277"/>
      <c r="S211" s="278"/>
      <c r="T211" s="279"/>
      <c r="U211" s="279"/>
      <c r="V211" s="279"/>
      <c r="W211" s="279"/>
      <c r="X211" s="279"/>
      <c r="Y211" s="279"/>
      <c r="Z211" s="279"/>
      <c r="AA211" s="279"/>
      <c r="AB211" s="279"/>
      <c r="AC211" s="279"/>
      <c r="AD211" s="279"/>
      <c r="AE211" s="279"/>
      <c r="AF211" s="279"/>
      <c r="AG211" s="280"/>
      <c r="AH211" s="281"/>
      <c r="AI211" s="282"/>
      <c r="AJ211" s="283"/>
      <c r="AK211" s="22" t="s">
        <v>58</v>
      </c>
      <c r="AL211" s="22" t="s">
        <v>58</v>
      </c>
      <c r="AM211" s="22" t="s">
        <v>58</v>
      </c>
    </row>
    <row r="212" spans="1:39" s="22" customFormat="1" x14ac:dyDescent="0.25">
      <c r="A212" s="28" t="str">
        <f>IF(H212&lt;&gt;"",MAX($A$7:A211)+1,"")</f>
        <v/>
      </c>
      <c r="B212" s="243" t="str">
        <f t="shared" si="31"/>
        <v/>
      </c>
      <c r="C212" s="273"/>
      <c r="D212" s="246"/>
      <c r="E212" s="247"/>
      <c r="F212" s="247"/>
      <c r="G212" s="248"/>
      <c r="H212" s="241"/>
      <c r="I212" s="274"/>
      <c r="J212" s="275"/>
      <c r="K212" s="276"/>
      <c r="L212" s="277"/>
      <c r="M212" s="278"/>
      <c r="N212" s="279"/>
      <c r="O212" s="274"/>
      <c r="P212" s="275"/>
      <c r="Q212" s="276"/>
      <c r="R212" s="277"/>
      <c r="S212" s="278"/>
      <c r="T212" s="279"/>
      <c r="U212" s="279"/>
      <c r="V212" s="279"/>
      <c r="W212" s="279"/>
      <c r="X212" s="279"/>
      <c r="Y212" s="279"/>
      <c r="Z212" s="279"/>
      <c r="AA212" s="279"/>
      <c r="AB212" s="279"/>
      <c r="AC212" s="279"/>
      <c r="AD212" s="279"/>
      <c r="AE212" s="279"/>
      <c r="AF212" s="279"/>
      <c r="AG212" s="280"/>
      <c r="AH212" s="281"/>
      <c r="AI212" s="282"/>
      <c r="AJ212" s="283"/>
      <c r="AK212" s="22" t="s">
        <v>58</v>
      </c>
      <c r="AL212" s="22" t="s">
        <v>58</v>
      </c>
      <c r="AM212" s="22" t="s">
        <v>58</v>
      </c>
    </row>
    <row r="213" spans="1:39" s="22" customFormat="1" x14ac:dyDescent="0.25">
      <c r="A213" s="28" t="str">
        <f>IF(H213&lt;&gt;"",MAX($A$7:A212)+1,"")</f>
        <v/>
      </c>
      <c r="B213" s="243" t="str">
        <f t="shared" si="31"/>
        <v/>
      </c>
      <c r="C213" s="273"/>
      <c r="D213" s="246"/>
      <c r="E213" s="247"/>
      <c r="F213" s="247"/>
      <c r="G213" s="248"/>
      <c r="H213" s="241"/>
      <c r="I213" s="274"/>
      <c r="J213" s="275"/>
      <c r="K213" s="276"/>
      <c r="L213" s="277"/>
      <c r="M213" s="278"/>
      <c r="N213" s="279"/>
      <c r="O213" s="274"/>
      <c r="P213" s="275"/>
      <c r="Q213" s="276"/>
      <c r="R213" s="277"/>
      <c r="S213" s="278"/>
      <c r="T213" s="279"/>
      <c r="U213" s="279"/>
      <c r="V213" s="279"/>
      <c r="W213" s="279"/>
      <c r="X213" s="279"/>
      <c r="Y213" s="279"/>
      <c r="Z213" s="279"/>
      <c r="AA213" s="279"/>
      <c r="AB213" s="279"/>
      <c r="AC213" s="279"/>
      <c r="AD213" s="279"/>
      <c r="AE213" s="279"/>
      <c r="AF213" s="279"/>
      <c r="AG213" s="280"/>
      <c r="AH213" s="281"/>
      <c r="AI213" s="282"/>
      <c r="AJ213" s="283"/>
      <c r="AK213" s="22" t="s">
        <v>58</v>
      </c>
      <c r="AL213" s="22" t="s">
        <v>58</v>
      </c>
      <c r="AM213" s="22" t="s">
        <v>58</v>
      </c>
    </row>
    <row r="214" spans="1:39" s="22" customFormat="1" x14ac:dyDescent="0.25">
      <c r="A214" s="28" t="str">
        <f>IF(H214&lt;&gt;"",MAX($A$7:A213)+1,"")</f>
        <v/>
      </c>
      <c r="B214" s="243" t="str">
        <f t="shared" si="31"/>
        <v/>
      </c>
      <c r="C214" s="273"/>
      <c r="D214" s="246"/>
      <c r="E214" s="247"/>
      <c r="F214" s="247"/>
      <c r="G214" s="248"/>
      <c r="H214" s="241"/>
      <c r="I214" s="274"/>
      <c r="J214" s="275"/>
      <c r="K214" s="276"/>
      <c r="L214" s="277"/>
      <c r="M214" s="278"/>
      <c r="N214" s="279"/>
      <c r="O214" s="274"/>
      <c r="P214" s="275"/>
      <c r="Q214" s="276"/>
      <c r="R214" s="277"/>
      <c r="S214" s="278"/>
      <c r="T214" s="279"/>
      <c r="U214" s="279"/>
      <c r="V214" s="279"/>
      <c r="W214" s="279"/>
      <c r="X214" s="279"/>
      <c r="Y214" s="279"/>
      <c r="Z214" s="279"/>
      <c r="AA214" s="279"/>
      <c r="AB214" s="279"/>
      <c r="AC214" s="279"/>
      <c r="AD214" s="279"/>
      <c r="AE214" s="279"/>
      <c r="AF214" s="279"/>
      <c r="AG214" s="280"/>
      <c r="AH214" s="281"/>
      <c r="AI214" s="282"/>
      <c r="AJ214" s="283"/>
      <c r="AK214" s="22" t="s">
        <v>58</v>
      </c>
      <c r="AL214" s="22" t="s">
        <v>58</v>
      </c>
      <c r="AM214" s="22" t="s">
        <v>58</v>
      </c>
    </row>
    <row r="215" spans="1:39" s="22" customFormat="1" x14ac:dyDescent="0.25">
      <c r="A215" s="28" t="str">
        <f>IF(H215&lt;&gt;"",MAX($A$7:A214)+1,"")</f>
        <v/>
      </c>
      <c r="B215" s="243" t="str">
        <f t="shared" si="31"/>
        <v/>
      </c>
      <c r="C215" s="273"/>
      <c r="D215" s="246"/>
      <c r="E215" s="247"/>
      <c r="F215" s="247"/>
      <c r="G215" s="248"/>
      <c r="H215" s="241"/>
      <c r="I215" s="274"/>
      <c r="J215" s="275"/>
      <c r="K215" s="276"/>
      <c r="L215" s="277"/>
      <c r="M215" s="278"/>
      <c r="N215" s="279"/>
      <c r="O215" s="274"/>
      <c r="P215" s="275"/>
      <c r="Q215" s="276"/>
      <c r="R215" s="277"/>
      <c r="S215" s="278"/>
      <c r="T215" s="279"/>
      <c r="U215" s="279"/>
      <c r="V215" s="279"/>
      <c r="W215" s="279"/>
      <c r="X215" s="279"/>
      <c r="Y215" s="279"/>
      <c r="Z215" s="279"/>
      <c r="AA215" s="279"/>
      <c r="AB215" s="279"/>
      <c r="AC215" s="279"/>
      <c r="AD215" s="279"/>
      <c r="AE215" s="279"/>
      <c r="AF215" s="279"/>
      <c r="AG215" s="280"/>
      <c r="AH215" s="281"/>
      <c r="AI215" s="282"/>
      <c r="AJ215" s="283"/>
      <c r="AK215" s="22" t="s">
        <v>58</v>
      </c>
      <c r="AL215" s="22" t="s">
        <v>58</v>
      </c>
      <c r="AM215" s="22" t="s">
        <v>58</v>
      </c>
    </row>
    <row r="216" spans="1:39" s="22" customFormat="1" x14ac:dyDescent="0.25">
      <c r="A216" s="28" t="str">
        <f>IF(H216&lt;&gt;"",MAX($A$7:A215)+1,"")</f>
        <v/>
      </c>
      <c r="B216" s="243" t="str">
        <f t="shared" si="31"/>
        <v/>
      </c>
      <c r="C216" s="273"/>
      <c r="D216" s="246"/>
      <c r="E216" s="247"/>
      <c r="F216" s="247"/>
      <c r="G216" s="248"/>
      <c r="H216" s="241"/>
      <c r="I216" s="274"/>
      <c r="J216" s="275"/>
      <c r="K216" s="276"/>
      <c r="L216" s="277"/>
      <c r="M216" s="278"/>
      <c r="N216" s="279"/>
      <c r="O216" s="274"/>
      <c r="P216" s="275"/>
      <c r="Q216" s="276"/>
      <c r="R216" s="277"/>
      <c r="S216" s="278"/>
      <c r="T216" s="279"/>
      <c r="U216" s="279"/>
      <c r="V216" s="279"/>
      <c r="W216" s="279"/>
      <c r="X216" s="279"/>
      <c r="Y216" s="279"/>
      <c r="Z216" s="279"/>
      <c r="AA216" s="279"/>
      <c r="AB216" s="279"/>
      <c r="AC216" s="279"/>
      <c r="AD216" s="279"/>
      <c r="AE216" s="279"/>
      <c r="AF216" s="279"/>
      <c r="AG216" s="280"/>
      <c r="AH216" s="281"/>
      <c r="AI216" s="282"/>
      <c r="AJ216" s="283"/>
      <c r="AK216" s="22" t="s">
        <v>58</v>
      </c>
      <c r="AL216" s="22" t="s">
        <v>58</v>
      </c>
      <c r="AM216" s="22" t="s">
        <v>58</v>
      </c>
    </row>
    <row r="217" spans="1:39" s="22" customFormat="1" x14ac:dyDescent="0.25">
      <c r="A217" s="28" t="str">
        <f>IF(H217&lt;&gt;"",MAX($A$7:A216)+1,"")</f>
        <v/>
      </c>
      <c r="B217" s="243" t="str">
        <f t="shared" si="31"/>
        <v/>
      </c>
      <c r="C217" s="273"/>
      <c r="D217" s="246"/>
      <c r="E217" s="247"/>
      <c r="F217" s="247"/>
      <c r="G217" s="248"/>
      <c r="H217" s="241"/>
      <c r="I217" s="274"/>
      <c r="J217" s="275"/>
      <c r="K217" s="276"/>
      <c r="L217" s="277"/>
      <c r="M217" s="278"/>
      <c r="N217" s="279"/>
      <c r="O217" s="274"/>
      <c r="P217" s="275"/>
      <c r="Q217" s="276"/>
      <c r="R217" s="277"/>
      <c r="S217" s="278"/>
      <c r="T217" s="279"/>
      <c r="U217" s="279"/>
      <c r="V217" s="279"/>
      <c r="W217" s="279"/>
      <c r="X217" s="279"/>
      <c r="Y217" s="279"/>
      <c r="Z217" s="279"/>
      <c r="AA217" s="279"/>
      <c r="AB217" s="279"/>
      <c r="AC217" s="279"/>
      <c r="AD217" s="279"/>
      <c r="AE217" s="279"/>
      <c r="AF217" s="279"/>
      <c r="AG217" s="280"/>
      <c r="AH217" s="281"/>
      <c r="AI217" s="282"/>
      <c r="AJ217" s="283"/>
      <c r="AK217" s="22" t="s">
        <v>58</v>
      </c>
      <c r="AL217" s="22" t="s">
        <v>58</v>
      </c>
      <c r="AM217" s="22" t="s">
        <v>58</v>
      </c>
    </row>
    <row r="218" spans="1:39" s="22" customFormat="1" x14ac:dyDescent="0.25">
      <c r="A218" s="28" t="str">
        <f>IF(H218&lt;&gt;"",MAX($A$7:A217)+1,"")</f>
        <v/>
      </c>
      <c r="B218" s="243" t="str">
        <f t="shared" si="31"/>
        <v/>
      </c>
      <c r="C218" s="273"/>
      <c r="D218" s="246"/>
      <c r="E218" s="247"/>
      <c r="F218" s="247"/>
      <c r="G218" s="248"/>
      <c r="H218" s="241"/>
      <c r="I218" s="274"/>
      <c r="J218" s="275"/>
      <c r="K218" s="276"/>
      <c r="L218" s="277"/>
      <c r="M218" s="278"/>
      <c r="N218" s="279"/>
      <c r="O218" s="274"/>
      <c r="P218" s="275"/>
      <c r="Q218" s="276"/>
      <c r="R218" s="277"/>
      <c r="S218" s="278"/>
      <c r="T218" s="279"/>
      <c r="U218" s="279"/>
      <c r="V218" s="279"/>
      <c r="W218" s="279"/>
      <c r="X218" s="279"/>
      <c r="Y218" s="279"/>
      <c r="Z218" s="279"/>
      <c r="AA218" s="279"/>
      <c r="AB218" s="279"/>
      <c r="AC218" s="279"/>
      <c r="AD218" s="279"/>
      <c r="AE218" s="279"/>
      <c r="AF218" s="279"/>
      <c r="AG218" s="280"/>
      <c r="AH218" s="281"/>
      <c r="AI218" s="282"/>
      <c r="AJ218" s="283"/>
      <c r="AK218" s="22" t="s">
        <v>58</v>
      </c>
      <c r="AL218" s="22" t="s">
        <v>58</v>
      </c>
      <c r="AM218" s="22" t="s">
        <v>58</v>
      </c>
    </row>
    <row r="219" spans="1:39" s="22" customFormat="1" x14ac:dyDescent="0.25">
      <c r="A219" s="28" t="str">
        <f>IF(H219&lt;&gt;"",MAX($A$7:A218)+1,"")</f>
        <v/>
      </c>
      <c r="B219" s="243" t="str">
        <f t="shared" si="31"/>
        <v/>
      </c>
      <c r="C219" s="273"/>
      <c r="D219" s="246"/>
      <c r="E219" s="247"/>
      <c r="F219" s="247"/>
      <c r="G219" s="248"/>
      <c r="H219" s="241"/>
      <c r="I219" s="274"/>
      <c r="J219" s="275"/>
      <c r="K219" s="276"/>
      <c r="L219" s="277"/>
      <c r="M219" s="278"/>
      <c r="N219" s="279"/>
      <c r="O219" s="274"/>
      <c r="P219" s="275"/>
      <c r="Q219" s="276"/>
      <c r="R219" s="277"/>
      <c r="S219" s="278"/>
      <c r="T219" s="279"/>
      <c r="U219" s="279"/>
      <c r="V219" s="279"/>
      <c r="W219" s="279"/>
      <c r="X219" s="279"/>
      <c r="Y219" s="279"/>
      <c r="Z219" s="279"/>
      <c r="AA219" s="279"/>
      <c r="AB219" s="279"/>
      <c r="AC219" s="279"/>
      <c r="AD219" s="279"/>
      <c r="AE219" s="279"/>
      <c r="AF219" s="279"/>
      <c r="AG219" s="280"/>
      <c r="AH219" s="281"/>
      <c r="AI219" s="282"/>
      <c r="AJ219" s="283"/>
      <c r="AK219" s="22" t="s">
        <v>58</v>
      </c>
      <c r="AL219" s="22" t="s">
        <v>58</v>
      </c>
      <c r="AM219" s="22" t="s">
        <v>58</v>
      </c>
    </row>
    <row r="220" spans="1:39" s="22" customFormat="1" x14ac:dyDescent="0.25">
      <c r="A220" s="28" t="str">
        <f>IF(H220&lt;&gt;"",MAX($A$7:A219)+1,"")</f>
        <v/>
      </c>
      <c r="B220" s="243" t="str">
        <f t="shared" si="31"/>
        <v/>
      </c>
      <c r="C220" s="273"/>
      <c r="D220" s="246"/>
      <c r="E220" s="247"/>
      <c r="F220" s="247"/>
      <c r="G220" s="248"/>
      <c r="H220" s="241"/>
      <c r="I220" s="274"/>
      <c r="J220" s="275"/>
      <c r="K220" s="276"/>
      <c r="L220" s="277"/>
      <c r="M220" s="278"/>
      <c r="N220" s="279"/>
      <c r="O220" s="274"/>
      <c r="P220" s="275"/>
      <c r="Q220" s="276"/>
      <c r="R220" s="277"/>
      <c r="S220" s="278"/>
      <c r="T220" s="279"/>
      <c r="U220" s="279"/>
      <c r="V220" s="279"/>
      <c r="W220" s="279"/>
      <c r="X220" s="279"/>
      <c r="Y220" s="279"/>
      <c r="Z220" s="279"/>
      <c r="AA220" s="279"/>
      <c r="AB220" s="279"/>
      <c r="AC220" s="279"/>
      <c r="AD220" s="279"/>
      <c r="AE220" s="279"/>
      <c r="AF220" s="279"/>
      <c r="AG220" s="280"/>
      <c r="AH220" s="281"/>
      <c r="AI220" s="282"/>
      <c r="AJ220" s="283"/>
      <c r="AK220" s="22" t="s">
        <v>58</v>
      </c>
      <c r="AL220" s="22" t="s">
        <v>58</v>
      </c>
      <c r="AM220" s="22" t="s">
        <v>58</v>
      </c>
    </row>
    <row r="221" spans="1:39" s="22" customFormat="1" x14ac:dyDescent="0.25">
      <c r="A221" s="28" t="str">
        <f>IF(H221&lt;&gt;"",MAX($A$7:A220)+1,"")</f>
        <v/>
      </c>
      <c r="B221" s="243" t="str">
        <f t="shared" si="31"/>
        <v/>
      </c>
      <c r="C221" s="273"/>
      <c r="D221" s="246"/>
      <c r="E221" s="247"/>
      <c r="F221" s="247"/>
      <c r="G221" s="248"/>
      <c r="H221" s="241"/>
      <c r="I221" s="274"/>
      <c r="J221" s="275"/>
      <c r="K221" s="276"/>
      <c r="L221" s="277"/>
      <c r="M221" s="278"/>
      <c r="N221" s="279"/>
      <c r="O221" s="274"/>
      <c r="P221" s="275"/>
      <c r="Q221" s="276"/>
      <c r="R221" s="277"/>
      <c r="S221" s="278"/>
      <c r="T221" s="279"/>
      <c r="U221" s="279"/>
      <c r="V221" s="279"/>
      <c r="W221" s="279"/>
      <c r="X221" s="279"/>
      <c r="Y221" s="279"/>
      <c r="Z221" s="279"/>
      <c r="AA221" s="279"/>
      <c r="AB221" s="279"/>
      <c r="AC221" s="279"/>
      <c r="AD221" s="279"/>
      <c r="AE221" s="279"/>
      <c r="AF221" s="279"/>
      <c r="AG221" s="280"/>
      <c r="AH221" s="281"/>
      <c r="AI221" s="282"/>
      <c r="AJ221" s="283"/>
      <c r="AK221" s="22" t="s">
        <v>58</v>
      </c>
      <c r="AL221" s="22" t="s">
        <v>58</v>
      </c>
      <c r="AM221" s="22" t="s">
        <v>58</v>
      </c>
    </row>
    <row r="222" spans="1:39" s="22" customFormat="1" x14ac:dyDescent="0.25">
      <c r="A222" s="28" t="str">
        <f>IF(H222&lt;&gt;"",MAX($A$7:A221)+1,"")</f>
        <v/>
      </c>
      <c r="B222" s="243" t="str">
        <f t="shared" si="31"/>
        <v/>
      </c>
      <c r="C222" s="273"/>
      <c r="D222" s="246"/>
      <c r="E222" s="247"/>
      <c r="F222" s="247"/>
      <c r="G222" s="248"/>
      <c r="H222" s="241"/>
      <c r="I222" s="274"/>
      <c r="J222" s="275"/>
      <c r="K222" s="276"/>
      <c r="L222" s="277"/>
      <c r="M222" s="278"/>
      <c r="N222" s="279"/>
      <c r="O222" s="274"/>
      <c r="P222" s="275"/>
      <c r="Q222" s="276"/>
      <c r="R222" s="277"/>
      <c r="S222" s="278"/>
      <c r="T222" s="279"/>
      <c r="U222" s="279"/>
      <c r="V222" s="279"/>
      <c r="W222" s="279"/>
      <c r="X222" s="279"/>
      <c r="Y222" s="279"/>
      <c r="Z222" s="279"/>
      <c r="AA222" s="279"/>
      <c r="AB222" s="279"/>
      <c r="AC222" s="279"/>
      <c r="AD222" s="279"/>
      <c r="AE222" s="279"/>
      <c r="AF222" s="279"/>
      <c r="AG222" s="280"/>
      <c r="AH222" s="281"/>
      <c r="AI222" s="282"/>
      <c r="AJ222" s="283"/>
      <c r="AK222" s="22" t="s">
        <v>58</v>
      </c>
      <c r="AL222" s="22" t="s">
        <v>58</v>
      </c>
      <c r="AM222" s="22" t="s">
        <v>58</v>
      </c>
    </row>
    <row r="223" spans="1:39" s="22" customFormat="1" x14ac:dyDescent="0.25">
      <c r="A223" s="28" t="str">
        <f>IF(H223&lt;&gt;"",MAX($A$7:A222)+1,"")</f>
        <v/>
      </c>
      <c r="B223" s="243" t="str">
        <f t="shared" si="31"/>
        <v/>
      </c>
      <c r="C223" s="273"/>
      <c r="D223" s="246"/>
      <c r="E223" s="247"/>
      <c r="F223" s="247"/>
      <c r="G223" s="248"/>
      <c r="H223" s="241"/>
      <c r="I223" s="274"/>
      <c r="J223" s="275"/>
      <c r="K223" s="276"/>
      <c r="L223" s="277"/>
      <c r="M223" s="278"/>
      <c r="N223" s="279"/>
      <c r="O223" s="274"/>
      <c r="P223" s="275"/>
      <c r="Q223" s="276"/>
      <c r="R223" s="277"/>
      <c r="S223" s="278"/>
      <c r="T223" s="279"/>
      <c r="U223" s="279"/>
      <c r="V223" s="279"/>
      <c r="W223" s="279"/>
      <c r="X223" s="279"/>
      <c r="Y223" s="279"/>
      <c r="Z223" s="279"/>
      <c r="AA223" s="279"/>
      <c r="AB223" s="279"/>
      <c r="AC223" s="279"/>
      <c r="AD223" s="279"/>
      <c r="AE223" s="279"/>
      <c r="AF223" s="279"/>
      <c r="AG223" s="280"/>
      <c r="AH223" s="281"/>
      <c r="AI223" s="282"/>
      <c r="AJ223" s="283"/>
      <c r="AK223" s="22" t="s">
        <v>58</v>
      </c>
      <c r="AL223" s="22" t="s">
        <v>58</v>
      </c>
      <c r="AM223" s="22" t="s">
        <v>58</v>
      </c>
    </row>
    <row r="224" spans="1:39" s="22" customFormat="1" x14ac:dyDescent="0.25">
      <c r="A224" s="28" t="str">
        <f>IF(H224&lt;&gt;"",MAX($A$7:A223)+1,"")</f>
        <v/>
      </c>
      <c r="B224" s="243" t="str">
        <f t="shared" si="31"/>
        <v/>
      </c>
      <c r="C224" s="273"/>
      <c r="D224" s="246"/>
      <c r="E224" s="247"/>
      <c r="F224" s="247"/>
      <c r="G224" s="248"/>
      <c r="H224" s="241"/>
      <c r="I224" s="274"/>
      <c r="J224" s="275"/>
      <c r="K224" s="276"/>
      <c r="L224" s="277"/>
      <c r="M224" s="278"/>
      <c r="N224" s="279"/>
      <c r="O224" s="274"/>
      <c r="P224" s="275"/>
      <c r="Q224" s="276"/>
      <c r="R224" s="277"/>
      <c r="S224" s="278"/>
      <c r="T224" s="279"/>
      <c r="U224" s="279"/>
      <c r="V224" s="279"/>
      <c r="W224" s="279"/>
      <c r="X224" s="279"/>
      <c r="Y224" s="279"/>
      <c r="Z224" s="279"/>
      <c r="AA224" s="279"/>
      <c r="AB224" s="279"/>
      <c r="AC224" s="279"/>
      <c r="AD224" s="279"/>
      <c r="AE224" s="279"/>
      <c r="AF224" s="279"/>
      <c r="AG224" s="280"/>
      <c r="AH224" s="281"/>
      <c r="AI224" s="282"/>
      <c r="AJ224" s="283"/>
      <c r="AK224" s="22" t="s">
        <v>58</v>
      </c>
      <c r="AL224" s="22" t="s">
        <v>58</v>
      </c>
      <c r="AM224" s="22" t="s">
        <v>58</v>
      </c>
    </row>
    <row r="225" spans="1:39" s="22" customFormat="1" x14ac:dyDescent="0.25">
      <c r="A225" s="28" t="str">
        <f>IF(H225&lt;&gt;"",MAX($A$7:A224)+1,"")</f>
        <v/>
      </c>
      <c r="B225" s="243" t="str">
        <f t="shared" si="31"/>
        <v/>
      </c>
      <c r="C225" s="273"/>
      <c r="D225" s="246"/>
      <c r="E225" s="247"/>
      <c r="F225" s="247"/>
      <c r="G225" s="248"/>
      <c r="H225" s="241"/>
      <c r="I225" s="274"/>
      <c r="J225" s="275"/>
      <c r="K225" s="276"/>
      <c r="L225" s="277"/>
      <c r="M225" s="278"/>
      <c r="N225" s="279"/>
      <c r="O225" s="274"/>
      <c r="P225" s="275"/>
      <c r="Q225" s="276"/>
      <c r="R225" s="277"/>
      <c r="S225" s="278"/>
      <c r="T225" s="279"/>
      <c r="U225" s="279"/>
      <c r="V225" s="279"/>
      <c r="W225" s="279"/>
      <c r="X225" s="279"/>
      <c r="Y225" s="279"/>
      <c r="Z225" s="279"/>
      <c r="AA225" s="279"/>
      <c r="AB225" s="279"/>
      <c r="AC225" s="279"/>
      <c r="AD225" s="279"/>
      <c r="AE225" s="279"/>
      <c r="AF225" s="279"/>
      <c r="AG225" s="280"/>
      <c r="AH225" s="281"/>
      <c r="AI225" s="282"/>
      <c r="AJ225" s="283"/>
      <c r="AK225" s="22" t="s">
        <v>58</v>
      </c>
      <c r="AL225" s="22" t="s">
        <v>58</v>
      </c>
      <c r="AM225" s="22" t="s">
        <v>58</v>
      </c>
    </row>
    <row r="226" spans="1:39" s="22" customFormat="1" x14ac:dyDescent="0.25">
      <c r="A226" s="28" t="str">
        <f>IF(H226&lt;&gt;"",MAX($A$7:A225)+1,"")</f>
        <v/>
      </c>
      <c r="B226" s="243" t="str">
        <f t="shared" si="31"/>
        <v/>
      </c>
      <c r="C226" s="273"/>
      <c r="D226" s="246"/>
      <c r="E226" s="247"/>
      <c r="F226" s="247"/>
      <c r="G226" s="248"/>
      <c r="H226" s="241"/>
      <c r="I226" s="274"/>
      <c r="J226" s="275"/>
      <c r="K226" s="276"/>
      <c r="L226" s="277"/>
      <c r="M226" s="278"/>
      <c r="N226" s="279"/>
      <c r="O226" s="274"/>
      <c r="P226" s="275"/>
      <c r="Q226" s="276"/>
      <c r="R226" s="277"/>
      <c r="S226" s="278"/>
      <c r="T226" s="279"/>
      <c r="U226" s="279"/>
      <c r="V226" s="279"/>
      <c r="W226" s="279"/>
      <c r="X226" s="279"/>
      <c r="Y226" s="279"/>
      <c r="Z226" s="279"/>
      <c r="AA226" s="279"/>
      <c r="AB226" s="279"/>
      <c r="AC226" s="279"/>
      <c r="AD226" s="279"/>
      <c r="AE226" s="279"/>
      <c r="AF226" s="279"/>
      <c r="AG226" s="280"/>
      <c r="AH226" s="281"/>
      <c r="AI226" s="282"/>
      <c r="AJ226" s="283"/>
      <c r="AK226" s="22" t="s">
        <v>58</v>
      </c>
      <c r="AL226" s="22" t="s">
        <v>58</v>
      </c>
      <c r="AM226" s="22" t="s">
        <v>58</v>
      </c>
    </row>
    <row r="227" spans="1:39" s="22" customFormat="1" x14ac:dyDescent="0.25">
      <c r="A227" s="28" t="str">
        <f>IF(H227&lt;&gt;"",MAX($A$7:A226)+1,"")</f>
        <v/>
      </c>
      <c r="B227" s="243" t="str">
        <f t="shared" si="31"/>
        <v/>
      </c>
      <c r="C227" s="273"/>
      <c r="D227" s="246"/>
      <c r="E227" s="247"/>
      <c r="F227" s="247"/>
      <c r="G227" s="248"/>
      <c r="H227" s="241"/>
      <c r="I227" s="274"/>
      <c r="J227" s="275"/>
      <c r="K227" s="276"/>
      <c r="L227" s="277"/>
      <c r="M227" s="278"/>
      <c r="N227" s="279"/>
      <c r="O227" s="274"/>
      <c r="P227" s="275"/>
      <c r="Q227" s="276"/>
      <c r="R227" s="277"/>
      <c r="S227" s="278"/>
      <c r="T227" s="279"/>
      <c r="U227" s="279"/>
      <c r="V227" s="279"/>
      <c r="W227" s="279"/>
      <c r="X227" s="279"/>
      <c r="Y227" s="279"/>
      <c r="Z227" s="279"/>
      <c r="AA227" s="279"/>
      <c r="AB227" s="279"/>
      <c r="AC227" s="279"/>
      <c r="AD227" s="279"/>
      <c r="AE227" s="279"/>
      <c r="AF227" s="279"/>
      <c r="AG227" s="280"/>
      <c r="AH227" s="281"/>
      <c r="AI227" s="282"/>
      <c r="AJ227" s="283"/>
      <c r="AK227" s="22" t="s">
        <v>58</v>
      </c>
      <c r="AL227" s="22" t="s">
        <v>58</v>
      </c>
      <c r="AM227" s="22" t="s">
        <v>58</v>
      </c>
    </row>
    <row r="228" spans="1:39" s="22" customFormat="1" x14ac:dyDescent="0.25">
      <c r="A228" s="28" t="str">
        <f>IF(H228&lt;&gt;"",MAX($A$7:A227)+1,"")</f>
        <v/>
      </c>
      <c r="B228" s="243" t="str">
        <f t="shared" si="31"/>
        <v/>
      </c>
      <c r="C228" s="273"/>
      <c r="D228" s="246"/>
      <c r="E228" s="247"/>
      <c r="F228" s="247"/>
      <c r="G228" s="248"/>
      <c r="H228" s="241"/>
      <c r="I228" s="274"/>
      <c r="J228" s="275"/>
      <c r="K228" s="276"/>
      <c r="L228" s="277"/>
      <c r="M228" s="278"/>
      <c r="N228" s="279"/>
      <c r="O228" s="274"/>
      <c r="P228" s="275"/>
      <c r="Q228" s="276"/>
      <c r="R228" s="277"/>
      <c r="S228" s="278"/>
      <c r="T228" s="279"/>
      <c r="U228" s="279"/>
      <c r="V228" s="279"/>
      <c r="W228" s="279"/>
      <c r="X228" s="279"/>
      <c r="Y228" s="279"/>
      <c r="Z228" s="279"/>
      <c r="AA228" s="279"/>
      <c r="AB228" s="279"/>
      <c r="AC228" s="279"/>
      <c r="AD228" s="279"/>
      <c r="AE228" s="279"/>
      <c r="AF228" s="279"/>
      <c r="AG228" s="280"/>
      <c r="AH228" s="281"/>
      <c r="AI228" s="282"/>
      <c r="AJ228" s="283"/>
      <c r="AK228" s="22" t="s">
        <v>58</v>
      </c>
      <c r="AL228" s="22" t="s">
        <v>58</v>
      </c>
      <c r="AM228" s="22" t="s">
        <v>58</v>
      </c>
    </row>
    <row r="229" spans="1:39" s="22" customFormat="1" x14ac:dyDescent="0.25">
      <c r="A229" s="28" t="str">
        <f>IF(H229&lt;&gt;"",MAX($A$7:A228)+1,"")</f>
        <v/>
      </c>
      <c r="B229" s="243" t="str">
        <f t="shared" si="31"/>
        <v/>
      </c>
      <c r="C229" s="273"/>
      <c r="D229" s="246"/>
      <c r="E229" s="247"/>
      <c r="F229" s="247"/>
      <c r="G229" s="248"/>
      <c r="H229" s="241"/>
      <c r="I229" s="274"/>
      <c r="J229" s="275"/>
      <c r="K229" s="276"/>
      <c r="L229" s="277"/>
      <c r="M229" s="278"/>
      <c r="N229" s="279"/>
      <c r="O229" s="274"/>
      <c r="P229" s="275"/>
      <c r="Q229" s="276"/>
      <c r="R229" s="277"/>
      <c r="S229" s="278"/>
      <c r="T229" s="279"/>
      <c r="U229" s="279"/>
      <c r="V229" s="279"/>
      <c r="W229" s="279"/>
      <c r="X229" s="279"/>
      <c r="Y229" s="279"/>
      <c r="Z229" s="279"/>
      <c r="AA229" s="279"/>
      <c r="AB229" s="279"/>
      <c r="AC229" s="279"/>
      <c r="AD229" s="279"/>
      <c r="AE229" s="279"/>
      <c r="AF229" s="279"/>
      <c r="AG229" s="280"/>
      <c r="AH229" s="281"/>
      <c r="AI229" s="282"/>
      <c r="AJ229" s="283"/>
      <c r="AK229" s="22" t="s">
        <v>58</v>
      </c>
      <c r="AL229" s="22" t="s">
        <v>58</v>
      </c>
      <c r="AM229" s="22" t="s">
        <v>58</v>
      </c>
    </row>
    <row r="230" spans="1:39" s="22" customFormat="1" x14ac:dyDescent="0.25">
      <c r="A230" s="28" t="str">
        <f>IF(H230&lt;&gt;"",MAX($A$7:A229)+1,"")</f>
        <v/>
      </c>
      <c r="B230" s="243" t="str">
        <f t="shared" si="31"/>
        <v/>
      </c>
      <c r="C230" s="273"/>
      <c r="D230" s="246"/>
      <c r="E230" s="247"/>
      <c r="F230" s="247"/>
      <c r="G230" s="248"/>
      <c r="H230" s="241"/>
      <c r="I230" s="274"/>
      <c r="J230" s="275"/>
      <c r="K230" s="276"/>
      <c r="L230" s="277"/>
      <c r="M230" s="278"/>
      <c r="N230" s="279"/>
      <c r="O230" s="274"/>
      <c r="P230" s="275"/>
      <c r="Q230" s="276"/>
      <c r="R230" s="277"/>
      <c r="S230" s="278"/>
      <c r="T230" s="279"/>
      <c r="U230" s="279"/>
      <c r="V230" s="279"/>
      <c r="W230" s="279"/>
      <c r="X230" s="279"/>
      <c r="Y230" s="279"/>
      <c r="Z230" s="279"/>
      <c r="AA230" s="279"/>
      <c r="AB230" s="279"/>
      <c r="AC230" s="279"/>
      <c r="AD230" s="279"/>
      <c r="AE230" s="279"/>
      <c r="AF230" s="279"/>
      <c r="AG230" s="280"/>
      <c r="AH230" s="281"/>
      <c r="AI230" s="282"/>
      <c r="AJ230" s="283"/>
      <c r="AK230" s="22" t="s">
        <v>58</v>
      </c>
      <c r="AL230" s="22" t="s">
        <v>58</v>
      </c>
      <c r="AM230" s="22" t="s">
        <v>58</v>
      </c>
    </row>
    <row r="231" spans="1:39" s="22" customFormat="1" x14ac:dyDescent="0.25">
      <c r="A231" s="28" t="str">
        <f>IF(H231&lt;&gt;"",MAX($A$7:A230)+1,"")</f>
        <v/>
      </c>
      <c r="B231" s="243" t="str">
        <f t="shared" si="31"/>
        <v/>
      </c>
      <c r="C231" s="273"/>
      <c r="D231" s="246"/>
      <c r="E231" s="247"/>
      <c r="F231" s="247"/>
      <c r="G231" s="248"/>
      <c r="H231" s="241"/>
      <c r="I231" s="274"/>
      <c r="J231" s="275"/>
      <c r="K231" s="276"/>
      <c r="L231" s="277"/>
      <c r="M231" s="278"/>
      <c r="N231" s="279"/>
      <c r="O231" s="274"/>
      <c r="P231" s="275"/>
      <c r="Q231" s="276"/>
      <c r="R231" s="277"/>
      <c r="S231" s="278"/>
      <c r="T231" s="279"/>
      <c r="U231" s="279"/>
      <c r="V231" s="279"/>
      <c r="W231" s="279"/>
      <c r="X231" s="279"/>
      <c r="Y231" s="279"/>
      <c r="Z231" s="279"/>
      <c r="AA231" s="279"/>
      <c r="AB231" s="279"/>
      <c r="AC231" s="279"/>
      <c r="AD231" s="279"/>
      <c r="AE231" s="279"/>
      <c r="AF231" s="279"/>
      <c r="AG231" s="280"/>
      <c r="AH231" s="281"/>
      <c r="AI231" s="282"/>
      <c r="AJ231" s="283"/>
      <c r="AK231" s="22" t="s">
        <v>58</v>
      </c>
      <c r="AL231" s="22" t="s">
        <v>58</v>
      </c>
      <c r="AM231" s="22" t="s">
        <v>58</v>
      </c>
    </row>
    <row r="232" spans="1:39" s="22" customFormat="1" x14ac:dyDescent="0.25">
      <c r="A232" s="28" t="str">
        <f>IF(H232&lt;&gt;"",MAX($A$7:A231)+1,"")</f>
        <v/>
      </c>
      <c r="B232" s="243" t="str">
        <f t="shared" si="31"/>
        <v/>
      </c>
      <c r="C232" s="273"/>
      <c r="D232" s="246"/>
      <c r="E232" s="247"/>
      <c r="F232" s="247"/>
      <c r="G232" s="248"/>
      <c r="H232" s="241"/>
      <c r="I232" s="274"/>
      <c r="J232" s="275"/>
      <c r="K232" s="276"/>
      <c r="L232" s="277"/>
      <c r="M232" s="278"/>
      <c r="N232" s="279"/>
      <c r="O232" s="274"/>
      <c r="P232" s="275"/>
      <c r="Q232" s="276"/>
      <c r="R232" s="277"/>
      <c r="S232" s="278"/>
      <c r="T232" s="279"/>
      <c r="U232" s="279"/>
      <c r="V232" s="279"/>
      <c r="W232" s="279"/>
      <c r="X232" s="279"/>
      <c r="Y232" s="279"/>
      <c r="Z232" s="279"/>
      <c r="AA232" s="279"/>
      <c r="AB232" s="279"/>
      <c r="AC232" s="279"/>
      <c r="AD232" s="279"/>
      <c r="AE232" s="279"/>
      <c r="AF232" s="279"/>
      <c r="AG232" s="280"/>
      <c r="AH232" s="281"/>
      <c r="AI232" s="282"/>
      <c r="AJ232" s="283"/>
      <c r="AK232" s="22" t="s">
        <v>58</v>
      </c>
      <c r="AL232" s="22" t="s">
        <v>58</v>
      </c>
      <c r="AM232" s="22" t="s">
        <v>58</v>
      </c>
    </row>
    <row r="233" spans="1:39" s="22" customFormat="1" x14ac:dyDescent="0.25">
      <c r="A233" s="28" t="str">
        <f>IF(H233&lt;&gt;"",MAX($A$7:A232)+1,"")</f>
        <v/>
      </c>
      <c r="B233" s="243" t="str">
        <f t="shared" si="31"/>
        <v/>
      </c>
      <c r="C233" s="273"/>
      <c r="D233" s="246"/>
      <c r="E233" s="247"/>
      <c r="F233" s="247"/>
      <c r="G233" s="248"/>
      <c r="H233" s="241"/>
      <c r="I233" s="274"/>
      <c r="J233" s="275"/>
      <c r="K233" s="276"/>
      <c r="L233" s="277"/>
      <c r="M233" s="278"/>
      <c r="N233" s="279"/>
      <c r="O233" s="274"/>
      <c r="P233" s="275"/>
      <c r="Q233" s="276"/>
      <c r="R233" s="277"/>
      <c r="S233" s="278"/>
      <c r="T233" s="279"/>
      <c r="U233" s="279"/>
      <c r="V233" s="279"/>
      <c r="W233" s="279"/>
      <c r="X233" s="279"/>
      <c r="Y233" s="279"/>
      <c r="Z233" s="279"/>
      <c r="AA233" s="279"/>
      <c r="AB233" s="279"/>
      <c r="AC233" s="279"/>
      <c r="AD233" s="279"/>
      <c r="AE233" s="279"/>
      <c r="AF233" s="279"/>
      <c r="AG233" s="280"/>
      <c r="AH233" s="281"/>
      <c r="AI233" s="282"/>
      <c r="AJ233" s="283"/>
      <c r="AK233" s="22" t="s">
        <v>58</v>
      </c>
      <c r="AL233" s="22" t="s">
        <v>58</v>
      </c>
      <c r="AM233" s="22" t="s">
        <v>58</v>
      </c>
    </row>
    <row r="234" spans="1:39" s="22" customFormat="1" x14ac:dyDescent="0.25">
      <c r="A234" s="28" t="str">
        <f>IF(H234&lt;&gt;"",MAX($A$7:A233)+1,"")</f>
        <v/>
      </c>
      <c r="B234" s="243" t="str">
        <f t="shared" si="31"/>
        <v/>
      </c>
      <c r="C234" s="273"/>
      <c r="D234" s="246"/>
      <c r="E234" s="247"/>
      <c r="F234" s="247"/>
      <c r="G234" s="248"/>
      <c r="H234" s="241"/>
      <c r="I234" s="274"/>
      <c r="J234" s="275"/>
      <c r="K234" s="276"/>
      <c r="L234" s="277"/>
      <c r="M234" s="278"/>
      <c r="N234" s="279"/>
      <c r="O234" s="274"/>
      <c r="P234" s="275"/>
      <c r="Q234" s="276"/>
      <c r="R234" s="277"/>
      <c r="S234" s="278"/>
      <c r="T234" s="279"/>
      <c r="U234" s="279"/>
      <c r="V234" s="279"/>
      <c r="W234" s="279"/>
      <c r="X234" s="279"/>
      <c r="Y234" s="279"/>
      <c r="Z234" s="279"/>
      <c r="AA234" s="279"/>
      <c r="AB234" s="279"/>
      <c r="AC234" s="279"/>
      <c r="AD234" s="279"/>
      <c r="AE234" s="279"/>
      <c r="AF234" s="279"/>
      <c r="AG234" s="280"/>
      <c r="AH234" s="281"/>
      <c r="AI234" s="282"/>
      <c r="AJ234" s="283"/>
      <c r="AK234" s="22" t="s">
        <v>58</v>
      </c>
      <c r="AL234" s="22" t="s">
        <v>58</v>
      </c>
      <c r="AM234" s="22" t="s">
        <v>58</v>
      </c>
    </row>
    <row r="235" spans="1:39" s="22" customFormat="1" x14ac:dyDescent="0.25">
      <c r="A235" s="28" t="str">
        <f>IF(H235&lt;&gt;"",MAX($A$7:A234)+1,"")</f>
        <v/>
      </c>
      <c r="B235" s="243" t="str">
        <f t="shared" si="31"/>
        <v/>
      </c>
      <c r="C235" s="273"/>
      <c r="D235" s="246"/>
      <c r="E235" s="247"/>
      <c r="F235" s="247"/>
      <c r="G235" s="248"/>
      <c r="H235" s="241"/>
      <c r="I235" s="274"/>
      <c r="J235" s="275"/>
      <c r="K235" s="276"/>
      <c r="L235" s="277"/>
      <c r="M235" s="278"/>
      <c r="N235" s="279"/>
      <c r="O235" s="274"/>
      <c r="P235" s="275"/>
      <c r="Q235" s="276"/>
      <c r="R235" s="277"/>
      <c r="S235" s="278"/>
      <c r="T235" s="279"/>
      <c r="U235" s="279"/>
      <c r="V235" s="279"/>
      <c r="W235" s="279"/>
      <c r="X235" s="279"/>
      <c r="Y235" s="279"/>
      <c r="Z235" s="279"/>
      <c r="AA235" s="279"/>
      <c r="AB235" s="279"/>
      <c r="AC235" s="279"/>
      <c r="AD235" s="279"/>
      <c r="AE235" s="279"/>
      <c r="AF235" s="279"/>
      <c r="AG235" s="280"/>
      <c r="AH235" s="281"/>
      <c r="AI235" s="282"/>
      <c r="AJ235" s="283"/>
      <c r="AK235" s="22" t="s">
        <v>58</v>
      </c>
      <c r="AL235" s="22" t="s">
        <v>58</v>
      </c>
      <c r="AM235" s="22" t="s">
        <v>58</v>
      </c>
    </row>
    <row r="236" spans="1:39" s="22" customFormat="1" x14ac:dyDescent="0.25">
      <c r="A236" s="28" t="str">
        <f>IF(H236&lt;&gt;"",MAX($A$7:A235)+1,"")</f>
        <v/>
      </c>
      <c r="B236" s="243" t="str">
        <f t="shared" si="31"/>
        <v/>
      </c>
      <c r="C236" s="273"/>
      <c r="D236" s="246"/>
      <c r="E236" s="247"/>
      <c r="F236" s="247"/>
      <c r="G236" s="248"/>
      <c r="H236" s="241"/>
      <c r="I236" s="274"/>
      <c r="J236" s="275"/>
      <c r="K236" s="276"/>
      <c r="L236" s="277"/>
      <c r="M236" s="278"/>
      <c r="N236" s="279"/>
      <c r="O236" s="274"/>
      <c r="P236" s="275"/>
      <c r="Q236" s="276"/>
      <c r="R236" s="277"/>
      <c r="S236" s="278"/>
      <c r="T236" s="279"/>
      <c r="U236" s="279"/>
      <c r="V236" s="279"/>
      <c r="W236" s="279"/>
      <c r="X236" s="279"/>
      <c r="Y236" s="279"/>
      <c r="Z236" s="279"/>
      <c r="AA236" s="279"/>
      <c r="AB236" s="279"/>
      <c r="AC236" s="279"/>
      <c r="AD236" s="279"/>
      <c r="AE236" s="279"/>
      <c r="AF236" s="279"/>
      <c r="AG236" s="280"/>
      <c r="AH236" s="281"/>
      <c r="AI236" s="282"/>
      <c r="AJ236" s="283"/>
      <c r="AK236" s="22" t="s">
        <v>58</v>
      </c>
      <c r="AL236" s="22" t="s">
        <v>58</v>
      </c>
      <c r="AM236" s="22" t="s">
        <v>58</v>
      </c>
    </row>
    <row r="237" spans="1:39" s="22" customFormat="1" x14ac:dyDescent="0.25">
      <c r="A237" s="28" t="str">
        <f>IF(H237&lt;&gt;"",MAX($A$7:A236)+1,"")</f>
        <v/>
      </c>
      <c r="B237" s="243" t="str">
        <f t="shared" si="31"/>
        <v/>
      </c>
      <c r="C237" s="273"/>
      <c r="D237" s="246"/>
      <c r="E237" s="247"/>
      <c r="F237" s="247"/>
      <c r="G237" s="248"/>
      <c r="H237" s="241"/>
      <c r="I237" s="274"/>
      <c r="J237" s="275"/>
      <c r="K237" s="276"/>
      <c r="L237" s="277"/>
      <c r="M237" s="278"/>
      <c r="N237" s="279"/>
      <c r="O237" s="274"/>
      <c r="P237" s="275"/>
      <c r="Q237" s="276"/>
      <c r="R237" s="277"/>
      <c r="S237" s="278"/>
      <c r="T237" s="279"/>
      <c r="U237" s="279"/>
      <c r="V237" s="279"/>
      <c r="W237" s="279"/>
      <c r="X237" s="279"/>
      <c r="Y237" s="279"/>
      <c r="Z237" s="279"/>
      <c r="AA237" s="279"/>
      <c r="AB237" s="279"/>
      <c r="AC237" s="279"/>
      <c r="AD237" s="279"/>
      <c r="AE237" s="279"/>
      <c r="AF237" s="279"/>
      <c r="AG237" s="280"/>
      <c r="AH237" s="281"/>
      <c r="AI237" s="282"/>
      <c r="AJ237" s="283"/>
      <c r="AK237" s="22" t="s">
        <v>58</v>
      </c>
      <c r="AL237" s="22" t="s">
        <v>58</v>
      </c>
      <c r="AM237" s="22" t="s">
        <v>58</v>
      </c>
    </row>
    <row r="238" spans="1:39" s="22" customFormat="1" x14ac:dyDescent="0.25">
      <c r="A238" s="28" t="str">
        <f>IF(H238&lt;&gt;"",MAX($A$7:A237)+1,"")</f>
        <v/>
      </c>
      <c r="B238" s="243" t="str">
        <f t="shared" si="31"/>
        <v/>
      </c>
      <c r="C238" s="273"/>
      <c r="D238" s="246"/>
      <c r="E238" s="247"/>
      <c r="F238" s="247"/>
      <c r="G238" s="248"/>
      <c r="H238" s="241"/>
      <c r="I238" s="274"/>
      <c r="J238" s="275"/>
      <c r="K238" s="276"/>
      <c r="L238" s="277"/>
      <c r="M238" s="278"/>
      <c r="N238" s="279"/>
      <c r="O238" s="274"/>
      <c r="P238" s="275"/>
      <c r="Q238" s="276"/>
      <c r="R238" s="277"/>
      <c r="S238" s="278"/>
      <c r="T238" s="279"/>
      <c r="U238" s="279"/>
      <c r="V238" s="279"/>
      <c r="W238" s="279"/>
      <c r="X238" s="279"/>
      <c r="Y238" s="279"/>
      <c r="Z238" s="279"/>
      <c r="AA238" s="279"/>
      <c r="AB238" s="279"/>
      <c r="AC238" s="279"/>
      <c r="AD238" s="279"/>
      <c r="AE238" s="279"/>
      <c r="AF238" s="279"/>
      <c r="AG238" s="280"/>
      <c r="AH238" s="281"/>
      <c r="AI238" s="282"/>
      <c r="AJ238" s="283"/>
      <c r="AK238" s="22" t="s">
        <v>58</v>
      </c>
      <c r="AL238" s="22" t="s">
        <v>58</v>
      </c>
      <c r="AM238" s="22" t="s">
        <v>58</v>
      </c>
    </row>
    <row r="239" spans="1:39" s="22" customFormat="1" x14ac:dyDescent="0.25">
      <c r="A239" s="28" t="str">
        <f>IF(H239&lt;&gt;"",MAX($A$7:A238)+1,"")</f>
        <v/>
      </c>
      <c r="B239" s="243" t="str">
        <f t="shared" si="31"/>
        <v/>
      </c>
      <c r="C239" s="273"/>
      <c r="D239" s="246"/>
      <c r="E239" s="247"/>
      <c r="F239" s="247"/>
      <c r="G239" s="248"/>
      <c r="H239" s="241"/>
      <c r="I239" s="274"/>
      <c r="J239" s="275"/>
      <c r="K239" s="276"/>
      <c r="L239" s="277"/>
      <c r="M239" s="278"/>
      <c r="N239" s="279"/>
      <c r="O239" s="274"/>
      <c r="P239" s="275"/>
      <c r="Q239" s="276"/>
      <c r="R239" s="277"/>
      <c r="S239" s="278"/>
      <c r="T239" s="279"/>
      <c r="U239" s="279"/>
      <c r="V239" s="279"/>
      <c r="W239" s="279"/>
      <c r="X239" s="279"/>
      <c r="Y239" s="279"/>
      <c r="Z239" s="279"/>
      <c r="AA239" s="279"/>
      <c r="AB239" s="279"/>
      <c r="AC239" s="279"/>
      <c r="AD239" s="279"/>
      <c r="AE239" s="279"/>
      <c r="AF239" s="279"/>
      <c r="AG239" s="280"/>
      <c r="AH239" s="281"/>
      <c r="AI239" s="282"/>
      <c r="AJ239" s="283"/>
      <c r="AK239" s="22" t="s">
        <v>58</v>
      </c>
      <c r="AL239" s="22" t="s">
        <v>58</v>
      </c>
      <c r="AM239" s="22" t="s">
        <v>58</v>
      </c>
    </row>
    <row r="240" spans="1:39" s="22" customFormat="1" x14ac:dyDescent="0.25">
      <c r="A240" s="28" t="str">
        <f>IF(H240&lt;&gt;"",MAX($A$7:A239)+1,"")</f>
        <v/>
      </c>
      <c r="B240" s="243" t="str">
        <f t="shared" si="31"/>
        <v/>
      </c>
      <c r="C240" s="273"/>
      <c r="D240" s="246"/>
      <c r="E240" s="247"/>
      <c r="F240" s="247"/>
      <c r="G240" s="248"/>
      <c r="H240" s="241"/>
      <c r="I240" s="274"/>
      <c r="J240" s="275"/>
      <c r="K240" s="276"/>
      <c r="L240" s="277"/>
      <c r="M240" s="278"/>
      <c r="N240" s="279"/>
      <c r="O240" s="274"/>
      <c r="P240" s="275"/>
      <c r="Q240" s="276"/>
      <c r="R240" s="277"/>
      <c r="S240" s="278"/>
      <c r="T240" s="279"/>
      <c r="U240" s="279"/>
      <c r="V240" s="279"/>
      <c r="W240" s="279"/>
      <c r="X240" s="279"/>
      <c r="Y240" s="279"/>
      <c r="Z240" s="279"/>
      <c r="AA240" s="279"/>
      <c r="AB240" s="279"/>
      <c r="AC240" s="279"/>
      <c r="AD240" s="279"/>
      <c r="AE240" s="279"/>
      <c r="AF240" s="279"/>
      <c r="AG240" s="280"/>
      <c r="AH240" s="281"/>
      <c r="AI240" s="282"/>
      <c r="AJ240" s="283"/>
      <c r="AK240" s="22" t="s">
        <v>58</v>
      </c>
      <c r="AL240" s="22" t="s">
        <v>58</v>
      </c>
      <c r="AM240" s="22" t="s">
        <v>58</v>
      </c>
    </row>
    <row r="241" spans="1:39" s="22" customFormat="1" x14ac:dyDescent="0.25">
      <c r="A241" s="28" t="str">
        <f>IF(H241&lt;&gt;"",MAX($A$7:A240)+1,"")</f>
        <v/>
      </c>
      <c r="B241" s="243" t="str">
        <f t="shared" si="31"/>
        <v/>
      </c>
      <c r="C241" s="273"/>
      <c r="D241" s="246"/>
      <c r="E241" s="247"/>
      <c r="F241" s="247"/>
      <c r="G241" s="248"/>
      <c r="H241" s="241"/>
      <c r="I241" s="274"/>
      <c r="J241" s="275"/>
      <c r="K241" s="276"/>
      <c r="L241" s="277"/>
      <c r="M241" s="278"/>
      <c r="N241" s="279"/>
      <c r="O241" s="274"/>
      <c r="P241" s="275"/>
      <c r="Q241" s="276"/>
      <c r="R241" s="277"/>
      <c r="S241" s="278"/>
      <c r="T241" s="279"/>
      <c r="U241" s="279"/>
      <c r="V241" s="279"/>
      <c r="W241" s="279"/>
      <c r="X241" s="279"/>
      <c r="Y241" s="279"/>
      <c r="Z241" s="279"/>
      <c r="AA241" s="279"/>
      <c r="AB241" s="279"/>
      <c r="AC241" s="279"/>
      <c r="AD241" s="279"/>
      <c r="AE241" s="279"/>
      <c r="AF241" s="279"/>
      <c r="AG241" s="280"/>
      <c r="AH241" s="281"/>
      <c r="AI241" s="282"/>
      <c r="AJ241" s="283"/>
      <c r="AK241" s="22" t="s">
        <v>58</v>
      </c>
      <c r="AL241" s="22" t="s">
        <v>58</v>
      </c>
      <c r="AM241" s="22" t="s">
        <v>58</v>
      </c>
    </row>
    <row r="242" spans="1:39" s="22" customFormat="1" x14ac:dyDescent="0.25">
      <c r="A242" s="28" t="str">
        <f>IF(H242&lt;&gt;"",MAX($A$7:A241)+1,"")</f>
        <v/>
      </c>
      <c r="B242" s="243" t="str">
        <f t="shared" si="31"/>
        <v/>
      </c>
      <c r="C242" s="273"/>
      <c r="D242" s="246"/>
      <c r="E242" s="247"/>
      <c r="F242" s="247"/>
      <c r="G242" s="248"/>
      <c r="H242" s="241"/>
      <c r="I242" s="274"/>
      <c r="J242" s="275"/>
      <c r="K242" s="276"/>
      <c r="L242" s="277"/>
      <c r="M242" s="278"/>
      <c r="N242" s="279"/>
      <c r="O242" s="274"/>
      <c r="P242" s="275"/>
      <c r="Q242" s="276"/>
      <c r="R242" s="277"/>
      <c r="S242" s="278"/>
      <c r="T242" s="279"/>
      <c r="U242" s="279"/>
      <c r="V242" s="279"/>
      <c r="W242" s="279"/>
      <c r="X242" s="279"/>
      <c r="Y242" s="279"/>
      <c r="Z242" s="279"/>
      <c r="AA242" s="279"/>
      <c r="AB242" s="279"/>
      <c r="AC242" s="279"/>
      <c r="AD242" s="279"/>
      <c r="AE242" s="279"/>
      <c r="AF242" s="279"/>
      <c r="AG242" s="280"/>
      <c r="AH242" s="281"/>
      <c r="AI242" s="282"/>
      <c r="AJ242" s="283"/>
      <c r="AK242" s="22" t="s">
        <v>58</v>
      </c>
      <c r="AL242" s="22" t="s">
        <v>58</v>
      </c>
      <c r="AM242" s="22" t="s">
        <v>58</v>
      </c>
    </row>
    <row r="243" spans="1:39" s="22" customFormat="1" x14ac:dyDescent="0.25">
      <c r="A243" s="28" t="str">
        <f>IF(H243&lt;&gt;"",MAX($A$7:A242)+1,"")</f>
        <v/>
      </c>
      <c r="B243" s="243" t="str">
        <f t="shared" si="31"/>
        <v/>
      </c>
      <c r="C243" s="273"/>
      <c r="D243" s="246"/>
      <c r="E243" s="247"/>
      <c r="F243" s="247"/>
      <c r="G243" s="248"/>
      <c r="H243" s="241"/>
      <c r="I243" s="274"/>
      <c r="J243" s="275"/>
      <c r="K243" s="276"/>
      <c r="L243" s="277"/>
      <c r="M243" s="278"/>
      <c r="N243" s="279"/>
      <c r="O243" s="274"/>
      <c r="P243" s="275"/>
      <c r="Q243" s="276"/>
      <c r="R243" s="277"/>
      <c r="S243" s="278"/>
      <c r="T243" s="279"/>
      <c r="U243" s="279"/>
      <c r="V243" s="279"/>
      <c r="W243" s="279"/>
      <c r="X243" s="279"/>
      <c r="Y243" s="279"/>
      <c r="Z243" s="279"/>
      <c r="AA243" s="279"/>
      <c r="AB243" s="279"/>
      <c r="AC243" s="279"/>
      <c r="AD243" s="279"/>
      <c r="AE243" s="279"/>
      <c r="AF243" s="279"/>
      <c r="AG243" s="280"/>
      <c r="AH243" s="281"/>
      <c r="AI243" s="282"/>
      <c r="AJ243" s="283"/>
      <c r="AK243" s="22" t="s">
        <v>58</v>
      </c>
      <c r="AL243" s="22" t="s">
        <v>58</v>
      </c>
      <c r="AM243" s="22" t="s">
        <v>58</v>
      </c>
    </row>
    <row r="244" spans="1:39" s="22" customFormat="1" x14ac:dyDescent="0.25">
      <c r="A244" s="28" t="str">
        <f>IF(H244&lt;&gt;"",MAX($A$7:A243)+1,"")</f>
        <v/>
      </c>
      <c r="B244" s="243" t="str">
        <f t="shared" si="31"/>
        <v/>
      </c>
      <c r="C244" s="273"/>
      <c r="D244" s="246"/>
      <c r="E244" s="247"/>
      <c r="F244" s="247"/>
      <c r="G244" s="248"/>
      <c r="H244" s="241"/>
      <c r="I244" s="274"/>
      <c r="J244" s="275"/>
      <c r="K244" s="276"/>
      <c r="L244" s="277"/>
      <c r="M244" s="278"/>
      <c r="N244" s="279"/>
      <c r="O244" s="274"/>
      <c r="P244" s="275"/>
      <c r="Q244" s="276"/>
      <c r="R244" s="277"/>
      <c r="S244" s="278"/>
      <c r="T244" s="279"/>
      <c r="U244" s="279"/>
      <c r="V244" s="279"/>
      <c r="W244" s="279"/>
      <c r="X244" s="279"/>
      <c r="Y244" s="279"/>
      <c r="Z244" s="279"/>
      <c r="AA244" s="279"/>
      <c r="AB244" s="279"/>
      <c r="AC244" s="279"/>
      <c r="AD244" s="279"/>
      <c r="AE244" s="279"/>
      <c r="AF244" s="279"/>
      <c r="AG244" s="280"/>
      <c r="AH244" s="281"/>
      <c r="AI244" s="282"/>
      <c r="AJ244" s="283"/>
      <c r="AK244" s="22" t="s">
        <v>58</v>
      </c>
      <c r="AL244" s="22" t="s">
        <v>58</v>
      </c>
      <c r="AM244" s="22" t="s">
        <v>58</v>
      </c>
    </row>
    <row r="245" spans="1:39" s="22" customFormat="1" x14ac:dyDescent="0.25">
      <c r="A245" s="28" t="str">
        <f>IF(H245&lt;&gt;"",MAX($A$7:A244)+1,"")</f>
        <v/>
      </c>
      <c r="B245" s="243" t="str">
        <f t="shared" si="31"/>
        <v/>
      </c>
      <c r="C245" s="273"/>
      <c r="D245" s="246"/>
      <c r="E245" s="247"/>
      <c r="F245" s="247"/>
      <c r="G245" s="248"/>
      <c r="H245" s="241"/>
      <c r="I245" s="274"/>
      <c r="J245" s="275"/>
      <c r="K245" s="276"/>
      <c r="L245" s="277"/>
      <c r="M245" s="278"/>
      <c r="N245" s="279"/>
      <c r="O245" s="274"/>
      <c r="P245" s="275"/>
      <c r="Q245" s="276"/>
      <c r="R245" s="277"/>
      <c r="S245" s="278"/>
      <c r="T245" s="279"/>
      <c r="U245" s="279"/>
      <c r="V245" s="279"/>
      <c r="W245" s="279"/>
      <c r="X245" s="279"/>
      <c r="Y245" s="279"/>
      <c r="Z245" s="279"/>
      <c r="AA245" s="279"/>
      <c r="AB245" s="279"/>
      <c r="AC245" s="279"/>
      <c r="AD245" s="279"/>
      <c r="AE245" s="279"/>
      <c r="AF245" s="279"/>
      <c r="AG245" s="280"/>
      <c r="AH245" s="281"/>
      <c r="AI245" s="282"/>
      <c r="AJ245" s="283"/>
      <c r="AK245" s="22" t="s">
        <v>58</v>
      </c>
      <c r="AL245" s="22" t="s">
        <v>58</v>
      </c>
      <c r="AM245" s="22" t="s">
        <v>58</v>
      </c>
    </row>
    <row r="246" spans="1:39" s="22" customFormat="1" x14ac:dyDescent="0.25">
      <c r="A246" s="28" t="str">
        <f>IF(H246&lt;&gt;"",MAX($A$7:A245)+1,"")</f>
        <v/>
      </c>
      <c r="B246" s="243" t="str">
        <f t="shared" si="31"/>
        <v/>
      </c>
      <c r="C246" s="273"/>
      <c r="D246" s="246"/>
      <c r="E246" s="247"/>
      <c r="F246" s="247"/>
      <c r="G246" s="248"/>
      <c r="H246" s="241"/>
      <c r="I246" s="274"/>
      <c r="J246" s="275"/>
      <c r="K246" s="276"/>
      <c r="L246" s="277"/>
      <c r="M246" s="278"/>
      <c r="N246" s="279"/>
      <c r="O246" s="274"/>
      <c r="P246" s="275"/>
      <c r="Q246" s="276"/>
      <c r="R246" s="277"/>
      <c r="S246" s="278"/>
      <c r="T246" s="279"/>
      <c r="U246" s="279"/>
      <c r="V246" s="279"/>
      <c r="W246" s="279"/>
      <c r="X246" s="279"/>
      <c r="Y246" s="279"/>
      <c r="Z246" s="279"/>
      <c r="AA246" s="279"/>
      <c r="AB246" s="279"/>
      <c r="AC246" s="279"/>
      <c r="AD246" s="279"/>
      <c r="AE246" s="279"/>
      <c r="AF246" s="279"/>
      <c r="AG246" s="280"/>
      <c r="AH246" s="281"/>
      <c r="AI246" s="282"/>
      <c r="AJ246" s="283"/>
      <c r="AK246" s="22" t="s">
        <v>58</v>
      </c>
      <c r="AL246" s="22" t="s">
        <v>58</v>
      </c>
      <c r="AM246" s="22" t="s">
        <v>58</v>
      </c>
    </row>
    <row r="247" spans="1:39" s="22" customFormat="1" x14ac:dyDescent="0.25">
      <c r="A247" s="28" t="str">
        <f>IF(H247&lt;&gt;"",MAX($A$7:A246)+1,"")</f>
        <v/>
      </c>
      <c r="B247" s="243" t="str">
        <f t="shared" si="31"/>
        <v/>
      </c>
      <c r="C247" s="273"/>
      <c r="D247" s="246"/>
      <c r="E247" s="247"/>
      <c r="F247" s="247"/>
      <c r="G247" s="248"/>
      <c r="H247" s="241"/>
      <c r="I247" s="274"/>
      <c r="J247" s="275"/>
      <c r="K247" s="276"/>
      <c r="L247" s="277"/>
      <c r="M247" s="278"/>
      <c r="N247" s="279"/>
      <c r="O247" s="274"/>
      <c r="P247" s="275"/>
      <c r="Q247" s="276"/>
      <c r="R247" s="277"/>
      <c r="S247" s="278"/>
      <c r="T247" s="279"/>
      <c r="U247" s="279"/>
      <c r="V247" s="279"/>
      <c r="W247" s="279"/>
      <c r="X247" s="279"/>
      <c r="Y247" s="279"/>
      <c r="Z247" s="279"/>
      <c r="AA247" s="279"/>
      <c r="AB247" s="279"/>
      <c r="AC247" s="279"/>
      <c r="AD247" s="279"/>
      <c r="AE247" s="279"/>
      <c r="AF247" s="279"/>
      <c r="AG247" s="280"/>
      <c r="AH247" s="281"/>
      <c r="AI247" s="282"/>
      <c r="AJ247" s="283"/>
      <c r="AK247" s="22" t="s">
        <v>58</v>
      </c>
      <c r="AL247" s="22" t="s">
        <v>58</v>
      </c>
      <c r="AM247" s="22" t="s">
        <v>58</v>
      </c>
    </row>
    <row r="248" spans="1:39" s="22" customFormat="1" x14ac:dyDescent="0.25">
      <c r="A248" s="28" t="str">
        <f>IF(H248&lt;&gt;"",MAX($A$7:A247)+1,"")</f>
        <v/>
      </c>
      <c r="B248" s="243" t="str">
        <f t="shared" si="31"/>
        <v/>
      </c>
      <c r="C248" s="273"/>
      <c r="D248" s="246"/>
      <c r="E248" s="247"/>
      <c r="F248" s="247"/>
      <c r="G248" s="248"/>
      <c r="H248" s="241"/>
      <c r="I248" s="274"/>
      <c r="J248" s="275"/>
      <c r="K248" s="276"/>
      <c r="L248" s="277"/>
      <c r="M248" s="278"/>
      <c r="N248" s="279"/>
      <c r="O248" s="274"/>
      <c r="P248" s="275"/>
      <c r="Q248" s="276"/>
      <c r="R248" s="277"/>
      <c r="S248" s="278"/>
      <c r="T248" s="279"/>
      <c r="U248" s="279"/>
      <c r="V248" s="279"/>
      <c r="W248" s="279"/>
      <c r="X248" s="279"/>
      <c r="Y248" s="279"/>
      <c r="Z248" s="279"/>
      <c r="AA248" s="279"/>
      <c r="AB248" s="279"/>
      <c r="AC248" s="279"/>
      <c r="AD248" s="279"/>
      <c r="AE248" s="279"/>
      <c r="AF248" s="279"/>
      <c r="AG248" s="280"/>
      <c r="AH248" s="281"/>
      <c r="AI248" s="282"/>
      <c r="AJ248" s="283"/>
      <c r="AK248" s="22" t="s">
        <v>58</v>
      </c>
      <c r="AL248" s="22" t="s">
        <v>58</v>
      </c>
      <c r="AM248" s="22" t="s">
        <v>58</v>
      </c>
    </row>
    <row r="249" spans="1:39" s="22" customFormat="1" x14ac:dyDescent="0.25">
      <c r="A249" s="28" t="str">
        <f>IF(H249&lt;&gt;"",MAX($A$7:A248)+1,"")</f>
        <v/>
      </c>
      <c r="B249" s="243" t="str">
        <f t="shared" si="31"/>
        <v/>
      </c>
      <c r="C249" s="273"/>
      <c r="D249" s="246"/>
      <c r="E249" s="247"/>
      <c r="F249" s="247"/>
      <c r="G249" s="248"/>
      <c r="H249" s="241"/>
      <c r="I249" s="274"/>
      <c r="J249" s="275"/>
      <c r="K249" s="276"/>
      <c r="L249" s="277"/>
      <c r="M249" s="278"/>
      <c r="N249" s="279"/>
      <c r="O249" s="274"/>
      <c r="P249" s="275"/>
      <c r="Q249" s="276"/>
      <c r="R249" s="277"/>
      <c r="S249" s="278"/>
      <c r="T249" s="279"/>
      <c r="U249" s="279"/>
      <c r="V249" s="279"/>
      <c r="W249" s="279"/>
      <c r="X249" s="279"/>
      <c r="Y249" s="279"/>
      <c r="Z249" s="279"/>
      <c r="AA249" s="279"/>
      <c r="AB249" s="279"/>
      <c r="AC249" s="279"/>
      <c r="AD249" s="279"/>
      <c r="AE249" s="279"/>
      <c r="AF249" s="279"/>
      <c r="AG249" s="280"/>
      <c r="AH249" s="281"/>
      <c r="AI249" s="282"/>
      <c r="AJ249" s="283"/>
      <c r="AK249" s="22" t="s">
        <v>58</v>
      </c>
      <c r="AL249" s="22" t="s">
        <v>58</v>
      </c>
      <c r="AM249" s="22" t="s">
        <v>58</v>
      </c>
    </row>
    <row r="250" spans="1:39" s="22" customFormat="1" x14ac:dyDescent="0.25">
      <c r="A250" s="28" t="str">
        <f>IF(H250&lt;&gt;"",MAX($A$7:A249)+1,"")</f>
        <v/>
      </c>
      <c r="B250" s="243" t="str">
        <f t="shared" si="31"/>
        <v/>
      </c>
      <c r="C250" s="273"/>
      <c r="D250" s="246"/>
      <c r="E250" s="247"/>
      <c r="F250" s="247"/>
      <c r="G250" s="248"/>
      <c r="H250" s="241"/>
      <c r="I250" s="274"/>
      <c r="J250" s="275"/>
      <c r="K250" s="276"/>
      <c r="L250" s="277"/>
      <c r="M250" s="278"/>
      <c r="N250" s="279"/>
      <c r="O250" s="274"/>
      <c r="P250" s="275"/>
      <c r="Q250" s="276"/>
      <c r="R250" s="277"/>
      <c r="S250" s="278"/>
      <c r="T250" s="279"/>
      <c r="U250" s="279"/>
      <c r="V250" s="279"/>
      <c r="W250" s="279"/>
      <c r="X250" s="279"/>
      <c r="Y250" s="279"/>
      <c r="Z250" s="279"/>
      <c r="AA250" s="279"/>
      <c r="AB250" s="279"/>
      <c r="AC250" s="279"/>
      <c r="AD250" s="279"/>
      <c r="AE250" s="279"/>
      <c r="AF250" s="279"/>
      <c r="AG250" s="280"/>
      <c r="AH250" s="281"/>
      <c r="AI250" s="282"/>
      <c r="AJ250" s="283"/>
      <c r="AK250" s="22" t="s">
        <v>58</v>
      </c>
      <c r="AL250" s="22" t="s">
        <v>58</v>
      </c>
      <c r="AM250" s="22" t="s">
        <v>58</v>
      </c>
    </row>
    <row r="251" spans="1:39" s="22" customFormat="1" x14ac:dyDescent="0.25">
      <c r="A251" s="28" t="str">
        <f>IF(H251&lt;&gt;"",MAX($A$7:A250)+1,"")</f>
        <v/>
      </c>
      <c r="B251" s="243" t="str">
        <f t="shared" si="31"/>
        <v/>
      </c>
      <c r="C251" s="273"/>
      <c r="D251" s="246"/>
      <c r="E251" s="247"/>
      <c r="F251" s="247"/>
      <c r="G251" s="248"/>
      <c r="H251" s="241"/>
      <c r="I251" s="274"/>
      <c r="J251" s="275"/>
      <c r="K251" s="276"/>
      <c r="L251" s="277"/>
      <c r="M251" s="278"/>
      <c r="N251" s="279"/>
      <c r="O251" s="274"/>
      <c r="P251" s="275"/>
      <c r="Q251" s="276"/>
      <c r="R251" s="277"/>
      <c r="S251" s="278"/>
      <c r="T251" s="279"/>
      <c r="U251" s="279"/>
      <c r="V251" s="279"/>
      <c r="W251" s="279"/>
      <c r="X251" s="279"/>
      <c r="Y251" s="279"/>
      <c r="Z251" s="279"/>
      <c r="AA251" s="279"/>
      <c r="AB251" s="279"/>
      <c r="AC251" s="279"/>
      <c r="AD251" s="279"/>
      <c r="AE251" s="279"/>
      <c r="AF251" s="279"/>
      <c r="AG251" s="280"/>
      <c r="AH251" s="281"/>
      <c r="AI251" s="282"/>
      <c r="AJ251" s="283"/>
      <c r="AK251" s="22" t="s">
        <v>58</v>
      </c>
      <c r="AL251" s="22" t="s">
        <v>58</v>
      </c>
      <c r="AM251" s="22" t="s">
        <v>58</v>
      </c>
    </row>
    <row r="252" spans="1:39" s="22" customFormat="1" x14ac:dyDescent="0.25">
      <c r="A252" s="28" t="str">
        <f>IF(H252&lt;&gt;"",MAX($A$7:A251)+1,"")</f>
        <v/>
      </c>
      <c r="B252" s="243" t="str">
        <f t="shared" si="31"/>
        <v/>
      </c>
      <c r="C252" s="273"/>
      <c r="D252" s="246"/>
      <c r="E252" s="247"/>
      <c r="F252" s="247"/>
      <c r="G252" s="248"/>
      <c r="H252" s="241"/>
      <c r="I252" s="274"/>
      <c r="J252" s="275"/>
      <c r="K252" s="276"/>
      <c r="L252" s="277"/>
      <c r="M252" s="278"/>
      <c r="N252" s="279"/>
      <c r="O252" s="274"/>
      <c r="P252" s="275"/>
      <c r="Q252" s="276"/>
      <c r="R252" s="277"/>
      <c r="S252" s="278"/>
      <c r="T252" s="279"/>
      <c r="U252" s="279"/>
      <c r="V252" s="279"/>
      <c r="W252" s="279"/>
      <c r="X252" s="279"/>
      <c r="Y252" s="279"/>
      <c r="Z252" s="279"/>
      <c r="AA252" s="279"/>
      <c r="AB252" s="279"/>
      <c r="AC252" s="279"/>
      <c r="AD252" s="279"/>
      <c r="AE252" s="279"/>
      <c r="AF252" s="279"/>
      <c r="AG252" s="280"/>
      <c r="AH252" s="281"/>
      <c r="AI252" s="282"/>
      <c r="AJ252" s="283"/>
      <c r="AK252" s="22" t="s">
        <v>58</v>
      </c>
      <c r="AL252" s="22" t="s">
        <v>58</v>
      </c>
      <c r="AM252" s="22" t="s">
        <v>58</v>
      </c>
    </row>
    <row r="253" spans="1:39" s="22" customFormat="1" x14ac:dyDescent="0.25">
      <c r="A253" s="28" t="str">
        <f>IF(H253&lt;&gt;"",MAX($A$7:A252)+1,"")</f>
        <v/>
      </c>
      <c r="B253" s="243" t="str">
        <f t="shared" si="31"/>
        <v/>
      </c>
      <c r="C253" s="273"/>
      <c r="D253" s="246"/>
      <c r="E253" s="247"/>
      <c r="F253" s="247"/>
      <c r="G253" s="248"/>
      <c r="H253" s="241"/>
      <c r="I253" s="274"/>
      <c r="J253" s="275"/>
      <c r="K253" s="276"/>
      <c r="L253" s="277"/>
      <c r="M253" s="278"/>
      <c r="N253" s="279"/>
      <c r="O253" s="274"/>
      <c r="P253" s="275"/>
      <c r="Q253" s="276"/>
      <c r="R253" s="277"/>
      <c r="S253" s="278"/>
      <c r="T253" s="279"/>
      <c r="U253" s="279"/>
      <c r="V253" s="279"/>
      <c r="W253" s="279"/>
      <c r="X253" s="279"/>
      <c r="Y253" s="279"/>
      <c r="Z253" s="279"/>
      <c r="AA253" s="279"/>
      <c r="AB253" s="279"/>
      <c r="AC253" s="279"/>
      <c r="AD253" s="279"/>
      <c r="AE253" s="279"/>
      <c r="AF253" s="279"/>
      <c r="AG253" s="280"/>
      <c r="AH253" s="281"/>
      <c r="AI253" s="282"/>
      <c r="AJ253" s="283"/>
      <c r="AK253" s="22" t="s">
        <v>58</v>
      </c>
      <c r="AL253" s="22" t="s">
        <v>58</v>
      </c>
      <c r="AM253" s="22" t="s">
        <v>58</v>
      </c>
    </row>
    <row r="254" spans="1:39" s="22" customFormat="1" x14ac:dyDescent="0.25">
      <c r="A254" s="28" t="str">
        <f>IF(H254&lt;&gt;"",MAX($A$7:A253)+1,"")</f>
        <v/>
      </c>
      <c r="B254" s="243" t="str">
        <f t="shared" si="31"/>
        <v/>
      </c>
      <c r="C254" s="273"/>
      <c r="D254" s="246"/>
      <c r="E254" s="247"/>
      <c r="F254" s="247"/>
      <c r="G254" s="248"/>
      <c r="H254" s="241"/>
      <c r="I254" s="274"/>
      <c r="J254" s="275"/>
      <c r="K254" s="276"/>
      <c r="L254" s="277"/>
      <c r="M254" s="278"/>
      <c r="N254" s="279"/>
      <c r="O254" s="274"/>
      <c r="P254" s="275"/>
      <c r="Q254" s="276"/>
      <c r="R254" s="277"/>
      <c r="S254" s="278"/>
      <c r="T254" s="279"/>
      <c r="U254" s="279"/>
      <c r="V254" s="279"/>
      <c r="W254" s="279"/>
      <c r="X254" s="279"/>
      <c r="Y254" s="279"/>
      <c r="Z254" s="279"/>
      <c r="AA254" s="279"/>
      <c r="AB254" s="279"/>
      <c r="AC254" s="279"/>
      <c r="AD254" s="279"/>
      <c r="AE254" s="279"/>
      <c r="AF254" s="279"/>
      <c r="AG254" s="280"/>
      <c r="AH254" s="281"/>
      <c r="AI254" s="282"/>
      <c r="AJ254" s="283"/>
      <c r="AK254" s="22" t="s">
        <v>58</v>
      </c>
      <c r="AL254" s="22" t="s">
        <v>58</v>
      </c>
      <c r="AM254" s="22" t="s">
        <v>58</v>
      </c>
    </row>
    <row r="255" spans="1:39" s="22" customFormat="1" x14ac:dyDescent="0.25">
      <c r="A255" s="28" t="str">
        <f>IF(H255&lt;&gt;"",MAX($A$7:A254)+1,"")</f>
        <v/>
      </c>
      <c r="B255" s="243" t="str">
        <f t="shared" si="31"/>
        <v/>
      </c>
      <c r="C255" s="273"/>
      <c r="D255" s="246"/>
      <c r="E255" s="247"/>
      <c r="F255" s="247"/>
      <c r="G255" s="248"/>
      <c r="H255" s="241"/>
      <c r="I255" s="274"/>
      <c r="J255" s="275"/>
      <c r="K255" s="276"/>
      <c r="L255" s="277"/>
      <c r="M255" s="278"/>
      <c r="N255" s="279"/>
      <c r="O255" s="274"/>
      <c r="P255" s="275"/>
      <c r="Q255" s="276"/>
      <c r="R255" s="277"/>
      <c r="S255" s="278"/>
      <c r="T255" s="279"/>
      <c r="U255" s="279"/>
      <c r="V255" s="279"/>
      <c r="W255" s="279"/>
      <c r="X255" s="279"/>
      <c r="Y255" s="279"/>
      <c r="Z255" s="279"/>
      <c r="AA255" s="279"/>
      <c r="AB255" s="279"/>
      <c r="AC255" s="279"/>
      <c r="AD255" s="279"/>
      <c r="AE255" s="279"/>
      <c r="AF255" s="279"/>
      <c r="AG255" s="280"/>
      <c r="AH255" s="281"/>
      <c r="AI255" s="282"/>
      <c r="AJ255" s="283"/>
      <c r="AK255" s="22" t="s">
        <v>58</v>
      </c>
      <c r="AL255" s="22" t="s">
        <v>58</v>
      </c>
      <c r="AM255" s="22" t="s">
        <v>58</v>
      </c>
    </row>
    <row r="256" spans="1:39" s="22" customFormat="1" x14ac:dyDescent="0.25">
      <c r="A256" s="28" t="str">
        <f>IF(H256&lt;&gt;"",MAX($A$7:A255)+1,"")</f>
        <v/>
      </c>
      <c r="B256" s="243" t="str">
        <f t="shared" si="31"/>
        <v/>
      </c>
      <c r="C256" s="273"/>
      <c r="D256" s="246"/>
      <c r="E256" s="247"/>
      <c r="F256" s="247"/>
      <c r="G256" s="248"/>
      <c r="H256" s="241"/>
      <c r="I256" s="274"/>
      <c r="J256" s="275"/>
      <c r="K256" s="276"/>
      <c r="L256" s="277"/>
      <c r="M256" s="278"/>
      <c r="N256" s="279"/>
      <c r="O256" s="274"/>
      <c r="P256" s="275"/>
      <c r="Q256" s="276"/>
      <c r="R256" s="277"/>
      <c r="S256" s="278"/>
      <c r="T256" s="279"/>
      <c r="U256" s="279"/>
      <c r="V256" s="279"/>
      <c r="W256" s="279"/>
      <c r="X256" s="279"/>
      <c r="Y256" s="279"/>
      <c r="Z256" s="279"/>
      <c r="AA256" s="279"/>
      <c r="AB256" s="279"/>
      <c r="AC256" s="279"/>
      <c r="AD256" s="279"/>
      <c r="AE256" s="279"/>
      <c r="AF256" s="279"/>
      <c r="AG256" s="280"/>
      <c r="AH256" s="281"/>
      <c r="AI256" s="282"/>
      <c r="AJ256" s="283"/>
      <c r="AK256" s="22" t="s">
        <v>58</v>
      </c>
      <c r="AL256" s="22" t="s">
        <v>58</v>
      </c>
      <c r="AM256" s="22" t="s">
        <v>58</v>
      </c>
    </row>
    <row r="257" spans="1:39" s="22" customFormat="1" x14ac:dyDescent="0.25">
      <c r="A257" s="28" t="str">
        <f>IF(H257&lt;&gt;"",MAX($A$7:A256)+1,"")</f>
        <v/>
      </c>
      <c r="B257" s="243" t="str">
        <f t="shared" si="31"/>
        <v/>
      </c>
      <c r="C257" s="273"/>
      <c r="D257" s="246"/>
      <c r="E257" s="247"/>
      <c r="F257" s="247"/>
      <c r="G257" s="248"/>
      <c r="H257" s="241"/>
      <c r="I257" s="274"/>
      <c r="J257" s="275"/>
      <c r="K257" s="276"/>
      <c r="L257" s="277"/>
      <c r="M257" s="278"/>
      <c r="N257" s="279"/>
      <c r="O257" s="274"/>
      <c r="P257" s="275"/>
      <c r="Q257" s="276"/>
      <c r="R257" s="277"/>
      <c r="S257" s="278"/>
      <c r="T257" s="279"/>
      <c r="U257" s="279"/>
      <c r="V257" s="279"/>
      <c r="W257" s="279"/>
      <c r="X257" s="279"/>
      <c r="Y257" s="279"/>
      <c r="Z257" s="279"/>
      <c r="AA257" s="279"/>
      <c r="AB257" s="279"/>
      <c r="AC257" s="279"/>
      <c r="AD257" s="279"/>
      <c r="AE257" s="279"/>
      <c r="AF257" s="279"/>
      <c r="AG257" s="280"/>
      <c r="AH257" s="281"/>
      <c r="AI257" s="282"/>
      <c r="AJ257" s="283"/>
      <c r="AK257" s="22" t="s">
        <v>58</v>
      </c>
      <c r="AL257" s="22" t="s">
        <v>58</v>
      </c>
      <c r="AM257" s="22" t="s">
        <v>58</v>
      </c>
    </row>
    <row r="258" spans="1:39" s="22" customFormat="1" x14ac:dyDescent="0.25">
      <c r="A258" s="28" t="str">
        <f>IF(H258&lt;&gt;"",MAX($A$7:A257)+1,"")</f>
        <v/>
      </c>
      <c r="B258" s="243" t="str">
        <f t="shared" si="31"/>
        <v/>
      </c>
      <c r="C258" s="273"/>
      <c r="D258" s="246"/>
      <c r="E258" s="247"/>
      <c r="F258" s="247"/>
      <c r="G258" s="248"/>
      <c r="H258" s="241"/>
      <c r="I258" s="274"/>
      <c r="J258" s="275"/>
      <c r="K258" s="276"/>
      <c r="L258" s="277"/>
      <c r="M258" s="278"/>
      <c r="N258" s="279"/>
      <c r="O258" s="274"/>
      <c r="P258" s="275"/>
      <c r="Q258" s="276"/>
      <c r="R258" s="277"/>
      <c r="S258" s="278"/>
      <c r="T258" s="279"/>
      <c r="U258" s="279"/>
      <c r="V258" s="279"/>
      <c r="W258" s="279"/>
      <c r="X258" s="279"/>
      <c r="Y258" s="279"/>
      <c r="Z258" s="279"/>
      <c r="AA258" s="279"/>
      <c r="AB258" s="279"/>
      <c r="AC258" s="279"/>
      <c r="AD258" s="279"/>
      <c r="AE258" s="279"/>
      <c r="AF258" s="279"/>
      <c r="AG258" s="280"/>
      <c r="AH258" s="281"/>
      <c r="AI258" s="282"/>
      <c r="AJ258" s="283"/>
      <c r="AK258" s="22" t="s">
        <v>58</v>
      </c>
      <c r="AL258" s="22" t="s">
        <v>58</v>
      </c>
      <c r="AM258" s="22" t="s">
        <v>58</v>
      </c>
    </row>
    <row r="259" spans="1:39" s="22" customFormat="1" x14ac:dyDescent="0.25">
      <c r="A259" s="28" t="str">
        <f>IF(H259&lt;&gt;"",MAX($A$7:A258)+1,"")</f>
        <v/>
      </c>
      <c r="B259" s="243" t="str">
        <f t="shared" si="31"/>
        <v/>
      </c>
      <c r="C259" s="273"/>
      <c r="D259" s="246"/>
      <c r="E259" s="247"/>
      <c r="F259" s="247"/>
      <c r="G259" s="248"/>
      <c r="H259" s="241"/>
      <c r="I259" s="274"/>
      <c r="J259" s="275"/>
      <c r="K259" s="276"/>
      <c r="L259" s="277"/>
      <c r="M259" s="278"/>
      <c r="N259" s="279"/>
      <c r="O259" s="274"/>
      <c r="P259" s="275"/>
      <c r="Q259" s="276"/>
      <c r="R259" s="277"/>
      <c r="S259" s="278"/>
      <c r="T259" s="279"/>
      <c r="U259" s="279"/>
      <c r="V259" s="279"/>
      <c r="W259" s="279"/>
      <c r="X259" s="279"/>
      <c r="Y259" s="279"/>
      <c r="Z259" s="279"/>
      <c r="AA259" s="279"/>
      <c r="AB259" s="279"/>
      <c r="AC259" s="279"/>
      <c r="AD259" s="279"/>
      <c r="AE259" s="279"/>
      <c r="AF259" s="279"/>
      <c r="AG259" s="280"/>
      <c r="AH259" s="281"/>
      <c r="AI259" s="282"/>
      <c r="AJ259" s="283"/>
      <c r="AK259" s="22" t="s">
        <v>58</v>
      </c>
      <c r="AL259" s="22" t="s">
        <v>58</v>
      </c>
      <c r="AM259" s="22" t="s">
        <v>58</v>
      </c>
    </row>
    <row r="260" spans="1:39" s="22" customFormat="1" x14ac:dyDescent="0.25">
      <c r="A260" s="28" t="str">
        <f>IF(H260&lt;&gt;"",MAX($A$7:A259)+1,"")</f>
        <v/>
      </c>
      <c r="B260" s="243" t="str">
        <f t="shared" si="31"/>
        <v/>
      </c>
      <c r="C260" s="273"/>
      <c r="D260" s="246"/>
      <c r="E260" s="247"/>
      <c r="F260" s="247"/>
      <c r="G260" s="248"/>
      <c r="H260" s="241"/>
      <c r="I260" s="274"/>
      <c r="J260" s="275"/>
      <c r="K260" s="276"/>
      <c r="L260" s="277"/>
      <c r="M260" s="278"/>
      <c r="N260" s="279"/>
      <c r="O260" s="274"/>
      <c r="P260" s="275"/>
      <c r="Q260" s="276"/>
      <c r="R260" s="277"/>
      <c r="S260" s="278"/>
      <c r="T260" s="279"/>
      <c r="U260" s="279"/>
      <c r="V260" s="279"/>
      <c r="W260" s="279"/>
      <c r="X260" s="279"/>
      <c r="Y260" s="279"/>
      <c r="Z260" s="279"/>
      <c r="AA260" s="279"/>
      <c r="AB260" s="279"/>
      <c r="AC260" s="279"/>
      <c r="AD260" s="279"/>
      <c r="AE260" s="279"/>
      <c r="AF260" s="279"/>
      <c r="AG260" s="280"/>
      <c r="AH260" s="281"/>
      <c r="AI260" s="282"/>
      <c r="AJ260" s="283"/>
      <c r="AK260" s="22" t="s">
        <v>58</v>
      </c>
      <c r="AL260" s="22" t="s">
        <v>58</v>
      </c>
      <c r="AM260" s="22" t="s">
        <v>58</v>
      </c>
    </row>
    <row r="261" spans="1:39" s="22" customFormat="1" x14ac:dyDescent="0.25">
      <c r="A261" s="28" t="str">
        <f>IF(H261&lt;&gt;"",MAX($A$7:A260)+1,"")</f>
        <v/>
      </c>
      <c r="B261" s="243" t="str">
        <f t="shared" si="31"/>
        <v/>
      </c>
      <c r="C261" s="273"/>
      <c r="D261" s="246"/>
      <c r="E261" s="247"/>
      <c r="F261" s="247"/>
      <c r="G261" s="248"/>
      <c r="H261" s="241"/>
      <c r="I261" s="274"/>
      <c r="J261" s="275"/>
      <c r="K261" s="276"/>
      <c r="L261" s="277"/>
      <c r="M261" s="278"/>
      <c r="N261" s="279"/>
      <c r="O261" s="274"/>
      <c r="P261" s="275"/>
      <c r="Q261" s="276"/>
      <c r="R261" s="277"/>
      <c r="S261" s="278"/>
      <c r="T261" s="279"/>
      <c r="U261" s="279"/>
      <c r="V261" s="279"/>
      <c r="W261" s="279"/>
      <c r="X261" s="279"/>
      <c r="Y261" s="279"/>
      <c r="Z261" s="279"/>
      <c r="AA261" s="279"/>
      <c r="AB261" s="279"/>
      <c r="AC261" s="279"/>
      <c r="AD261" s="279"/>
      <c r="AE261" s="279"/>
      <c r="AF261" s="279"/>
      <c r="AG261" s="280"/>
      <c r="AH261" s="281"/>
      <c r="AI261" s="282"/>
      <c r="AJ261" s="283"/>
      <c r="AK261" s="22" t="s">
        <v>58</v>
      </c>
      <c r="AL261" s="22" t="s">
        <v>58</v>
      </c>
      <c r="AM261" s="22" t="s">
        <v>58</v>
      </c>
    </row>
    <row r="262" spans="1:39" s="22" customFormat="1" x14ac:dyDescent="0.25">
      <c r="A262" s="28" t="str">
        <f>IF(H262&lt;&gt;"",MAX($A$7:A261)+1,"")</f>
        <v/>
      </c>
      <c r="B262" s="243" t="str">
        <f t="shared" si="31"/>
        <v/>
      </c>
      <c r="C262" s="273"/>
      <c r="D262" s="246"/>
      <c r="E262" s="247"/>
      <c r="F262" s="247"/>
      <c r="G262" s="248"/>
      <c r="H262" s="241"/>
      <c r="I262" s="274"/>
      <c r="J262" s="275"/>
      <c r="K262" s="276"/>
      <c r="L262" s="277"/>
      <c r="M262" s="278"/>
      <c r="N262" s="279"/>
      <c r="O262" s="274"/>
      <c r="P262" s="275"/>
      <c r="Q262" s="276"/>
      <c r="R262" s="277"/>
      <c r="S262" s="278"/>
      <c r="T262" s="279"/>
      <c r="U262" s="279"/>
      <c r="V262" s="279"/>
      <c r="W262" s="279"/>
      <c r="X262" s="279"/>
      <c r="Y262" s="279"/>
      <c r="Z262" s="279"/>
      <c r="AA262" s="279"/>
      <c r="AB262" s="279"/>
      <c r="AC262" s="279"/>
      <c r="AD262" s="279"/>
      <c r="AE262" s="279"/>
      <c r="AF262" s="279"/>
      <c r="AG262" s="280"/>
      <c r="AH262" s="281"/>
      <c r="AI262" s="282"/>
      <c r="AJ262" s="283"/>
      <c r="AK262" s="22" t="s">
        <v>58</v>
      </c>
      <c r="AL262" s="22" t="s">
        <v>58</v>
      </c>
      <c r="AM262" s="22" t="s">
        <v>58</v>
      </c>
    </row>
    <row r="263" spans="1:39" s="22" customFormat="1" x14ac:dyDescent="0.25">
      <c r="A263" s="28" t="str">
        <f>IF(H263&lt;&gt;"",MAX($A$7:A262)+1,"")</f>
        <v/>
      </c>
      <c r="B263" s="243" t="str">
        <f t="shared" ref="B263:B326" si="32">IF(A263="","",PREF_PREGUNTA&amp;" - "&amp;IF(MAX(A:A)&gt;99,IF(A263&lt;100,"0",""),"")&amp;IF(A263&lt;10,"0","")&amp;A263&amp;IF(G263&lt;&gt;""," "&amp;G263,""))</f>
        <v/>
      </c>
      <c r="C263" s="273"/>
      <c r="D263" s="246"/>
      <c r="E263" s="247"/>
      <c r="F263" s="247"/>
      <c r="G263" s="248"/>
      <c r="H263" s="241"/>
      <c r="I263" s="274"/>
      <c r="J263" s="275"/>
      <c r="K263" s="276"/>
      <c r="L263" s="277"/>
      <c r="M263" s="278"/>
      <c r="N263" s="279"/>
      <c r="O263" s="274"/>
      <c r="P263" s="275"/>
      <c r="Q263" s="276"/>
      <c r="R263" s="277"/>
      <c r="S263" s="278"/>
      <c r="T263" s="279"/>
      <c r="U263" s="279"/>
      <c r="V263" s="279"/>
      <c r="W263" s="279"/>
      <c r="X263" s="279"/>
      <c r="Y263" s="279"/>
      <c r="Z263" s="279"/>
      <c r="AA263" s="279"/>
      <c r="AB263" s="279"/>
      <c r="AC263" s="279"/>
      <c r="AD263" s="279"/>
      <c r="AE263" s="279"/>
      <c r="AF263" s="279"/>
      <c r="AG263" s="280"/>
      <c r="AH263" s="281"/>
      <c r="AI263" s="282"/>
      <c r="AJ263" s="283"/>
      <c r="AK263" s="22" t="s">
        <v>58</v>
      </c>
      <c r="AL263" s="22" t="s">
        <v>58</v>
      </c>
      <c r="AM263" s="22" t="s">
        <v>58</v>
      </c>
    </row>
    <row r="264" spans="1:39" s="22" customFormat="1" x14ac:dyDescent="0.25">
      <c r="A264" s="28" t="str">
        <f>IF(H264&lt;&gt;"",MAX($A$7:A263)+1,"")</f>
        <v/>
      </c>
      <c r="B264" s="243" t="str">
        <f t="shared" si="32"/>
        <v/>
      </c>
      <c r="C264" s="273"/>
      <c r="D264" s="246"/>
      <c r="E264" s="247"/>
      <c r="F264" s="247"/>
      <c r="G264" s="248"/>
      <c r="H264" s="241"/>
      <c r="I264" s="274"/>
      <c r="J264" s="275"/>
      <c r="K264" s="276"/>
      <c r="L264" s="277"/>
      <c r="M264" s="278"/>
      <c r="N264" s="279"/>
      <c r="O264" s="274"/>
      <c r="P264" s="275"/>
      <c r="Q264" s="276"/>
      <c r="R264" s="277"/>
      <c r="S264" s="278"/>
      <c r="T264" s="279"/>
      <c r="U264" s="279"/>
      <c r="V264" s="279"/>
      <c r="W264" s="279"/>
      <c r="X264" s="279"/>
      <c r="Y264" s="279"/>
      <c r="Z264" s="279"/>
      <c r="AA264" s="279"/>
      <c r="AB264" s="279"/>
      <c r="AC264" s="279"/>
      <c r="AD264" s="279"/>
      <c r="AE264" s="279"/>
      <c r="AF264" s="279"/>
      <c r="AG264" s="280"/>
      <c r="AH264" s="281"/>
      <c r="AI264" s="282"/>
      <c r="AJ264" s="283"/>
      <c r="AK264" s="22" t="s">
        <v>58</v>
      </c>
      <c r="AL264" s="22" t="s">
        <v>58</v>
      </c>
      <c r="AM264" s="22" t="s">
        <v>58</v>
      </c>
    </row>
    <row r="265" spans="1:39" s="22" customFormat="1" x14ac:dyDescent="0.25">
      <c r="A265" s="28" t="str">
        <f>IF(H265&lt;&gt;"",MAX($A$7:A264)+1,"")</f>
        <v/>
      </c>
      <c r="B265" s="243" t="str">
        <f t="shared" si="32"/>
        <v/>
      </c>
      <c r="C265" s="273"/>
      <c r="D265" s="246"/>
      <c r="E265" s="247"/>
      <c r="F265" s="247"/>
      <c r="G265" s="248"/>
      <c r="H265" s="241"/>
      <c r="I265" s="274"/>
      <c r="J265" s="275"/>
      <c r="K265" s="276"/>
      <c r="L265" s="277"/>
      <c r="M265" s="278"/>
      <c r="N265" s="279"/>
      <c r="O265" s="274"/>
      <c r="P265" s="275"/>
      <c r="Q265" s="276"/>
      <c r="R265" s="277"/>
      <c r="S265" s="278"/>
      <c r="T265" s="279"/>
      <c r="U265" s="279"/>
      <c r="V265" s="279"/>
      <c r="W265" s="279"/>
      <c r="X265" s="279"/>
      <c r="Y265" s="279"/>
      <c r="Z265" s="279"/>
      <c r="AA265" s="279"/>
      <c r="AB265" s="279"/>
      <c r="AC265" s="279"/>
      <c r="AD265" s="279"/>
      <c r="AE265" s="279"/>
      <c r="AF265" s="279"/>
      <c r="AG265" s="280"/>
      <c r="AH265" s="281"/>
      <c r="AI265" s="282"/>
      <c r="AJ265" s="283"/>
      <c r="AK265" s="22" t="s">
        <v>58</v>
      </c>
      <c r="AL265" s="22" t="s">
        <v>58</v>
      </c>
      <c r="AM265" s="22" t="s">
        <v>58</v>
      </c>
    </row>
    <row r="266" spans="1:39" s="22" customFormat="1" x14ac:dyDescent="0.25">
      <c r="A266" s="28" t="str">
        <f>IF(H266&lt;&gt;"",MAX($A$7:A265)+1,"")</f>
        <v/>
      </c>
      <c r="B266" s="243" t="str">
        <f t="shared" si="32"/>
        <v/>
      </c>
      <c r="C266" s="273"/>
      <c r="D266" s="246"/>
      <c r="E266" s="247"/>
      <c r="F266" s="247"/>
      <c r="G266" s="248"/>
      <c r="H266" s="241"/>
      <c r="I266" s="274"/>
      <c r="J266" s="275"/>
      <c r="K266" s="276"/>
      <c r="L266" s="277"/>
      <c r="M266" s="278"/>
      <c r="N266" s="279"/>
      <c r="O266" s="274"/>
      <c r="P266" s="275"/>
      <c r="Q266" s="276"/>
      <c r="R266" s="277"/>
      <c r="S266" s="278"/>
      <c r="T266" s="279"/>
      <c r="U266" s="279"/>
      <c r="V266" s="279"/>
      <c r="W266" s="279"/>
      <c r="X266" s="279"/>
      <c r="Y266" s="279"/>
      <c r="Z266" s="279"/>
      <c r="AA266" s="279"/>
      <c r="AB266" s="279"/>
      <c r="AC266" s="279"/>
      <c r="AD266" s="279"/>
      <c r="AE266" s="279"/>
      <c r="AF266" s="279"/>
      <c r="AG266" s="280"/>
      <c r="AH266" s="281"/>
      <c r="AI266" s="282"/>
      <c r="AJ266" s="283"/>
      <c r="AK266" s="22" t="s">
        <v>58</v>
      </c>
      <c r="AL266" s="22" t="s">
        <v>58</v>
      </c>
      <c r="AM266" s="22" t="s">
        <v>58</v>
      </c>
    </row>
    <row r="267" spans="1:39" s="22" customFormat="1" x14ac:dyDescent="0.25">
      <c r="A267" s="28" t="str">
        <f>IF(H267&lt;&gt;"",MAX($A$7:A266)+1,"")</f>
        <v/>
      </c>
      <c r="B267" s="243" t="str">
        <f t="shared" si="32"/>
        <v/>
      </c>
      <c r="C267" s="273"/>
      <c r="D267" s="246"/>
      <c r="E267" s="247"/>
      <c r="F267" s="247"/>
      <c r="G267" s="248"/>
      <c r="H267" s="241"/>
      <c r="I267" s="274"/>
      <c r="J267" s="275"/>
      <c r="K267" s="276"/>
      <c r="L267" s="277"/>
      <c r="M267" s="278"/>
      <c r="N267" s="279"/>
      <c r="O267" s="274"/>
      <c r="P267" s="275"/>
      <c r="Q267" s="276"/>
      <c r="R267" s="277"/>
      <c r="S267" s="278"/>
      <c r="T267" s="279"/>
      <c r="U267" s="279"/>
      <c r="V267" s="279"/>
      <c r="W267" s="279"/>
      <c r="X267" s="279"/>
      <c r="Y267" s="279"/>
      <c r="Z267" s="279"/>
      <c r="AA267" s="279"/>
      <c r="AB267" s="279"/>
      <c r="AC267" s="279"/>
      <c r="AD267" s="279"/>
      <c r="AE267" s="279"/>
      <c r="AF267" s="279"/>
      <c r="AG267" s="280"/>
      <c r="AH267" s="281"/>
      <c r="AI267" s="282"/>
      <c r="AJ267" s="283"/>
      <c r="AK267" s="22" t="s">
        <v>58</v>
      </c>
      <c r="AL267" s="22" t="s">
        <v>58</v>
      </c>
      <c r="AM267" s="22" t="s">
        <v>58</v>
      </c>
    </row>
    <row r="268" spans="1:39" s="22" customFormat="1" x14ac:dyDescent="0.25">
      <c r="A268" s="28" t="str">
        <f>IF(H268&lt;&gt;"",MAX($A$7:A267)+1,"")</f>
        <v/>
      </c>
      <c r="B268" s="243" t="str">
        <f t="shared" si="32"/>
        <v/>
      </c>
      <c r="C268" s="273"/>
      <c r="D268" s="246"/>
      <c r="E268" s="247"/>
      <c r="F268" s="247"/>
      <c r="G268" s="248"/>
      <c r="H268" s="241"/>
      <c r="I268" s="274"/>
      <c r="J268" s="275"/>
      <c r="K268" s="276"/>
      <c r="L268" s="277"/>
      <c r="M268" s="278"/>
      <c r="N268" s="279"/>
      <c r="O268" s="274"/>
      <c r="P268" s="275"/>
      <c r="Q268" s="276"/>
      <c r="R268" s="277"/>
      <c r="S268" s="278"/>
      <c r="T268" s="279"/>
      <c r="U268" s="279"/>
      <c r="V268" s="279"/>
      <c r="W268" s="279"/>
      <c r="X268" s="279"/>
      <c r="Y268" s="279"/>
      <c r="Z268" s="279"/>
      <c r="AA268" s="279"/>
      <c r="AB268" s="279"/>
      <c r="AC268" s="279"/>
      <c r="AD268" s="279"/>
      <c r="AE268" s="279"/>
      <c r="AF268" s="279"/>
      <c r="AG268" s="280"/>
      <c r="AH268" s="281"/>
      <c r="AI268" s="282"/>
      <c r="AJ268" s="283"/>
      <c r="AK268" s="22" t="s">
        <v>58</v>
      </c>
      <c r="AL268" s="22" t="s">
        <v>58</v>
      </c>
      <c r="AM268" s="22" t="s">
        <v>58</v>
      </c>
    </row>
    <row r="269" spans="1:39" s="22" customFormat="1" x14ac:dyDescent="0.25">
      <c r="A269" s="28" t="str">
        <f>IF(H269&lt;&gt;"",MAX($A$7:A268)+1,"")</f>
        <v/>
      </c>
      <c r="B269" s="243" t="str">
        <f t="shared" si="32"/>
        <v/>
      </c>
      <c r="C269" s="273"/>
      <c r="D269" s="246"/>
      <c r="E269" s="247"/>
      <c r="F269" s="247"/>
      <c r="G269" s="248"/>
      <c r="H269" s="241"/>
      <c r="I269" s="274"/>
      <c r="J269" s="275"/>
      <c r="K269" s="276"/>
      <c r="L269" s="277"/>
      <c r="M269" s="278"/>
      <c r="N269" s="279"/>
      <c r="O269" s="274"/>
      <c r="P269" s="275"/>
      <c r="Q269" s="276"/>
      <c r="R269" s="277"/>
      <c r="S269" s="278"/>
      <c r="T269" s="279"/>
      <c r="U269" s="279"/>
      <c r="V269" s="279"/>
      <c r="W269" s="279"/>
      <c r="X269" s="279"/>
      <c r="Y269" s="279"/>
      <c r="Z269" s="279"/>
      <c r="AA269" s="279"/>
      <c r="AB269" s="279"/>
      <c r="AC269" s="279"/>
      <c r="AD269" s="279"/>
      <c r="AE269" s="279"/>
      <c r="AF269" s="279"/>
      <c r="AG269" s="280"/>
      <c r="AH269" s="281"/>
      <c r="AI269" s="282"/>
      <c r="AJ269" s="283"/>
      <c r="AK269" s="22" t="s">
        <v>58</v>
      </c>
      <c r="AL269" s="22" t="s">
        <v>58</v>
      </c>
      <c r="AM269" s="22" t="s">
        <v>58</v>
      </c>
    </row>
    <row r="270" spans="1:39" s="22" customFormat="1" x14ac:dyDescent="0.25">
      <c r="A270" s="28" t="str">
        <f>IF(H270&lt;&gt;"",MAX($A$7:A269)+1,"")</f>
        <v/>
      </c>
      <c r="B270" s="243" t="str">
        <f t="shared" si="32"/>
        <v/>
      </c>
      <c r="C270" s="273"/>
      <c r="D270" s="246"/>
      <c r="E270" s="247"/>
      <c r="F270" s="247"/>
      <c r="G270" s="248"/>
      <c r="H270" s="241"/>
      <c r="I270" s="274"/>
      <c r="J270" s="275"/>
      <c r="K270" s="276"/>
      <c r="L270" s="277"/>
      <c r="M270" s="278"/>
      <c r="N270" s="279"/>
      <c r="O270" s="274"/>
      <c r="P270" s="275"/>
      <c r="Q270" s="276"/>
      <c r="R270" s="277"/>
      <c r="S270" s="278"/>
      <c r="T270" s="279"/>
      <c r="U270" s="279"/>
      <c r="V270" s="279"/>
      <c r="W270" s="279"/>
      <c r="X270" s="279"/>
      <c r="Y270" s="279"/>
      <c r="Z270" s="279"/>
      <c r="AA270" s="279"/>
      <c r="AB270" s="279"/>
      <c r="AC270" s="279"/>
      <c r="AD270" s="279"/>
      <c r="AE270" s="279"/>
      <c r="AF270" s="279"/>
      <c r="AG270" s="280"/>
      <c r="AH270" s="281"/>
      <c r="AI270" s="282"/>
      <c r="AJ270" s="283"/>
      <c r="AK270" s="22" t="s">
        <v>58</v>
      </c>
      <c r="AL270" s="22" t="s">
        <v>58</v>
      </c>
      <c r="AM270" s="22" t="s">
        <v>58</v>
      </c>
    </row>
    <row r="271" spans="1:39" s="22" customFormat="1" x14ac:dyDescent="0.25">
      <c r="A271" s="28" t="str">
        <f>IF(H271&lt;&gt;"",MAX($A$7:A270)+1,"")</f>
        <v/>
      </c>
      <c r="B271" s="243" t="str">
        <f t="shared" si="32"/>
        <v/>
      </c>
      <c r="C271" s="273"/>
      <c r="D271" s="246"/>
      <c r="E271" s="247"/>
      <c r="F271" s="247"/>
      <c r="G271" s="248"/>
      <c r="H271" s="241"/>
      <c r="I271" s="274"/>
      <c r="J271" s="275"/>
      <c r="K271" s="276"/>
      <c r="L271" s="277"/>
      <c r="M271" s="278"/>
      <c r="N271" s="279"/>
      <c r="O271" s="274"/>
      <c r="P271" s="275"/>
      <c r="Q271" s="276"/>
      <c r="R271" s="277"/>
      <c r="S271" s="278"/>
      <c r="T271" s="279"/>
      <c r="U271" s="279"/>
      <c r="V271" s="279"/>
      <c r="W271" s="279"/>
      <c r="X271" s="279"/>
      <c r="Y271" s="279"/>
      <c r="Z271" s="279"/>
      <c r="AA271" s="279"/>
      <c r="AB271" s="279"/>
      <c r="AC271" s="279"/>
      <c r="AD271" s="279"/>
      <c r="AE271" s="279"/>
      <c r="AF271" s="279"/>
      <c r="AG271" s="280"/>
      <c r="AH271" s="281"/>
      <c r="AI271" s="282"/>
      <c r="AJ271" s="283"/>
      <c r="AK271" s="22" t="s">
        <v>58</v>
      </c>
      <c r="AL271" s="22" t="s">
        <v>58</v>
      </c>
      <c r="AM271" s="22" t="s">
        <v>58</v>
      </c>
    </row>
    <row r="272" spans="1:39" s="22" customFormat="1" x14ac:dyDescent="0.25">
      <c r="A272" s="28" t="str">
        <f>IF(H272&lt;&gt;"",MAX($A$7:A271)+1,"")</f>
        <v/>
      </c>
      <c r="B272" s="243" t="str">
        <f t="shared" si="32"/>
        <v/>
      </c>
      <c r="C272" s="273"/>
      <c r="D272" s="246"/>
      <c r="E272" s="247"/>
      <c r="F272" s="247"/>
      <c r="G272" s="248"/>
      <c r="H272" s="241"/>
      <c r="I272" s="274"/>
      <c r="J272" s="275"/>
      <c r="K272" s="276"/>
      <c r="L272" s="277"/>
      <c r="M272" s="278"/>
      <c r="N272" s="279"/>
      <c r="O272" s="274"/>
      <c r="P272" s="275"/>
      <c r="Q272" s="276"/>
      <c r="R272" s="277"/>
      <c r="S272" s="278"/>
      <c r="T272" s="279"/>
      <c r="U272" s="279"/>
      <c r="V272" s="279"/>
      <c r="W272" s="279"/>
      <c r="X272" s="279"/>
      <c r="Y272" s="279"/>
      <c r="Z272" s="279"/>
      <c r="AA272" s="279"/>
      <c r="AB272" s="279"/>
      <c r="AC272" s="279"/>
      <c r="AD272" s="279"/>
      <c r="AE272" s="279"/>
      <c r="AF272" s="279"/>
      <c r="AG272" s="280"/>
      <c r="AH272" s="281"/>
      <c r="AI272" s="282"/>
      <c r="AJ272" s="283"/>
      <c r="AK272" s="22" t="s">
        <v>58</v>
      </c>
      <c r="AL272" s="22" t="s">
        <v>58</v>
      </c>
      <c r="AM272" s="22" t="s">
        <v>58</v>
      </c>
    </row>
    <row r="273" spans="1:39" s="22" customFormat="1" x14ac:dyDescent="0.25">
      <c r="A273" s="28" t="str">
        <f>IF(H273&lt;&gt;"",MAX($A$7:A272)+1,"")</f>
        <v/>
      </c>
      <c r="B273" s="243" t="str">
        <f t="shared" si="32"/>
        <v/>
      </c>
      <c r="C273" s="273"/>
      <c r="D273" s="246"/>
      <c r="E273" s="247"/>
      <c r="F273" s="247"/>
      <c r="G273" s="248"/>
      <c r="H273" s="241"/>
      <c r="I273" s="274"/>
      <c r="J273" s="275"/>
      <c r="K273" s="276"/>
      <c r="L273" s="277"/>
      <c r="M273" s="278"/>
      <c r="N273" s="279"/>
      <c r="O273" s="274"/>
      <c r="P273" s="275"/>
      <c r="Q273" s="276"/>
      <c r="R273" s="277"/>
      <c r="S273" s="278"/>
      <c r="T273" s="279"/>
      <c r="U273" s="279"/>
      <c r="V273" s="279"/>
      <c r="W273" s="279"/>
      <c r="X273" s="279"/>
      <c r="Y273" s="279"/>
      <c r="Z273" s="279"/>
      <c r="AA273" s="279"/>
      <c r="AB273" s="279"/>
      <c r="AC273" s="279"/>
      <c r="AD273" s="279"/>
      <c r="AE273" s="279"/>
      <c r="AF273" s="279"/>
      <c r="AG273" s="280"/>
      <c r="AH273" s="281"/>
      <c r="AI273" s="282"/>
      <c r="AJ273" s="283"/>
      <c r="AK273" s="22" t="s">
        <v>58</v>
      </c>
      <c r="AL273" s="22" t="s">
        <v>58</v>
      </c>
      <c r="AM273" s="22" t="s">
        <v>58</v>
      </c>
    </row>
    <row r="274" spans="1:39" s="22" customFormat="1" x14ac:dyDescent="0.25">
      <c r="A274" s="28" t="str">
        <f>IF(H274&lt;&gt;"",MAX($A$7:A273)+1,"")</f>
        <v/>
      </c>
      <c r="B274" s="243" t="str">
        <f t="shared" si="32"/>
        <v/>
      </c>
      <c r="C274" s="273"/>
      <c r="D274" s="246"/>
      <c r="E274" s="247"/>
      <c r="F274" s="247"/>
      <c r="G274" s="248"/>
      <c r="H274" s="241"/>
      <c r="I274" s="274"/>
      <c r="J274" s="275"/>
      <c r="K274" s="276"/>
      <c r="L274" s="277"/>
      <c r="M274" s="278"/>
      <c r="N274" s="279"/>
      <c r="O274" s="274"/>
      <c r="P274" s="275"/>
      <c r="Q274" s="276"/>
      <c r="R274" s="277"/>
      <c r="S274" s="278"/>
      <c r="T274" s="279"/>
      <c r="U274" s="279"/>
      <c r="V274" s="279"/>
      <c r="W274" s="279"/>
      <c r="X274" s="279"/>
      <c r="Y274" s="279"/>
      <c r="Z274" s="279"/>
      <c r="AA274" s="279"/>
      <c r="AB274" s="279"/>
      <c r="AC274" s="279"/>
      <c r="AD274" s="279"/>
      <c r="AE274" s="279"/>
      <c r="AF274" s="279"/>
      <c r="AG274" s="280"/>
      <c r="AH274" s="281"/>
      <c r="AI274" s="282"/>
      <c r="AJ274" s="283"/>
      <c r="AK274" s="22" t="s">
        <v>58</v>
      </c>
      <c r="AL274" s="22" t="s">
        <v>58</v>
      </c>
      <c r="AM274" s="22" t="s">
        <v>58</v>
      </c>
    </row>
    <row r="275" spans="1:39" s="22" customFormat="1" x14ac:dyDescent="0.25">
      <c r="A275" s="28" t="str">
        <f>IF(H275&lt;&gt;"",MAX($A$7:A274)+1,"")</f>
        <v/>
      </c>
      <c r="B275" s="243" t="str">
        <f t="shared" si="32"/>
        <v/>
      </c>
      <c r="C275" s="273"/>
      <c r="D275" s="246"/>
      <c r="E275" s="247"/>
      <c r="F275" s="247"/>
      <c r="G275" s="248"/>
      <c r="H275" s="241"/>
      <c r="I275" s="274"/>
      <c r="J275" s="275"/>
      <c r="K275" s="276"/>
      <c r="L275" s="277"/>
      <c r="M275" s="278"/>
      <c r="N275" s="279"/>
      <c r="O275" s="274"/>
      <c r="P275" s="275"/>
      <c r="Q275" s="276"/>
      <c r="R275" s="277"/>
      <c r="S275" s="278"/>
      <c r="T275" s="279"/>
      <c r="U275" s="279"/>
      <c r="V275" s="279"/>
      <c r="W275" s="279"/>
      <c r="X275" s="279"/>
      <c r="Y275" s="279"/>
      <c r="Z275" s="279"/>
      <c r="AA275" s="279"/>
      <c r="AB275" s="279"/>
      <c r="AC275" s="279"/>
      <c r="AD275" s="279"/>
      <c r="AE275" s="279"/>
      <c r="AF275" s="279"/>
      <c r="AG275" s="280"/>
      <c r="AH275" s="281"/>
      <c r="AI275" s="282"/>
      <c r="AJ275" s="283"/>
      <c r="AK275" s="22" t="s">
        <v>58</v>
      </c>
      <c r="AL275" s="22" t="s">
        <v>58</v>
      </c>
      <c r="AM275" s="22" t="s">
        <v>58</v>
      </c>
    </row>
    <row r="276" spans="1:39" s="22" customFormat="1" x14ac:dyDescent="0.25">
      <c r="A276" s="28" t="str">
        <f>IF(H276&lt;&gt;"",MAX($A$7:A275)+1,"")</f>
        <v/>
      </c>
      <c r="B276" s="243" t="str">
        <f t="shared" si="32"/>
        <v/>
      </c>
      <c r="C276" s="273"/>
      <c r="D276" s="246"/>
      <c r="E276" s="247"/>
      <c r="F276" s="247"/>
      <c r="G276" s="248"/>
      <c r="H276" s="241"/>
      <c r="I276" s="274"/>
      <c r="J276" s="275"/>
      <c r="K276" s="276"/>
      <c r="L276" s="277"/>
      <c r="M276" s="278"/>
      <c r="N276" s="279"/>
      <c r="O276" s="274"/>
      <c r="P276" s="275"/>
      <c r="Q276" s="276"/>
      <c r="R276" s="277"/>
      <c r="S276" s="278"/>
      <c r="T276" s="279"/>
      <c r="U276" s="279"/>
      <c r="V276" s="279"/>
      <c r="W276" s="279"/>
      <c r="X276" s="279"/>
      <c r="Y276" s="279"/>
      <c r="Z276" s="279"/>
      <c r="AA276" s="279"/>
      <c r="AB276" s="279"/>
      <c r="AC276" s="279"/>
      <c r="AD276" s="279"/>
      <c r="AE276" s="279"/>
      <c r="AF276" s="279"/>
      <c r="AG276" s="280"/>
      <c r="AH276" s="281"/>
      <c r="AI276" s="282"/>
      <c r="AJ276" s="283"/>
      <c r="AK276" s="22" t="s">
        <v>58</v>
      </c>
      <c r="AL276" s="22" t="s">
        <v>58</v>
      </c>
      <c r="AM276" s="22" t="s">
        <v>58</v>
      </c>
    </row>
    <row r="277" spans="1:39" s="22" customFormat="1" x14ac:dyDescent="0.25">
      <c r="A277" s="28" t="str">
        <f>IF(H277&lt;&gt;"",MAX($A$7:A276)+1,"")</f>
        <v/>
      </c>
      <c r="B277" s="243" t="str">
        <f t="shared" si="32"/>
        <v/>
      </c>
      <c r="C277" s="273"/>
      <c r="D277" s="246"/>
      <c r="E277" s="247"/>
      <c r="F277" s="247"/>
      <c r="G277" s="248"/>
      <c r="H277" s="241"/>
      <c r="I277" s="274"/>
      <c r="J277" s="275"/>
      <c r="K277" s="276"/>
      <c r="L277" s="277"/>
      <c r="M277" s="278"/>
      <c r="N277" s="279"/>
      <c r="O277" s="274"/>
      <c r="P277" s="275"/>
      <c r="Q277" s="276"/>
      <c r="R277" s="277"/>
      <c r="S277" s="278"/>
      <c r="T277" s="279"/>
      <c r="U277" s="279"/>
      <c r="V277" s="279"/>
      <c r="W277" s="279"/>
      <c r="X277" s="279"/>
      <c r="Y277" s="279"/>
      <c r="Z277" s="279"/>
      <c r="AA277" s="279"/>
      <c r="AB277" s="279"/>
      <c r="AC277" s="279"/>
      <c r="AD277" s="279"/>
      <c r="AE277" s="279"/>
      <c r="AF277" s="279"/>
      <c r="AG277" s="280"/>
      <c r="AH277" s="281"/>
      <c r="AI277" s="282"/>
      <c r="AJ277" s="283"/>
      <c r="AK277" s="22" t="s">
        <v>58</v>
      </c>
      <c r="AL277" s="22" t="s">
        <v>58</v>
      </c>
      <c r="AM277" s="22" t="s">
        <v>58</v>
      </c>
    </row>
    <row r="278" spans="1:39" s="22" customFormat="1" x14ac:dyDescent="0.25">
      <c r="A278" s="28" t="str">
        <f>IF(H278&lt;&gt;"",MAX($A$7:A277)+1,"")</f>
        <v/>
      </c>
      <c r="B278" s="243" t="str">
        <f t="shared" si="32"/>
        <v/>
      </c>
      <c r="C278" s="273"/>
      <c r="D278" s="246"/>
      <c r="E278" s="247"/>
      <c r="F278" s="247"/>
      <c r="G278" s="248"/>
      <c r="H278" s="241"/>
      <c r="I278" s="274"/>
      <c r="J278" s="275"/>
      <c r="K278" s="276"/>
      <c r="L278" s="277"/>
      <c r="M278" s="278"/>
      <c r="N278" s="279"/>
      <c r="O278" s="274"/>
      <c r="P278" s="275"/>
      <c r="Q278" s="276"/>
      <c r="R278" s="277"/>
      <c r="S278" s="278"/>
      <c r="T278" s="279"/>
      <c r="U278" s="279"/>
      <c r="V278" s="279"/>
      <c r="W278" s="279"/>
      <c r="X278" s="279"/>
      <c r="Y278" s="279"/>
      <c r="Z278" s="279"/>
      <c r="AA278" s="279"/>
      <c r="AB278" s="279"/>
      <c r="AC278" s="279"/>
      <c r="AD278" s="279"/>
      <c r="AE278" s="279"/>
      <c r="AF278" s="279"/>
      <c r="AG278" s="280"/>
      <c r="AH278" s="281"/>
      <c r="AI278" s="282"/>
      <c r="AJ278" s="283"/>
      <c r="AK278" s="22" t="s">
        <v>58</v>
      </c>
      <c r="AL278" s="22" t="s">
        <v>58</v>
      </c>
      <c r="AM278" s="22" t="s">
        <v>58</v>
      </c>
    </row>
    <row r="279" spans="1:39" s="22" customFormat="1" x14ac:dyDescent="0.25">
      <c r="A279" s="28" t="str">
        <f>IF(H279&lt;&gt;"",MAX($A$7:A278)+1,"")</f>
        <v/>
      </c>
      <c r="B279" s="243" t="str">
        <f t="shared" si="32"/>
        <v/>
      </c>
      <c r="C279" s="273"/>
      <c r="D279" s="246"/>
      <c r="E279" s="247"/>
      <c r="F279" s="247"/>
      <c r="G279" s="248"/>
      <c r="H279" s="241"/>
      <c r="I279" s="274"/>
      <c r="J279" s="275"/>
      <c r="K279" s="276"/>
      <c r="L279" s="277"/>
      <c r="M279" s="278"/>
      <c r="N279" s="279"/>
      <c r="O279" s="274"/>
      <c r="P279" s="275"/>
      <c r="Q279" s="276"/>
      <c r="R279" s="277"/>
      <c r="S279" s="278"/>
      <c r="T279" s="279"/>
      <c r="U279" s="279"/>
      <c r="V279" s="279"/>
      <c r="W279" s="279"/>
      <c r="X279" s="279"/>
      <c r="Y279" s="279"/>
      <c r="Z279" s="279"/>
      <c r="AA279" s="279"/>
      <c r="AB279" s="279"/>
      <c r="AC279" s="279"/>
      <c r="AD279" s="279"/>
      <c r="AE279" s="279"/>
      <c r="AF279" s="279"/>
      <c r="AG279" s="280"/>
      <c r="AH279" s="281"/>
      <c r="AI279" s="282"/>
      <c r="AJ279" s="283"/>
      <c r="AK279" s="22" t="s">
        <v>58</v>
      </c>
      <c r="AL279" s="22" t="s">
        <v>58</v>
      </c>
      <c r="AM279" s="22" t="s">
        <v>58</v>
      </c>
    </row>
    <row r="280" spans="1:39" s="22" customFormat="1" x14ac:dyDescent="0.25">
      <c r="A280" s="28" t="str">
        <f>IF(H280&lt;&gt;"",MAX($A$7:A279)+1,"")</f>
        <v/>
      </c>
      <c r="B280" s="243" t="str">
        <f t="shared" si="32"/>
        <v/>
      </c>
      <c r="C280" s="273"/>
      <c r="D280" s="246"/>
      <c r="E280" s="247"/>
      <c r="F280" s="247"/>
      <c r="G280" s="248"/>
      <c r="H280" s="241"/>
      <c r="I280" s="274"/>
      <c r="J280" s="275"/>
      <c r="K280" s="276"/>
      <c r="L280" s="277"/>
      <c r="M280" s="278"/>
      <c r="N280" s="279"/>
      <c r="O280" s="274"/>
      <c r="P280" s="275"/>
      <c r="Q280" s="276"/>
      <c r="R280" s="277"/>
      <c r="S280" s="278"/>
      <c r="T280" s="279"/>
      <c r="U280" s="279"/>
      <c r="V280" s="279"/>
      <c r="W280" s="279"/>
      <c r="X280" s="279"/>
      <c r="Y280" s="279"/>
      <c r="Z280" s="279"/>
      <c r="AA280" s="279"/>
      <c r="AB280" s="279"/>
      <c r="AC280" s="279"/>
      <c r="AD280" s="279"/>
      <c r="AE280" s="279"/>
      <c r="AF280" s="279"/>
      <c r="AG280" s="280"/>
      <c r="AH280" s="281"/>
      <c r="AI280" s="282"/>
      <c r="AJ280" s="283"/>
      <c r="AK280" s="22" t="s">
        <v>58</v>
      </c>
      <c r="AL280" s="22" t="s">
        <v>58</v>
      </c>
      <c r="AM280" s="22" t="s">
        <v>58</v>
      </c>
    </row>
    <row r="281" spans="1:39" s="22" customFormat="1" x14ac:dyDescent="0.25">
      <c r="A281" s="28" t="str">
        <f>IF(H281&lt;&gt;"",MAX($A$7:A280)+1,"")</f>
        <v/>
      </c>
      <c r="B281" s="243" t="str">
        <f t="shared" si="32"/>
        <v/>
      </c>
      <c r="C281" s="273"/>
      <c r="D281" s="246"/>
      <c r="E281" s="247"/>
      <c r="F281" s="247"/>
      <c r="G281" s="248"/>
      <c r="H281" s="241"/>
      <c r="I281" s="274"/>
      <c r="J281" s="275"/>
      <c r="K281" s="276"/>
      <c r="L281" s="277"/>
      <c r="M281" s="278"/>
      <c r="N281" s="279"/>
      <c r="O281" s="274"/>
      <c r="P281" s="275"/>
      <c r="Q281" s="276"/>
      <c r="R281" s="277"/>
      <c r="S281" s="278"/>
      <c r="T281" s="279"/>
      <c r="U281" s="279"/>
      <c r="V281" s="279"/>
      <c r="W281" s="279"/>
      <c r="X281" s="279"/>
      <c r="Y281" s="279"/>
      <c r="Z281" s="279"/>
      <c r="AA281" s="279"/>
      <c r="AB281" s="279"/>
      <c r="AC281" s="279"/>
      <c r="AD281" s="279"/>
      <c r="AE281" s="279"/>
      <c r="AF281" s="279"/>
      <c r="AG281" s="280"/>
      <c r="AH281" s="281"/>
      <c r="AI281" s="282"/>
      <c r="AJ281" s="283"/>
      <c r="AK281" s="22" t="s">
        <v>58</v>
      </c>
      <c r="AL281" s="22" t="s">
        <v>58</v>
      </c>
      <c r="AM281" s="22" t="s">
        <v>58</v>
      </c>
    </row>
    <row r="282" spans="1:39" s="22" customFormat="1" x14ac:dyDescent="0.25">
      <c r="A282" s="28" t="str">
        <f>IF(H282&lt;&gt;"",MAX($A$7:A281)+1,"")</f>
        <v/>
      </c>
      <c r="B282" s="243" t="str">
        <f t="shared" si="32"/>
        <v/>
      </c>
      <c r="C282" s="273"/>
      <c r="D282" s="246"/>
      <c r="E282" s="247"/>
      <c r="F282" s="247"/>
      <c r="G282" s="248"/>
      <c r="H282" s="241"/>
      <c r="I282" s="274"/>
      <c r="J282" s="275"/>
      <c r="K282" s="276"/>
      <c r="L282" s="277"/>
      <c r="M282" s="278"/>
      <c r="N282" s="279"/>
      <c r="O282" s="274"/>
      <c r="P282" s="275"/>
      <c r="Q282" s="276"/>
      <c r="R282" s="277"/>
      <c r="S282" s="278"/>
      <c r="T282" s="279"/>
      <c r="U282" s="279"/>
      <c r="V282" s="279"/>
      <c r="W282" s="279"/>
      <c r="X282" s="279"/>
      <c r="Y282" s="279"/>
      <c r="Z282" s="279"/>
      <c r="AA282" s="279"/>
      <c r="AB282" s="279"/>
      <c r="AC282" s="279"/>
      <c r="AD282" s="279"/>
      <c r="AE282" s="279"/>
      <c r="AF282" s="279"/>
      <c r="AG282" s="280"/>
      <c r="AH282" s="281"/>
      <c r="AI282" s="282"/>
      <c r="AJ282" s="283"/>
      <c r="AK282" s="22" t="s">
        <v>58</v>
      </c>
      <c r="AL282" s="22" t="s">
        <v>58</v>
      </c>
      <c r="AM282" s="22" t="s">
        <v>58</v>
      </c>
    </row>
    <row r="283" spans="1:39" s="22" customFormat="1" x14ac:dyDescent="0.25">
      <c r="A283" s="28" t="str">
        <f>IF(H283&lt;&gt;"",MAX($A$7:A282)+1,"")</f>
        <v/>
      </c>
      <c r="B283" s="243" t="str">
        <f t="shared" si="32"/>
        <v/>
      </c>
      <c r="C283" s="273"/>
      <c r="D283" s="246"/>
      <c r="E283" s="247"/>
      <c r="F283" s="247"/>
      <c r="G283" s="248"/>
      <c r="H283" s="241"/>
      <c r="I283" s="274"/>
      <c r="J283" s="275"/>
      <c r="K283" s="276"/>
      <c r="L283" s="277"/>
      <c r="M283" s="278"/>
      <c r="N283" s="279"/>
      <c r="O283" s="274"/>
      <c r="P283" s="275"/>
      <c r="Q283" s="276"/>
      <c r="R283" s="277"/>
      <c r="S283" s="278"/>
      <c r="T283" s="279"/>
      <c r="U283" s="279"/>
      <c r="V283" s="279"/>
      <c r="W283" s="279"/>
      <c r="X283" s="279"/>
      <c r="Y283" s="279"/>
      <c r="Z283" s="279"/>
      <c r="AA283" s="279"/>
      <c r="AB283" s="279"/>
      <c r="AC283" s="279"/>
      <c r="AD283" s="279"/>
      <c r="AE283" s="279"/>
      <c r="AF283" s="279"/>
      <c r="AG283" s="280"/>
      <c r="AH283" s="281"/>
      <c r="AI283" s="282"/>
      <c r="AJ283" s="283"/>
      <c r="AK283" s="22" t="s">
        <v>58</v>
      </c>
      <c r="AL283" s="22" t="s">
        <v>58</v>
      </c>
      <c r="AM283" s="22" t="s">
        <v>58</v>
      </c>
    </row>
    <row r="284" spans="1:39" s="22" customFormat="1" x14ac:dyDescent="0.25">
      <c r="A284" s="28" t="str">
        <f>IF(H284&lt;&gt;"",MAX($A$7:A283)+1,"")</f>
        <v/>
      </c>
      <c r="B284" s="243" t="str">
        <f t="shared" si="32"/>
        <v/>
      </c>
      <c r="C284" s="273"/>
      <c r="D284" s="246"/>
      <c r="E284" s="247"/>
      <c r="F284" s="247"/>
      <c r="G284" s="248"/>
      <c r="H284" s="241"/>
      <c r="I284" s="274"/>
      <c r="J284" s="275"/>
      <c r="K284" s="276"/>
      <c r="L284" s="277"/>
      <c r="M284" s="278"/>
      <c r="N284" s="279"/>
      <c r="O284" s="274"/>
      <c r="P284" s="275"/>
      <c r="Q284" s="276"/>
      <c r="R284" s="277"/>
      <c r="S284" s="278"/>
      <c r="T284" s="279"/>
      <c r="U284" s="279"/>
      <c r="V284" s="279"/>
      <c r="W284" s="279"/>
      <c r="X284" s="279"/>
      <c r="Y284" s="279"/>
      <c r="Z284" s="279"/>
      <c r="AA284" s="279"/>
      <c r="AB284" s="279"/>
      <c r="AC284" s="279"/>
      <c r="AD284" s="279"/>
      <c r="AE284" s="279"/>
      <c r="AF284" s="279"/>
      <c r="AG284" s="280"/>
      <c r="AH284" s="281"/>
      <c r="AI284" s="282"/>
      <c r="AJ284" s="283"/>
      <c r="AK284" s="22" t="s">
        <v>58</v>
      </c>
      <c r="AL284" s="22" t="s">
        <v>58</v>
      </c>
      <c r="AM284" s="22" t="s">
        <v>58</v>
      </c>
    </row>
    <row r="285" spans="1:39" s="22" customFormat="1" x14ac:dyDescent="0.25">
      <c r="A285" s="28" t="str">
        <f>IF(H285&lt;&gt;"",MAX($A$7:A284)+1,"")</f>
        <v/>
      </c>
      <c r="B285" s="243" t="str">
        <f t="shared" si="32"/>
        <v/>
      </c>
      <c r="C285" s="273"/>
      <c r="D285" s="246"/>
      <c r="E285" s="247"/>
      <c r="F285" s="247"/>
      <c r="G285" s="248"/>
      <c r="H285" s="241"/>
      <c r="I285" s="274"/>
      <c r="J285" s="275"/>
      <c r="K285" s="276"/>
      <c r="L285" s="277"/>
      <c r="M285" s="278"/>
      <c r="N285" s="279"/>
      <c r="O285" s="274"/>
      <c r="P285" s="275"/>
      <c r="Q285" s="276"/>
      <c r="R285" s="277"/>
      <c r="S285" s="278"/>
      <c r="T285" s="279"/>
      <c r="U285" s="279"/>
      <c r="V285" s="279"/>
      <c r="W285" s="279"/>
      <c r="X285" s="279"/>
      <c r="Y285" s="279"/>
      <c r="Z285" s="279"/>
      <c r="AA285" s="279"/>
      <c r="AB285" s="279"/>
      <c r="AC285" s="279"/>
      <c r="AD285" s="279"/>
      <c r="AE285" s="279"/>
      <c r="AF285" s="279"/>
      <c r="AG285" s="280"/>
      <c r="AH285" s="281"/>
      <c r="AI285" s="282"/>
      <c r="AJ285" s="283"/>
      <c r="AK285" s="22" t="s">
        <v>58</v>
      </c>
      <c r="AL285" s="22" t="s">
        <v>58</v>
      </c>
      <c r="AM285" s="22" t="s">
        <v>58</v>
      </c>
    </row>
    <row r="286" spans="1:39" s="22" customFormat="1" x14ac:dyDescent="0.25">
      <c r="A286" s="28" t="str">
        <f>IF(H286&lt;&gt;"",MAX($A$7:A285)+1,"")</f>
        <v/>
      </c>
      <c r="B286" s="243" t="str">
        <f t="shared" si="32"/>
        <v/>
      </c>
      <c r="C286" s="273"/>
      <c r="D286" s="246"/>
      <c r="E286" s="247"/>
      <c r="F286" s="247"/>
      <c r="G286" s="248"/>
      <c r="H286" s="241"/>
      <c r="I286" s="274"/>
      <c r="J286" s="275"/>
      <c r="K286" s="276"/>
      <c r="L286" s="277"/>
      <c r="M286" s="278"/>
      <c r="N286" s="279"/>
      <c r="O286" s="274"/>
      <c r="P286" s="275"/>
      <c r="Q286" s="276"/>
      <c r="R286" s="277"/>
      <c r="S286" s="278"/>
      <c r="T286" s="279"/>
      <c r="U286" s="279"/>
      <c r="V286" s="279"/>
      <c r="W286" s="279"/>
      <c r="X286" s="279"/>
      <c r="Y286" s="279"/>
      <c r="Z286" s="279"/>
      <c r="AA286" s="279"/>
      <c r="AB286" s="279"/>
      <c r="AC286" s="279"/>
      <c r="AD286" s="279"/>
      <c r="AE286" s="279"/>
      <c r="AF286" s="279"/>
      <c r="AG286" s="280"/>
      <c r="AH286" s="281"/>
      <c r="AI286" s="282"/>
      <c r="AJ286" s="283"/>
      <c r="AK286" s="22" t="s">
        <v>58</v>
      </c>
      <c r="AL286" s="22" t="s">
        <v>58</v>
      </c>
      <c r="AM286" s="22" t="s">
        <v>58</v>
      </c>
    </row>
    <row r="287" spans="1:39" s="22" customFormat="1" x14ac:dyDescent="0.25">
      <c r="A287" s="28" t="str">
        <f>IF(H287&lt;&gt;"",MAX($A$7:A286)+1,"")</f>
        <v/>
      </c>
      <c r="B287" s="243" t="str">
        <f t="shared" si="32"/>
        <v/>
      </c>
      <c r="C287" s="273"/>
      <c r="D287" s="246"/>
      <c r="E287" s="247"/>
      <c r="F287" s="247"/>
      <c r="G287" s="248"/>
      <c r="H287" s="241"/>
      <c r="I287" s="274"/>
      <c r="J287" s="275"/>
      <c r="K287" s="276"/>
      <c r="L287" s="277"/>
      <c r="M287" s="278"/>
      <c r="N287" s="279"/>
      <c r="O287" s="274"/>
      <c r="P287" s="275"/>
      <c r="Q287" s="276"/>
      <c r="R287" s="277"/>
      <c r="S287" s="278"/>
      <c r="T287" s="279"/>
      <c r="U287" s="279"/>
      <c r="V287" s="279"/>
      <c r="W287" s="279"/>
      <c r="X287" s="279"/>
      <c r="Y287" s="279"/>
      <c r="Z287" s="279"/>
      <c r="AA287" s="279"/>
      <c r="AB287" s="279"/>
      <c r="AC287" s="279"/>
      <c r="AD287" s="279"/>
      <c r="AE287" s="279"/>
      <c r="AF287" s="279"/>
      <c r="AG287" s="280"/>
      <c r="AH287" s="281"/>
      <c r="AI287" s="282"/>
      <c r="AJ287" s="283"/>
      <c r="AK287" s="22" t="s">
        <v>58</v>
      </c>
      <c r="AL287" s="22" t="s">
        <v>58</v>
      </c>
      <c r="AM287" s="22" t="s">
        <v>58</v>
      </c>
    </row>
    <row r="288" spans="1:39" s="22" customFormat="1" x14ac:dyDescent="0.25">
      <c r="A288" s="28" t="str">
        <f>IF(H288&lt;&gt;"",MAX($A$7:A287)+1,"")</f>
        <v/>
      </c>
      <c r="B288" s="243" t="str">
        <f t="shared" si="32"/>
        <v/>
      </c>
      <c r="C288" s="273"/>
      <c r="D288" s="246"/>
      <c r="E288" s="247"/>
      <c r="F288" s="247"/>
      <c r="G288" s="248"/>
      <c r="H288" s="241"/>
      <c r="I288" s="274"/>
      <c r="J288" s="275"/>
      <c r="K288" s="276"/>
      <c r="L288" s="277"/>
      <c r="M288" s="278"/>
      <c r="N288" s="279"/>
      <c r="O288" s="274"/>
      <c r="P288" s="275"/>
      <c r="Q288" s="276"/>
      <c r="R288" s="277"/>
      <c r="S288" s="278"/>
      <c r="T288" s="279"/>
      <c r="U288" s="279"/>
      <c r="V288" s="279"/>
      <c r="W288" s="279"/>
      <c r="X288" s="279"/>
      <c r="Y288" s="279"/>
      <c r="Z288" s="279"/>
      <c r="AA288" s="279"/>
      <c r="AB288" s="279"/>
      <c r="AC288" s="279"/>
      <c r="AD288" s="279"/>
      <c r="AE288" s="279"/>
      <c r="AF288" s="279"/>
      <c r="AG288" s="280"/>
      <c r="AH288" s="281"/>
      <c r="AI288" s="282"/>
      <c r="AJ288" s="283"/>
      <c r="AK288" s="22" t="s">
        <v>58</v>
      </c>
      <c r="AL288" s="22" t="s">
        <v>58</v>
      </c>
      <c r="AM288" s="22" t="s">
        <v>58</v>
      </c>
    </row>
    <row r="289" spans="1:39" s="22" customFormat="1" x14ac:dyDescent="0.25">
      <c r="A289" s="28" t="str">
        <f>IF(H289&lt;&gt;"",MAX($A$7:A288)+1,"")</f>
        <v/>
      </c>
      <c r="B289" s="243" t="str">
        <f t="shared" si="32"/>
        <v/>
      </c>
      <c r="C289" s="273"/>
      <c r="D289" s="246"/>
      <c r="E289" s="247"/>
      <c r="F289" s="247"/>
      <c r="G289" s="248"/>
      <c r="H289" s="241"/>
      <c r="I289" s="274"/>
      <c r="J289" s="275"/>
      <c r="K289" s="276"/>
      <c r="L289" s="277"/>
      <c r="M289" s="278"/>
      <c r="N289" s="279"/>
      <c r="O289" s="274"/>
      <c r="P289" s="275"/>
      <c r="Q289" s="276"/>
      <c r="R289" s="277"/>
      <c r="S289" s="278"/>
      <c r="T289" s="279"/>
      <c r="U289" s="279"/>
      <c r="V289" s="279"/>
      <c r="W289" s="279"/>
      <c r="X289" s="279"/>
      <c r="Y289" s="279"/>
      <c r="Z289" s="279"/>
      <c r="AA289" s="279"/>
      <c r="AB289" s="279"/>
      <c r="AC289" s="279"/>
      <c r="AD289" s="279"/>
      <c r="AE289" s="279"/>
      <c r="AF289" s="279"/>
      <c r="AG289" s="280"/>
      <c r="AH289" s="281"/>
      <c r="AI289" s="282"/>
      <c r="AJ289" s="283"/>
      <c r="AK289" s="22" t="s">
        <v>58</v>
      </c>
      <c r="AL289" s="22" t="s">
        <v>58</v>
      </c>
      <c r="AM289" s="22" t="s">
        <v>58</v>
      </c>
    </row>
    <row r="290" spans="1:39" s="22" customFormat="1" x14ac:dyDescent="0.25">
      <c r="A290" s="28" t="str">
        <f>IF(H290&lt;&gt;"",MAX($A$7:A289)+1,"")</f>
        <v/>
      </c>
      <c r="B290" s="243" t="str">
        <f t="shared" si="32"/>
        <v/>
      </c>
      <c r="C290" s="273"/>
      <c r="D290" s="246"/>
      <c r="E290" s="247"/>
      <c r="F290" s="247"/>
      <c r="G290" s="248"/>
      <c r="H290" s="241"/>
      <c r="I290" s="274"/>
      <c r="J290" s="275"/>
      <c r="K290" s="276"/>
      <c r="L290" s="277"/>
      <c r="M290" s="278"/>
      <c r="N290" s="279"/>
      <c r="O290" s="274"/>
      <c r="P290" s="275"/>
      <c r="Q290" s="276"/>
      <c r="R290" s="277"/>
      <c r="S290" s="278"/>
      <c r="T290" s="279"/>
      <c r="U290" s="279"/>
      <c r="V290" s="279"/>
      <c r="W290" s="279"/>
      <c r="X290" s="279"/>
      <c r="Y290" s="279"/>
      <c r="Z290" s="279"/>
      <c r="AA290" s="279"/>
      <c r="AB290" s="279"/>
      <c r="AC290" s="279"/>
      <c r="AD290" s="279"/>
      <c r="AE290" s="279"/>
      <c r="AF290" s="279"/>
      <c r="AG290" s="280"/>
      <c r="AH290" s="281"/>
      <c r="AI290" s="282"/>
      <c r="AJ290" s="283"/>
      <c r="AK290" s="22" t="s">
        <v>58</v>
      </c>
      <c r="AL290" s="22" t="s">
        <v>58</v>
      </c>
      <c r="AM290" s="22" t="s">
        <v>58</v>
      </c>
    </row>
    <row r="291" spans="1:39" s="22" customFormat="1" x14ac:dyDescent="0.25">
      <c r="A291" s="28" t="str">
        <f>IF(H291&lt;&gt;"",MAX($A$7:A290)+1,"")</f>
        <v/>
      </c>
      <c r="B291" s="243" t="str">
        <f t="shared" si="32"/>
        <v/>
      </c>
      <c r="C291" s="273"/>
      <c r="D291" s="246"/>
      <c r="E291" s="247"/>
      <c r="F291" s="247"/>
      <c r="G291" s="248"/>
      <c r="H291" s="241"/>
      <c r="I291" s="274"/>
      <c r="J291" s="275"/>
      <c r="K291" s="276"/>
      <c r="L291" s="277"/>
      <c r="M291" s="278"/>
      <c r="N291" s="279"/>
      <c r="O291" s="274"/>
      <c r="P291" s="275"/>
      <c r="Q291" s="276"/>
      <c r="R291" s="277"/>
      <c r="S291" s="278"/>
      <c r="T291" s="279"/>
      <c r="U291" s="279"/>
      <c r="V291" s="279"/>
      <c r="W291" s="279"/>
      <c r="X291" s="279"/>
      <c r="Y291" s="279"/>
      <c r="Z291" s="279"/>
      <c r="AA291" s="279"/>
      <c r="AB291" s="279"/>
      <c r="AC291" s="279"/>
      <c r="AD291" s="279"/>
      <c r="AE291" s="279"/>
      <c r="AF291" s="279"/>
      <c r="AG291" s="280"/>
      <c r="AH291" s="281"/>
      <c r="AI291" s="282"/>
      <c r="AJ291" s="283"/>
      <c r="AK291" s="22" t="s">
        <v>58</v>
      </c>
      <c r="AL291" s="22" t="s">
        <v>58</v>
      </c>
      <c r="AM291" s="22" t="s">
        <v>58</v>
      </c>
    </row>
    <row r="292" spans="1:39" s="22" customFormat="1" x14ac:dyDescent="0.25">
      <c r="A292" s="28" t="str">
        <f>IF(H292&lt;&gt;"",MAX($A$7:A291)+1,"")</f>
        <v/>
      </c>
      <c r="B292" s="243" t="str">
        <f t="shared" si="32"/>
        <v/>
      </c>
      <c r="C292" s="273"/>
      <c r="D292" s="246"/>
      <c r="E292" s="247"/>
      <c r="F292" s="247"/>
      <c r="G292" s="248"/>
      <c r="H292" s="241"/>
      <c r="I292" s="274"/>
      <c r="J292" s="275"/>
      <c r="K292" s="276"/>
      <c r="L292" s="277"/>
      <c r="M292" s="278"/>
      <c r="N292" s="279"/>
      <c r="O292" s="274"/>
      <c r="P292" s="275"/>
      <c r="Q292" s="276"/>
      <c r="R292" s="277"/>
      <c r="S292" s="278"/>
      <c r="T292" s="279"/>
      <c r="U292" s="279"/>
      <c r="V292" s="279"/>
      <c r="W292" s="279"/>
      <c r="X292" s="279"/>
      <c r="Y292" s="279"/>
      <c r="Z292" s="279"/>
      <c r="AA292" s="279"/>
      <c r="AB292" s="279"/>
      <c r="AC292" s="279"/>
      <c r="AD292" s="279"/>
      <c r="AE292" s="279"/>
      <c r="AF292" s="279"/>
      <c r="AG292" s="280"/>
      <c r="AH292" s="281"/>
      <c r="AI292" s="282"/>
      <c r="AJ292" s="283"/>
      <c r="AK292" s="22" t="s">
        <v>58</v>
      </c>
      <c r="AL292" s="22" t="s">
        <v>58</v>
      </c>
      <c r="AM292" s="22" t="s">
        <v>58</v>
      </c>
    </row>
    <row r="293" spans="1:39" s="22" customFormat="1" x14ac:dyDescent="0.25">
      <c r="A293" s="28" t="str">
        <f>IF(H293&lt;&gt;"",MAX($A$7:A292)+1,"")</f>
        <v/>
      </c>
      <c r="B293" s="243" t="str">
        <f t="shared" si="32"/>
        <v/>
      </c>
      <c r="C293" s="273"/>
      <c r="D293" s="246"/>
      <c r="E293" s="247"/>
      <c r="F293" s="247"/>
      <c r="G293" s="248"/>
      <c r="H293" s="241"/>
      <c r="I293" s="274"/>
      <c r="J293" s="275"/>
      <c r="K293" s="276"/>
      <c r="L293" s="277"/>
      <c r="M293" s="278"/>
      <c r="N293" s="279"/>
      <c r="O293" s="274"/>
      <c r="P293" s="275"/>
      <c r="Q293" s="276"/>
      <c r="R293" s="277"/>
      <c r="S293" s="278"/>
      <c r="T293" s="279"/>
      <c r="U293" s="279"/>
      <c r="V293" s="279"/>
      <c r="W293" s="279"/>
      <c r="X293" s="279"/>
      <c r="Y293" s="279"/>
      <c r="Z293" s="279"/>
      <c r="AA293" s="279"/>
      <c r="AB293" s="279"/>
      <c r="AC293" s="279"/>
      <c r="AD293" s="279"/>
      <c r="AE293" s="279"/>
      <c r="AF293" s="279"/>
      <c r="AG293" s="280"/>
      <c r="AH293" s="281"/>
      <c r="AI293" s="282"/>
      <c r="AJ293" s="283"/>
      <c r="AK293" s="22" t="s">
        <v>58</v>
      </c>
      <c r="AL293" s="22" t="s">
        <v>58</v>
      </c>
      <c r="AM293" s="22" t="s">
        <v>58</v>
      </c>
    </row>
    <row r="294" spans="1:39" s="22" customFormat="1" x14ac:dyDescent="0.25">
      <c r="A294" s="28" t="str">
        <f>IF(H294&lt;&gt;"",MAX($A$7:A293)+1,"")</f>
        <v/>
      </c>
      <c r="B294" s="243" t="str">
        <f t="shared" si="32"/>
        <v/>
      </c>
      <c r="C294" s="273"/>
      <c r="D294" s="246"/>
      <c r="E294" s="247"/>
      <c r="F294" s="247"/>
      <c r="G294" s="248"/>
      <c r="H294" s="241"/>
      <c r="I294" s="274"/>
      <c r="J294" s="275"/>
      <c r="K294" s="276"/>
      <c r="L294" s="277"/>
      <c r="M294" s="278"/>
      <c r="N294" s="279"/>
      <c r="O294" s="274"/>
      <c r="P294" s="275"/>
      <c r="Q294" s="276"/>
      <c r="R294" s="277"/>
      <c r="S294" s="278"/>
      <c r="T294" s="279"/>
      <c r="U294" s="279"/>
      <c r="V294" s="279"/>
      <c r="W294" s="279"/>
      <c r="X294" s="279"/>
      <c r="Y294" s="279"/>
      <c r="Z294" s="279"/>
      <c r="AA294" s="279"/>
      <c r="AB294" s="279"/>
      <c r="AC294" s="279"/>
      <c r="AD294" s="279"/>
      <c r="AE294" s="279"/>
      <c r="AF294" s="279"/>
      <c r="AG294" s="280"/>
      <c r="AH294" s="281"/>
      <c r="AI294" s="282"/>
      <c r="AJ294" s="283"/>
      <c r="AK294" s="22" t="s">
        <v>58</v>
      </c>
      <c r="AL294" s="22" t="s">
        <v>58</v>
      </c>
      <c r="AM294" s="22" t="s">
        <v>58</v>
      </c>
    </row>
    <row r="295" spans="1:39" s="22" customFormat="1" x14ac:dyDescent="0.25">
      <c r="A295" s="28" t="str">
        <f>IF(H295&lt;&gt;"",MAX($A$7:A294)+1,"")</f>
        <v/>
      </c>
      <c r="B295" s="243" t="str">
        <f t="shared" si="32"/>
        <v/>
      </c>
      <c r="C295" s="273"/>
      <c r="D295" s="246"/>
      <c r="E295" s="247"/>
      <c r="F295" s="247"/>
      <c r="G295" s="248"/>
      <c r="H295" s="241"/>
      <c r="I295" s="274"/>
      <c r="J295" s="275"/>
      <c r="K295" s="276"/>
      <c r="L295" s="277"/>
      <c r="M295" s="278"/>
      <c r="N295" s="279"/>
      <c r="O295" s="274"/>
      <c r="P295" s="275"/>
      <c r="Q295" s="276"/>
      <c r="R295" s="277"/>
      <c r="S295" s="278"/>
      <c r="T295" s="279"/>
      <c r="U295" s="279"/>
      <c r="V295" s="279"/>
      <c r="W295" s="279"/>
      <c r="X295" s="279"/>
      <c r="Y295" s="279"/>
      <c r="Z295" s="279"/>
      <c r="AA295" s="279"/>
      <c r="AB295" s="279"/>
      <c r="AC295" s="279"/>
      <c r="AD295" s="279"/>
      <c r="AE295" s="279"/>
      <c r="AF295" s="279"/>
      <c r="AG295" s="280"/>
      <c r="AH295" s="281"/>
      <c r="AI295" s="282"/>
      <c r="AJ295" s="283"/>
      <c r="AK295" s="22" t="s">
        <v>58</v>
      </c>
      <c r="AL295" s="22" t="s">
        <v>58</v>
      </c>
      <c r="AM295" s="22" t="s">
        <v>58</v>
      </c>
    </row>
    <row r="296" spans="1:39" s="22" customFormat="1" x14ac:dyDescent="0.25">
      <c r="A296" s="28" t="str">
        <f>IF(H296&lt;&gt;"",MAX($A$7:A295)+1,"")</f>
        <v/>
      </c>
      <c r="B296" s="243" t="str">
        <f t="shared" si="32"/>
        <v/>
      </c>
      <c r="C296" s="273"/>
      <c r="D296" s="246"/>
      <c r="E296" s="247"/>
      <c r="F296" s="247"/>
      <c r="G296" s="248"/>
      <c r="H296" s="241"/>
      <c r="I296" s="274"/>
      <c r="J296" s="275"/>
      <c r="K296" s="276"/>
      <c r="L296" s="277"/>
      <c r="M296" s="278"/>
      <c r="N296" s="279"/>
      <c r="O296" s="274"/>
      <c r="P296" s="275"/>
      <c r="Q296" s="276"/>
      <c r="R296" s="277"/>
      <c r="S296" s="278"/>
      <c r="T296" s="279"/>
      <c r="U296" s="279"/>
      <c r="V296" s="279"/>
      <c r="W296" s="279"/>
      <c r="X296" s="279"/>
      <c r="Y296" s="279"/>
      <c r="Z296" s="279"/>
      <c r="AA296" s="279"/>
      <c r="AB296" s="279"/>
      <c r="AC296" s="279"/>
      <c r="AD296" s="279"/>
      <c r="AE296" s="279"/>
      <c r="AF296" s="279"/>
      <c r="AG296" s="280"/>
      <c r="AH296" s="281"/>
      <c r="AI296" s="282"/>
      <c r="AJ296" s="283"/>
      <c r="AK296" s="22" t="s">
        <v>58</v>
      </c>
      <c r="AL296" s="22" t="s">
        <v>58</v>
      </c>
      <c r="AM296" s="22" t="s">
        <v>58</v>
      </c>
    </row>
    <row r="297" spans="1:39" s="22" customFormat="1" x14ac:dyDescent="0.25">
      <c r="A297" s="28" t="str">
        <f>IF(H297&lt;&gt;"",MAX($A$7:A296)+1,"")</f>
        <v/>
      </c>
      <c r="B297" s="243" t="str">
        <f t="shared" si="32"/>
        <v/>
      </c>
      <c r="C297" s="273"/>
      <c r="D297" s="246"/>
      <c r="E297" s="247"/>
      <c r="F297" s="247"/>
      <c r="G297" s="248"/>
      <c r="H297" s="241"/>
      <c r="I297" s="274"/>
      <c r="J297" s="275"/>
      <c r="K297" s="276"/>
      <c r="L297" s="277"/>
      <c r="M297" s="278"/>
      <c r="N297" s="279"/>
      <c r="O297" s="274"/>
      <c r="P297" s="275"/>
      <c r="Q297" s="276"/>
      <c r="R297" s="277"/>
      <c r="S297" s="278"/>
      <c r="T297" s="279"/>
      <c r="U297" s="279"/>
      <c r="V297" s="279"/>
      <c r="W297" s="279"/>
      <c r="X297" s="279"/>
      <c r="Y297" s="279"/>
      <c r="Z297" s="279"/>
      <c r="AA297" s="279"/>
      <c r="AB297" s="279"/>
      <c r="AC297" s="279"/>
      <c r="AD297" s="279"/>
      <c r="AE297" s="279"/>
      <c r="AF297" s="279"/>
      <c r="AG297" s="280"/>
      <c r="AH297" s="281"/>
      <c r="AI297" s="282"/>
      <c r="AJ297" s="283"/>
      <c r="AK297" s="22" t="s">
        <v>58</v>
      </c>
      <c r="AL297" s="22" t="s">
        <v>58</v>
      </c>
      <c r="AM297" s="22" t="s">
        <v>58</v>
      </c>
    </row>
    <row r="298" spans="1:39" s="22" customFormat="1" x14ac:dyDescent="0.25">
      <c r="A298" s="28" t="str">
        <f>IF(H298&lt;&gt;"",MAX($A$7:A297)+1,"")</f>
        <v/>
      </c>
      <c r="B298" s="243" t="str">
        <f t="shared" si="32"/>
        <v/>
      </c>
      <c r="C298" s="273"/>
      <c r="D298" s="246"/>
      <c r="E298" s="247"/>
      <c r="F298" s="247"/>
      <c r="G298" s="248"/>
      <c r="H298" s="241"/>
      <c r="I298" s="274"/>
      <c r="J298" s="275"/>
      <c r="K298" s="276"/>
      <c r="L298" s="277"/>
      <c r="M298" s="278"/>
      <c r="N298" s="279"/>
      <c r="O298" s="274"/>
      <c r="P298" s="275"/>
      <c r="Q298" s="276"/>
      <c r="R298" s="277"/>
      <c r="S298" s="278"/>
      <c r="T298" s="279"/>
      <c r="U298" s="279"/>
      <c r="V298" s="279"/>
      <c r="W298" s="279"/>
      <c r="X298" s="279"/>
      <c r="Y298" s="279"/>
      <c r="Z298" s="279"/>
      <c r="AA298" s="279"/>
      <c r="AB298" s="279"/>
      <c r="AC298" s="279"/>
      <c r="AD298" s="279"/>
      <c r="AE298" s="279"/>
      <c r="AF298" s="279"/>
      <c r="AG298" s="280"/>
      <c r="AH298" s="281"/>
      <c r="AI298" s="282"/>
      <c r="AJ298" s="283"/>
      <c r="AK298" s="22" t="s">
        <v>58</v>
      </c>
      <c r="AL298" s="22" t="s">
        <v>58</v>
      </c>
      <c r="AM298" s="22" t="s">
        <v>58</v>
      </c>
    </row>
    <row r="299" spans="1:39" s="22" customFormat="1" x14ac:dyDescent="0.25">
      <c r="A299" s="28" t="str">
        <f>IF(H299&lt;&gt;"",MAX($A$7:A298)+1,"")</f>
        <v/>
      </c>
      <c r="B299" s="243" t="str">
        <f t="shared" si="32"/>
        <v/>
      </c>
      <c r="C299" s="273"/>
      <c r="D299" s="246"/>
      <c r="E299" s="247"/>
      <c r="F299" s="247"/>
      <c r="G299" s="248"/>
      <c r="H299" s="241"/>
      <c r="I299" s="274"/>
      <c r="J299" s="275"/>
      <c r="K299" s="276"/>
      <c r="L299" s="277"/>
      <c r="M299" s="278"/>
      <c r="N299" s="279"/>
      <c r="O299" s="274"/>
      <c r="P299" s="275"/>
      <c r="Q299" s="276"/>
      <c r="R299" s="277"/>
      <c r="S299" s="278"/>
      <c r="T299" s="279"/>
      <c r="U299" s="279"/>
      <c r="V299" s="279"/>
      <c r="W299" s="279"/>
      <c r="X299" s="279"/>
      <c r="Y299" s="279"/>
      <c r="Z299" s="279"/>
      <c r="AA299" s="279"/>
      <c r="AB299" s="279"/>
      <c r="AC299" s="279"/>
      <c r="AD299" s="279"/>
      <c r="AE299" s="279"/>
      <c r="AF299" s="279"/>
      <c r="AG299" s="280"/>
      <c r="AH299" s="281"/>
      <c r="AI299" s="282"/>
      <c r="AJ299" s="283"/>
      <c r="AK299" s="22" t="s">
        <v>58</v>
      </c>
      <c r="AL299" s="22" t="s">
        <v>58</v>
      </c>
      <c r="AM299" s="22" t="s">
        <v>58</v>
      </c>
    </row>
    <row r="300" spans="1:39" s="22" customFormat="1" x14ac:dyDescent="0.25">
      <c r="A300" s="28" t="str">
        <f>IF(H300&lt;&gt;"",MAX($A$7:A299)+1,"")</f>
        <v/>
      </c>
      <c r="B300" s="243" t="str">
        <f t="shared" si="32"/>
        <v/>
      </c>
      <c r="C300" s="273"/>
      <c r="D300" s="246"/>
      <c r="E300" s="247"/>
      <c r="F300" s="247"/>
      <c r="G300" s="248"/>
      <c r="H300" s="241"/>
      <c r="I300" s="274"/>
      <c r="J300" s="275"/>
      <c r="K300" s="276"/>
      <c r="L300" s="277"/>
      <c r="M300" s="278"/>
      <c r="N300" s="279"/>
      <c r="O300" s="274"/>
      <c r="P300" s="275"/>
      <c r="Q300" s="276"/>
      <c r="R300" s="277"/>
      <c r="S300" s="278"/>
      <c r="T300" s="279"/>
      <c r="U300" s="279"/>
      <c r="V300" s="279"/>
      <c r="W300" s="279"/>
      <c r="X300" s="279"/>
      <c r="Y300" s="279"/>
      <c r="Z300" s="279"/>
      <c r="AA300" s="279"/>
      <c r="AB300" s="279"/>
      <c r="AC300" s="279"/>
      <c r="AD300" s="279"/>
      <c r="AE300" s="279"/>
      <c r="AF300" s="279"/>
      <c r="AG300" s="280"/>
      <c r="AH300" s="281"/>
      <c r="AI300" s="282"/>
      <c r="AJ300" s="283"/>
      <c r="AK300" s="22" t="s">
        <v>58</v>
      </c>
      <c r="AL300" s="22" t="s">
        <v>58</v>
      </c>
      <c r="AM300" s="22" t="s">
        <v>58</v>
      </c>
    </row>
    <row r="301" spans="1:39" s="22" customFormat="1" x14ac:dyDescent="0.25">
      <c r="A301" s="28" t="str">
        <f>IF(H301&lt;&gt;"",MAX($A$7:A300)+1,"")</f>
        <v/>
      </c>
      <c r="B301" s="243" t="str">
        <f t="shared" si="32"/>
        <v/>
      </c>
      <c r="C301" s="273"/>
      <c r="D301" s="246"/>
      <c r="E301" s="247"/>
      <c r="F301" s="247"/>
      <c r="G301" s="248"/>
      <c r="H301" s="241"/>
      <c r="I301" s="274"/>
      <c r="J301" s="275"/>
      <c r="K301" s="276"/>
      <c r="L301" s="277"/>
      <c r="M301" s="278"/>
      <c r="N301" s="279"/>
      <c r="O301" s="274"/>
      <c r="P301" s="275"/>
      <c r="Q301" s="276"/>
      <c r="R301" s="277"/>
      <c r="S301" s="278"/>
      <c r="T301" s="279"/>
      <c r="U301" s="279"/>
      <c r="V301" s="279"/>
      <c r="W301" s="279"/>
      <c r="X301" s="279"/>
      <c r="Y301" s="279"/>
      <c r="Z301" s="279"/>
      <c r="AA301" s="279"/>
      <c r="AB301" s="279"/>
      <c r="AC301" s="279"/>
      <c r="AD301" s="279"/>
      <c r="AE301" s="279"/>
      <c r="AF301" s="279"/>
      <c r="AG301" s="280"/>
      <c r="AH301" s="281"/>
      <c r="AI301" s="282"/>
      <c r="AJ301" s="283"/>
      <c r="AK301" s="22" t="s">
        <v>58</v>
      </c>
      <c r="AL301" s="22" t="s">
        <v>58</v>
      </c>
      <c r="AM301" s="22" t="s">
        <v>58</v>
      </c>
    </row>
    <row r="302" spans="1:39" s="22" customFormat="1" x14ac:dyDescent="0.25">
      <c r="A302" s="28" t="str">
        <f>IF(H302&lt;&gt;"",MAX($A$7:A301)+1,"")</f>
        <v/>
      </c>
      <c r="B302" s="243" t="str">
        <f t="shared" si="32"/>
        <v/>
      </c>
      <c r="C302" s="273"/>
      <c r="D302" s="246"/>
      <c r="E302" s="247"/>
      <c r="F302" s="247"/>
      <c r="G302" s="248"/>
      <c r="H302" s="241"/>
      <c r="I302" s="274"/>
      <c r="J302" s="275"/>
      <c r="K302" s="276"/>
      <c r="L302" s="277"/>
      <c r="M302" s="278"/>
      <c r="N302" s="279"/>
      <c r="O302" s="274"/>
      <c r="P302" s="275"/>
      <c r="Q302" s="276"/>
      <c r="R302" s="277"/>
      <c r="S302" s="278"/>
      <c r="T302" s="279"/>
      <c r="U302" s="279"/>
      <c r="V302" s="279"/>
      <c r="W302" s="279"/>
      <c r="X302" s="279"/>
      <c r="Y302" s="279"/>
      <c r="Z302" s="279"/>
      <c r="AA302" s="279"/>
      <c r="AB302" s="279"/>
      <c r="AC302" s="279"/>
      <c r="AD302" s="279"/>
      <c r="AE302" s="279"/>
      <c r="AF302" s="279"/>
      <c r="AG302" s="280"/>
      <c r="AH302" s="281"/>
      <c r="AI302" s="282"/>
      <c r="AJ302" s="283"/>
      <c r="AK302" s="22" t="s">
        <v>58</v>
      </c>
      <c r="AL302" s="22" t="s">
        <v>58</v>
      </c>
      <c r="AM302" s="22" t="s">
        <v>58</v>
      </c>
    </row>
    <row r="303" spans="1:39" s="22" customFormat="1" x14ac:dyDescent="0.25">
      <c r="A303" s="28" t="str">
        <f>IF(H303&lt;&gt;"",MAX($A$7:A302)+1,"")</f>
        <v/>
      </c>
      <c r="B303" s="243" t="str">
        <f t="shared" si="32"/>
        <v/>
      </c>
      <c r="C303" s="273"/>
      <c r="D303" s="246"/>
      <c r="E303" s="247"/>
      <c r="F303" s="247"/>
      <c r="G303" s="248"/>
      <c r="H303" s="241"/>
      <c r="I303" s="274"/>
      <c r="J303" s="275"/>
      <c r="K303" s="276"/>
      <c r="L303" s="277"/>
      <c r="M303" s="278"/>
      <c r="N303" s="279"/>
      <c r="O303" s="274"/>
      <c r="P303" s="275"/>
      <c r="Q303" s="276"/>
      <c r="R303" s="277"/>
      <c r="S303" s="278"/>
      <c r="T303" s="279"/>
      <c r="U303" s="279"/>
      <c r="V303" s="279"/>
      <c r="W303" s="279"/>
      <c r="X303" s="279"/>
      <c r="Y303" s="279"/>
      <c r="Z303" s="279"/>
      <c r="AA303" s="279"/>
      <c r="AB303" s="279"/>
      <c r="AC303" s="279"/>
      <c r="AD303" s="279"/>
      <c r="AE303" s="279"/>
      <c r="AF303" s="279"/>
      <c r="AG303" s="280"/>
      <c r="AH303" s="281"/>
      <c r="AI303" s="282"/>
      <c r="AJ303" s="283"/>
      <c r="AK303" s="22" t="s">
        <v>58</v>
      </c>
      <c r="AL303" s="22" t="s">
        <v>58</v>
      </c>
      <c r="AM303" s="22" t="s">
        <v>58</v>
      </c>
    </row>
    <row r="304" spans="1:39" s="22" customFormat="1" x14ac:dyDescent="0.25">
      <c r="A304" s="28" t="str">
        <f>IF(H304&lt;&gt;"",MAX($A$7:A303)+1,"")</f>
        <v/>
      </c>
      <c r="B304" s="243" t="str">
        <f t="shared" si="32"/>
        <v/>
      </c>
      <c r="C304" s="273"/>
      <c r="D304" s="246"/>
      <c r="E304" s="247"/>
      <c r="F304" s="247"/>
      <c r="G304" s="248"/>
      <c r="H304" s="241"/>
      <c r="I304" s="274"/>
      <c r="J304" s="275"/>
      <c r="K304" s="276"/>
      <c r="L304" s="277"/>
      <c r="M304" s="278"/>
      <c r="N304" s="279"/>
      <c r="O304" s="274"/>
      <c r="P304" s="275"/>
      <c r="Q304" s="276"/>
      <c r="R304" s="277"/>
      <c r="S304" s="278"/>
      <c r="T304" s="279"/>
      <c r="U304" s="279"/>
      <c r="V304" s="279"/>
      <c r="W304" s="279"/>
      <c r="X304" s="279"/>
      <c r="Y304" s="279"/>
      <c r="Z304" s="279"/>
      <c r="AA304" s="279"/>
      <c r="AB304" s="279"/>
      <c r="AC304" s="279"/>
      <c r="AD304" s="279"/>
      <c r="AE304" s="279"/>
      <c r="AF304" s="279"/>
      <c r="AG304" s="280"/>
      <c r="AH304" s="281"/>
      <c r="AI304" s="282"/>
      <c r="AJ304" s="283"/>
      <c r="AK304" s="22" t="s">
        <v>58</v>
      </c>
      <c r="AL304" s="22" t="s">
        <v>58</v>
      </c>
      <c r="AM304" s="22" t="s">
        <v>58</v>
      </c>
    </row>
    <row r="305" spans="1:39" s="22" customFormat="1" x14ac:dyDescent="0.25">
      <c r="A305" s="28" t="str">
        <f>IF(H305&lt;&gt;"",MAX($A$7:A304)+1,"")</f>
        <v/>
      </c>
      <c r="B305" s="243" t="str">
        <f t="shared" si="32"/>
        <v/>
      </c>
      <c r="C305" s="273"/>
      <c r="D305" s="246"/>
      <c r="E305" s="247"/>
      <c r="F305" s="247"/>
      <c r="G305" s="248"/>
      <c r="H305" s="241"/>
      <c r="I305" s="274"/>
      <c r="J305" s="275"/>
      <c r="K305" s="276"/>
      <c r="L305" s="277"/>
      <c r="M305" s="278"/>
      <c r="N305" s="279"/>
      <c r="O305" s="274"/>
      <c r="P305" s="275"/>
      <c r="Q305" s="276"/>
      <c r="R305" s="277"/>
      <c r="S305" s="278"/>
      <c r="T305" s="279"/>
      <c r="U305" s="279"/>
      <c r="V305" s="279"/>
      <c r="W305" s="279"/>
      <c r="X305" s="279"/>
      <c r="Y305" s="279"/>
      <c r="Z305" s="279"/>
      <c r="AA305" s="279"/>
      <c r="AB305" s="279"/>
      <c r="AC305" s="279"/>
      <c r="AD305" s="279"/>
      <c r="AE305" s="279"/>
      <c r="AF305" s="279"/>
      <c r="AG305" s="280"/>
      <c r="AH305" s="281"/>
      <c r="AI305" s="282"/>
      <c r="AJ305" s="283"/>
      <c r="AK305" s="22" t="s">
        <v>58</v>
      </c>
      <c r="AL305" s="22" t="s">
        <v>58</v>
      </c>
      <c r="AM305" s="22" t="s">
        <v>58</v>
      </c>
    </row>
    <row r="306" spans="1:39" s="22" customFormat="1" x14ac:dyDescent="0.25">
      <c r="A306" s="28" t="str">
        <f>IF(H306&lt;&gt;"",MAX($A$7:A305)+1,"")</f>
        <v/>
      </c>
      <c r="B306" s="243" t="str">
        <f t="shared" si="32"/>
        <v/>
      </c>
      <c r="C306" s="273"/>
      <c r="D306" s="246"/>
      <c r="E306" s="247"/>
      <c r="F306" s="247"/>
      <c r="G306" s="248"/>
      <c r="H306" s="241"/>
      <c r="I306" s="274"/>
      <c r="J306" s="275"/>
      <c r="K306" s="276"/>
      <c r="L306" s="277"/>
      <c r="M306" s="278"/>
      <c r="N306" s="279"/>
      <c r="O306" s="274"/>
      <c r="P306" s="275"/>
      <c r="Q306" s="276"/>
      <c r="R306" s="277"/>
      <c r="S306" s="278"/>
      <c r="T306" s="279"/>
      <c r="U306" s="279"/>
      <c r="V306" s="279"/>
      <c r="W306" s="279"/>
      <c r="X306" s="279"/>
      <c r="Y306" s="279"/>
      <c r="Z306" s="279"/>
      <c r="AA306" s="279"/>
      <c r="AB306" s="279"/>
      <c r="AC306" s="279"/>
      <c r="AD306" s="279"/>
      <c r="AE306" s="279"/>
      <c r="AF306" s="279"/>
      <c r="AG306" s="280"/>
      <c r="AH306" s="281"/>
      <c r="AI306" s="282"/>
      <c r="AJ306" s="283"/>
      <c r="AK306" s="22" t="s">
        <v>58</v>
      </c>
      <c r="AL306" s="22" t="s">
        <v>58</v>
      </c>
      <c r="AM306" s="22" t="s">
        <v>58</v>
      </c>
    </row>
    <row r="307" spans="1:39" s="22" customFormat="1" x14ac:dyDescent="0.25">
      <c r="A307" s="28" t="str">
        <f>IF(H307&lt;&gt;"",MAX($A$7:A306)+1,"")</f>
        <v/>
      </c>
      <c r="B307" s="243" t="str">
        <f t="shared" si="32"/>
        <v/>
      </c>
      <c r="C307" s="273"/>
      <c r="D307" s="246"/>
      <c r="E307" s="247"/>
      <c r="F307" s="247"/>
      <c r="G307" s="248"/>
      <c r="H307" s="241"/>
      <c r="I307" s="274"/>
      <c r="J307" s="275"/>
      <c r="K307" s="276"/>
      <c r="L307" s="277"/>
      <c r="M307" s="278"/>
      <c r="N307" s="279"/>
      <c r="O307" s="274"/>
      <c r="P307" s="275"/>
      <c r="Q307" s="276"/>
      <c r="R307" s="277"/>
      <c r="S307" s="278"/>
      <c r="T307" s="279"/>
      <c r="U307" s="279"/>
      <c r="V307" s="279"/>
      <c r="W307" s="279"/>
      <c r="X307" s="279"/>
      <c r="Y307" s="279"/>
      <c r="Z307" s="279"/>
      <c r="AA307" s="279"/>
      <c r="AB307" s="279"/>
      <c r="AC307" s="279"/>
      <c r="AD307" s="279"/>
      <c r="AE307" s="279"/>
      <c r="AF307" s="279"/>
      <c r="AG307" s="280"/>
      <c r="AH307" s="281"/>
      <c r="AI307" s="282"/>
      <c r="AJ307" s="283"/>
      <c r="AK307" s="22" t="s">
        <v>58</v>
      </c>
      <c r="AL307" s="22" t="s">
        <v>58</v>
      </c>
      <c r="AM307" s="22" t="s">
        <v>58</v>
      </c>
    </row>
    <row r="308" spans="1:39" s="22" customFormat="1" x14ac:dyDescent="0.25">
      <c r="A308" s="28" t="str">
        <f>IF(H308&lt;&gt;"",MAX($A$7:A307)+1,"")</f>
        <v/>
      </c>
      <c r="B308" s="243" t="str">
        <f t="shared" si="32"/>
        <v/>
      </c>
      <c r="C308" s="273"/>
      <c r="D308" s="246"/>
      <c r="E308" s="247"/>
      <c r="F308" s="247"/>
      <c r="G308" s="248"/>
      <c r="H308" s="241"/>
      <c r="I308" s="274"/>
      <c r="J308" s="275"/>
      <c r="K308" s="276"/>
      <c r="L308" s="277"/>
      <c r="M308" s="278"/>
      <c r="N308" s="279"/>
      <c r="O308" s="274"/>
      <c r="P308" s="275"/>
      <c r="Q308" s="276"/>
      <c r="R308" s="277"/>
      <c r="S308" s="278"/>
      <c r="T308" s="279"/>
      <c r="U308" s="279"/>
      <c r="V308" s="279"/>
      <c r="W308" s="279"/>
      <c r="X308" s="279"/>
      <c r="Y308" s="279"/>
      <c r="Z308" s="279"/>
      <c r="AA308" s="279"/>
      <c r="AB308" s="279"/>
      <c r="AC308" s="279"/>
      <c r="AD308" s="279"/>
      <c r="AE308" s="279"/>
      <c r="AF308" s="279"/>
      <c r="AG308" s="280"/>
      <c r="AH308" s="281"/>
      <c r="AI308" s="282"/>
      <c r="AJ308" s="283"/>
      <c r="AK308" s="22" t="s">
        <v>58</v>
      </c>
      <c r="AL308" s="22" t="s">
        <v>58</v>
      </c>
      <c r="AM308" s="22" t="s">
        <v>58</v>
      </c>
    </row>
    <row r="309" spans="1:39" s="22" customFormat="1" x14ac:dyDescent="0.25">
      <c r="A309" s="28" t="str">
        <f>IF(H309&lt;&gt;"",MAX($A$7:A308)+1,"")</f>
        <v/>
      </c>
      <c r="B309" s="243" t="str">
        <f t="shared" si="32"/>
        <v/>
      </c>
      <c r="C309" s="273"/>
      <c r="D309" s="246"/>
      <c r="E309" s="247"/>
      <c r="F309" s="247"/>
      <c r="G309" s="248"/>
      <c r="H309" s="241"/>
      <c r="I309" s="274"/>
      <c r="J309" s="275"/>
      <c r="K309" s="276"/>
      <c r="L309" s="277"/>
      <c r="M309" s="278"/>
      <c r="N309" s="279"/>
      <c r="O309" s="274"/>
      <c r="P309" s="275"/>
      <c r="Q309" s="276"/>
      <c r="R309" s="277"/>
      <c r="S309" s="278"/>
      <c r="T309" s="279"/>
      <c r="U309" s="279"/>
      <c r="V309" s="279"/>
      <c r="W309" s="279"/>
      <c r="X309" s="279"/>
      <c r="Y309" s="279"/>
      <c r="Z309" s="279"/>
      <c r="AA309" s="279"/>
      <c r="AB309" s="279"/>
      <c r="AC309" s="279"/>
      <c r="AD309" s="279"/>
      <c r="AE309" s="279"/>
      <c r="AF309" s="279"/>
      <c r="AG309" s="280"/>
      <c r="AH309" s="281"/>
      <c r="AI309" s="282"/>
      <c r="AJ309" s="283"/>
      <c r="AK309" s="22" t="s">
        <v>58</v>
      </c>
      <c r="AL309" s="22" t="s">
        <v>58</v>
      </c>
      <c r="AM309" s="22" t="s">
        <v>58</v>
      </c>
    </row>
    <row r="310" spans="1:39" s="22" customFormat="1" x14ac:dyDescent="0.25">
      <c r="A310" s="28" t="str">
        <f>IF(H310&lt;&gt;"",MAX($A$7:A309)+1,"")</f>
        <v/>
      </c>
      <c r="B310" s="243" t="str">
        <f t="shared" si="32"/>
        <v/>
      </c>
      <c r="C310" s="273"/>
      <c r="D310" s="246"/>
      <c r="E310" s="247"/>
      <c r="F310" s="247"/>
      <c r="G310" s="248"/>
      <c r="H310" s="241"/>
      <c r="I310" s="274"/>
      <c r="J310" s="275"/>
      <c r="K310" s="276"/>
      <c r="L310" s="277"/>
      <c r="M310" s="278"/>
      <c r="N310" s="279"/>
      <c r="O310" s="274"/>
      <c r="P310" s="275"/>
      <c r="Q310" s="276"/>
      <c r="R310" s="277"/>
      <c r="S310" s="278"/>
      <c r="T310" s="279"/>
      <c r="U310" s="279"/>
      <c r="V310" s="279"/>
      <c r="W310" s="279"/>
      <c r="X310" s="279"/>
      <c r="Y310" s="279"/>
      <c r="Z310" s="279"/>
      <c r="AA310" s="279"/>
      <c r="AB310" s="279"/>
      <c r="AC310" s="279"/>
      <c r="AD310" s="279"/>
      <c r="AE310" s="279"/>
      <c r="AF310" s="279"/>
      <c r="AG310" s="280"/>
      <c r="AH310" s="281"/>
      <c r="AI310" s="282"/>
      <c r="AJ310" s="283"/>
      <c r="AK310" s="22" t="s">
        <v>58</v>
      </c>
      <c r="AL310" s="22" t="s">
        <v>58</v>
      </c>
      <c r="AM310" s="22" t="s">
        <v>58</v>
      </c>
    </row>
    <row r="311" spans="1:39" s="22" customFormat="1" x14ac:dyDescent="0.25">
      <c r="A311" s="28" t="str">
        <f>IF(H311&lt;&gt;"",MAX($A$7:A310)+1,"")</f>
        <v/>
      </c>
      <c r="B311" s="243" t="str">
        <f t="shared" si="32"/>
        <v/>
      </c>
      <c r="C311" s="273"/>
      <c r="D311" s="246"/>
      <c r="E311" s="247"/>
      <c r="F311" s="247"/>
      <c r="G311" s="248"/>
      <c r="H311" s="241"/>
      <c r="I311" s="274"/>
      <c r="J311" s="275"/>
      <c r="K311" s="276"/>
      <c r="L311" s="277"/>
      <c r="M311" s="278"/>
      <c r="N311" s="279"/>
      <c r="O311" s="274"/>
      <c r="P311" s="275"/>
      <c r="Q311" s="276"/>
      <c r="R311" s="277"/>
      <c r="S311" s="278"/>
      <c r="T311" s="279"/>
      <c r="U311" s="279"/>
      <c r="V311" s="279"/>
      <c r="W311" s="279"/>
      <c r="X311" s="279"/>
      <c r="Y311" s="279"/>
      <c r="Z311" s="279"/>
      <c r="AA311" s="279"/>
      <c r="AB311" s="279"/>
      <c r="AC311" s="279"/>
      <c r="AD311" s="279"/>
      <c r="AE311" s="279"/>
      <c r="AF311" s="279"/>
      <c r="AG311" s="280"/>
      <c r="AH311" s="281"/>
      <c r="AI311" s="282"/>
      <c r="AJ311" s="283"/>
      <c r="AK311" s="22" t="s">
        <v>58</v>
      </c>
      <c r="AL311" s="22" t="s">
        <v>58</v>
      </c>
      <c r="AM311" s="22" t="s">
        <v>58</v>
      </c>
    </row>
    <row r="312" spans="1:39" s="22" customFormat="1" x14ac:dyDescent="0.25">
      <c r="A312" s="28" t="str">
        <f>IF(H312&lt;&gt;"",MAX($A$7:A311)+1,"")</f>
        <v/>
      </c>
      <c r="B312" s="243" t="str">
        <f t="shared" si="32"/>
        <v/>
      </c>
      <c r="C312" s="273"/>
      <c r="D312" s="246"/>
      <c r="E312" s="247"/>
      <c r="F312" s="247"/>
      <c r="G312" s="248"/>
      <c r="H312" s="241"/>
      <c r="I312" s="274"/>
      <c r="J312" s="275"/>
      <c r="K312" s="276"/>
      <c r="L312" s="277"/>
      <c r="M312" s="278"/>
      <c r="N312" s="279"/>
      <c r="O312" s="274"/>
      <c r="P312" s="275"/>
      <c r="Q312" s="276"/>
      <c r="R312" s="277"/>
      <c r="S312" s="278"/>
      <c r="T312" s="279"/>
      <c r="U312" s="279"/>
      <c r="V312" s="279"/>
      <c r="W312" s="279"/>
      <c r="X312" s="279"/>
      <c r="Y312" s="279"/>
      <c r="Z312" s="279"/>
      <c r="AA312" s="279"/>
      <c r="AB312" s="279"/>
      <c r="AC312" s="279"/>
      <c r="AD312" s="279"/>
      <c r="AE312" s="279"/>
      <c r="AF312" s="279"/>
      <c r="AG312" s="280"/>
      <c r="AH312" s="281"/>
      <c r="AI312" s="282"/>
      <c r="AJ312" s="283"/>
      <c r="AK312" s="22" t="s">
        <v>58</v>
      </c>
      <c r="AL312" s="22" t="s">
        <v>58</v>
      </c>
      <c r="AM312" s="22" t="s">
        <v>58</v>
      </c>
    </row>
    <row r="313" spans="1:39" s="22" customFormat="1" x14ac:dyDescent="0.25">
      <c r="A313" s="28" t="str">
        <f>IF(H313&lt;&gt;"",MAX($A$7:A312)+1,"")</f>
        <v/>
      </c>
      <c r="B313" s="243" t="str">
        <f t="shared" si="32"/>
        <v/>
      </c>
      <c r="C313" s="273"/>
      <c r="D313" s="246"/>
      <c r="E313" s="247"/>
      <c r="F313" s="247"/>
      <c r="G313" s="248"/>
      <c r="H313" s="241"/>
      <c r="I313" s="274"/>
      <c r="J313" s="275"/>
      <c r="K313" s="276"/>
      <c r="L313" s="277"/>
      <c r="M313" s="278"/>
      <c r="N313" s="279"/>
      <c r="O313" s="274"/>
      <c r="P313" s="275"/>
      <c r="Q313" s="276"/>
      <c r="R313" s="277"/>
      <c r="S313" s="278"/>
      <c r="T313" s="279"/>
      <c r="U313" s="279"/>
      <c r="V313" s="279"/>
      <c r="W313" s="279"/>
      <c r="X313" s="279"/>
      <c r="Y313" s="279"/>
      <c r="Z313" s="279"/>
      <c r="AA313" s="279"/>
      <c r="AB313" s="279"/>
      <c r="AC313" s="279"/>
      <c r="AD313" s="279"/>
      <c r="AE313" s="279"/>
      <c r="AF313" s="279"/>
      <c r="AG313" s="280"/>
      <c r="AH313" s="281"/>
      <c r="AI313" s="282"/>
      <c r="AJ313" s="283"/>
      <c r="AK313" s="22" t="s">
        <v>58</v>
      </c>
      <c r="AL313" s="22" t="s">
        <v>58</v>
      </c>
      <c r="AM313" s="22" t="s">
        <v>58</v>
      </c>
    </row>
    <row r="314" spans="1:39" s="22" customFormat="1" x14ac:dyDescent="0.25">
      <c r="A314" s="28" t="str">
        <f>IF(H314&lt;&gt;"",MAX($A$7:A313)+1,"")</f>
        <v/>
      </c>
      <c r="B314" s="243" t="str">
        <f t="shared" si="32"/>
        <v/>
      </c>
      <c r="C314" s="273"/>
      <c r="D314" s="246"/>
      <c r="E314" s="247"/>
      <c r="F314" s="247"/>
      <c r="G314" s="248"/>
      <c r="H314" s="241"/>
      <c r="I314" s="274"/>
      <c r="J314" s="275"/>
      <c r="K314" s="276"/>
      <c r="L314" s="277"/>
      <c r="M314" s="278"/>
      <c r="N314" s="279"/>
      <c r="O314" s="274"/>
      <c r="P314" s="275"/>
      <c r="Q314" s="276"/>
      <c r="R314" s="277"/>
      <c r="S314" s="278"/>
      <c r="T314" s="279"/>
      <c r="U314" s="279"/>
      <c r="V314" s="279"/>
      <c r="W314" s="279"/>
      <c r="X314" s="279"/>
      <c r="Y314" s="279"/>
      <c r="Z314" s="279"/>
      <c r="AA314" s="279"/>
      <c r="AB314" s="279"/>
      <c r="AC314" s="279"/>
      <c r="AD314" s="279"/>
      <c r="AE314" s="279"/>
      <c r="AF314" s="279"/>
      <c r="AG314" s="280"/>
      <c r="AH314" s="281"/>
      <c r="AI314" s="282"/>
      <c r="AJ314" s="283"/>
      <c r="AK314" s="22" t="s">
        <v>58</v>
      </c>
      <c r="AL314" s="22" t="s">
        <v>58</v>
      </c>
      <c r="AM314" s="22" t="s">
        <v>58</v>
      </c>
    </row>
    <row r="315" spans="1:39" s="22" customFormat="1" x14ac:dyDescent="0.25">
      <c r="A315" s="28" t="str">
        <f>IF(H315&lt;&gt;"",MAX($A$7:A314)+1,"")</f>
        <v/>
      </c>
      <c r="B315" s="243" t="str">
        <f t="shared" si="32"/>
        <v/>
      </c>
      <c r="C315" s="273"/>
      <c r="D315" s="246"/>
      <c r="E315" s="247"/>
      <c r="F315" s="247"/>
      <c r="G315" s="248"/>
      <c r="H315" s="241"/>
      <c r="I315" s="274"/>
      <c r="J315" s="275"/>
      <c r="K315" s="276"/>
      <c r="L315" s="277"/>
      <c r="M315" s="278"/>
      <c r="N315" s="279"/>
      <c r="O315" s="274"/>
      <c r="P315" s="275"/>
      <c r="Q315" s="276"/>
      <c r="R315" s="277"/>
      <c r="S315" s="278"/>
      <c r="T315" s="279"/>
      <c r="U315" s="279"/>
      <c r="V315" s="279"/>
      <c r="W315" s="279"/>
      <c r="X315" s="279"/>
      <c r="Y315" s="279"/>
      <c r="Z315" s="279"/>
      <c r="AA315" s="279"/>
      <c r="AB315" s="279"/>
      <c r="AC315" s="279"/>
      <c r="AD315" s="279"/>
      <c r="AE315" s="279"/>
      <c r="AF315" s="279"/>
      <c r="AG315" s="280"/>
      <c r="AH315" s="281"/>
      <c r="AI315" s="282"/>
      <c r="AJ315" s="283"/>
      <c r="AK315" s="22" t="s">
        <v>58</v>
      </c>
      <c r="AL315" s="22" t="s">
        <v>58</v>
      </c>
      <c r="AM315" s="22" t="s">
        <v>58</v>
      </c>
    </row>
    <row r="316" spans="1:39" s="22" customFormat="1" x14ac:dyDescent="0.25">
      <c r="A316" s="28" t="str">
        <f>IF(H316&lt;&gt;"",MAX($A$7:A315)+1,"")</f>
        <v/>
      </c>
      <c r="B316" s="243" t="str">
        <f t="shared" si="32"/>
        <v/>
      </c>
      <c r="C316" s="273"/>
      <c r="D316" s="246"/>
      <c r="E316" s="247"/>
      <c r="F316" s="247"/>
      <c r="G316" s="248"/>
      <c r="H316" s="241"/>
      <c r="I316" s="274"/>
      <c r="J316" s="275"/>
      <c r="K316" s="276"/>
      <c r="L316" s="277"/>
      <c r="M316" s="278"/>
      <c r="N316" s="279"/>
      <c r="O316" s="274"/>
      <c r="P316" s="275"/>
      <c r="Q316" s="276"/>
      <c r="R316" s="277"/>
      <c r="S316" s="278"/>
      <c r="T316" s="279"/>
      <c r="U316" s="279"/>
      <c r="V316" s="279"/>
      <c r="W316" s="279"/>
      <c r="X316" s="279"/>
      <c r="Y316" s="279"/>
      <c r="Z316" s="279"/>
      <c r="AA316" s="279"/>
      <c r="AB316" s="279"/>
      <c r="AC316" s="279"/>
      <c r="AD316" s="279"/>
      <c r="AE316" s="279"/>
      <c r="AF316" s="279"/>
      <c r="AG316" s="280"/>
      <c r="AH316" s="281"/>
      <c r="AI316" s="282"/>
      <c r="AJ316" s="283"/>
      <c r="AK316" s="22" t="s">
        <v>58</v>
      </c>
      <c r="AL316" s="22" t="s">
        <v>58</v>
      </c>
      <c r="AM316" s="22" t="s">
        <v>58</v>
      </c>
    </row>
    <row r="317" spans="1:39" s="22" customFormat="1" x14ac:dyDescent="0.25">
      <c r="A317" s="28" t="str">
        <f>IF(H317&lt;&gt;"",MAX($A$7:A316)+1,"")</f>
        <v/>
      </c>
      <c r="B317" s="243" t="str">
        <f t="shared" si="32"/>
        <v/>
      </c>
      <c r="C317" s="273"/>
      <c r="D317" s="246"/>
      <c r="E317" s="247"/>
      <c r="F317" s="247"/>
      <c r="G317" s="248"/>
      <c r="H317" s="241"/>
      <c r="I317" s="274"/>
      <c r="J317" s="275"/>
      <c r="K317" s="276"/>
      <c r="L317" s="277"/>
      <c r="M317" s="278"/>
      <c r="N317" s="279"/>
      <c r="O317" s="274"/>
      <c r="P317" s="275"/>
      <c r="Q317" s="276"/>
      <c r="R317" s="277"/>
      <c r="S317" s="278"/>
      <c r="T317" s="279"/>
      <c r="U317" s="279"/>
      <c r="V317" s="279"/>
      <c r="W317" s="279"/>
      <c r="X317" s="279"/>
      <c r="Y317" s="279"/>
      <c r="Z317" s="279"/>
      <c r="AA317" s="279"/>
      <c r="AB317" s="279"/>
      <c r="AC317" s="279"/>
      <c r="AD317" s="279"/>
      <c r="AE317" s="279"/>
      <c r="AF317" s="279"/>
      <c r="AG317" s="280"/>
      <c r="AH317" s="281"/>
      <c r="AI317" s="282"/>
      <c r="AJ317" s="283"/>
      <c r="AK317" s="22" t="s">
        <v>58</v>
      </c>
      <c r="AL317" s="22" t="s">
        <v>58</v>
      </c>
      <c r="AM317" s="22" t="s">
        <v>58</v>
      </c>
    </row>
    <row r="318" spans="1:39" s="22" customFormat="1" x14ac:dyDescent="0.25">
      <c r="A318" s="28" t="str">
        <f>IF(H318&lt;&gt;"",MAX($A$7:A317)+1,"")</f>
        <v/>
      </c>
      <c r="B318" s="243" t="str">
        <f t="shared" si="32"/>
        <v/>
      </c>
      <c r="C318" s="273"/>
      <c r="D318" s="246"/>
      <c r="E318" s="247"/>
      <c r="F318" s="247"/>
      <c r="G318" s="248"/>
      <c r="H318" s="241"/>
      <c r="I318" s="274"/>
      <c r="J318" s="275"/>
      <c r="K318" s="276"/>
      <c r="L318" s="277"/>
      <c r="M318" s="278"/>
      <c r="N318" s="279"/>
      <c r="O318" s="274"/>
      <c r="P318" s="275"/>
      <c r="Q318" s="276"/>
      <c r="R318" s="277"/>
      <c r="S318" s="278"/>
      <c r="T318" s="279"/>
      <c r="U318" s="279"/>
      <c r="V318" s="279"/>
      <c r="W318" s="279"/>
      <c r="X318" s="279"/>
      <c r="Y318" s="279"/>
      <c r="Z318" s="279"/>
      <c r="AA318" s="279"/>
      <c r="AB318" s="279"/>
      <c r="AC318" s="279"/>
      <c r="AD318" s="279"/>
      <c r="AE318" s="279"/>
      <c r="AF318" s="279"/>
      <c r="AG318" s="280"/>
      <c r="AH318" s="281"/>
      <c r="AI318" s="282"/>
      <c r="AJ318" s="283"/>
      <c r="AK318" s="22" t="s">
        <v>58</v>
      </c>
      <c r="AL318" s="22" t="s">
        <v>58</v>
      </c>
      <c r="AM318" s="22" t="s">
        <v>58</v>
      </c>
    </row>
    <row r="319" spans="1:39" s="22" customFormat="1" x14ac:dyDescent="0.25">
      <c r="A319" s="28" t="str">
        <f>IF(H319&lt;&gt;"",MAX($A$7:A318)+1,"")</f>
        <v/>
      </c>
      <c r="B319" s="243" t="str">
        <f t="shared" si="32"/>
        <v/>
      </c>
      <c r="C319" s="273"/>
      <c r="D319" s="246"/>
      <c r="E319" s="247"/>
      <c r="F319" s="247"/>
      <c r="G319" s="248"/>
      <c r="H319" s="241"/>
      <c r="I319" s="274"/>
      <c r="J319" s="275"/>
      <c r="K319" s="276"/>
      <c r="L319" s="277"/>
      <c r="M319" s="278"/>
      <c r="N319" s="279"/>
      <c r="O319" s="274"/>
      <c r="P319" s="275"/>
      <c r="Q319" s="276"/>
      <c r="R319" s="277"/>
      <c r="S319" s="278"/>
      <c r="T319" s="279"/>
      <c r="U319" s="279"/>
      <c r="V319" s="279"/>
      <c r="W319" s="279"/>
      <c r="X319" s="279"/>
      <c r="Y319" s="279"/>
      <c r="Z319" s="279"/>
      <c r="AA319" s="279"/>
      <c r="AB319" s="279"/>
      <c r="AC319" s="279"/>
      <c r="AD319" s="279"/>
      <c r="AE319" s="279"/>
      <c r="AF319" s="279"/>
      <c r="AG319" s="280"/>
      <c r="AH319" s="281"/>
      <c r="AI319" s="282"/>
      <c r="AJ319" s="283"/>
      <c r="AK319" s="22" t="s">
        <v>58</v>
      </c>
      <c r="AL319" s="22" t="s">
        <v>58</v>
      </c>
      <c r="AM319" s="22" t="s">
        <v>58</v>
      </c>
    </row>
    <row r="320" spans="1:39" s="22" customFormat="1" x14ac:dyDescent="0.25">
      <c r="A320" s="28" t="str">
        <f>IF(H320&lt;&gt;"",MAX($A$7:A319)+1,"")</f>
        <v/>
      </c>
      <c r="B320" s="243" t="str">
        <f t="shared" si="32"/>
        <v/>
      </c>
      <c r="C320" s="273"/>
      <c r="D320" s="246"/>
      <c r="E320" s="247"/>
      <c r="F320" s="247"/>
      <c r="G320" s="248"/>
      <c r="H320" s="241"/>
      <c r="I320" s="274"/>
      <c r="J320" s="275"/>
      <c r="K320" s="276"/>
      <c r="L320" s="277"/>
      <c r="M320" s="278"/>
      <c r="N320" s="279"/>
      <c r="O320" s="274"/>
      <c r="P320" s="275"/>
      <c r="Q320" s="276"/>
      <c r="R320" s="277"/>
      <c r="S320" s="278"/>
      <c r="T320" s="279"/>
      <c r="U320" s="279"/>
      <c r="V320" s="279"/>
      <c r="W320" s="279"/>
      <c r="X320" s="279"/>
      <c r="Y320" s="279"/>
      <c r="Z320" s="279"/>
      <c r="AA320" s="279"/>
      <c r="AB320" s="279"/>
      <c r="AC320" s="279"/>
      <c r="AD320" s="279"/>
      <c r="AE320" s="279"/>
      <c r="AF320" s="279"/>
      <c r="AG320" s="280"/>
      <c r="AH320" s="281"/>
      <c r="AI320" s="282"/>
      <c r="AJ320" s="283"/>
      <c r="AK320" s="22" t="s">
        <v>58</v>
      </c>
      <c r="AL320" s="22" t="s">
        <v>58</v>
      </c>
      <c r="AM320" s="22" t="s">
        <v>58</v>
      </c>
    </row>
    <row r="321" spans="1:39" s="22" customFormat="1" x14ac:dyDescent="0.25">
      <c r="A321" s="28" t="str">
        <f>IF(H321&lt;&gt;"",MAX($A$7:A320)+1,"")</f>
        <v/>
      </c>
      <c r="B321" s="243" t="str">
        <f t="shared" si="32"/>
        <v/>
      </c>
      <c r="C321" s="273"/>
      <c r="D321" s="246"/>
      <c r="E321" s="247"/>
      <c r="F321" s="247"/>
      <c r="G321" s="248"/>
      <c r="H321" s="241"/>
      <c r="I321" s="274"/>
      <c r="J321" s="275"/>
      <c r="K321" s="276"/>
      <c r="L321" s="277"/>
      <c r="M321" s="278"/>
      <c r="N321" s="279"/>
      <c r="O321" s="274"/>
      <c r="P321" s="275"/>
      <c r="Q321" s="276"/>
      <c r="R321" s="277"/>
      <c r="S321" s="278"/>
      <c r="T321" s="279"/>
      <c r="U321" s="279"/>
      <c r="V321" s="279"/>
      <c r="W321" s="279"/>
      <c r="X321" s="279"/>
      <c r="Y321" s="279"/>
      <c r="Z321" s="279"/>
      <c r="AA321" s="279"/>
      <c r="AB321" s="279"/>
      <c r="AC321" s="279"/>
      <c r="AD321" s="279"/>
      <c r="AE321" s="279"/>
      <c r="AF321" s="279"/>
      <c r="AG321" s="280"/>
      <c r="AH321" s="281"/>
      <c r="AI321" s="282"/>
      <c r="AJ321" s="283"/>
      <c r="AK321" s="22" t="s">
        <v>58</v>
      </c>
      <c r="AL321" s="22" t="s">
        <v>58</v>
      </c>
      <c r="AM321" s="22" t="s">
        <v>58</v>
      </c>
    </row>
    <row r="322" spans="1:39" s="22" customFormat="1" x14ac:dyDescent="0.25">
      <c r="A322" s="28" t="str">
        <f>IF(H322&lt;&gt;"",MAX($A$7:A321)+1,"")</f>
        <v/>
      </c>
      <c r="B322" s="243" t="str">
        <f t="shared" si="32"/>
        <v/>
      </c>
      <c r="C322" s="273"/>
      <c r="D322" s="246"/>
      <c r="E322" s="247"/>
      <c r="F322" s="247"/>
      <c r="G322" s="248"/>
      <c r="H322" s="241"/>
      <c r="I322" s="274"/>
      <c r="J322" s="275"/>
      <c r="K322" s="276"/>
      <c r="L322" s="277"/>
      <c r="M322" s="278"/>
      <c r="N322" s="279"/>
      <c r="O322" s="274"/>
      <c r="P322" s="275"/>
      <c r="Q322" s="276"/>
      <c r="R322" s="277"/>
      <c r="S322" s="278"/>
      <c r="T322" s="279"/>
      <c r="U322" s="279"/>
      <c r="V322" s="279"/>
      <c r="W322" s="279"/>
      <c r="X322" s="279"/>
      <c r="Y322" s="279"/>
      <c r="Z322" s="279"/>
      <c r="AA322" s="279"/>
      <c r="AB322" s="279"/>
      <c r="AC322" s="279"/>
      <c r="AD322" s="279"/>
      <c r="AE322" s="279"/>
      <c r="AF322" s="279"/>
      <c r="AG322" s="280"/>
      <c r="AH322" s="281"/>
      <c r="AI322" s="282"/>
      <c r="AJ322" s="283"/>
      <c r="AK322" s="22" t="s">
        <v>58</v>
      </c>
      <c r="AL322" s="22" t="s">
        <v>58</v>
      </c>
      <c r="AM322" s="22" t="s">
        <v>58</v>
      </c>
    </row>
    <row r="323" spans="1:39" s="22" customFormat="1" x14ac:dyDescent="0.25">
      <c r="A323" s="28" t="str">
        <f>IF(H323&lt;&gt;"",MAX($A$7:A322)+1,"")</f>
        <v/>
      </c>
      <c r="B323" s="243" t="str">
        <f t="shared" si="32"/>
        <v/>
      </c>
      <c r="C323" s="273"/>
      <c r="D323" s="246"/>
      <c r="E323" s="247"/>
      <c r="F323" s="247"/>
      <c r="G323" s="248"/>
      <c r="H323" s="241"/>
      <c r="I323" s="274"/>
      <c r="J323" s="275"/>
      <c r="K323" s="276"/>
      <c r="L323" s="277"/>
      <c r="M323" s="278"/>
      <c r="N323" s="279"/>
      <c r="O323" s="274"/>
      <c r="P323" s="275"/>
      <c r="Q323" s="276"/>
      <c r="R323" s="277"/>
      <c r="S323" s="278"/>
      <c r="T323" s="279"/>
      <c r="U323" s="279"/>
      <c r="V323" s="279"/>
      <c r="W323" s="279"/>
      <c r="X323" s="279"/>
      <c r="Y323" s="279"/>
      <c r="Z323" s="279"/>
      <c r="AA323" s="279"/>
      <c r="AB323" s="279"/>
      <c r="AC323" s="279"/>
      <c r="AD323" s="279"/>
      <c r="AE323" s="279"/>
      <c r="AF323" s="279"/>
      <c r="AG323" s="280"/>
      <c r="AH323" s="281"/>
      <c r="AI323" s="282"/>
      <c r="AJ323" s="283"/>
      <c r="AK323" s="22" t="s">
        <v>58</v>
      </c>
      <c r="AL323" s="22" t="s">
        <v>58</v>
      </c>
      <c r="AM323" s="22" t="s">
        <v>58</v>
      </c>
    </row>
    <row r="324" spans="1:39" s="22" customFormat="1" x14ac:dyDescent="0.25">
      <c r="A324" s="28" t="str">
        <f>IF(H324&lt;&gt;"",MAX($A$7:A323)+1,"")</f>
        <v/>
      </c>
      <c r="B324" s="243" t="str">
        <f t="shared" si="32"/>
        <v/>
      </c>
      <c r="C324" s="273"/>
      <c r="D324" s="246"/>
      <c r="E324" s="247"/>
      <c r="F324" s="247"/>
      <c r="G324" s="248"/>
      <c r="H324" s="241"/>
      <c r="I324" s="274"/>
      <c r="J324" s="275"/>
      <c r="K324" s="276"/>
      <c r="L324" s="277"/>
      <c r="M324" s="278"/>
      <c r="N324" s="279"/>
      <c r="O324" s="274"/>
      <c r="P324" s="275"/>
      <c r="Q324" s="276"/>
      <c r="R324" s="277"/>
      <c r="S324" s="278"/>
      <c r="T324" s="279"/>
      <c r="U324" s="279"/>
      <c r="V324" s="279"/>
      <c r="W324" s="279"/>
      <c r="X324" s="279"/>
      <c r="Y324" s="279"/>
      <c r="Z324" s="279"/>
      <c r="AA324" s="279"/>
      <c r="AB324" s="279"/>
      <c r="AC324" s="279"/>
      <c r="AD324" s="279"/>
      <c r="AE324" s="279"/>
      <c r="AF324" s="279"/>
      <c r="AG324" s="280"/>
      <c r="AH324" s="281"/>
      <c r="AI324" s="282"/>
      <c r="AJ324" s="283"/>
      <c r="AK324" s="22" t="s">
        <v>58</v>
      </c>
      <c r="AL324" s="22" t="s">
        <v>58</v>
      </c>
      <c r="AM324" s="22" t="s">
        <v>58</v>
      </c>
    </row>
    <row r="325" spans="1:39" s="22" customFormat="1" x14ac:dyDescent="0.25">
      <c r="A325" s="28" t="str">
        <f>IF(H325&lt;&gt;"",MAX($A$7:A324)+1,"")</f>
        <v/>
      </c>
      <c r="B325" s="243" t="str">
        <f t="shared" si="32"/>
        <v/>
      </c>
      <c r="C325" s="273"/>
      <c r="D325" s="246"/>
      <c r="E325" s="247"/>
      <c r="F325" s="247"/>
      <c r="G325" s="248"/>
      <c r="H325" s="241"/>
      <c r="I325" s="274"/>
      <c r="J325" s="275"/>
      <c r="K325" s="276"/>
      <c r="L325" s="277"/>
      <c r="M325" s="278"/>
      <c r="N325" s="279"/>
      <c r="O325" s="274"/>
      <c r="P325" s="275"/>
      <c r="Q325" s="276"/>
      <c r="R325" s="277"/>
      <c r="S325" s="278"/>
      <c r="T325" s="279"/>
      <c r="U325" s="279"/>
      <c r="V325" s="279"/>
      <c r="W325" s="279"/>
      <c r="X325" s="279"/>
      <c r="Y325" s="279"/>
      <c r="Z325" s="279"/>
      <c r="AA325" s="279"/>
      <c r="AB325" s="279"/>
      <c r="AC325" s="279"/>
      <c r="AD325" s="279"/>
      <c r="AE325" s="279"/>
      <c r="AF325" s="279"/>
      <c r="AG325" s="280"/>
      <c r="AH325" s="281"/>
      <c r="AI325" s="282"/>
      <c r="AJ325" s="283"/>
      <c r="AK325" s="22" t="s">
        <v>58</v>
      </c>
      <c r="AL325" s="22" t="s">
        <v>58</v>
      </c>
      <c r="AM325" s="22" t="s">
        <v>58</v>
      </c>
    </row>
    <row r="326" spans="1:39" s="22" customFormat="1" x14ac:dyDescent="0.25">
      <c r="A326" s="28" t="str">
        <f>IF(H326&lt;&gt;"",MAX($A$7:A325)+1,"")</f>
        <v/>
      </c>
      <c r="B326" s="243" t="str">
        <f t="shared" si="32"/>
        <v/>
      </c>
      <c r="C326" s="273"/>
      <c r="D326" s="246"/>
      <c r="E326" s="247"/>
      <c r="F326" s="247"/>
      <c r="G326" s="248"/>
      <c r="H326" s="241"/>
      <c r="I326" s="274"/>
      <c r="J326" s="275"/>
      <c r="K326" s="276"/>
      <c r="L326" s="277"/>
      <c r="M326" s="278"/>
      <c r="N326" s="279"/>
      <c r="O326" s="274"/>
      <c r="P326" s="275"/>
      <c r="Q326" s="276"/>
      <c r="R326" s="277"/>
      <c r="S326" s="278"/>
      <c r="T326" s="279"/>
      <c r="U326" s="279"/>
      <c r="V326" s="279"/>
      <c r="W326" s="279"/>
      <c r="X326" s="279"/>
      <c r="Y326" s="279"/>
      <c r="Z326" s="279"/>
      <c r="AA326" s="279"/>
      <c r="AB326" s="279"/>
      <c r="AC326" s="279"/>
      <c r="AD326" s="279"/>
      <c r="AE326" s="279"/>
      <c r="AF326" s="279"/>
      <c r="AG326" s="280"/>
      <c r="AH326" s="281"/>
      <c r="AI326" s="282"/>
      <c r="AJ326" s="283"/>
      <c r="AK326" s="22" t="s">
        <v>58</v>
      </c>
      <c r="AL326" s="22" t="s">
        <v>58</v>
      </c>
      <c r="AM326" s="22" t="s">
        <v>58</v>
      </c>
    </row>
    <row r="327" spans="1:39" s="22" customFormat="1" x14ac:dyDescent="0.25">
      <c r="A327" s="28" t="str">
        <f>IF(H327&lt;&gt;"",MAX($A$7:A326)+1,"")</f>
        <v/>
      </c>
      <c r="B327" s="243" t="str">
        <f t="shared" ref="B327:B390" si="33">IF(A327="","",PREF_PREGUNTA&amp;" - "&amp;IF(MAX(A:A)&gt;99,IF(A327&lt;100,"0",""),"")&amp;IF(A327&lt;10,"0","")&amp;A327&amp;IF(G327&lt;&gt;""," "&amp;G327,""))</f>
        <v/>
      </c>
      <c r="C327" s="273"/>
      <c r="D327" s="246"/>
      <c r="E327" s="247"/>
      <c r="F327" s="247"/>
      <c r="G327" s="248"/>
      <c r="H327" s="241"/>
      <c r="I327" s="274"/>
      <c r="J327" s="275"/>
      <c r="K327" s="276"/>
      <c r="L327" s="277"/>
      <c r="M327" s="278"/>
      <c r="N327" s="279"/>
      <c r="O327" s="274"/>
      <c r="P327" s="275"/>
      <c r="Q327" s="276"/>
      <c r="R327" s="277"/>
      <c r="S327" s="278"/>
      <c r="T327" s="279"/>
      <c r="U327" s="279"/>
      <c r="V327" s="279"/>
      <c r="W327" s="279"/>
      <c r="X327" s="279"/>
      <c r="Y327" s="279"/>
      <c r="Z327" s="279"/>
      <c r="AA327" s="279"/>
      <c r="AB327" s="279"/>
      <c r="AC327" s="279"/>
      <c r="AD327" s="279"/>
      <c r="AE327" s="279"/>
      <c r="AF327" s="279"/>
      <c r="AG327" s="280"/>
      <c r="AH327" s="281"/>
      <c r="AI327" s="282"/>
      <c r="AJ327" s="283"/>
      <c r="AK327" s="22" t="s">
        <v>58</v>
      </c>
      <c r="AL327" s="22" t="s">
        <v>58</v>
      </c>
      <c r="AM327" s="22" t="s">
        <v>58</v>
      </c>
    </row>
    <row r="328" spans="1:39" s="22" customFormat="1" x14ac:dyDescent="0.25">
      <c r="A328" s="28" t="str">
        <f>IF(H328&lt;&gt;"",MAX($A$7:A327)+1,"")</f>
        <v/>
      </c>
      <c r="B328" s="243" t="str">
        <f t="shared" si="33"/>
        <v/>
      </c>
      <c r="C328" s="273"/>
      <c r="D328" s="246"/>
      <c r="E328" s="247"/>
      <c r="F328" s="247"/>
      <c r="G328" s="248"/>
      <c r="H328" s="241"/>
      <c r="I328" s="274"/>
      <c r="J328" s="275"/>
      <c r="K328" s="276"/>
      <c r="L328" s="277"/>
      <c r="M328" s="278"/>
      <c r="N328" s="279"/>
      <c r="O328" s="274"/>
      <c r="P328" s="275"/>
      <c r="Q328" s="276"/>
      <c r="R328" s="277"/>
      <c r="S328" s="278"/>
      <c r="T328" s="279"/>
      <c r="U328" s="279"/>
      <c r="V328" s="279"/>
      <c r="W328" s="279"/>
      <c r="X328" s="279"/>
      <c r="Y328" s="279"/>
      <c r="Z328" s="279"/>
      <c r="AA328" s="279"/>
      <c r="AB328" s="279"/>
      <c r="AC328" s="279"/>
      <c r="AD328" s="279"/>
      <c r="AE328" s="279"/>
      <c r="AF328" s="279"/>
      <c r="AG328" s="280"/>
      <c r="AH328" s="281"/>
      <c r="AI328" s="282"/>
      <c r="AJ328" s="283"/>
      <c r="AK328" s="22" t="s">
        <v>58</v>
      </c>
      <c r="AL328" s="22" t="s">
        <v>58</v>
      </c>
      <c r="AM328" s="22" t="s">
        <v>58</v>
      </c>
    </row>
    <row r="329" spans="1:39" s="22" customFormat="1" x14ac:dyDescent="0.25">
      <c r="A329" s="28" t="str">
        <f>IF(H329&lt;&gt;"",MAX($A$7:A328)+1,"")</f>
        <v/>
      </c>
      <c r="B329" s="243" t="str">
        <f t="shared" si="33"/>
        <v/>
      </c>
      <c r="C329" s="273"/>
      <c r="D329" s="246"/>
      <c r="E329" s="247"/>
      <c r="F329" s="247"/>
      <c r="G329" s="248"/>
      <c r="H329" s="241"/>
      <c r="I329" s="274"/>
      <c r="J329" s="275"/>
      <c r="K329" s="276"/>
      <c r="L329" s="277"/>
      <c r="M329" s="278"/>
      <c r="N329" s="279"/>
      <c r="O329" s="274"/>
      <c r="P329" s="275"/>
      <c r="Q329" s="276"/>
      <c r="R329" s="277"/>
      <c r="S329" s="278"/>
      <c r="T329" s="279"/>
      <c r="U329" s="279"/>
      <c r="V329" s="279"/>
      <c r="W329" s="279"/>
      <c r="X329" s="279"/>
      <c r="Y329" s="279"/>
      <c r="Z329" s="279"/>
      <c r="AA329" s="279"/>
      <c r="AB329" s="279"/>
      <c r="AC329" s="279"/>
      <c r="AD329" s="279"/>
      <c r="AE329" s="279"/>
      <c r="AF329" s="279"/>
      <c r="AG329" s="280"/>
      <c r="AH329" s="281"/>
      <c r="AI329" s="282"/>
      <c r="AJ329" s="283"/>
      <c r="AK329" s="22" t="s">
        <v>58</v>
      </c>
      <c r="AL329" s="22" t="s">
        <v>58</v>
      </c>
      <c r="AM329" s="22" t="s">
        <v>58</v>
      </c>
    </row>
    <row r="330" spans="1:39" s="22" customFormat="1" x14ac:dyDescent="0.25">
      <c r="A330" s="28" t="str">
        <f>IF(H330&lt;&gt;"",MAX($A$7:A329)+1,"")</f>
        <v/>
      </c>
      <c r="B330" s="243" t="str">
        <f t="shared" si="33"/>
        <v/>
      </c>
      <c r="C330" s="273"/>
      <c r="D330" s="246"/>
      <c r="E330" s="247"/>
      <c r="F330" s="247"/>
      <c r="G330" s="248"/>
      <c r="H330" s="241"/>
      <c r="I330" s="274"/>
      <c r="J330" s="275"/>
      <c r="K330" s="276"/>
      <c r="L330" s="277"/>
      <c r="M330" s="278"/>
      <c r="N330" s="279"/>
      <c r="O330" s="274"/>
      <c r="P330" s="275"/>
      <c r="Q330" s="276"/>
      <c r="R330" s="277"/>
      <c r="S330" s="278"/>
      <c r="T330" s="279"/>
      <c r="U330" s="279"/>
      <c r="V330" s="279"/>
      <c r="W330" s="279"/>
      <c r="X330" s="279"/>
      <c r="Y330" s="279"/>
      <c r="Z330" s="279"/>
      <c r="AA330" s="279"/>
      <c r="AB330" s="279"/>
      <c r="AC330" s="279"/>
      <c r="AD330" s="279"/>
      <c r="AE330" s="279"/>
      <c r="AF330" s="279"/>
      <c r="AG330" s="280"/>
      <c r="AH330" s="281"/>
      <c r="AI330" s="282"/>
      <c r="AJ330" s="283"/>
      <c r="AK330" s="22" t="s">
        <v>58</v>
      </c>
      <c r="AL330" s="22" t="s">
        <v>58</v>
      </c>
      <c r="AM330" s="22" t="s">
        <v>58</v>
      </c>
    </row>
    <row r="331" spans="1:39" s="22" customFormat="1" x14ac:dyDescent="0.25">
      <c r="A331" s="28" t="str">
        <f>IF(H331&lt;&gt;"",MAX($A$7:A330)+1,"")</f>
        <v/>
      </c>
      <c r="B331" s="243" t="str">
        <f t="shared" si="33"/>
        <v/>
      </c>
      <c r="C331" s="273"/>
      <c r="D331" s="246"/>
      <c r="E331" s="247"/>
      <c r="F331" s="247"/>
      <c r="G331" s="248"/>
      <c r="H331" s="241"/>
      <c r="I331" s="274"/>
      <c r="J331" s="275"/>
      <c r="K331" s="276"/>
      <c r="L331" s="277"/>
      <c r="M331" s="278"/>
      <c r="N331" s="279"/>
      <c r="O331" s="274"/>
      <c r="P331" s="275"/>
      <c r="Q331" s="276"/>
      <c r="R331" s="277"/>
      <c r="S331" s="278"/>
      <c r="T331" s="279"/>
      <c r="U331" s="279"/>
      <c r="V331" s="279"/>
      <c r="W331" s="279"/>
      <c r="X331" s="279"/>
      <c r="Y331" s="279"/>
      <c r="Z331" s="279"/>
      <c r="AA331" s="279"/>
      <c r="AB331" s="279"/>
      <c r="AC331" s="279"/>
      <c r="AD331" s="279"/>
      <c r="AE331" s="279"/>
      <c r="AF331" s="279"/>
      <c r="AG331" s="280"/>
      <c r="AH331" s="281"/>
      <c r="AI331" s="282"/>
      <c r="AJ331" s="283"/>
      <c r="AK331" s="22" t="s">
        <v>58</v>
      </c>
      <c r="AL331" s="22" t="s">
        <v>58</v>
      </c>
      <c r="AM331" s="22" t="s">
        <v>58</v>
      </c>
    </row>
    <row r="332" spans="1:39" s="22" customFormat="1" x14ac:dyDescent="0.25">
      <c r="A332" s="28" t="str">
        <f>IF(H332&lt;&gt;"",MAX($A$7:A331)+1,"")</f>
        <v/>
      </c>
      <c r="B332" s="243" t="str">
        <f t="shared" si="33"/>
        <v/>
      </c>
      <c r="C332" s="273"/>
      <c r="D332" s="246"/>
      <c r="E332" s="247"/>
      <c r="F332" s="247"/>
      <c r="G332" s="248"/>
      <c r="H332" s="241"/>
      <c r="I332" s="274"/>
      <c r="J332" s="275"/>
      <c r="K332" s="276"/>
      <c r="L332" s="277"/>
      <c r="M332" s="278"/>
      <c r="N332" s="279"/>
      <c r="O332" s="274"/>
      <c r="P332" s="275"/>
      <c r="Q332" s="276"/>
      <c r="R332" s="277"/>
      <c r="S332" s="278"/>
      <c r="T332" s="279"/>
      <c r="U332" s="279"/>
      <c r="V332" s="279"/>
      <c r="W332" s="279"/>
      <c r="X332" s="279"/>
      <c r="Y332" s="279"/>
      <c r="Z332" s="279"/>
      <c r="AA332" s="279"/>
      <c r="AB332" s="279"/>
      <c r="AC332" s="279"/>
      <c r="AD332" s="279"/>
      <c r="AE332" s="279"/>
      <c r="AF332" s="279"/>
      <c r="AG332" s="280"/>
      <c r="AH332" s="281"/>
      <c r="AI332" s="282"/>
      <c r="AJ332" s="283"/>
      <c r="AK332" s="22" t="s">
        <v>58</v>
      </c>
      <c r="AL332" s="22" t="s">
        <v>58</v>
      </c>
      <c r="AM332" s="22" t="s">
        <v>58</v>
      </c>
    </row>
    <row r="333" spans="1:39" s="22" customFormat="1" x14ac:dyDescent="0.25">
      <c r="A333" s="28" t="str">
        <f>IF(H333&lt;&gt;"",MAX($A$7:A332)+1,"")</f>
        <v/>
      </c>
      <c r="B333" s="243" t="str">
        <f t="shared" si="33"/>
        <v/>
      </c>
      <c r="C333" s="273"/>
      <c r="D333" s="246"/>
      <c r="E333" s="247"/>
      <c r="F333" s="247"/>
      <c r="G333" s="248"/>
      <c r="H333" s="241"/>
      <c r="I333" s="274"/>
      <c r="J333" s="275"/>
      <c r="K333" s="276"/>
      <c r="L333" s="277"/>
      <c r="M333" s="278"/>
      <c r="N333" s="279"/>
      <c r="O333" s="274"/>
      <c r="P333" s="275"/>
      <c r="Q333" s="276"/>
      <c r="R333" s="277"/>
      <c r="S333" s="278"/>
      <c r="T333" s="279"/>
      <c r="U333" s="279"/>
      <c r="V333" s="279"/>
      <c r="W333" s="279"/>
      <c r="X333" s="279"/>
      <c r="Y333" s="279"/>
      <c r="Z333" s="279"/>
      <c r="AA333" s="279"/>
      <c r="AB333" s="279"/>
      <c r="AC333" s="279"/>
      <c r="AD333" s="279"/>
      <c r="AE333" s="279"/>
      <c r="AF333" s="279"/>
      <c r="AG333" s="280"/>
      <c r="AH333" s="281"/>
      <c r="AI333" s="282"/>
      <c r="AJ333" s="283"/>
      <c r="AK333" s="22" t="s">
        <v>58</v>
      </c>
      <c r="AL333" s="22" t="s">
        <v>58</v>
      </c>
      <c r="AM333" s="22" t="s">
        <v>58</v>
      </c>
    </row>
    <row r="334" spans="1:39" s="22" customFormat="1" x14ac:dyDescent="0.25">
      <c r="A334" s="28" t="str">
        <f>IF(H334&lt;&gt;"",MAX($A$7:A333)+1,"")</f>
        <v/>
      </c>
      <c r="B334" s="243" t="str">
        <f t="shared" si="33"/>
        <v/>
      </c>
      <c r="C334" s="273"/>
      <c r="D334" s="246"/>
      <c r="E334" s="247"/>
      <c r="F334" s="247"/>
      <c r="G334" s="248"/>
      <c r="H334" s="241"/>
      <c r="I334" s="274"/>
      <c r="J334" s="275"/>
      <c r="K334" s="276"/>
      <c r="L334" s="277"/>
      <c r="M334" s="278"/>
      <c r="N334" s="279"/>
      <c r="O334" s="274"/>
      <c r="P334" s="275"/>
      <c r="Q334" s="276"/>
      <c r="R334" s="277"/>
      <c r="S334" s="278"/>
      <c r="T334" s="279"/>
      <c r="U334" s="279"/>
      <c r="V334" s="279"/>
      <c r="W334" s="279"/>
      <c r="X334" s="279"/>
      <c r="Y334" s="279"/>
      <c r="Z334" s="279"/>
      <c r="AA334" s="279"/>
      <c r="AB334" s="279"/>
      <c r="AC334" s="279"/>
      <c r="AD334" s="279"/>
      <c r="AE334" s="279"/>
      <c r="AF334" s="279"/>
      <c r="AG334" s="280"/>
      <c r="AH334" s="281"/>
      <c r="AI334" s="282"/>
      <c r="AJ334" s="283"/>
      <c r="AK334" s="22" t="s">
        <v>58</v>
      </c>
      <c r="AL334" s="22" t="s">
        <v>58</v>
      </c>
      <c r="AM334" s="22" t="s">
        <v>58</v>
      </c>
    </row>
    <row r="335" spans="1:39" s="22" customFormat="1" x14ac:dyDescent="0.25">
      <c r="A335" s="28" t="str">
        <f>IF(H335&lt;&gt;"",MAX($A$7:A334)+1,"")</f>
        <v/>
      </c>
      <c r="B335" s="243" t="str">
        <f t="shared" si="33"/>
        <v/>
      </c>
      <c r="C335" s="273"/>
      <c r="D335" s="246"/>
      <c r="E335" s="247"/>
      <c r="F335" s="247"/>
      <c r="G335" s="248"/>
      <c r="H335" s="241"/>
      <c r="I335" s="274"/>
      <c r="J335" s="275"/>
      <c r="K335" s="276"/>
      <c r="L335" s="277"/>
      <c r="M335" s="278"/>
      <c r="N335" s="279"/>
      <c r="O335" s="274"/>
      <c r="P335" s="275"/>
      <c r="Q335" s="276"/>
      <c r="R335" s="277"/>
      <c r="S335" s="278"/>
      <c r="T335" s="279"/>
      <c r="U335" s="279"/>
      <c r="V335" s="279"/>
      <c r="W335" s="279"/>
      <c r="X335" s="279"/>
      <c r="Y335" s="279"/>
      <c r="Z335" s="279"/>
      <c r="AA335" s="279"/>
      <c r="AB335" s="279"/>
      <c r="AC335" s="279"/>
      <c r="AD335" s="279"/>
      <c r="AE335" s="279"/>
      <c r="AF335" s="279"/>
      <c r="AG335" s="280"/>
      <c r="AH335" s="281"/>
      <c r="AI335" s="282"/>
      <c r="AJ335" s="283"/>
      <c r="AK335" s="22" t="s">
        <v>58</v>
      </c>
      <c r="AL335" s="22" t="s">
        <v>58</v>
      </c>
      <c r="AM335" s="22" t="s">
        <v>58</v>
      </c>
    </row>
    <row r="336" spans="1:39" s="22" customFormat="1" x14ac:dyDescent="0.25">
      <c r="A336" s="28" t="str">
        <f>IF(H336&lt;&gt;"",MAX($A$7:A335)+1,"")</f>
        <v/>
      </c>
      <c r="B336" s="243" t="str">
        <f t="shared" si="33"/>
        <v/>
      </c>
      <c r="C336" s="273"/>
      <c r="D336" s="246"/>
      <c r="E336" s="247"/>
      <c r="F336" s="247"/>
      <c r="G336" s="248"/>
      <c r="H336" s="241"/>
      <c r="I336" s="274"/>
      <c r="J336" s="275"/>
      <c r="K336" s="276"/>
      <c r="L336" s="277"/>
      <c r="M336" s="278"/>
      <c r="N336" s="279"/>
      <c r="O336" s="274"/>
      <c r="P336" s="275"/>
      <c r="Q336" s="276"/>
      <c r="R336" s="277"/>
      <c r="S336" s="278"/>
      <c r="T336" s="279"/>
      <c r="U336" s="279"/>
      <c r="V336" s="279"/>
      <c r="W336" s="279"/>
      <c r="X336" s="279"/>
      <c r="Y336" s="279"/>
      <c r="Z336" s="279"/>
      <c r="AA336" s="279"/>
      <c r="AB336" s="279"/>
      <c r="AC336" s="279"/>
      <c r="AD336" s="279"/>
      <c r="AE336" s="279"/>
      <c r="AF336" s="279"/>
      <c r="AG336" s="280"/>
      <c r="AH336" s="281"/>
      <c r="AI336" s="282"/>
      <c r="AJ336" s="283"/>
      <c r="AK336" s="22" t="s">
        <v>58</v>
      </c>
      <c r="AL336" s="22" t="s">
        <v>58</v>
      </c>
      <c r="AM336" s="22" t="s">
        <v>58</v>
      </c>
    </row>
    <row r="337" spans="1:39" s="22" customFormat="1" x14ac:dyDescent="0.25">
      <c r="A337" s="28" t="str">
        <f>IF(H337&lt;&gt;"",MAX($A$7:A336)+1,"")</f>
        <v/>
      </c>
      <c r="B337" s="243" t="str">
        <f t="shared" si="33"/>
        <v/>
      </c>
      <c r="C337" s="273"/>
      <c r="D337" s="246"/>
      <c r="E337" s="247"/>
      <c r="F337" s="247"/>
      <c r="G337" s="248"/>
      <c r="H337" s="241"/>
      <c r="I337" s="274"/>
      <c r="J337" s="275"/>
      <c r="K337" s="276"/>
      <c r="L337" s="277"/>
      <c r="M337" s="278"/>
      <c r="N337" s="279"/>
      <c r="O337" s="274"/>
      <c r="P337" s="275"/>
      <c r="Q337" s="276"/>
      <c r="R337" s="277"/>
      <c r="S337" s="278"/>
      <c r="T337" s="279"/>
      <c r="U337" s="279"/>
      <c r="V337" s="279"/>
      <c r="W337" s="279"/>
      <c r="X337" s="279"/>
      <c r="Y337" s="279"/>
      <c r="Z337" s="279"/>
      <c r="AA337" s="279"/>
      <c r="AB337" s="279"/>
      <c r="AC337" s="279"/>
      <c r="AD337" s="279"/>
      <c r="AE337" s="279"/>
      <c r="AF337" s="279"/>
      <c r="AG337" s="280"/>
      <c r="AH337" s="281"/>
      <c r="AI337" s="282"/>
      <c r="AJ337" s="283"/>
      <c r="AK337" s="22" t="s">
        <v>58</v>
      </c>
      <c r="AL337" s="22" t="s">
        <v>58</v>
      </c>
      <c r="AM337" s="22" t="s">
        <v>58</v>
      </c>
    </row>
    <row r="338" spans="1:39" s="22" customFormat="1" x14ac:dyDescent="0.25">
      <c r="A338" s="28" t="str">
        <f>IF(H338&lt;&gt;"",MAX($A$7:A337)+1,"")</f>
        <v/>
      </c>
      <c r="B338" s="243" t="str">
        <f t="shared" si="33"/>
        <v/>
      </c>
      <c r="C338" s="273"/>
      <c r="D338" s="246"/>
      <c r="E338" s="247"/>
      <c r="F338" s="247"/>
      <c r="G338" s="248"/>
      <c r="H338" s="241"/>
      <c r="I338" s="274"/>
      <c r="J338" s="275"/>
      <c r="K338" s="276"/>
      <c r="L338" s="277"/>
      <c r="M338" s="278"/>
      <c r="N338" s="279"/>
      <c r="O338" s="274"/>
      <c r="P338" s="275"/>
      <c r="Q338" s="276"/>
      <c r="R338" s="277"/>
      <c r="S338" s="278"/>
      <c r="T338" s="279"/>
      <c r="U338" s="279"/>
      <c r="V338" s="279"/>
      <c r="W338" s="279"/>
      <c r="X338" s="279"/>
      <c r="Y338" s="279"/>
      <c r="Z338" s="279"/>
      <c r="AA338" s="279"/>
      <c r="AB338" s="279"/>
      <c r="AC338" s="279"/>
      <c r="AD338" s="279"/>
      <c r="AE338" s="279"/>
      <c r="AF338" s="279"/>
      <c r="AG338" s="280"/>
      <c r="AH338" s="281"/>
      <c r="AI338" s="282"/>
      <c r="AJ338" s="283"/>
      <c r="AK338" s="22" t="s">
        <v>58</v>
      </c>
      <c r="AL338" s="22" t="s">
        <v>58</v>
      </c>
      <c r="AM338" s="22" t="s">
        <v>58</v>
      </c>
    </row>
    <row r="339" spans="1:39" s="22" customFormat="1" x14ac:dyDescent="0.25">
      <c r="A339" s="28" t="str">
        <f>IF(H339&lt;&gt;"",MAX($A$7:A338)+1,"")</f>
        <v/>
      </c>
      <c r="B339" s="243" t="str">
        <f t="shared" si="33"/>
        <v/>
      </c>
      <c r="C339" s="273"/>
      <c r="D339" s="246"/>
      <c r="E339" s="247"/>
      <c r="F339" s="247"/>
      <c r="G339" s="248"/>
      <c r="H339" s="241"/>
      <c r="I339" s="274"/>
      <c r="J339" s="275"/>
      <c r="K339" s="276"/>
      <c r="L339" s="277"/>
      <c r="M339" s="278"/>
      <c r="N339" s="279"/>
      <c r="O339" s="274"/>
      <c r="P339" s="275"/>
      <c r="Q339" s="276"/>
      <c r="R339" s="277"/>
      <c r="S339" s="278"/>
      <c r="T339" s="279"/>
      <c r="U339" s="279"/>
      <c r="V339" s="279"/>
      <c r="W339" s="279"/>
      <c r="X339" s="279"/>
      <c r="Y339" s="279"/>
      <c r="Z339" s="279"/>
      <c r="AA339" s="279"/>
      <c r="AB339" s="279"/>
      <c r="AC339" s="279"/>
      <c r="AD339" s="279"/>
      <c r="AE339" s="279"/>
      <c r="AF339" s="279"/>
      <c r="AG339" s="280"/>
      <c r="AH339" s="281"/>
      <c r="AI339" s="282"/>
      <c r="AJ339" s="283"/>
      <c r="AK339" s="22" t="s">
        <v>58</v>
      </c>
      <c r="AL339" s="22" t="s">
        <v>58</v>
      </c>
      <c r="AM339" s="22" t="s">
        <v>58</v>
      </c>
    </row>
    <row r="340" spans="1:39" s="22" customFormat="1" x14ac:dyDescent="0.25">
      <c r="A340" s="28" t="str">
        <f>IF(H340&lt;&gt;"",MAX($A$7:A339)+1,"")</f>
        <v/>
      </c>
      <c r="B340" s="243" t="str">
        <f t="shared" si="33"/>
        <v/>
      </c>
      <c r="C340" s="273"/>
      <c r="D340" s="246"/>
      <c r="E340" s="247"/>
      <c r="F340" s="247"/>
      <c r="G340" s="248"/>
      <c r="H340" s="241"/>
      <c r="I340" s="274"/>
      <c r="J340" s="275"/>
      <c r="K340" s="276"/>
      <c r="L340" s="277"/>
      <c r="M340" s="278"/>
      <c r="N340" s="279"/>
      <c r="O340" s="274"/>
      <c r="P340" s="275"/>
      <c r="Q340" s="276"/>
      <c r="R340" s="277"/>
      <c r="S340" s="278"/>
      <c r="T340" s="279"/>
      <c r="U340" s="279"/>
      <c r="V340" s="279"/>
      <c r="W340" s="279"/>
      <c r="X340" s="279"/>
      <c r="Y340" s="279"/>
      <c r="Z340" s="279"/>
      <c r="AA340" s="279"/>
      <c r="AB340" s="279"/>
      <c r="AC340" s="279"/>
      <c r="AD340" s="279"/>
      <c r="AE340" s="279"/>
      <c r="AF340" s="279"/>
      <c r="AG340" s="280"/>
      <c r="AH340" s="281"/>
      <c r="AI340" s="282"/>
      <c r="AJ340" s="283"/>
      <c r="AK340" s="22" t="s">
        <v>58</v>
      </c>
      <c r="AL340" s="22" t="s">
        <v>58</v>
      </c>
      <c r="AM340" s="22" t="s">
        <v>58</v>
      </c>
    </row>
    <row r="341" spans="1:39" s="22" customFormat="1" x14ac:dyDescent="0.25">
      <c r="A341" s="28" t="str">
        <f>IF(H341&lt;&gt;"",MAX($A$7:A340)+1,"")</f>
        <v/>
      </c>
      <c r="B341" s="243" t="str">
        <f t="shared" si="33"/>
        <v/>
      </c>
      <c r="C341" s="273"/>
      <c r="D341" s="246"/>
      <c r="E341" s="247"/>
      <c r="F341" s="247"/>
      <c r="G341" s="248"/>
      <c r="H341" s="241"/>
      <c r="I341" s="274"/>
      <c r="J341" s="275"/>
      <c r="K341" s="276"/>
      <c r="L341" s="277"/>
      <c r="M341" s="278"/>
      <c r="N341" s="279"/>
      <c r="O341" s="274"/>
      <c r="P341" s="275"/>
      <c r="Q341" s="276"/>
      <c r="R341" s="277"/>
      <c r="S341" s="278"/>
      <c r="T341" s="279"/>
      <c r="U341" s="279"/>
      <c r="V341" s="279"/>
      <c r="W341" s="279"/>
      <c r="X341" s="279"/>
      <c r="Y341" s="279"/>
      <c r="Z341" s="279"/>
      <c r="AA341" s="279"/>
      <c r="AB341" s="279"/>
      <c r="AC341" s="279"/>
      <c r="AD341" s="279"/>
      <c r="AE341" s="279"/>
      <c r="AF341" s="279"/>
      <c r="AG341" s="280"/>
      <c r="AH341" s="281"/>
      <c r="AI341" s="282"/>
      <c r="AJ341" s="283"/>
      <c r="AK341" s="22" t="s">
        <v>58</v>
      </c>
      <c r="AL341" s="22" t="s">
        <v>58</v>
      </c>
      <c r="AM341" s="22" t="s">
        <v>58</v>
      </c>
    </row>
    <row r="342" spans="1:39" s="22" customFormat="1" x14ac:dyDescent="0.25">
      <c r="A342" s="28" t="str">
        <f>IF(H342&lt;&gt;"",MAX($A$7:A341)+1,"")</f>
        <v/>
      </c>
      <c r="B342" s="243" t="str">
        <f t="shared" si="33"/>
        <v/>
      </c>
      <c r="C342" s="273"/>
      <c r="D342" s="246"/>
      <c r="E342" s="247"/>
      <c r="F342" s="247"/>
      <c r="G342" s="248"/>
      <c r="H342" s="241"/>
      <c r="I342" s="274"/>
      <c r="J342" s="275"/>
      <c r="K342" s="276"/>
      <c r="L342" s="277"/>
      <c r="M342" s="278"/>
      <c r="N342" s="279"/>
      <c r="O342" s="274"/>
      <c r="P342" s="275"/>
      <c r="Q342" s="276"/>
      <c r="R342" s="277"/>
      <c r="S342" s="278"/>
      <c r="T342" s="279"/>
      <c r="U342" s="279"/>
      <c r="V342" s="279"/>
      <c r="W342" s="279"/>
      <c r="X342" s="279"/>
      <c r="Y342" s="279"/>
      <c r="Z342" s="279"/>
      <c r="AA342" s="279"/>
      <c r="AB342" s="279"/>
      <c r="AC342" s="279"/>
      <c r="AD342" s="279"/>
      <c r="AE342" s="279"/>
      <c r="AF342" s="279"/>
      <c r="AG342" s="280"/>
      <c r="AH342" s="281"/>
      <c r="AI342" s="282"/>
      <c r="AJ342" s="283"/>
      <c r="AK342" s="22" t="s">
        <v>58</v>
      </c>
      <c r="AL342" s="22" t="s">
        <v>58</v>
      </c>
      <c r="AM342" s="22" t="s">
        <v>58</v>
      </c>
    </row>
    <row r="343" spans="1:39" s="22" customFormat="1" x14ac:dyDescent="0.25">
      <c r="A343" s="28" t="str">
        <f>IF(H343&lt;&gt;"",MAX($A$7:A342)+1,"")</f>
        <v/>
      </c>
      <c r="B343" s="243" t="str">
        <f t="shared" si="33"/>
        <v/>
      </c>
      <c r="C343" s="273"/>
      <c r="D343" s="246"/>
      <c r="E343" s="247"/>
      <c r="F343" s="247"/>
      <c r="G343" s="248"/>
      <c r="H343" s="241"/>
      <c r="I343" s="274"/>
      <c r="J343" s="275"/>
      <c r="K343" s="276"/>
      <c r="L343" s="277"/>
      <c r="M343" s="278"/>
      <c r="N343" s="279"/>
      <c r="O343" s="274"/>
      <c r="P343" s="275"/>
      <c r="Q343" s="276"/>
      <c r="R343" s="277"/>
      <c r="S343" s="278"/>
      <c r="T343" s="279"/>
      <c r="U343" s="279"/>
      <c r="V343" s="279"/>
      <c r="W343" s="279"/>
      <c r="X343" s="279"/>
      <c r="Y343" s="279"/>
      <c r="Z343" s="279"/>
      <c r="AA343" s="279"/>
      <c r="AB343" s="279"/>
      <c r="AC343" s="279"/>
      <c r="AD343" s="279"/>
      <c r="AE343" s="279"/>
      <c r="AF343" s="279"/>
      <c r="AG343" s="280"/>
      <c r="AH343" s="281"/>
      <c r="AI343" s="282"/>
      <c r="AJ343" s="283"/>
      <c r="AK343" s="22" t="s">
        <v>58</v>
      </c>
      <c r="AL343" s="22" t="s">
        <v>58</v>
      </c>
      <c r="AM343" s="22" t="s">
        <v>58</v>
      </c>
    </row>
    <row r="344" spans="1:39" s="22" customFormat="1" x14ac:dyDescent="0.25">
      <c r="A344" s="28" t="str">
        <f>IF(H344&lt;&gt;"",MAX($A$7:A343)+1,"")</f>
        <v/>
      </c>
      <c r="B344" s="243" t="str">
        <f t="shared" si="33"/>
        <v/>
      </c>
      <c r="C344" s="273"/>
      <c r="D344" s="246"/>
      <c r="E344" s="247"/>
      <c r="F344" s="247"/>
      <c r="G344" s="248"/>
      <c r="H344" s="241"/>
      <c r="I344" s="274"/>
      <c r="J344" s="275"/>
      <c r="K344" s="276"/>
      <c r="L344" s="277"/>
      <c r="M344" s="278"/>
      <c r="N344" s="279"/>
      <c r="O344" s="274"/>
      <c r="P344" s="275"/>
      <c r="Q344" s="276"/>
      <c r="R344" s="277"/>
      <c r="S344" s="278"/>
      <c r="T344" s="279"/>
      <c r="U344" s="279"/>
      <c r="V344" s="279"/>
      <c r="W344" s="279"/>
      <c r="X344" s="279"/>
      <c r="Y344" s="279"/>
      <c r="Z344" s="279"/>
      <c r="AA344" s="279"/>
      <c r="AB344" s="279"/>
      <c r="AC344" s="279"/>
      <c r="AD344" s="279"/>
      <c r="AE344" s="279"/>
      <c r="AF344" s="279"/>
      <c r="AG344" s="280"/>
      <c r="AH344" s="281"/>
      <c r="AI344" s="282"/>
      <c r="AJ344" s="283"/>
      <c r="AK344" s="22" t="s">
        <v>58</v>
      </c>
      <c r="AL344" s="22" t="s">
        <v>58</v>
      </c>
      <c r="AM344" s="22" t="s">
        <v>58</v>
      </c>
    </row>
    <row r="345" spans="1:39" s="22" customFormat="1" x14ac:dyDescent="0.25">
      <c r="A345" s="28" t="str">
        <f>IF(H345&lt;&gt;"",MAX($A$7:A344)+1,"")</f>
        <v/>
      </c>
      <c r="B345" s="243" t="str">
        <f t="shared" si="33"/>
        <v/>
      </c>
      <c r="C345" s="273"/>
      <c r="D345" s="246"/>
      <c r="E345" s="247"/>
      <c r="F345" s="247"/>
      <c r="G345" s="248"/>
      <c r="H345" s="241"/>
      <c r="I345" s="274"/>
      <c r="J345" s="275"/>
      <c r="K345" s="276"/>
      <c r="L345" s="277"/>
      <c r="M345" s="278"/>
      <c r="N345" s="279"/>
      <c r="O345" s="274"/>
      <c r="P345" s="275"/>
      <c r="Q345" s="276"/>
      <c r="R345" s="277"/>
      <c r="S345" s="278"/>
      <c r="T345" s="279"/>
      <c r="U345" s="279"/>
      <c r="V345" s="279"/>
      <c r="W345" s="279"/>
      <c r="X345" s="279"/>
      <c r="Y345" s="279"/>
      <c r="Z345" s="279"/>
      <c r="AA345" s="279"/>
      <c r="AB345" s="279"/>
      <c r="AC345" s="279"/>
      <c r="AD345" s="279"/>
      <c r="AE345" s="279"/>
      <c r="AF345" s="279"/>
      <c r="AG345" s="280"/>
      <c r="AH345" s="281"/>
      <c r="AI345" s="282"/>
      <c r="AJ345" s="283"/>
      <c r="AK345" s="22" t="s">
        <v>58</v>
      </c>
      <c r="AL345" s="22" t="s">
        <v>58</v>
      </c>
      <c r="AM345" s="22" t="s">
        <v>58</v>
      </c>
    </row>
    <row r="346" spans="1:39" s="22" customFormat="1" x14ac:dyDescent="0.25">
      <c r="A346" s="28" t="str">
        <f>IF(H346&lt;&gt;"",MAX($A$7:A345)+1,"")</f>
        <v/>
      </c>
      <c r="B346" s="243" t="str">
        <f t="shared" si="33"/>
        <v/>
      </c>
      <c r="C346" s="273"/>
      <c r="D346" s="246"/>
      <c r="E346" s="247"/>
      <c r="F346" s="247"/>
      <c r="G346" s="248"/>
      <c r="H346" s="241"/>
      <c r="I346" s="274"/>
      <c r="J346" s="275"/>
      <c r="K346" s="276"/>
      <c r="L346" s="277"/>
      <c r="M346" s="278"/>
      <c r="N346" s="279"/>
      <c r="O346" s="274"/>
      <c r="P346" s="275"/>
      <c r="Q346" s="276"/>
      <c r="R346" s="277"/>
      <c r="S346" s="278"/>
      <c r="T346" s="279"/>
      <c r="U346" s="279"/>
      <c r="V346" s="279"/>
      <c r="W346" s="279"/>
      <c r="X346" s="279"/>
      <c r="Y346" s="279"/>
      <c r="Z346" s="279"/>
      <c r="AA346" s="279"/>
      <c r="AB346" s="279"/>
      <c r="AC346" s="279"/>
      <c r="AD346" s="279"/>
      <c r="AE346" s="279"/>
      <c r="AF346" s="279"/>
      <c r="AG346" s="280"/>
      <c r="AH346" s="281"/>
      <c r="AI346" s="282"/>
      <c r="AJ346" s="283"/>
      <c r="AK346" s="22" t="s">
        <v>58</v>
      </c>
      <c r="AL346" s="22" t="s">
        <v>58</v>
      </c>
      <c r="AM346" s="22" t="s">
        <v>58</v>
      </c>
    </row>
    <row r="347" spans="1:39" s="22" customFormat="1" x14ac:dyDescent="0.25">
      <c r="A347" s="28" t="str">
        <f>IF(H347&lt;&gt;"",MAX($A$7:A346)+1,"")</f>
        <v/>
      </c>
      <c r="B347" s="243" t="str">
        <f t="shared" si="33"/>
        <v/>
      </c>
      <c r="C347" s="273"/>
      <c r="D347" s="246"/>
      <c r="E347" s="247"/>
      <c r="F347" s="247"/>
      <c r="G347" s="248"/>
      <c r="H347" s="241"/>
      <c r="I347" s="274"/>
      <c r="J347" s="275"/>
      <c r="K347" s="276"/>
      <c r="L347" s="277"/>
      <c r="M347" s="278"/>
      <c r="N347" s="279"/>
      <c r="O347" s="274"/>
      <c r="P347" s="275"/>
      <c r="Q347" s="276"/>
      <c r="R347" s="277"/>
      <c r="S347" s="278"/>
      <c r="T347" s="279"/>
      <c r="U347" s="279"/>
      <c r="V347" s="279"/>
      <c r="W347" s="279"/>
      <c r="X347" s="279"/>
      <c r="Y347" s="279"/>
      <c r="Z347" s="279"/>
      <c r="AA347" s="279"/>
      <c r="AB347" s="279"/>
      <c r="AC347" s="279"/>
      <c r="AD347" s="279"/>
      <c r="AE347" s="279"/>
      <c r="AF347" s="279"/>
      <c r="AG347" s="280"/>
      <c r="AH347" s="281"/>
      <c r="AI347" s="282"/>
      <c r="AJ347" s="283"/>
      <c r="AK347" s="22" t="s">
        <v>58</v>
      </c>
      <c r="AL347" s="22" t="s">
        <v>58</v>
      </c>
      <c r="AM347" s="22" t="s">
        <v>58</v>
      </c>
    </row>
    <row r="348" spans="1:39" s="22" customFormat="1" x14ac:dyDescent="0.25">
      <c r="A348" s="28" t="str">
        <f>IF(H348&lt;&gt;"",MAX($A$7:A347)+1,"")</f>
        <v/>
      </c>
      <c r="B348" s="243" t="str">
        <f t="shared" si="33"/>
        <v/>
      </c>
      <c r="C348" s="273"/>
      <c r="D348" s="246"/>
      <c r="E348" s="247"/>
      <c r="F348" s="247"/>
      <c r="G348" s="248"/>
      <c r="H348" s="241"/>
      <c r="I348" s="274"/>
      <c r="J348" s="275"/>
      <c r="K348" s="276"/>
      <c r="L348" s="277"/>
      <c r="M348" s="278"/>
      <c r="N348" s="279"/>
      <c r="O348" s="274"/>
      <c r="P348" s="275"/>
      <c r="Q348" s="276"/>
      <c r="R348" s="277"/>
      <c r="S348" s="278"/>
      <c r="T348" s="279"/>
      <c r="U348" s="279"/>
      <c r="V348" s="279"/>
      <c r="W348" s="279"/>
      <c r="X348" s="279"/>
      <c r="Y348" s="279"/>
      <c r="Z348" s="279"/>
      <c r="AA348" s="279"/>
      <c r="AB348" s="279"/>
      <c r="AC348" s="279"/>
      <c r="AD348" s="279"/>
      <c r="AE348" s="279"/>
      <c r="AF348" s="279"/>
      <c r="AG348" s="280"/>
      <c r="AH348" s="281"/>
      <c r="AI348" s="282"/>
      <c r="AJ348" s="283"/>
      <c r="AK348" s="22" t="s">
        <v>58</v>
      </c>
      <c r="AL348" s="22" t="s">
        <v>58</v>
      </c>
      <c r="AM348" s="22" t="s">
        <v>58</v>
      </c>
    </row>
    <row r="349" spans="1:39" s="22" customFormat="1" x14ac:dyDescent="0.25">
      <c r="A349" s="28" t="str">
        <f>IF(H349&lt;&gt;"",MAX($A$7:A348)+1,"")</f>
        <v/>
      </c>
      <c r="B349" s="243" t="str">
        <f t="shared" si="33"/>
        <v/>
      </c>
      <c r="C349" s="273"/>
      <c r="D349" s="246"/>
      <c r="E349" s="247"/>
      <c r="F349" s="247"/>
      <c r="G349" s="248"/>
      <c r="H349" s="241"/>
      <c r="I349" s="274"/>
      <c r="J349" s="275"/>
      <c r="K349" s="276"/>
      <c r="L349" s="277"/>
      <c r="M349" s="278"/>
      <c r="N349" s="279"/>
      <c r="O349" s="274"/>
      <c r="P349" s="275"/>
      <c r="Q349" s="276"/>
      <c r="R349" s="277"/>
      <c r="S349" s="278"/>
      <c r="T349" s="279"/>
      <c r="U349" s="279"/>
      <c r="V349" s="279"/>
      <c r="W349" s="279"/>
      <c r="X349" s="279"/>
      <c r="Y349" s="279"/>
      <c r="Z349" s="279"/>
      <c r="AA349" s="279"/>
      <c r="AB349" s="279"/>
      <c r="AC349" s="279"/>
      <c r="AD349" s="279"/>
      <c r="AE349" s="279"/>
      <c r="AF349" s="279"/>
      <c r="AG349" s="280"/>
      <c r="AH349" s="281"/>
      <c r="AI349" s="282"/>
      <c r="AJ349" s="283"/>
      <c r="AK349" s="22" t="s">
        <v>58</v>
      </c>
      <c r="AL349" s="22" t="s">
        <v>58</v>
      </c>
      <c r="AM349" s="22" t="s">
        <v>58</v>
      </c>
    </row>
    <row r="350" spans="1:39" s="22" customFormat="1" x14ac:dyDescent="0.25">
      <c r="A350" s="28" t="str">
        <f>IF(H350&lt;&gt;"",MAX($A$7:A349)+1,"")</f>
        <v/>
      </c>
      <c r="B350" s="243" t="str">
        <f t="shared" si="33"/>
        <v/>
      </c>
      <c r="C350" s="273"/>
      <c r="D350" s="246"/>
      <c r="E350" s="247"/>
      <c r="F350" s="247"/>
      <c r="G350" s="248"/>
      <c r="H350" s="241"/>
      <c r="I350" s="274"/>
      <c r="J350" s="275"/>
      <c r="K350" s="276"/>
      <c r="L350" s="277"/>
      <c r="M350" s="278"/>
      <c r="N350" s="279"/>
      <c r="O350" s="274"/>
      <c r="P350" s="275"/>
      <c r="Q350" s="276"/>
      <c r="R350" s="277"/>
      <c r="S350" s="278"/>
      <c r="T350" s="279"/>
      <c r="U350" s="279"/>
      <c r="V350" s="279"/>
      <c r="W350" s="279"/>
      <c r="X350" s="279"/>
      <c r="Y350" s="279"/>
      <c r="Z350" s="279"/>
      <c r="AA350" s="279"/>
      <c r="AB350" s="279"/>
      <c r="AC350" s="279"/>
      <c r="AD350" s="279"/>
      <c r="AE350" s="279"/>
      <c r="AF350" s="279"/>
      <c r="AG350" s="280"/>
      <c r="AH350" s="281"/>
      <c r="AI350" s="282"/>
      <c r="AJ350" s="283"/>
      <c r="AK350" s="22" t="s">
        <v>58</v>
      </c>
      <c r="AL350" s="22" t="s">
        <v>58</v>
      </c>
      <c r="AM350" s="22" t="s">
        <v>58</v>
      </c>
    </row>
    <row r="351" spans="1:39" s="22" customFormat="1" x14ac:dyDescent="0.25">
      <c r="A351" s="28" t="str">
        <f>IF(H351&lt;&gt;"",MAX($A$7:A350)+1,"")</f>
        <v/>
      </c>
      <c r="B351" s="243" t="str">
        <f t="shared" si="33"/>
        <v/>
      </c>
      <c r="C351" s="273"/>
      <c r="D351" s="246"/>
      <c r="E351" s="247"/>
      <c r="F351" s="247"/>
      <c r="G351" s="248"/>
      <c r="H351" s="241"/>
      <c r="I351" s="274"/>
      <c r="J351" s="275"/>
      <c r="K351" s="276"/>
      <c r="L351" s="277"/>
      <c r="M351" s="278"/>
      <c r="N351" s="279"/>
      <c r="O351" s="274"/>
      <c r="P351" s="275"/>
      <c r="Q351" s="276"/>
      <c r="R351" s="277"/>
      <c r="S351" s="278"/>
      <c r="T351" s="279"/>
      <c r="U351" s="279"/>
      <c r="V351" s="279"/>
      <c r="W351" s="279"/>
      <c r="X351" s="279"/>
      <c r="Y351" s="279"/>
      <c r="Z351" s="279"/>
      <c r="AA351" s="279"/>
      <c r="AB351" s="279"/>
      <c r="AC351" s="279"/>
      <c r="AD351" s="279"/>
      <c r="AE351" s="279"/>
      <c r="AF351" s="279"/>
      <c r="AG351" s="280"/>
      <c r="AH351" s="281"/>
      <c r="AI351" s="282"/>
      <c r="AJ351" s="283"/>
      <c r="AK351" s="22" t="s">
        <v>58</v>
      </c>
      <c r="AL351" s="22" t="s">
        <v>58</v>
      </c>
      <c r="AM351" s="22" t="s">
        <v>58</v>
      </c>
    </row>
    <row r="352" spans="1:39" s="22" customFormat="1" x14ac:dyDescent="0.25">
      <c r="A352" s="28" t="str">
        <f>IF(H352&lt;&gt;"",MAX($A$7:A351)+1,"")</f>
        <v/>
      </c>
      <c r="B352" s="243" t="str">
        <f t="shared" si="33"/>
        <v/>
      </c>
      <c r="C352" s="273"/>
      <c r="D352" s="246"/>
      <c r="E352" s="247"/>
      <c r="F352" s="247"/>
      <c r="G352" s="248"/>
      <c r="H352" s="241"/>
      <c r="I352" s="274"/>
      <c r="J352" s="275"/>
      <c r="K352" s="276"/>
      <c r="L352" s="277"/>
      <c r="M352" s="278"/>
      <c r="N352" s="279"/>
      <c r="O352" s="274"/>
      <c r="P352" s="275"/>
      <c r="Q352" s="276"/>
      <c r="R352" s="277"/>
      <c r="S352" s="278"/>
      <c r="T352" s="279"/>
      <c r="U352" s="279"/>
      <c r="V352" s="279"/>
      <c r="W352" s="279"/>
      <c r="X352" s="279"/>
      <c r="Y352" s="279"/>
      <c r="Z352" s="279"/>
      <c r="AA352" s="279"/>
      <c r="AB352" s="279"/>
      <c r="AC352" s="279"/>
      <c r="AD352" s="279"/>
      <c r="AE352" s="279"/>
      <c r="AF352" s="279"/>
      <c r="AG352" s="280"/>
      <c r="AH352" s="281"/>
      <c r="AI352" s="282"/>
      <c r="AJ352" s="283"/>
      <c r="AK352" s="22" t="s">
        <v>58</v>
      </c>
      <c r="AL352" s="22" t="s">
        <v>58</v>
      </c>
      <c r="AM352" s="22" t="s">
        <v>58</v>
      </c>
    </row>
    <row r="353" spans="1:39" s="22" customFormat="1" x14ac:dyDescent="0.25">
      <c r="A353" s="28" t="str">
        <f>IF(H353&lt;&gt;"",MAX($A$7:A352)+1,"")</f>
        <v/>
      </c>
      <c r="B353" s="243" t="str">
        <f t="shared" si="33"/>
        <v/>
      </c>
      <c r="C353" s="273"/>
      <c r="D353" s="246"/>
      <c r="E353" s="247"/>
      <c r="F353" s="247"/>
      <c r="G353" s="248"/>
      <c r="H353" s="241"/>
      <c r="I353" s="274"/>
      <c r="J353" s="275"/>
      <c r="K353" s="276"/>
      <c r="L353" s="277"/>
      <c r="M353" s="278"/>
      <c r="N353" s="279"/>
      <c r="O353" s="274"/>
      <c r="P353" s="275"/>
      <c r="Q353" s="276"/>
      <c r="R353" s="277"/>
      <c r="S353" s="278"/>
      <c r="T353" s="279"/>
      <c r="U353" s="279"/>
      <c r="V353" s="279"/>
      <c r="W353" s="279"/>
      <c r="X353" s="279"/>
      <c r="Y353" s="279"/>
      <c r="Z353" s="279"/>
      <c r="AA353" s="279"/>
      <c r="AB353" s="279"/>
      <c r="AC353" s="279"/>
      <c r="AD353" s="279"/>
      <c r="AE353" s="279"/>
      <c r="AF353" s="279"/>
      <c r="AG353" s="280"/>
      <c r="AH353" s="281"/>
      <c r="AI353" s="282"/>
      <c r="AJ353" s="283"/>
      <c r="AK353" s="22" t="s">
        <v>58</v>
      </c>
      <c r="AL353" s="22" t="s">
        <v>58</v>
      </c>
      <c r="AM353" s="22" t="s">
        <v>58</v>
      </c>
    </row>
    <row r="354" spans="1:39" s="22" customFormat="1" x14ac:dyDescent="0.25">
      <c r="A354" s="28" t="str">
        <f>IF(H354&lt;&gt;"",MAX($A$7:A353)+1,"")</f>
        <v/>
      </c>
      <c r="B354" s="243" t="str">
        <f t="shared" si="33"/>
        <v/>
      </c>
      <c r="C354" s="273"/>
      <c r="D354" s="246"/>
      <c r="E354" s="247"/>
      <c r="F354" s="247"/>
      <c r="G354" s="248"/>
      <c r="H354" s="241"/>
      <c r="I354" s="274"/>
      <c r="J354" s="275"/>
      <c r="K354" s="276"/>
      <c r="L354" s="277"/>
      <c r="M354" s="278"/>
      <c r="N354" s="279"/>
      <c r="O354" s="274"/>
      <c r="P354" s="275"/>
      <c r="Q354" s="276"/>
      <c r="R354" s="277"/>
      <c r="S354" s="278"/>
      <c r="T354" s="279"/>
      <c r="U354" s="279"/>
      <c r="V354" s="279"/>
      <c r="W354" s="279"/>
      <c r="X354" s="279"/>
      <c r="Y354" s="279"/>
      <c r="Z354" s="279"/>
      <c r="AA354" s="279"/>
      <c r="AB354" s="279"/>
      <c r="AC354" s="279"/>
      <c r="AD354" s="279"/>
      <c r="AE354" s="279"/>
      <c r="AF354" s="279"/>
      <c r="AG354" s="280"/>
      <c r="AH354" s="281"/>
      <c r="AI354" s="282"/>
      <c r="AJ354" s="283"/>
      <c r="AK354" s="22" t="s">
        <v>58</v>
      </c>
      <c r="AL354" s="22" t="s">
        <v>58</v>
      </c>
      <c r="AM354" s="22" t="s">
        <v>58</v>
      </c>
    </row>
    <row r="355" spans="1:39" s="22" customFormat="1" x14ac:dyDescent="0.25">
      <c r="A355" s="28" t="str">
        <f>IF(H355&lt;&gt;"",MAX($A$7:A354)+1,"")</f>
        <v/>
      </c>
      <c r="B355" s="243" t="str">
        <f t="shared" si="33"/>
        <v/>
      </c>
      <c r="C355" s="273"/>
      <c r="D355" s="246"/>
      <c r="E355" s="247"/>
      <c r="F355" s="247"/>
      <c r="G355" s="248"/>
      <c r="H355" s="241"/>
      <c r="I355" s="274"/>
      <c r="J355" s="275"/>
      <c r="K355" s="276"/>
      <c r="L355" s="277"/>
      <c r="M355" s="278"/>
      <c r="N355" s="279"/>
      <c r="O355" s="274"/>
      <c r="P355" s="275"/>
      <c r="Q355" s="276"/>
      <c r="R355" s="277"/>
      <c r="S355" s="278"/>
      <c r="T355" s="279"/>
      <c r="U355" s="279"/>
      <c r="V355" s="279"/>
      <c r="W355" s="279"/>
      <c r="X355" s="279"/>
      <c r="Y355" s="279"/>
      <c r="Z355" s="279"/>
      <c r="AA355" s="279"/>
      <c r="AB355" s="279"/>
      <c r="AC355" s="279"/>
      <c r="AD355" s="279"/>
      <c r="AE355" s="279"/>
      <c r="AF355" s="279"/>
      <c r="AG355" s="280"/>
      <c r="AH355" s="281"/>
      <c r="AI355" s="282"/>
      <c r="AJ355" s="283"/>
      <c r="AK355" s="22" t="s">
        <v>58</v>
      </c>
      <c r="AL355" s="22" t="s">
        <v>58</v>
      </c>
      <c r="AM355" s="22" t="s">
        <v>58</v>
      </c>
    </row>
    <row r="356" spans="1:39" s="22" customFormat="1" x14ac:dyDescent="0.25">
      <c r="A356" s="28" t="str">
        <f>IF(H356&lt;&gt;"",MAX($A$7:A355)+1,"")</f>
        <v/>
      </c>
      <c r="B356" s="243" t="str">
        <f t="shared" si="33"/>
        <v/>
      </c>
      <c r="C356" s="273"/>
      <c r="D356" s="246"/>
      <c r="E356" s="247"/>
      <c r="F356" s="247"/>
      <c r="G356" s="248"/>
      <c r="H356" s="241"/>
      <c r="I356" s="274"/>
      <c r="J356" s="275"/>
      <c r="K356" s="276"/>
      <c r="L356" s="277"/>
      <c r="M356" s="278"/>
      <c r="N356" s="279"/>
      <c r="O356" s="274"/>
      <c r="P356" s="275"/>
      <c r="Q356" s="276"/>
      <c r="R356" s="277"/>
      <c r="S356" s="278"/>
      <c r="T356" s="279"/>
      <c r="U356" s="279"/>
      <c r="V356" s="279"/>
      <c r="W356" s="279"/>
      <c r="X356" s="279"/>
      <c r="Y356" s="279"/>
      <c r="Z356" s="279"/>
      <c r="AA356" s="279"/>
      <c r="AB356" s="279"/>
      <c r="AC356" s="279"/>
      <c r="AD356" s="279"/>
      <c r="AE356" s="279"/>
      <c r="AF356" s="279"/>
      <c r="AG356" s="280"/>
      <c r="AH356" s="281"/>
      <c r="AI356" s="282"/>
      <c r="AJ356" s="283"/>
      <c r="AK356" s="22" t="s">
        <v>58</v>
      </c>
      <c r="AL356" s="22" t="s">
        <v>58</v>
      </c>
      <c r="AM356" s="22" t="s">
        <v>58</v>
      </c>
    </row>
    <row r="357" spans="1:39" s="22" customFormat="1" x14ac:dyDescent="0.25">
      <c r="A357" s="28" t="str">
        <f>IF(H357&lt;&gt;"",MAX($A$7:A356)+1,"")</f>
        <v/>
      </c>
      <c r="B357" s="243" t="str">
        <f t="shared" si="33"/>
        <v/>
      </c>
      <c r="C357" s="273"/>
      <c r="D357" s="246"/>
      <c r="E357" s="247"/>
      <c r="F357" s="247"/>
      <c r="G357" s="248"/>
      <c r="H357" s="241"/>
      <c r="I357" s="274"/>
      <c r="J357" s="275"/>
      <c r="K357" s="276"/>
      <c r="L357" s="277"/>
      <c r="M357" s="278"/>
      <c r="N357" s="279"/>
      <c r="O357" s="274"/>
      <c r="P357" s="275"/>
      <c r="Q357" s="276"/>
      <c r="R357" s="277"/>
      <c r="S357" s="278"/>
      <c r="T357" s="279"/>
      <c r="U357" s="279"/>
      <c r="V357" s="279"/>
      <c r="W357" s="279"/>
      <c r="X357" s="279"/>
      <c r="Y357" s="279"/>
      <c r="Z357" s="279"/>
      <c r="AA357" s="279"/>
      <c r="AB357" s="279"/>
      <c r="AC357" s="279"/>
      <c r="AD357" s="279"/>
      <c r="AE357" s="279"/>
      <c r="AF357" s="279"/>
      <c r="AG357" s="280"/>
      <c r="AH357" s="281"/>
      <c r="AI357" s="282"/>
      <c r="AJ357" s="283"/>
      <c r="AK357" s="22" t="s">
        <v>58</v>
      </c>
      <c r="AL357" s="22" t="s">
        <v>58</v>
      </c>
      <c r="AM357" s="22" t="s">
        <v>58</v>
      </c>
    </row>
    <row r="358" spans="1:39" s="22" customFormat="1" x14ac:dyDescent="0.25">
      <c r="A358" s="28" t="str">
        <f>IF(H358&lt;&gt;"",MAX($A$7:A357)+1,"")</f>
        <v/>
      </c>
      <c r="B358" s="243" t="str">
        <f t="shared" si="33"/>
        <v/>
      </c>
      <c r="C358" s="273"/>
      <c r="D358" s="246"/>
      <c r="E358" s="247"/>
      <c r="F358" s="247"/>
      <c r="G358" s="248"/>
      <c r="H358" s="241"/>
      <c r="I358" s="274"/>
      <c r="J358" s="275"/>
      <c r="K358" s="276"/>
      <c r="L358" s="277"/>
      <c r="M358" s="278"/>
      <c r="N358" s="279"/>
      <c r="O358" s="274"/>
      <c r="P358" s="275"/>
      <c r="Q358" s="276"/>
      <c r="R358" s="277"/>
      <c r="S358" s="278"/>
      <c r="T358" s="279"/>
      <c r="U358" s="279"/>
      <c r="V358" s="279"/>
      <c r="W358" s="279"/>
      <c r="X358" s="279"/>
      <c r="Y358" s="279"/>
      <c r="Z358" s="279"/>
      <c r="AA358" s="279"/>
      <c r="AB358" s="279"/>
      <c r="AC358" s="279"/>
      <c r="AD358" s="279"/>
      <c r="AE358" s="279"/>
      <c r="AF358" s="279"/>
      <c r="AG358" s="280"/>
      <c r="AH358" s="281"/>
      <c r="AI358" s="282"/>
      <c r="AJ358" s="283"/>
      <c r="AK358" s="22" t="s">
        <v>58</v>
      </c>
      <c r="AL358" s="22" t="s">
        <v>58</v>
      </c>
      <c r="AM358" s="22" t="s">
        <v>58</v>
      </c>
    </row>
    <row r="359" spans="1:39" s="22" customFormat="1" x14ac:dyDescent="0.25">
      <c r="A359" s="28" t="str">
        <f>IF(H359&lt;&gt;"",MAX($A$7:A358)+1,"")</f>
        <v/>
      </c>
      <c r="B359" s="243" t="str">
        <f t="shared" si="33"/>
        <v/>
      </c>
      <c r="C359" s="273"/>
      <c r="D359" s="246"/>
      <c r="E359" s="247"/>
      <c r="F359" s="247"/>
      <c r="G359" s="248"/>
      <c r="H359" s="241"/>
      <c r="I359" s="274"/>
      <c r="J359" s="275"/>
      <c r="K359" s="276"/>
      <c r="L359" s="277"/>
      <c r="M359" s="278"/>
      <c r="N359" s="279"/>
      <c r="O359" s="274"/>
      <c r="P359" s="275"/>
      <c r="Q359" s="276"/>
      <c r="R359" s="277"/>
      <c r="S359" s="278"/>
      <c r="T359" s="279"/>
      <c r="U359" s="279"/>
      <c r="V359" s="279"/>
      <c r="W359" s="279"/>
      <c r="X359" s="279"/>
      <c r="Y359" s="279"/>
      <c r="Z359" s="279"/>
      <c r="AA359" s="279"/>
      <c r="AB359" s="279"/>
      <c r="AC359" s="279"/>
      <c r="AD359" s="279"/>
      <c r="AE359" s="279"/>
      <c r="AF359" s="279"/>
      <c r="AG359" s="280"/>
      <c r="AH359" s="281"/>
      <c r="AI359" s="282"/>
      <c r="AJ359" s="283"/>
      <c r="AK359" s="22" t="s">
        <v>58</v>
      </c>
      <c r="AL359" s="22" t="s">
        <v>58</v>
      </c>
      <c r="AM359" s="22" t="s">
        <v>58</v>
      </c>
    </row>
    <row r="360" spans="1:39" s="22" customFormat="1" x14ac:dyDescent="0.25">
      <c r="A360" s="28" t="str">
        <f>IF(H360&lt;&gt;"",MAX($A$7:A359)+1,"")</f>
        <v/>
      </c>
      <c r="B360" s="243" t="str">
        <f t="shared" si="33"/>
        <v/>
      </c>
      <c r="C360" s="273"/>
      <c r="D360" s="246"/>
      <c r="E360" s="247"/>
      <c r="F360" s="247"/>
      <c r="G360" s="248"/>
      <c r="H360" s="241"/>
      <c r="I360" s="274"/>
      <c r="J360" s="275"/>
      <c r="K360" s="276"/>
      <c r="L360" s="277"/>
      <c r="M360" s="278"/>
      <c r="N360" s="279"/>
      <c r="O360" s="274"/>
      <c r="P360" s="275"/>
      <c r="Q360" s="276"/>
      <c r="R360" s="277"/>
      <c r="S360" s="278"/>
      <c r="T360" s="279"/>
      <c r="U360" s="279"/>
      <c r="V360" s="279"/>
      <c r="W360" s="279"/>
      <c r="X360" s="279"/>
      <c r="Y360" s="279"/>
      <c r="Z360" s="279"/>
      <c r="AA360" s="279"/>
      <c r="AB360" s="279"/>
      <c r="AC360" s="279"/>
      <c r="AD360" s="279"/>
      <c r="AE360" s="279"/>
      <c r="AF360" s="279"/>
      <c r="AG360" s="280"/>
      <c r="AH360" s="281"/>
      <c r="AI360" s="282"/>
      <c r="AJ360" s="283"/>
      <c r="AK360" s="22" t="s">
        <v>58</v>
      </c>
      <c r="AL360" s="22" t="s">
        <v>58</v>
      </c>
      <c r="AM360" s="22" t="s">
        <v>58</v>
      </c>
    </row>
    <row r="361" spans="1:39" s="22" customFormat="1" x14ac:dyDescent="0.25">
      <c r="A361" s="28" t="str">
        <f>IF(H361&lt;&gt;"",MAX($A$7:A360)+1,"")</f>
        <v/>
      </c>
      <c r="B361" s="243" t="str">
        <f t="shared" si="33"/>
        <v/>
      </c>
      <c r="C361" s="273"/>
      <c r="D361" s="246"/>
      <c r="E361" s="247"/>
      <c r="F361" s="247"/>
      <c r="G361" s="248"/>
      <c r="H361" s="241"/>
      <c r="I361" s="274"/>
      <c r="J361" s="275"/>
      <c r="K361" s="276"/>
      <c r="L361" s="277"/>
      <c r="M361" s="278"/>
      <c r="N361" s="279"/>
      <c r="O361" s="274"/>
      <c r="P361" s="275"/>
      <c r="Q361" s="276"/>
      <c r="R361" s="277"/>
      <c r="S361" s="278"/>
      <c r="T361" s="279"/>
      <c r="U361" s="279"/>
      <c r="V361" s="279"/>
      <c r="W361" s="279"/>
      <c r="X361" s="279"/>
      <c r="Y361" s="279"/>
      <c r="Z361" s="279"/>
      <c r="AA361" s="279"/>
      <c r="AB361" s="279"/>
      <c r="AC361" s="279"/>
      <c r="AD361" s="279"/>
      <c r="AE361" s="279"/>
      <c r="AF361" s="279"/>
      <c r="AG361" s="280"/>
      <c r="AH361" s="281"/>
      <c r="AI361" s="282"/>
      <c r="AJ361" s="283"/>
      <c r="AK361" s="22" t="s">
        <v>58</v>
      </c>
      <c r="AL361" s="22" t="s">
        <v>58</v>
      </c>
      <c r="AM361" s="22" t="s">
        <v>58</v>
      </c>
    </row>
    <row r="362" spans="1:39" s="22" customFormat="1" x14ac:dyDescent="0.25">
      <c r="A362" s="28" t="str">
        <f>IF(H362&lt;&gt;"",MAX($A$7:A361)+1,"")</f>
        <v/>
      </c>
      <c r="B362" s="243" t="str">
        <f t="shared" si="33"/>
        <v/>
      </c>
      <c r="C362" s="273"/>
      <c r="D362" s="246"/>
      <c r="E362" s="247"/>
      <c r="F362" s="247"/>
      <c r="G362" s="248"/>
      <c r="H362" s="241"/>
      <c r="I362" s="274"/>
      <c r="J362" s="275"/>
      <c r="K362" s="276"/>
      <c r="L362" s="277"/>
      <c r="M362" s="278"/>
      <c r="N362" s="279"/>
      <c r="O362" s="274"/>
      <c r="P362" s="275"/>
      <c r="Q362" s="276"/>
      <c r="R362" s="277"/>
      <c r="S362" s="278"/>
      <c r="T362" s="279"/>
      <c r="U362" s="279"/>
      <c r="V362" s="279"/>
      <c r="W362" s="279"/>
      <c r="X362" s="279"/>
      <c r="Y362" s="279"/>
      <c r="Z362" s="279"/>
      <c r="AA362" s="279"/>
      <c r="AB362" s="279"/>
      <c r="AC362" s="279"/>
      <c r="AD362" s="279"/>
      <c r="AE362" s="279"/>
      <c r="AF362" s="279"/>
      <c r="AG362" s="280"/>
      <c r="AH362" s="281"/>
      <c r="AI362" s="282"/>
      <c r="AJ362" s="283"/>
      <c r="AK362" s="22" t="s">
        <v>58</v>
      </c>
      <c r="AL362" s="22" t="s">
        <v>58</v>
      </c>
      <c r="AM362" s="22" t="s">
        <v>58</v>
      </c>
    </row>
    <row r="363" spans="1:39" s="22" customFormat="1" x14ac:dyDescent="0.25">
      <c r="A363" s="28" t="str">
        <f>IF(H363&lt;&gt;"",MAX($A$7:A362)+1,"")</f>
        <v/>
      </c>
      <c r="B363" s="243" t="str">
        <f t="shared" si="33"/>
        <v/>
      </c>
      <c r="C363" s="273"/>
      <c r="D363" s="246"/>
      <c r="E363" s="247"/>
      <c r="F363" s="247"/>
      <c r="G363" s="248"/>
      <c r="H363" s="241"/>
      <c r="I363" s="274"/>
      <c r="J363" s="275"/>
      <c r="K363" s="276"/>
      <c r="L363" s="277"/>
      <c r="M363" s="278"/>
      <c r="N363" s="279"/>
      <c r="O363" s="274"/>
      <c r="P363" s="275"/>
      <c r="Q363" s="276"/>
      <c r="R363" s="277"/>
      <c r="S363" s="278"/>
      <c r="T363" s="279"/>
      <c r="U363" s="279"/>
      <c r="V363" s="279"/>
      <c r="W363" s="279"/>
      <c r="X363" s="279"/>
      <c r="Y363" s="279"/>
      <c r="Z363" s="279"/>
      <c r="AA363" s="279"/>
      <c r="AB363" s="279"/>
      <c r="AC363" s="279"/>
      <c r="AD363" s="279"/>
      <c r="AE363" s="279"/>
      <c r="AF363" s="279"/>
      <c r="AG363" s="280"/>
      <c r="AH363" s="281"/>
      <c r="AI363" s="282"/>
      <c r="AJ363" s="283"/>
      <c r="AK363" s="22" t="s">
        <v>58</v>
      </c>
      <c r="AL363" s="22" t="s">
        <v>58</v>
      </c>
      <c r="AM363" s="22" t="s">
        <v>58</v>
      </c>
    </row>
    <row r="364" spans="1:39" s="22" customFormat="1" x14ac:dyDescent="0.25">
      <c r="A364" s="28" t="str">
        <f>IF(H364&lt;&gt;"",MAX($A$7:A363)+1,"")</f>
        <v/>
      </c>
      <c r="B364" s="243" t="str">
        <f t="shared" si="33"/>
        <v/>
      </c>
      <c r="C364" s="273"/>
      <c r="D364" s="246"/>
      <c r="E364" s="247"/>
      <c r="F364" s="247"/>
      <c r="G364" s="248"/>
      <c r="H364" s="241"/>
      <c r="I364" s="274"/>
      <c r="J364" s="275"/>
      <c r="K364" s="276"/>
      <c r="L364" s="277"/>
      <c r="M364" s="278"/>
      <c r="N364" s="279"/>
      <c r="O364" s="274"/>
      <c r="P364" s="275"/>
      <c r="Q364" s="276"/>
      <c r="R364" s="277"/>
      <c r="S364" s="278"/>
      <c r="T364" s="279"/>
      <c r="U364" s="279"/>
      <c r="V364" s="279"/>
      <c r="W364" s="279"/>
      <c r="X364" s="279"/>
      <c r="Y364" s="279"/>
      <c r="Z364" s="279"/>
      <c r="AA364" s="279"/>
      <c r="AB364" s="279"/>
      <c r="AC364" s="279"/>
      <c r="AD364" s="279"/>
      <c r="AE364" s="279"/>
      <c r="AF364" s="279"/>
      <c r="AG364" s="280"/>
      <c r="AH364" s="281"/>
      <c r="AI364" s="282"/>
      <c r="AJ364" s="283"/>
      <c r="AK364" s="22" t="s">
        <v>58</v>
      </c>
      <c r="AL364" s="22" t="s">
        <v>58</v>
      </c>
      <c r="AM364" s="22" t="s">
        <v>58</v>
      </c>
    </row>
    <row r="365" spans="1:39" s="22" customFormat="1" x14ac:dyDescent="0.25">
      <c r="A365" s="28" t="str">
        <f>IF(H365&lt;&gt;"",MAX($A$7:A364)+1,"")</f>
        <v/>
      </c>
      <c r="B365" s="243" t="str">
        <f t="shared" si="33"/>
        <v/>
      </c>
      <c r="C365" s="273"/>
      <c r="D365" s="246"/>
      <c r="E365" s="247"/>
      <c r="F365" s="247"/>
      <c r="G365" s="248"/>
      <c r="H365" s="241"/>
      <c r="I365" s="274"/>
      <c r="J365" s="275"/>
      <c r="K365" s="276"/>
      <c r="L365" s="277"/>
      <c r="M365" s="278"/>
      <c r="N365" s="279"/>
      <c r="O365" s="274"/>
      <c r="P365" s="275"/>
      <c r="Q365" s="276"/>
      <c r="R365" s="277"/>
      <c r="S365" s="278"/>
      <c r="T365" s="279"/>
      <c r="U365" s="279"/>
      <c r="V365" s="279"/>
      <c r="W365" s="279"/>
      <c r="X365" s="279"/>
      <c r="Y365" s="279"/>
      <c r="Z365" s="279"/>
      <c r="AA365" s="279"/>
      <c r="AB365" s="279"/>
      <c r="AC365" s="279"/>
      <c r="AD365" s="279"/>
      <c r="AE365" s="279"/>
      <c r="AF365" s="279"/>
      <c r="AG365" s="280"/>
      <c r="AH365" s="281"/>
      <c r="AI365" s="282"/>
      <c r="AJ365" s="283"/>
      <c r="AK365" s="22" t="s">
        <v>58</v>
      </c>
      <c r="AL365" s="22" t="s">
        <v>58</v>
      </c>
      <c r="AM365" s="22" t="s">
        <v>58</v>
      </c>
    </row>
    <row r="366" spans="1:39" s="22" customFormat="1" x14ac:dyDescent="0.25">
      <c r="A366" s="28" t="str">
        <f>IF(H366&lt;&gt;"",MAX($A$7:A365)+1,"")</f>
        <v/>
      </c>
      <c r="B366" s="243" t="str">
        <f t="shared" si="33"/>
        <v/>
      </c>
      <c r="C366" s="273"/>
      <c r="D366" s="246"/>
      <c r="E366" s="247"/>
      <c r="F366" s="247"/>
      <c r="G366" s="248"/>
      <c r="H366" s="241"/>
      <c r="I366" s="274"/>
      <c r="J366" s="275"/>
      <c r="K366" s="276"/>
      <c r="L366" s="277"/>
      <c r="M366" s="278"/>
      <c r="N366" s="279"/>
      <c r="O366" s="274"/>
      <c r="P366" s="275"/>
      <c r="Q366" s="276"/>
      <c r="R366" s="277"/>
      <c r="S366" s="278"/>
      <c r="T366" s="279"/>
      <c r="U366" s="279"/>
      <c r="V366" s="279"/>
      <c r="W366" s="279"/>
      <c r="X366" s="279"/>
      <c r="Y366" s="279"/>
      <c r="Z366" s="279"/>
      <c r="AA366" s="279"/>
      <c r="AB366" s="279"/>
      <c r="AC366" s="279"/>
      <c r="AD366" s="279"/>
      <c r="AE366" s="279"/>
      <c r="AF366" s="279"/>
      <c r="AG366" s="280"/>
      <c r="AH366" s="281"/>
      <c r="AI366" s="282"/>
      <c r="AJ366" s="283"/>
      <c r="AK366" s="22" t="s">
        <v>58</v>
      </c>
      <c r="AL366" s="22" t="s">
        <v>58</v>
      </c>
      <c r="AM366" s="22" t="s">
        <v>58</v>
      </c>
    </row>
    <row r="367" spans="1:39" s="22" customFormat="1" x14ac:dyDescent="0.25">
      <c r="A367" s="28" t="str">
        <f>IF(H367&lt;&gt;"",MAX($A$7:A366)+1,"")</f>
        <v/>
      </c>
      <c r="B367" s="243" t="str">
        <f t="shared" si="33"/>
        <v/>
      </c>
      <c r="C367" s="273"/>
      <c r="D367" s="246"/>
      <c r="E367" s="247"/>
      <c r="F367" s="247"/>
      <c r="G367" s="248"/>
      <c r="H367" s="241"/>
      <c r="I367" s="274"/>
      <c r="J367" s="275"/>
      <c r="K367" s="276"/>
      <c r="L367" s="277"/>
      <c r="M367" s="278"/>
      <c r="N367" s="279"/>
      <c r="O367" s="274"/>
      <c r="P367" s="275"/>
      <c r="Q367" s="276"/>
      <c r="R367" s="277"/>
      <c r="S367" s="278"/>
      <c r="T367" s="279"/>
      <c r="U367" s="279"/>
      <c r="V367" s="279"/>
      <c r="W367" s="279"/>
      <c r="X367" s="279"/>
      <c r="Y367" s="279"/>
      <c r="Z367" s="279"/>
      <c r="AA367" s="279"/>
      <c r="AB367" s="279"/>
      <c r="AC367" s="279"/>
      <c r="AD367" s="279"/>
      <c r="AE367" s="279"/>
      <c r="AF367" s="279"/>
      <c r="AG367" s="280"/>
      <c r="AH367" s="281"/>
      <c r="AI367" s="282"/>
      <c r="AJ367" s="283"/>
      <c r="AK367" s="22" t="s">
        <v>58</v>
      </c>
      <c r="AL367" s="22" t="s">
        <v>58</v>
      </c>
      <c r="AM367" s="22" t="s">
        <v>58</v>
      </c>
    </row>
    <row r="368" spans="1:39" s="22" customFormat="1" x14ac:dyDescent="0.25">
      <c r="A368" s="28" t="str">
        <f>IF(H368&lt;&gt;"",MAX($A$7:A367)+1,"")</f>
        <v/>
      </c>
      <c r="B368" s="243" t="str">
        <f t="shared" si="33"/>
        <v/>
      </c>
      <c r="C368" s="273"/>
      <c r="D368" s="246"/>
      <c r="E368" s="247"/>
      <c r="F368" s="247"/>
      <c r="G368" s="248"/>
      <c r="H368" s="241"/>
      <c r="I368" s="274"/>
      <c r="J368" s="275"/>
      <c r="K368" s="276"/>
      <c r="L368" s="277"/>
      <c r="M368" s="278"/>
      <c r="N368" s="279"/>
      <c r="O368" s="274"/>
      <c r="P368" s="275"/>
      <c r="Q368" s="276"/>
      <c r="R368" s="277"/>
      <c r="S368" s="278"/>
      <c r="T368" s="279"/>
      <c r="U368" s="279"/>
      <c r="V368" s="279"/>
      <c r="W368" s="279"/>
      <c r="X368" s="279"/>
      <c r="Y368" s="279"/>
      <c r="Z368" s="279"/>
      <c r="AA368" s="279"/>
      <c r="AB368" s="279"/>
      <c r="AC368" s="279"/>
      <c r="AD368" s="279"/>
      <c r="AE368" s="279"/>
      <c r="AF368" s="279"/>
      <c r="AG368" s="280"/>
      <c r="AH368" s="281"/>
      <c r="AI368" s="282"/>
      <c r="AJ368" s="283"/>
      <c r="AK368" s="22" t="s">
        <v>58</v>
      </c>
      <c r="AL368" s="22" t="s">
        <v>58</v>
      </c>
      <c r="AM368" s="22" t="s">
        <v>58</v>
      </c>
    </row>
    <row r="369" spans="1:39" s="22" customFormat="1" x14ac:dyDescent="0.25">
      <c r="A369" s="28" t="str">
        <f>IF(H369&lt;&gt;"",MAX($A$7:A368)+1,"")</f>
        <v/>
      </c>
      <c r="B369" s="243" t="str">
        <f t="shared" si="33"/>
        <v/>
      </c>
      <c r="C369" s="273"/>
      <c r="D369" s="246"/>
      <c r="E369" s="247"/>
      <c r="F369" s="247"/>
      <c r="G369" s="248"/>
      <c r="H369" s="241"/>
      <c r="I369" s="274"/>
      <c r="J369" s="275"/>
      <c r="K369" s="276"/>
      <c r="L369" s="277"/>
      <c r="M369" s="278"/>
      <c r="N369" s="279"/>
      <c r="O369" s="274"/>
      <c r="P369" s="275"/>
      <c r="Q369" s="276"/>
      <c r="R369" s="277"/>
      <c r="S369" s="278"/>
      <c r="T369" s="279"/>
      <c r="U369" s="279"/>
      <c r="V369" s="279"/>
      <c r="W369" s="279"/>
      <c r="X369" s="279"/>
      <c r="Y369" s="279"/>
      <c r="Z369" s="279"/>
      <c r="AA369" s="279"/>
      <c r="AB369" s="279"/>
      <c r="AC369" s="279"/>
      <c r="AD369" s="279"/>
      <c r="AE369" s="279"/>
      <c r="AF369" s="279"/>
      <c r="AG369" s="280"/>
      <c r="AH369" s="281"/>
      <c r="AI369" s="282"/>
      <c r="AJ369" s="283"/>
      <c r="AK369" s="22" t="s">
        <v>58</v>
      </c>
      <c r="AL369" s="22" t="s">
        <v>58</v>
      </c>
      <c r="AM369" s="22" t="s">
        <v>58</v>
      </c>
    </row>
    <row r="370" spans="1:39" s="22" customFormat="1" x14ac:dyDescent="0.25">
      <c r="A370" s="28" t="str">
        <f>IF(H370&lt;&gt;"",MAX($A$7:A369)+1,"")</f>
        <v/>
      </c>
      <c r="B370" s="243" t="str">
        <f t="shared" si="33"/>
        <v/>
      </c>
      <c r="C370" s="273"/>
      <c r="D370" s="246"/>
      <c r="E370" s="247"/>
      <c r="F370" s="247"/>
      <c r="G370" s="248"/>
      <c r="H370" s="241"/>
      <c r="I370" s="274"/>
      <c r="J370" s="275"/>
      <c r="K370" s="276"/>
      <c r="L370" s="277"/>
      <c r="M370" s="278"/>
      <c r="N370" s="279"/>
      <c r="O370" s="274"/>
      <c r="P370" s="275"/>
      <c r="Q370" s="276"/>
      <c r="R370" s="277"/>
      <c r="S370" s="278"/>
      <c r="T370" s="279"/>
      <c r="U370" s="279"/>
      <c r="V370" s="279"/>
      <c r="W370" s="279"/>
      <c r="X370" s="279"/>
      <c r="Y370" s="279"/>
      <c r="Z370" s="279"/>
      <c r="AA370" s="279"/>
      <c r="AB370" s="279"/>
      <c r="AC370" s="279"/>
      <c r="AD370" s="279"/>
      <c r="AE370" s="279"/>
      <c r="AF370" s="279"/>
      <c r="AG370" s="280"/>
      <c r="AH370" s="281"/>
      <c r="AI370" s="282"/>
      <c r="AJ370" s="283"/>
      <c r="AK370" s="22" t="s">
        <v>58</v>
      </c>
      <c r="AL370" s="22" t="s">
        <v>58</v>
      </c>
      <c r="AM370" s="22" t="s">
        <v>58</v>
      </c>
    </row>
    <row r="371" spans="1:39" s="22" customFormat="1" x14ac:dyDescent="0.25">
      <c r="A371" s="28" t="str">
        <f>IF(H371&lt;&gt;"",MAX($A$7:A370)+1,"")</f>
        <v/>
      </c>
      <c r="B371" s="243" t="str">
        <f t="shared" si="33"/>
        <v/>
      </c>
      <c r="C371" s="273"/>
      <c r="D371" s="246"/>
      <c r="E371" s="247"/>
      <c r="F371" s="247"/>
      <c r="G371" s="248"/>
      <c r="H371" s="241"/>
      <c r="I371" s="274"/>
      <c r="J371" s="275"/>
      <c r="K371" s="276"/>
      <c r="L371" s="277"/>
      <c r="M371" s="278"/>
      <c r="N371" s="279"/>
      <c r="O371" s="274"/>
      <c r="P371" s="275"/>
      <c r="Q371" s="276"/>
      <c r="R371" s="277"/>
      <c r="S371" s="278"/>
      <c r="T371" s="279"/>
      <c r="U371" s="279"/>
      <c r="V371" s="279"/>
      <c r="W371" s="279"/>
      <c r="X371" s="279"/>
      <c r="Y371" s="279"/>
      <c r="Z371" s="279"/>
      <c r="AA371" s="279"/>
      <c r="AB371" s="279"/>
      <c r="AC371" s="279"/>
      <c r="AD371" s="279"/>
      <c r="AE371" s="279"/>
      <c r="AF371" s="279"/>
      <c r="AG371" s="280"/>
      <c r="AH371" s="281"/>
      <c r="AI371" s="282"/>
      <c r="AJ371" s="283"/>
      <c r="AK371" s="22" t="s">
        <v>58</v>
      </c>
      <c r="AL371" s="22" t="s">
        <v>58</v>
      </c>
      <c r="AM371" s="22" t="s">
        <v>58</v>
      </c>
    </row>
    <row r="372" spans="1:39" s="22" customFormat="1" x14ac:dyDescent="0.25">
      <c r="A372" s="28" t="str">
        <f>IF(H372&lt;&gt;"",MAX($A$7:A371)+1,"")</f>
        <v/>
      </c>
      <c r="B372" s="243" t="str">
        <f t="shared" si="33"/>
        <v/>
      </c>
      <c r="C372" s="273"/>
      <c r="D372" s="246"/>
      <c r="E372" s="247"/>
      <c r="F372" s="247"/>
      <c r="G372" s="248"/>
      <c r="H372" s="241"/>
      <c r="I372" s="274"/>
      <c r="J372" s="275"/>
      <c r="K372" s="276"/>
      <c r="L372" s="277"/>
      <c r="M372" s="278"/>
      <c r="N372" s="279"/>
      <c r="O372" s="274"/>
      <c r="P372" s="275"/>
      <c r="Q372" s="276"/>
      <c r="R372" s="277"/>
      <c r="S372" s="278"/>
      <c r="T372" s="279"/>
      <c r="U372" s="279"/>
      <c r="V372" s="279"/>
      <c r="W372" s="279"/>
      <c r="X372" s="279"/>
      <c r="Y372" s="279"/>
      <c r="Z372" s="279"/>
      <c r="AA372" s="279"/>
      <c r="AB372" s="279"/>
      <c r="AC372" s="279"/>
      <c r="AD372" s="279"/>
      <c r="AE372" s="279"/>
      <c r="AF372" s="279"/>
      <c r="AG372" s="280"/>
      <c r="AH372" s="281"/>
      <c r="AI372" s="282"/>
      <c r="AJ372" s="283"/>
      <c r="AK372" s="22" t="s">
        <v>58</v>
      </c>
      <c r="AL372" s="22" t="s">
        <v>58</v>
      </c>
      <c r="AM372" s="22" t="s">
        <v>58</v>
      </c>
    </row>
    <row r="373" spans="1:39" s="22" customFormat="1" x14ac:dyDescent="0.25">
      <c r="A373" s="28" t="str">
        <f>IF(H373&lt;&gt;"",MAX($A$7:A372)+1,"")</f>
        <v/>
      </c>
      <c r="B373" s="243" t="str">
        <f t="shared" si="33"/>
        <v/>
      </c>
      <c r="C373" s="273"/>
      <c r="D373" s="246"/>
      <c r="E373" s="247"/>
      <c r="F373" s="247"/>
      <c r="G373" s="248"/>
      <c r="H373" s="241"/>
      <c r="I373" s="274"/>
      <c r="J373" s="275"/>
      <c r="K373" s="276"/>
      <c r="L373" s="277"/>
      <c r="M373" s="278"/>
      <c r="N373" s="279"/>
      <c r="O373" s="274"/>
      <c r="P373" s="275"/>
      <c r="Q373" s="276"/>
      <c r="R373" s="277"/>
      <c r="S373" s="278"/>
      <c r="T373" s="279"/>
      <c r="U373" s="279"/>
      <c r="V373" s="279"/>
      <c r="W373" s="279"/>
      <c r="X373" s="279"/>
      <c r="Y373" s="279"/>
      <c r="Z373" s="279"/>
      <c r="AA373" s="279"/>
      <c r="AB373" s="279"/>
      <c r="AC373" s="279"/>
      <c r="AD373" s="279"/>
      <c r="AE373" s="279"/>
      <c r="AF373" s="279"/>
      <c r="AG373" s="280"/>
      <c r="AH373" s="281"/>
      <c r="AI373" s="282"/>
      <c r="AJ373" s="283"/>
      <c r="AK373" s="22" t="s">
        <v>58</v>
      </c>
      <c r="AL373" s="22" t="s">
        <v>58</v>
      </c>
      <c r="AM373" s="22" t="s">
        <v>58</v>
      </c>
    </row>
    <row r="374" spans="1:39" s="22" customFormat="1" x14ac:dyDescent="0.25">
      <c r="A374" s="28" t="str">
        <f>IF(H374&lt;&gt;"",MAX($A$7:A373)+1,"")</f>
        <v/>
      </c>
      <c r="B374" s="243" t="str">
        <f t="shared" si="33"/>
        <v/>
      </c>
      <c r="C374" s="273"/>
      <c r="D374" s="246"/>
      <c r="E374" s="247"/>
      <c r="F374" s="247"/>
      <c r="G374" s="248"/>
      <c r="H374" s="241"/>
      <c r="I374" s="274"/>
      <c r="J374" s="275"/>
      <c r="K374" s="276"/>
      <c r="L374" s="277"/>
      <c r="M374" s="278"/>
      <c r="N374" s="279"/>
      <c r="O374" s="274"/>
      <c r="P374" s="275"/>
      <c r="Q374" s="276"/>
      <c r="R374" s="277"/>
      <c r="S374" s="278"/>
      <c r="T374" s="279"/>
      <c r="U374" s="279"/>
      <c r="V374" s="279"/>
      <c r="W374" s="279"/>
      <c r="X374" s="279"/>
      <c r="Y374" s="279"/>
      <c r="Z374" s="279"/>
      <c r="AA374" s="279"/>
      <c r="AB374" s="279"/>
      <c r="AC374" s="279"/>
      <c r="AD374" s="279"/>
      <c r="AE374" s="279"/>
      <c r="AF374" s="279"/>
      <c r="AG374" s="280"/>
      <c r="AH374" s="281"/>
      <c r="AI374" s="282"/>
      <c r="AJ374" s="283"/>
      <c r="AK374" s="22" t="s">
        <v>58</v>
      </c>
      <c r="AL374" s="22" t="s">
        <v>58</v>
      </c>
      <c r="AM374" s="22" t="s">
        <v>58</v>
      </c>
    </row>
    <row r="375" spans="1:39" s="22" customFormat="1" x14ac:dyDescent="0.25">
      <c r="A375" s="28" t="str">
        <f>IF(H375&lt;&gt;"",MAX($A$7:A374)+1,"")</f>
        <v/>
      </c>
      <c r="B375" s="243" t="str">
        <f t="shared" si="33"/>
        <v/>
      </c>
      <c r="C375" s="273"/>
      <c r="D375" s="246"/>
      <c r="E375" s="247"/>
      <c r="F375" s="247"/>
      <c r="G375" s="248"/>
      <c r="H375" s="241"/>
      <c r="I375" s="274"/>
      <c r="J375" s="275"/>
      <c r="K375" s="276"/>
      <c r="L375" s="277"/>
      <c r="M375" s="278"/>
      <c r="N375" s="279"/>
      <c r="O375" s="274"/>
      <c r="P375" s="275"/>
      <c r="Q375" s="276"/>
      <c r="R375" s="277"/>
      <c r="S375" s="278"/>
      <c r="T375" s="279"/>
      <c r="U375" s="279"/>
      <c r="V375" s="279"/>
      <c r="W375" s="279"/>
      <c r="X375" s="279"/>
      <c r="Y375" s="279"/>
      <c r="Z375" s="279"/>
      <c r="AA375" s="279"/>
      <c r="AB375" s="279"/>
      <c r="AC375" s="279"/>
      <c r="AD375" s="279"/>
      <c r="AE375" s="279"/>
      <c r="AF375" s="279"/>
      <c r="AG375" s="280"/>
      <c r="AH375" s="281"/>
      <c r="AI375" s="282"/>
      <c r="AJ375" s="283"/>
      <c r="AK375" s="22" t="s">
        <v>58</v>
      </c>
      <c r="AL375" s="22" t="s">
        <v>58</v>
      </c>
      <c r="AM375" s="22" t="s">
        <v>58</v>
      </c>
    </row>
    <row r="376" spans="1:39" s="22" customFormat="1" x14ac:dyDescent="0.25">
      <c r="A376" s="28" t="str">
        <f>IF(H376&lt;&gt;"",MAX($A$7:A375)+1,"")</f>
        <v/>
      </c>
      <c r="B376" s="243" t="str">
        <f t="shared" si="33"/>
        <v/>
      </c>
      <c r="C376" s="273"/>
      <c r="D376" s="246"/>
      <c r="E376" s="247"/>
      <c r="F376" s="247"/>
      <c r="G376" s="248"/>
      <c r="H376" s="241"/>
      <c r="I376" s="274"/>
      <c r="J376" s="275"/>
      <c r="K376" s="276"/>
      <c r="L376" s="277"/>
      <c r="M376" s="278"/>
      <c r="N376" s="279"/>
      <c r="O376" s="274"/>
      <c r="P376" s="275"/>
      <c r="Q376" s="276"/>
      <c r="R376" s="277"/>
      <c r="S376" s="278"/>
      <c r="T376" s="279"/>
      <c r="U376" s="279"/>
      <c r="V376" s="279"/>
      <c r="W376" s="279"/>
      <c r="X376" s="279"/>
      <c r="Y376" s="279"/>
      <c r="Z376" s="279"/>
      <c r="AA376" s="279"/>
      <c r="AB376" s="279"/>
      <c r="AC376" s="279"/>
      <c r="AD376" s="279"/>
      <c r="AE376" s="279"/>
      <c r="AF376" s="279"/>
      <c r="AG376" s="280"/>
      <c r="AH376" s="281"/>
      <c r="AI376" s="282"/>
      <c r="AJ376" s="283"/>
      <c r="AK376" s="22" t="s">
        <v>58</v>
      </c>
      <c r="AL376" s="22" t="s">
        <v>58</v>
      </c>
      <c r="AM376" s="22" t="s">
        <v>58</v>
      </c>
    </row>
    <row r="377" spans="1:39" s="22" customFormat="1" x14ac:dyDescent="0.25">
      <c r="A377" s="28" t="str">
        <f>IF(H377&lt;&gt;"",MAX($A$7:A376)+1,"")</f>
        <v/>
      </c>
      <c r="B377" s="243" t="str">
        <f t="shared" si="33"/>
        <v/>
      </c>
      <c r="C377" s="273"/>
      <c r="D377" s="246"/>
      <c r="E377" s="247"/>
      <c r="F377" s="247"/>
      <c r="G377" s="248"/>
      <c r="H377" s="241"/>
      <c r="I377" s="274"/>
      <c r="J377" s="275"/>
      <c r="K377" s="276"/>
      <c r="L377" s="277"/>
      <c r="M377" s="278"/>
      <c r="N377" s="279"/>
      <c r="O377" s="274"/>
      <c r="P377" s="275"/>
      <c r="Q377" s="276"/>
      <c r="R377" s="277"/>
      <c r="S377" s="278"/>
      <c r="T377" s="279"/>
      <c r="U377" s="279"/>
      <c r="V377" s="279"/>
      <c r="W377" s="279"/>
      <c r="X377" s="279"/>
      <c r="Y377" s="279"/>
      <c r="Z377" s="279"/>
      <c r="AA377" s="279"/>
      <c r="AB377" s="279"/>
      <c r="AC377" s="279"/>
      <c r="AD377" s="279"/>
      <c r="AE377" s="279"/>
      <c r="AF377" s="279"/>
      <c r="AG377" s="280"/>
      <c r="AH377" s="281"/>
      <c r="AI377" s="282"/>
      <c r="AJ377" s="283"/>
      <c r="AK377" s="22" t="s">
        <v>58</v>
      </c>
      <c r="AL377" s="22" t="s">
        <v>58</v>
      </c>
      <c r="AM377" s="22" t="s">
        <v>58</v>
      </c>
    </row>
    <row r="378" spans="1:39" s="22" customFormat="1" x14ac:dyDescent="0.25">
      <c r="A378" s="28" t="str">
        <f>IF(H378&lt;&gt;"",MAX($A$7:A377)+1,"")</f>
        <v/>
      </c>
      <c r="B378" s="243" t="str">
        <f t="shared" si="33"/>
        <v/>
      </c>
      <c r="C378" s="273"/>
      <c r="D378" s="246"/>
      <c r="E378" s="247"/>
      <c r="F378" s="247"/>
      <c r="G378" s="248"/>
      <c r="H378" s="241"/>
      <c r="I378" s="274"/>
      <c r="J378" s="275"/>
      <c r="K378" s="276"/>
      <c r="L378" s="277"/>
      <c r="M378" s="278"/>
      <c r="N378" s="279"/>
      <c r="O378" s="274"/>
      <c r="P378" s="275"/>
      <c r="Q378" s="276"/>
      <c r="R378" s="277"/>
      <c r="S378" s="278"/>
      <c r="T378" s="279"/>
      <c r="U378" s="279"/>
      <c r="V378" s="279"/>
      <c r="W378" s="279"/>
      <c r="X378" s="279"/>
      <c r="Y378" s="279"/>
      <c r="Z378" s="279"/>
      <c r="AA378" s="279"/>
      <c r="AB378" s="279"/>
      <c r="AC378" s="279"/>
      <c r="AD378" s="279"/>
      <c r="AE378" s="279"/>
      <c r="AF378" s="279"/>
      <c r="AG378" s="280"/>
      <c r="AH378" s="281"/>
      <c r="AI378" s="282"/>
      <c r="AJ378" s="283"/>
      <c r="AK378" s="22" t="s">
        <v>58</v>
      </c>
      <c r="AL378" s="22" t="s">
        <v>58</v>
      </c>
      <c r="AM378" s="22" t="s">
        <v>58</v>
      </c>
    </row>
    <row r="379" spans="1:39" s="22" customFormat="1" x14ac:dyDescent="0.25">
      <c r="A379" s="28" t="str">
        <f>IF(H379&lt;&gt;"",MAX($A$7:A378)+1,"")</f>
        <v/>
      </c>
      <c r="B379" s="243" t="str">
        <f t="shared" si="33"/>
        <v/>
      </c>
      <c r="C379" s="273"/>
      <c r="D379" s="246"/>
      <c r="E379" s="247"/>
      <c r="F379" s="247"/>
      <c r="G379" s="248"/>
      <c r="H379" s="241"/>
      <c r="I379" s="274"/>
      <c r="J379" s="275"/>
      <c r="K379" s="276"/>
      <c r="L379" s="277"/>
      <c r="M379" s="278"/>
      <c r="N379" s="279"/>
      <c r="O379" s="274"/>
      <c r="P379" s="275"/>
      <c r="Q379" s="276"/>
      <c r="R379" s="277"/>
      <c r="S379" s="278"/>
      <c r="T379" s="279"/>
      <c r="U379" s="279"/>
      <c r="V379" s="279"/>
      <c r="W379" s="279"/>
      <c r="X379" s="279"/>
      <c r="Y379" s="279"/>
      <c r="Z379" s="279"/>
      <c r="AA379" s="279"/>
      <c r="AB379" s="279"/>
      <c r="AC379" s="279"/>
      <c r="AD379" s="279"/>
      <c r="AE379" s="279"/>
      <c r="AF379" s="279"/>
      <c r="AG379" s="280"/>
      <c r="AH379" s="281"/>
      <c r="AI379" s="282"/>
      <c r="AJ379" s="283"/>
      <c r="AK379" s="22" t="s">
        <v>58</v>
      </c>
      <c r="AL379" s="22" t="s">
        <v>58</v>
      </c>
      <c r="AM379" s="22" t="s">
        <v>58</v>
      </c>
    </row>
    <row r="380" spans="1:39" s="22" customFormat="1" x14ac:dyDescent="0.25">
      <c r="A380" s="28" t="str">
        <f>IF(H380&lt;&gt;"",MAX($A$7:A379)+1,"")</f>
        <v/>
      </c>
      <c r="B380" s="243" t="str">
        <f t="shared" si="33"/>
        <v/>
      </c>
      <c r="C380" s="273"/>
      <c r="D380" s="246"/>
      <c r="E380" s="247"/>
      <c r="F380" s="247"/>
      <c r="G380" s="248"/>
      <c r="H380" s="241"/>
      <c r="I380" s="274"/>
      <c r="J380" s="275"/>
      <c r="K380" s="276"/>
      <c r="L380" s="277"/>
      <c r="M380" s="278"/>
      <c r="N380" s="279"/>
      <c r="O380" s="274"/>
      <c r="P380" s="275"/>
      <c r="Q380" s="276"/>
      <c r="R380" s="277"/>
      <c r="S380" s="278"/>
      <c r="T380" s="279"/>
      <c r="U380" s="279"/>
      <c r="V380" s="279"/>
      <c r="W380" s="279"/>
      <c r="X380" s="279"/>
      <c r="Y380" s="279"/>
      <c r="Z380" s="279"/>
      <c r="AA380" s="279"/>
      <c r="AB380" s="279"/>
      <c r="AC380" s="279"/>
      <c r="AD380" s="279"/>
      <c r="AE380" s="279"/>
      <c r="AF380" s="279"/>
      <c r="AG380" s="280"/>
      <c r="AH380" s="281"/>
      <c r="AI380" s="282"/>
      <c r="AJ380" s="283"/>
      <c r="AK380" s="22" t="s">
        <v>58</v>
      </c>
      <c r="AL380" s="22" t="s">
        <v>58</v>
      </c>
      <c r="AM380" s="22" t="s">
        <v>58</v>
      </c>
    </row>
    <row r="381" spans="1:39" s="22" customFormat="1" x14ac:dyDescent="0.25">
      <c r="A381" s="28" t="str">
        <f>IF(H381&lt;&gt;"",MAX($A$7:A380)+1,"")</f>
        <v/>
      </c>
      <c r="B381" s="243" t="str">
        <f t="shared" si="33"/>
        <v/>
      </c>
      <c r="C381" s="273"/>
      <c r="D381" s="246"/>
      <c r="E381" s="247"/>
      <c r="F381" s="247"/>
      <c r="G381" s="248"/>
      <c r="H381" s="241"/>
      <c r="I381" s="274"/>
      <c r="J381" s="275"/>
      <c r="K381" s="276"/>
      <c r="L381" s="277"/>
      <c r="M381" s="278"/>
      <c r="N381" s="279"/>
      <c r="O381" s="274"/>
      <c r="P381" s="275"/>
      <c r="Q381" s="276"/>
      <c r="R381" s="277"/>
      <c r="S381" s="278"/>
      <c r="T381" s="279"/>
      <c r="U381" s="279"/>
      <c r="V381" s="279"/>
      <c r="W381" s="279"/>
      <c r="X381" s="279"/>
      <c r="Y381" s="279"/>
      <c r="Z381" s="279"/>
      <c r="AA381" s="279"/>
      <c r="AB381" s="279"/>
      <c r="AC381" s="279"/>
      <c r="AD381" s="279"/>
      <c r="AE381" s="279"/>
      <c r="AF381" s="279"/>
      <c r="AG381" s="280"/>
      <c r="AH381" s="281"/>
      <c r="AI381" s="282"/>
      <c r="AJ381" s="283"/>
      <c r="AK381" s="22" t="s">
        <v>58</v>
      </c>
      <c r="AL381" s="22" t="s">
        <v>58</v>
      </c>
      <c r="AM381" s="22" t="s">
        <v>58</v>
      </c>
    </row>
    <row r="382" spans="1:39" s="22" customFormat="1" x14ac:dyDescent="0.25">
      <c r="A382" s="28" t="str">
        <f>IF(H382&lt;&gt;"",MAX($A$7:A381)+1,"")</f>
        <v/>
      </c>
      <c r="B382" s="243" t="str">
        <f t="shared" si="33"/>
        <v/>
      </c>
      <c r="C382" s="273"/>
      <c r="D382" s="246"/>
      <c r="E382" s="247"/>
      <c r="F382" s="247"/>
      <c r="G382" s="248"/>
      <c r="H382" s="241"/>
      <c r="I382" s="274"/>
      <c r="J382" s="275"/>
      <c r="K382" s="276"/>
      <c r="L382" s="277"/>
      <c r="M382" s="278"/>
      <c r="N382" s="279"/>
      <c r="O382" s="274"/>
      <c r="P382" s="275"/>
      <c r="Q382" s="276"/>
      <c r="R382" s="277"/>
      <c r="S382" s="278"/>
      <c r="T382" s="279"/>
      <c r="U382" s="279"/>
      <c r="V382" s="279"/>
      <c r="W382" s="279"/>
      <c r="X382" s="279"/>
      <c r="Y382" s="279"/>
      <c r="Z382" s="279"/>
      <c r="AA382" s="279"/>
      <c r="AB382" s="279"/>
      <c r="AC382" s="279"/>
      <c r="AD382" s="279"/>
      <c r="AE382" s="279"/>
      <c r="AF382" s="279"/>
      <c r="AG382" s="280"/>
      <c r="AH382" s="281"/>
      <c r="AI382" s="282"/>
      <c r="AJ382" s="283"/>
      <c r="AK382" s="22" t="s">
        <v>58</v>
      </c>
      <c r="AL382" s="22" t="s">
        <v>58</v>
      </c>
      <c r="AM382" s="22" t="s">
        <v>58</v>
      </c>
    </row>
    <row r="383" spans="1:39" s="22" customFormat="1" x14ac:dyDescent="0.25">
      <c r="A383" s="28" t="str">
        <f>IF(H383&lt;&gt;"",MAX($A$7:A382)+1,"")</f>
        <v/>
      </c>
      <c r="B383" s="243" t="str">
        <f t="shared" si="33"/>
        <v/>
      </c>
      <c r="C383" s="273"/>
      <c r="D383" s="246"/>
      <c r="E383" s="247"/>
      <c r="F383" s="247"/>
      <c r="G383" s="248"/>
      <c r="H383" s="241"/>
      <c r="I383" s="274"/>
      <c r="J383" s="275"/>
      <c r="K383" s="276"/>
      <c r="L383" s="277"/>
      <c r="M383" s="278"/>
      <c r="N383" s="279"/>
      <c r="O383" s="274"/>
      <c r="P383" s="275"/>
      <c r="Q383" s="276"/>
      <c r="R383" s="277"/>
      <c r="S383" s="278"/>
      <c r="T383" s="279"/>
      <c r="U383" s="279"/>
      <c r="V383" s="279"/>
      <c r="W383" s="279"/>
      <c r="X383" s="279"/>
      <c r="Y383" s="279"/>
      <c r="Z383" s="279"/>
      <c r="AA383" s="279"/>
      <c r="AB383" s="279"/>
      <c r="AC383" s="279"/>
      <c r="AD383" s="279"/>
      <c r="AE383" s="279"/>
      <c r="AF383" s="279"/>
      <c r="AG383" s="280"/>
      <c r="AH383" s="281"/>
      <c r="AI383" s="282"/>
      <c r="AJ383" s="283"/>
      <c r="AK383" s="22" t="s">
        <v>58</v>
      </c>
      <c r="AL383" s="22" t="s">
        <v>58</v>
      </c>
      <c r="AM383" s="22" t="s">
        <v>58</v>
      </c>
    </row>
    <row r="384" spans="1:39" s="22" customFormat="1" x14ac:dyDescent="0.25">
      <c r="A384" s="28" t="str">
        <f>IF(H384&lt;&gt;"",MAX($A$7:A383)+1,"")</f>
        <v/>
      </c>
      <c r="B384" s="243" t="str">
        <f t="shared" si="33"/>
        <v/>
      </c>
      <c r="C384" s="273"/>
      <c r="D384" s="246"/>
      <c r="E384" s="247"/>
      <c r="F384" s="247"/>
      <c r="G384" s="248"/>
      <c r="H384" s="241"/>
      <c r="I384" s="274"/>
      <c r="J384" s="275"/>
      <c r="K384" s="276"/>
      <c r="L384" s="277"/>
      <c r="M384" s="278"/>
      <c r="N384" s="279"/>
      <c r="O384" s="274"/>
      <c r="P384" s="275"/>
      <c r="Q384" s="276"/>
      <c r="R384" s="277"/>
      <c r="S384" s="278"/>
      <c r="T384" s="279"/>
      <c r="U384" s="279"/>
      <c r="V384" s="279"/>
      <c r="W384" s="279"/>
      <c r="X384" s="279"/>
      <c r="Y384" s="279"/>
      <c r="Z384" s="279"/>
      <c r="AA384" s="279"/>
      <c r="AB384" s="279"/>
      <c r="AC384" s="279"/>
      <c r="AD384" s="279"/>
      <c r="AE384" s="279"/>
      <c r="AF384" s="279"/>
      <c r="AG384" s="280"/>
      <c r="AH384" s="281"/>
      <c r="AI384" s="282"/>
      <c r="AJ384" s="283"/>
      <c r="AK384" s="22" t="s">
        <v>58</v>
      </c>
      <c r="AL384" s="22" t="s">
        <v>58</v>
      </c>
      <c r="AM384" s="22" t="s">
        <v>58</v>
      </c>
    </row>
    <row r="385" spans="1:39" s="22" customFormat="1" x14ac:dyDescent="0.25">
      <c r="A385" s="28" t="str">
        <f>IF(H385&lt;&gt;"",MAX($A$7:A384)+1,"")</f>
        <v/>
      </c>
      <c r="B385" s="243" t="str">
        <f t="shared" si="33"/>
        <v/>
      </c>
      <c r="C385" s="273"/>
      <c r="D385" s="246"/>
      <c r="E385" s="247"/>
      <c r="F385" s="247"/>
      <c r="G385" s="248"/>
      <c r="H385" s="241"/>
      <c r="I385" s="274"/>
      <c r="J385" s="275"/>
      <c r="K385" s="276"/>
      <c r="L385" s="277"/>
      <c r="M385" s="278"/>
      <c r="N385" s="279"/>
      <c r="O385" s="274"/>
      <c r="P385" s="275"/>
      <c r="Q385" s="276"/>
      <c r="R385" s="277"/>
      <c r="S385" s="278"/>
      <c r="T385" s="279"/>
      <c r="U385" s="279"/>
      <c r="V385" s="279"/>
      <c r="W385" s="279"/>
      <c r="X385" s="279"/>
      <c r="Y385" s="279"/>
      <c r="Z385" s="279"/>
      <c r="AA385" s="279"/>
      <c r="AB385" s="279"/>
      <c r="AC385" s="279"/>
      <c r="AD385" s="279"/>
      <c r="AE385" s="279"/>
      <c r="AF385" s="279"/>
      <c r="AG385" s="280"/>
      <c r="AH385" s="281"/>
      <c r="AI385" s="282"/>
      <c r="AJ385" s="283"/>
      <c r="AK385" s="22" t="s">
        <v>58</v>
      </c>
      <c r="AL385" s="22" t="s">
        <v>58</v>
      </c>
      <c r="AM385" s="22" t="s">
        <v>58</v>
      </c>
    </row>
    <row r="386" spans="1:39" s="22" customFormat="1" x14ac:dyDescent="0.25">
      <c r="A386" s="28" t="str">
        <f>IF(H386&lt;&gt;"",MAX($A$7:A385)+1,"")</f>
        <v/>
      </c>
      <c r="B386" s="243" t="str">
        <f t="shared" si="33"/>
        <v/>
      </c>
      <c r="C386" s="273"/>
      <c r="D386" s="246"/>
      <c r="E386" s="247"/>
      <c r="F386" s="247"/>
      <c r="G386" s="248"/>
      <c r="H386" s="241"/>
      <c r="I386" s="274"/>
      <c r="J386" s="275"/>
      <c r="K386" s="276"/>
      <c r="L386" s="277"/>
      <c r="M386" s="278"/>
      <c r="N386" s="279"/>
      <c r="O386" s="274"/>
      <c r="P386" s="275"/>
      <c r="Q386" s="276"/>
      <c r="R386" s="277"/>
      <c r="S386" s="278"/>
      <c r="T386" s="279"/>
      <c r="U386" s="279"/>
      <c r="V386" s="279"/>
      <c r="W386" s="279"/>
      <c r="X386" s="279"/>
      <c r="Y386" s="279"/>
      <c r="Z386" s="279"/>
      <c r="AA386" s="279"/>
      <c r="AB386" s="279"/>
      <c r="AC386" s="279"/>
      <c r="AD386" s="279"/>
      <c r="AE386" s="279"/>
      <c r="AF386" s="279"/>
      <c r="AG386" s="280"/>
      <c r="AH386" s="281"/>
      <c r="AI386" s="282"/>
      <c r="AJ386" s="283"/>
      <c r="AK386" s="22" t="s">
        <v>58</v>
      </c>
      <c r="AL386" s="22" t="s">
        <v>58</v>
      </c>
      <c r="AM386" s="22" t="s">
        <v>58</v>
      </c>
    </row>
    <row r="387" spans="1:39" s="22" customFormat="1" x14ac:dyDescent="0.25">
      <c r="A387" s="28" t="str">
        <f>IF(H387&lt;&gt;"",MAX($A$7:A386)+1,"")</f>
        <v/>
      </c>
      <c r="B387" s="243" t="str">
        <f t="shared" si="33"/>
        <v/>
      </c>
      <c r="C387" s="273"/>
      <c r="D387" s="246"/>
      <c r="E387" s="247"/>
      <c r="F387" s="247"/>
      <c r="G387" s="248"/>
      <c r="H387" s="241"/>
      <c r="I387" s="274"/>
      <c r="J387" s="275"/>
      <c r="K387" s="276"/>
      <c r="L387" s="277"/>
      <c r="M387" s="278"/>
      <c r="N387" s="279"/>
      <c r="O387" s="274"/>
      <c r="P387" s="275"/>
      <c r="Q387" s="276"/>
      <c r="R387" s="277"/>
      <c r="S387" s="278"/>
      <c r="T387" s="279"/>
      <c r="U387" s="279"/>
      <c r="V387" s="279"/>
      <c r="W387" s="279"/>
      <c r="X387" s="279"/>
      <c r="Y387" s="279"/>
      <c r="Z387" s="279"/>
      <c r="AA387" s="279"/>
      <c r="AB387" s="279"/>
      <c r="AC387" s="279"/>
      <c r="AD387" s="279"/>
      <c r="AE387" s="279"/>
      <c r="AF387" s="279"/>
      <c r="AG387" s="280"/>
      <c r="AH387" s="281"/>
      <c r="AI387" s="282"/>
      <c r="AJ387" s="283"/>
      <c r="AK387" s="22" t="s">
        <v>58</v>
      </c>
      <c r="AL387" s="22" t="s">
        <v>58</v>
      </c>
      <c r="AM387" s="22" t="s">
        <v>58</v>
      </c>
    </row>
    <row r="388" spans="1:39" s="22" customFormat="1" x14ac:dyDescent="0.25">
      <c r="A388" s="28" t="str">
        <f>IF(H388&lt;&gt;"",MAX($A$7:A387)+1,"")</f>
        <v/>
      </c>
      <c r="B388" s="243" t="str">
        <f t="shared" si="33"/>
        <v/>
      </c>
      <c r="C388" s="273"/>
      <c r="D388" s="246"/>
      <c r="E388" s="247"/>
      <c r="F388" s="247"/>
      <c r="G388" s="248"/>
      <c r="H388" s="241"/>
      <c r="I388" s="274"/>
      <c r="J388" s="275"/>
      <c r="K388" s="276"/>
      <c r="L388" s="277"/>
      <c r="M388" s="278"/>
      <c r="N388" s="279"/>
      <c r="O388" s="274"/>
      <c r="P388" s="275"/>
      <c r="Q388" s="276"/>
      <c r="R388" s="277"/>
      <c r="S388" s="278"/>
      <c r="T388" s="279"/>
      <c r="U388" s="279"/>
      <c r="V388" s="279"/>
      <c r="W388" s="279"/>
      <c r="X388" s="279"/>
      <c r="Y388" s="279"/>
      <c r="Z388" s="279"/>
      <c r="AA388" s="279"/>
      <c r="AB388" s="279"/>
      <c r="AC388" s="279"/>
      <c r="AD388" s="279"/>
      <c r="AE388" s="279"/>
      <c r="AF388" s="279"/>
      <c r="AG388" s="280"/>
      <c r="AH388" s="281"/>
      <c r="AI388" s="282"/>
      <c r="AJ388" s="283"/>
      <c r="AK388" s="22" t="s">
        <v>58</v>
      </c>
      <c r="AL388" s="22" t="s">
        <v>58</v>
      </c>
      <c r="AM388" s="22" t="s">
        <v>58</v>
      </c>
    </row>
    <row r="389" spans="1:39" s="22" customFormat="1" x14ac:dyDescent="0.25">
      <c r="A389" s="28" t="str">
        <f>IF(H389&lt;&gt;"",MAX($A$7:A388)+1,"")</f>
        <v/>
      </c>
      <c r="B389" s="243" t="str">
        <f t="shared" si="33"/>
        <v/>
      </c>
      <c r="C389" s="273"/>
      <c r="D389" s="246"/>
      <c r="E389" s="247"/>
      <c r="F389" s="247"/>
      <c r="G389" s="248"/>
      <c r="H389" s="241"/>
      <c r="I389" s="274"/>
      <c r="J389" s="275"/>
      <c r="K389" s="276"/>
      <c r="L389" s="277"/>
      <c r="M389" s="278"/>
      <c r="N389" s="279"/>
      <c r="O389" s="274"/>
      <c r="P389" s="275"/>
      <c r="Q389" s="276"/>
      <c r="R389" s="277"/>
      <c r="S389" s="278"/>
      <c r="T389" s="279"/>
      <c r="U389" s="279"/>
      <c r="V389" s="279"/>
      <c r="W389" s="279"/>
      <c r="X389" s="279"/>
      <c r="Y389" s="279"/>
      <c r="Z389" s="279"/>
      <c r="AA389" s="279"/>
      <c r="AB389" s="279"/>
      <c r="AC389" s="279"/>
      <c r="AD389" s="279"/>
      <c r="AE389" s="279"/>
      <c r="AF389" s="279"/>
      <c r="AG389" s="280"/>
      <c r="AH389" s="281"/>
      <c r="AI389" s="282"/>
      <c r="AJ389" s="283"/>
      <c r="AK389" s="22" t="s">
        <v>58</v>
      </c>
      <c r="AL389" s="22" t="s">
        <v>58</v>
      </c>
      <c r="AM389" s="22" t="s">
        <v>58</v>
      </c>
    </row>
    <row r="390" spans="1:39" s="22" customFormat="1" x14ac:dyDescent="0.25">
      <c r="A390" s="28" t="str">
        <f>IF(H390&lt;&gt;"",MAX($A$7:A389)+1,"")</f>
        <v/>
      </c>
      <c r="B390" s="243" t="str">
        <f t="shared" si="33"/>
        <v/>
      </c>
      <c r="C390" s="273"/>
      <c r="D390" s="246"/>
      <c r="E390" s="247"/>
      <c r="F390" s="247"/>
      <c r="G390" s="248"/>
      <c r="H390" s="241"/>
      <c r="I390" s="274"/>
      <c r="J390" s="275"/>
      <c r="K390" s="276"/>
      <c r="L390" s="277"/>
      <c r="M390" s="278"/>
      <c r="N390" s="279"/>
      <c r="O390" s="274"/>
      <c r="P390" s="275"/>
      <c r="Q390" s="276"/>
      <c r="R390" s="277"/>
      <c r="S390" s="278"/>
      <c r="T390" s="279"/>
      <c r="U390" s="279"/>
      <c r="V390" s="279"/>
      <c r="W390" s="279"/>
      <c r="X390" s="279"/>
      <c r="Y390" s="279"/>
      <c r="Z390" s="279"/>
      <c r="AA390" s="279"/>
      <c r="AB390" s="279"/>
      <c r="AC390" s="279"/>
      <c r="AD390" s="279"/>
      <c r="AE390" s="279"/>
      <c r="AF390" s="279"/>
      <c r="AG390" s="280"/>
      <c r="AH390" s="281"/>
      <c r="AI390" s="282"/>
      <c r="AJ390" s="283"/>
      <c r="AK390" s="22" t="s">
        <v>58</v>
      </c>
      <c r="AL390" s="22" t="s">
        <v>58</v>
      </c>
      <c r="AM390" s="22" t="s">
        <v>58</v>
      </c>
    </row>
    <row r="391" spans="1:39" s="22" customFormat="1" x14ac:dyDescent="0.25">
      <c r="A391" s="28" t="str">
        <f>IF(H391&lt;&gt;"",MAX($A$7:A390)+1,"")</f>
        <v/>
      </c>
      <c r="B391" s="243" t="str">
        <f t="shared" ref="B391:B454" si="34">IF(A391="","",PREF_PREGUNTA&amp;" - "&amp;IF(MAX(A:A)&gt;99,IF(A391&lt;100,"0",""),"")&amp;IF(A391&lt;10,"0","")&amp;A391&amp;IF(G391&lt;&gt;""," "&amp;G391,""))</f>
        <v/>
      </c>
      <c r="C391" s="273"/>
      <c r="D391" s="246"/>
      <c r="E391" s="247"/>
      <c r="F391" s="247"/>
      <c r="G391" s="248"/>
      <c r="H391" s="241"/>
      <c r="I391" s="274"/>
      <c r="J391" s="275"/>
      <c r="K391" s="276"/>
      <c r="L391" s="277"/>
      <c r="M391" s="278"/>
      <c r="N391" s="279"/>
      <c r="O391" s="274"/>
      <c r="P391" s="275"/>
      <c r="Q391" s="276"/>
      <c r="R391" s="277"/>
      <c r="S391" s="278"/>
      <c r="T391" s="279"/>
      <c r="U391" s="279"/>
      <c r="V391" s="279"/>
      <c r="W391" s="279"/>
      <c r="X391" s="279"/>
      <c r="Y391" s="279"/>
      <c r="Z391" s="279"/>
      <c r="AA391" s="279"/>
      <c r="AB391" s="279"/>
      <c r="AC391" s="279"/>
      <c r="AD391" s="279"/>
      <c r="AE391" s="279"/>
      <c r="AF391" s="279"/>
      <c r="AG391" s="280"/>
      <c r="AH391" s="281"/>
      <c r="AI391" s="282"/>
      <c r="AJ391" s="283"/>
      <c r="AK391" s="22" t="s">
        <v>58</v>
      </c>
      <c r="AL391" s="22" t="s">
        <v>58</v>
      </c>
      <c r="AM391" s="22" t="s">
        <v>58</v>
      </c>
    </row>
    <row r="392" spans="1:39" s="22" customFormat="1" x14ac:dyDescent="0.25">
      <c r="A392" s="28" t="str">
        <f>IF(H392&lt;&gt;"",MAX($A$7:A391)+1,"")</f>
        <v/>
      </c>
      <c r="B392" s="243" t="str">
        <f t="shared" si="34"/>
        <v/>
      </c>
      <c r="C392" s="273"/>
      <c r="D392" s="246"/>
      <c r="E392" s="247"/>
      <c r="F392" s="247"/>
      <c r="G392" s="248"/>
      <c r="H392" s="241"/>
      <c r="I392" s="274"/>
      <c r="J392" s="275"/>
      <c r="K392" s="276"/>
      <c r="L392" s="277"/>
      <c r="M392" s="278"/>
      <c r="N392" s="279"/>
      <c r="O392" s="274"/>
      <c r="P392" s="275"/>
      <c r="Q392" s="276"/>
      <c r="R392" s="277"/>
      <c r="S392" s="278"/>
      <c r="T392" s="279"/>
      <c r="U392" s="279"/>
      <c r="V392" s="279"/>
      <c r="W392" s="279"/>
      <c r="X392" s="279"/>
      <c r="Y392" s="279"/>
      <c r="Z392" s="279"/>
      <c r="AA392" s="279"/>
      <c r="AB392" s="279"/>
      <c r="AC392" s="279"/>
      <c r="AD392" s="279"/>
      <c r="AE392" s="279"/>
      <c r="AF392" s="279"/>
      <c r="AG392" s="280"/>
      <c r="AH392" s="281"/>
      <c r="AI392" s="282"/>
      <c r="AJ392" s="283"/>
      <c r="AK392" s="22" t="s">
        <v>58</v>
      </c>
      <c r="AL392" s="22" t="s">
        <v>58</v>
      </c>
      <c r="AM392" s="22" t="s">
        <v>58</v>
      </c>
    </row>
    <row r="393" spans="1:39" s="22" customFormat="1" x14ac:dyDescent="0.25">
      <c r="A393" s="28" t="str">
        <f>IF(H393&lt;&gt;"",MAX($A$7:A392)+1,"")</f>
        <v/>
      </c>
      <c r="B393" s="243" t="str">
        <f t="shared" si="34"/>
        <v/>
      </c>
      <c r="C393" s="273"/>
      <c r="D393" s="246"/>
      <c r="E393" s="247"/>
      <c r="F393" s="247"/>
      <c r="G393" s="248"/>
      <c r="H393" s="241"/>
      <c r="I393" s="274"/>
      <c r="J393" s="275"/>
      <c r="K393" s="276"/>
      <c r="L393" s="277"/>
      <c r="M393" s="278"/>
      <c r="N393" s="279"/>
      <c r="O393" s="274"/>
      <c r="P393" s="275"/>
      <c r="Q393" s="276"/>
      <c r="R393" s="277"/>
      <c r="S393" s="278"/>
      <c r="T393" s="279"/>
      <c r="U393" s="279"/>
      <c r="V393" s="279"/>
      <c r="W393" s="279"/>
      <c r="X393" s="279"/>
      <c r="Y393" s="279"/>
      <c r="Z393" s="279"/>
      <c r="AA393" s="279"/>
      <c r="AB393" s="279"/>
      <c r="AC393" s="279"/>
      <c r="AD393" s="279"/>
      <c r="AE393" s="279"/>
      <c r="AF393" s="279"/>
      <c r="AG393" s="280"/>
      <c r="AH393" s="281"/>
      <c r="AI393" s="282"/>
      <c r="AJ393" s="283"/>
      <c r="AK393" s="22" t="s">
        <v>58</v>
      </c>
      <c r="AL393" s="22" t="s">
        <v>58</v>
      </c>
      <c r="AM393" s="22" t="s">
        <v>58</v>
      </c>
    </row>
    <row r="394" spans="1:39" s="22" customFormat="1" x14ac:dyDescent="0.25">
      <c r="A394" s="28" t="str">
        <f>IF(H394&lt;&gt;"",MAX($A$7:A393)+1,"")</f>
        <v/>
      </c>
      <c r="B394" s="243" t="str">
        <f t="shared" si="34"/>
        <v/>
      </c>
      <c r="C394" s="273"/>
      <c r="D394" s="246"/>
      <c r="E394" s="247"/>
      <c r="F394" s="247"/>
      <c r="G394" s="248"/>
      <c r="H394" s="241"/>
      <c r="I394" s="274"/>
      <c r="J394" s="275"/>
      <c r="K394" s="276"/>
      <c r="L394" s="277"/>
      <c r="M394" s="278"/>
      <c r="N394" s="279"/>
      <c r="O394" s="274"/>
      <c r="P394" s="275"/>
      <c r="Q394" s="276"/>
      <c r="R394" s="277"/>
      <c r="S394" s="278"/>
      <c r="T394" s="279"/>
      <c r="U394" s="279"/>
      <c r="V394" s="279"/>
      <c r="W394" s="279"/>
      <c r="X394" s="279"/>
      <c r="Y394" s="279"/>
      <c r="Z394" s="279"/>
      <c r="AA394" s="279"/>
      <c r="AB394" s="279"/>
      <c r="AC394" s="279"/>
      <c r="AD394" s="279"/>
      <c r="AE394" s="279"/>
      <c r="AF394" s="279"/>
      <c r="AG394" s="280"/>
      <c r="AH394" s="281"/>
      <c r="AI394" s="282"/>
      <c r="AJ394" s="283"/>
      <c r="AK394" s="22" t="s">
        <v>58</v>
      </c>
      <c r="AL394" s="22" t="s">
        <v>58</v>
      </c>
      <c r="AM394" s="22" t="s">
        <v>58</v>
      </c>
    </row>
    <row r="395" spans="1:39" s="22" customFormat="1" x14ac:dyDescent="0.25">
      <c r="A395" s="28" t="str">
        <f>IF(H395&lt;&gt;"",MAX($A$7:A394)+1,"")</f>
        <v/>
      </c>
      <c r="B395" s="243" t="str">
        <f t="shared" si="34"/>
        <v/>
      </c>
      <c r="C395" s="273"/>
      <c r="D395" s="246"/>
      <c r="E395" s="247"/>
      <c r="F395" s="247"/>
      <c r="G395" s="248"/>
      <c r="H395" s="241"/>
      <c r="I395" s="274"/>
      <c r="J395" s="275"/>
      <c r="K395" s="276"/>
      <c r="L395" s="277"/>
      <c r="M395" s="278"/>
      <c r="N395" s="279"/>
      <c r="O395" s="274"/>
      <c r="P395" s="275"/>
      <c r="Q395" s="276"/>
      <c r="R395" s="277"/>
      <c r="S395" s="278"/>
      <c r="T395" s="279"/>
      <c r="U395" s="279"/>
      <c r="V395" s="279"/>
      <c r="W395" s="279"/>
      <c r="X395" s="279"/>
      <c r="Y395" s="279"/>
      <c r="Z395" s="279"/>
      <c r="AA395" s="279"/>
      <c r="AB395" s="279"/>
      <c r="AC395" s="279"/>
      <c r="AD395" s="279"/>
      <c r="AE395" s="279"/>
      <c r="AF395" s="279"/>
      <c r="AG395" s="280"/>
      <c r="AH395" s="281"/>
      <c r="AI395" s="282"/>
      <c r="AJ395" s="283"/>
      <c r="AK395" s="22" t="s">
        <v>58</v>
      </c>
      <c r="AL395" s="22" t="s">
        <v>58</v>
      </c>
      <c r="AM395" s="22" t="s">
        <v>58</v>
      </c>
    </row>
    <row r="396" spans="1:39" s="22" customFormat="1" x14ac:dyDescent="0.25">
      <c r="A396" s="28" t="str">
        <f>IF(H396&lt;&gt;"",MAX($A$7:A395)+1,"")</f>
        <v/>
      </c>
      <c r="B396" s="243" t="str">
        <f t="shared" si="34"/>
        <v/>
      </c>
      <c r="C396" s="273"/>
      <c r="D396" s="246"/>
      <c r="E396" s="247"/>
      <c r="F396" s="247"/>
      <c r="G396" s="248"/>
      <c r="H396" s="241"/>
      <c r="I396" s="274"/>
      <c r="J396" s="275"/>
      <c r="K396" s="276"/>
      <c r="L396" s="277"/>
      <c r="M396" s="278"/>
      <c r="N396" s="279"/>
      <c r="O396" s="274"/>
      <c r="P396" s="275"/>
      <c r="Q396" s="276"/>
      <c r="R396" s="277"/>
      <c r="S396" s="278"/>
      <c r="T396" s="279"/>
      <c r="U396" s="279"/>
      <c r="V396" s="279"/>
      <c r="W396" s="279"/>
      <c r="X396" s="279"/>
      <c r="Y396" s="279"/>
      <c r="Z396" s="279"/>
      <c r="AA396" s="279"/>
      <c r="AB396" s="279"/>
      <c r="AC396" s="279"/>
      <c r="AD396" s="279"/>
      <c r="AE396" s="279"/>
      <c r="AF396" s="279"/>
      <c r="AG396" s="280"/>
      <c r="AH396" s="281"/>
      <c r="AI396" s="282"/>
      <c r="AJ396" s="283"/>
      <c r="AK396" s="22" t="s">
        <v>58</v>
      </c>
      <c r="AL396" s="22" t="s">
        <v>58</v>
      </c>
      <c r="AM396" s="22" t="s">
        <v>58</v>
      </c>
    </row>
    <row r="397" spans="1:39" s="22" customFormat="1" x14ac:dyDescent="0.25">
      <c r="A397" s="28" t="str">
        <f>IF(H397&lt;&gt;"",MAX($A$7:A396)+1,"")</f>
        <v/>
      </c>
      <c r="B397" s="243" t="str">
        <f t="shared" si="34"/>
        <v/>
      </c>
      <c r="C397" s="273"/>
      <c r="D397" s="246"/>
      <c r="E397" s="247"/>
      <c r="F397" s="247"/>
      <c r="G397" s="248"/>
      <c r="H397" s="241"/>
      <c r="I397" s="274"/>
      <c r="J397" s="275"/>
      <c r="K397" s="276"/>
      <c r="L397" s="277"/>
      <c r="M397" s="278"/>
      <c r="N397" s="279"/>
      <c r="O397" s="274"/>
      <c r="P397" s="275"/>
      <c r="Q397" s="276"/>
      <c r="R397" s="277"/>
      <c r="S397" s="278"/>
      <c r="T397" s="279"/>
      <c r="U397" s="279"/>
      <c r="V397" s="279"/>
      <c r="W397" s="279"/>
      <c r="X397" s="279"/>
      <c r="Y397" s="279"/>
      <c r="Z397" s="279"/>
      <c r="AA397" s="279"/>
      <c r="AB397" s="279"/>
      <c r="AC397" s="279"/>
      <c r="AD397" s="279"/>
      <c r="AE397" s="279"/>
      <c r="AF397" s="279"/>
      <c r="AG397" s="280"/>
      <c r="AH397" s="281"/>
      <c r="AI397" s="282"/>
      <c r="AJ397" s="283"/>
      <c r="AK397" s="22" t="s">
        <v>58</v>
      </c>
      <c r="AL397" s="22" t="s">
        <v>58</v>
      </c>
      <c r="AM397" s="22" t="s">
        <v>58</v>
      </c>
    </row>
    <row r="398" spans="1:39" s="22" customFormat="1" x14ac:dyDescent="0.25">
      <c r="A398" s="28" t="str">
        <f>IF(H398&lt;&gt;"",MAX($A$7:A397)+1,"")</f>
        <v/>
      </c>
      <c r="B398" s="243" t="str">
        <f t="shared" si="34"/>
        <v/>
      </c>
      <c r="C398" s="273"/>
      <c r="D398" s="246"/>
      <c r="E398" s="247"/>
      <c r="F398" s="247"/>
      <c r="G398" s="248"/>
      <c r="H398" s="241"/>
      <c r="I398" s="274"/>
      <c r="J398" s="275"/>
      <c r="K398" s="276"/>
      <c r="L398" s="277"/>
      <c r="M398" s="278"/>
      <c r="N398" s="279"/>
      <c r="O398" s="274"/>
      <c r="P398" s="275"/>
      <c r="Q398" s="276"/>
      <c r="R398" s="277"/>
      <c r="S398" s="278"/>
      <c r="T398" s="279"/>
      <c r="U398" s="279"/>
      <c r="V398" s="279"/>
      <c r="W398" s="279"/>
      <c r="X398" s="279"/>
      <c r="Y398" s="279"/>
      <c r="Z398" s="279"/>
      <c r="AA398" s="279"/>
      <c r="AB398" s="279"/>
      <c r="AC398" s="279"/>
      <c r="AD398" s="279"/>
      <c r="AE398" s="279"/>
      <c r="AF398" s="279"/>
      <c r="AG398" s="280"/>
      <c r="AH398" s="281"/>
      <c r="AI398" s="282"/>
      <c r="AJ398" s="283"/>
      <c r="AK398" s="22" t="s">
        <v>58</v>
      </c>
      <c r="AL398" s="22" t="s">
        <v>58</v>
      </c>
      <c r="AM398" s="22" t="s">
        <v>58</v>
      </c>
    </row>
    <row r="399" spans="1:39" s="22" customFormat="1" x14ac:dyDescent="0.25">
      <c r="A399" s="28" t="str">
        <f>IF(H399&lt;&gt;"",MAX($A$7:A398)+1,"")</f>
        <v/>
      </c>
      <c r="B399" s="243" t="str">
        <f t="shared" si="34"/>
        <v/>
      </c>
      <c r="C399" s="273"/>
      <c r="D399" s="246"/>
      <c r="E399" s="247"/>
      <c r="F399" s="247"/>
      <c r="G399" s="248"/>
      <c r="H399" s="241"/>
      <c r="I399" s="274"/>
      <c r="J399" s="275"/>
      <c r="K399" s="276"/>
      <c r="L399" s="277"/>
      <c r="M399" s="278"/>
      <c r="N399" s="279"/>
      <c r="O399" s="274"/>
      <c r="P399" s="275"/>
      <c r="Q399" s="276"/>
      <c r="R399" s="277"/>
      <c r="S399" s="278"/>
      <c r="T399" s="279"/>
      <c r="U399" s="279"/>
      <c r="V399" s="279"/>
      <c r="W399" s="279"/>
      <c r="X399" s="279"/>
      <c r="Y399" s="279"/>
      <c r="Z399" s="279"/>
      <c r="AA399" s="279"/>
      <c r="AB399" s="279"/>
      <c r="AC399" s="279"/>
      <c r="AD399" s="279"/>
      <c r="AE399" s="279"/>
      <c r="AF399" s="279"/>
      <c r="AG399" s="280"/>
      <c r="AH399" s="281"/>
      <c r="AI399" s="282"/>
      <c r="AJ399" s="283"/>
      <c r="AK399" s="22" t="s">
        <v>58</v>
      </c>
      <c r="AL399" s="22" t="s">
        <v>58</v>
      </c>
      <c r="AM399" s="22" t="s">
        <v>58</v>
      </c>
    </row>
    <row r="400" spans="1:39" s="22" customFormat="1" x14ac:dyDescent="0.25">
      <c r="A400" s="28" t="str">
        <f>IF(H400&lt;&gt;"",MAX($A$7:A399)+1,"")</f>
        <v/>
      </c>
      <c r="B400" s="243" t="str">
        <f t="shared" si="34"/>
        <v/>
      </c>
      <c r="C400" s="273"/>
      <c r="D400" s="246"/>
      <c r="E400" s="247"/>
      <c r="F400" s="247"/>
      <c r="G400" s="248"/>
      <c r="H400" s="241"/>
      <c r="I400" s="274"/>
      <c r="J400" s="275"/>
      <c r="K400" s="276"/>
      <c r="L400" s="277"/>
      <c r="M400" s="278"/>
      <c r="N400" s="279"/>
      <c r="O400" s="274"/>
      <c r="P400" s="275"/>
      <c r="Q400" s="276"/>
      <c r="R400" s="277"/>
      <c r="S400" s="278"/>
      <c r="T400" s="279"/>
      <c r="U400" s="279"/>
      <c r="V400" s="279"/>
      <c r="W400" s="279"/>
      <c r="X400" s="279"/>
      <c r="Y400" s="279"/>
      <c r="Z400" s="279"/>
      <c r="AA400" s="279"/>
      <c r="AB400" s="279"/>
      <c r="AC400" s="279"/>
      <c r="AD400" s="279"/>
      <c r="AE400" s="279"/>
      <c r="AF400" s="279"/>
      <c r="AG400" s="280"/>
      <c r="AH400" s="281"/>
      <c r="AI400" s="282"/>
      <c r="AJ400" s="283"/>
      <c r="AK400" s="22" t="s">
        <v>58</v>
      </c>
      <c r="AL400" s="22" t="s">
        <v>58</v>
      </c>
      <c r="AM400" s="22" t="s">
        <v>58</v>
      </c>
    </row>
    <row r="401" spans="1:39" s="22" customFormat="1" x14ac:dyDescent="0.25">
      <c r="A401" s="28" t="str">
        <f>IF(H401&lt;&gt;"",MAX($A$7:A400)+1,"")</f>
        <v/>
      </c>
      <c r="B401" s="243" t="str">
        <f t="shared" si="34"/>
        <v/>
      </c>
      <c r="C401" s="273"/>
      <c r="D401" s="246"/>
      <c r="E401" s="247"/>
      <c r="F401" s="247"/>
      <c r="G401" s="248"/>
      <c r="H401" s="241"/>
      <c r="I401" s="274"/>
      <c r="J401" s="275"/>
      <c r="K401" s="276"/>
      <c r="L401" s="277"/>
      <c r="M401" s="278"/>
      <c r="N401" s="279"/>
      <c r="O401" s="274"/>
      <c r="P401" s="275"/>
      <c r="Q401" s="276"/>
      <c r="R401" s="277"/>
      <c r="S401" s="278"/>
      <c r="T401" s="279"/>
      <c r="U401" s="279"/>
      <c r="V401" s="279"/>
      <c r="W401" s="279"/>
      <c r="X401" s="279"/>
      <c r="Y401" s="279"/>
      <c r="Z401" s="279"/>
      <c r="AA401" s="279"/>
      <c r="AB401" s="279"/>
      <c r="AC401" s="279"/>
      <c r="AD401" s="279"/>
      <c r="AE401" s="279"/>
      <c r="AF401" s="279"/>
      <c r="AG401" s="280"/>
      <c r="AH401" s="281"/>
      <c r="AI401" s="282"/>
      <c r="AJ401" s="283"/>
      <c r="AK401" s="22" t="s">
        <v>58</v>
      </c>
      <c r="AL401" s="22" t="s">
        <v>58</v>
      </c>
      <c r="AM401" s="22" t="s">
        <v>58</v>
      </c>
    </row>
    <row r="402" spans="1:39" s="22" customFormat="1" x14ac:dyDescent="0.25">
      <c r="A402" s="28" t="str">
        <f>IF(H402&lt;&gt;"",MAX($A$7:A401)+1,"")</f>
        <v/>
      </c>
      <c r="B402" s="243" t="str">
        <f t="shared" si="34"/>
        <v/>
      </c>
      <c r="C402" s="273"/>
      <c r="D402" s="246"/>
      <c r="E402" s="247"/>
      <c r="F402" s="247"/>
      <c r="G402" s="248"/>
      <c r="H402" s="241"/>
      <c r="I402" s="274"/>
      <c r="J402" s="275"/>
      <c r="K402" s="276"/>
      <c r="L402" s="277"/>
      <c r="M402" s="278"/>
      <c r="N402" s="279"/>
      <c r="O402" s="274"/>
      <c r="P402" s="275"/>
      <c r="Q402" s="276"/>
      <c r="R402" s="277"/>
      <c r="S402" s="278"/>
      <c r="T402" s="279"/>
      <c r="U402" s="279"/>
      <c r="V402" s="279"/>
      <c r="W402" s="279"/>
      <c r="X402" s="279"/>
      <c r="Y402" s="279"/>
      <c r="Z402" s="279"/>
      <c r="AA402" s="279"/>
      <c r="AB402" s="279"/>
      <c r="AC402" s="279"/>
      <c r="AD402" s="279"/>
      <c r="AE402" s="279"/>
      <c r="AF402" s="279"/>
      <c r="AG402" s="280"/>
      <c r="AH402" s="281"/>
      <c r="AI402" s="282"/>
      <c r="AJ402" s="283"/>
      <c r="AK402" s="22" t="s">
        <v>58</v>
      </c>
      <c r="AL402" s="22" t="s">
        <v>58</v>
      </c>
      <c r="AM402" s="22" t="s">
        <v>58</v>
      </c>
    </row>
    <row r="403" spans="1:39" s="22" customFormat="1" x14ac:dyDescent="0.25">
      <c r="A403" s="28" t="str">
        <f>IF(H403&lt;&gt;"",MAX($A$7:A402)+1,"")</f>
        <v/>
      </c>
      <c r="B403" s="243" t="str">
        <f t="shared" si="34"/>
        <v/>
      </c>
      <c r="C403" s="273"/>
      <c r="D403" s="246"/>
      <c r="E403" s="247"/>
      <c r="F403" s="247"/>
      <c r="G403" s="248"/>
      <c r="H403" s="241"/>
      <c r="I403" s="274"/>
      <c r="J403" s="275"/>
      <c r="K403" s="276"/>
      <c r="L403" s="277"/>
      <c r="M403" s="278"/>
      <c r="N403" s="279"/>
      <c r="O403" s="274"/>
      <c r="P403" s="275"/>
      <c r="Q403" s="276"/>
      <c r="R403" s="277"/>
      <c r="S403" s="278"/>
      <c r="T403" s="279"/>
      <c r="U403" s="279"/>
      <c r="V403" s="279"/>
      <c r="W403" s="279"/>
      <c r="X403" s="279"/>
      <c r="Y403" s="279"/>
      <c r="Z403" s="279"/>
      <c r="AA403" s="279"/>
      <c r="AB403" s="279"/>
      <c r="AC403" s="279"/>
      <c r="AD403" s="279"/>
      <c r="AE403" s="279"/>
      <c r="AF403" s="279"/>
      <c r="AG403" s="280"/>
      <c r="AH403" s="281"/>
      <c r="AI403" s="282"/>
      <c r="AJ403" s="283"/>
      <c r="AK403" s="22" t="s">
        <v>58</v>
      </c>
      <c r="AL403" s="22" t="s">
        <v>58</v>
      </c>
      <c r="AM403" s="22" t="s">
        <v>58</v>
      </c>
    </row>
    <row r="404" spans="1:39" s="22" customFormat="1" x14ac:dyDescent="0.25">
      <c r="A404" s="28" t="str">
        <f>IF(H404&lt;&gt;"",MAX($A$7:A403)+1,"")</f>
        <v/>
      </c>
      <c r="B404" s="243" t="str">
        <f t="shared" si="34"/>
        <v/>
      </c>
      <c r="C404" s="273"/>
      <c r="D404" s="246"/>
      <c r="E404" s="247"/>
      <c r="F404" s="247"/>
      <c r="G404" s="248"/>
      <c r="H404" s="241"/>
      <c r="I404" s="274"/>
      <c r="J404" s="275"/>
      <c r="K404" s="276"/>
      <c r="L404" s="277"/>
      <c r="M404" s="278"/>
      <c r="N404" s="279"/>
      <c r="O404" s="274"/>
      <c r="P404" s="275"/>
      <c r="Q404" s="276"/>
      <c r="R404" s="277"/>
      <c r="S404" s="278"/>
      <c r="T404" s="279"/>
      <c r="U404" s="279"/>
      <c r="V404" s="279"/>
      <c r="W404" s="279"/>
      <c r="X404" s="279"/>
      <c r="Y404" s="279"/>
      <c r="Z404" s="279"/>
      <c r="AA404" s="279"/>
      <c r="AB404" s="279"/>
      <c r="AC404" s="279"/>
      <c r="AD404" s="279"/>
      <c r="AE404" s="279"/>
      <c r="AF404" s="279"/>
      <c r="AG404" s="280"/>
      <c r="AH404" s="281"/>
      <c r="AI404" s="282"/>
      <c r="AJ404" s="283"/>
      <c r="AK404" s="22" t="s">
        <v>58</v>
      </c>
      <c r="AL404" s="22" t="s">
        <v>58</v>
      </c>
      <c r="AM404" s="22" t="s">
        <v>58</v>
      </c>
    </row>
    <row r="405" spans="1:39" s="22" customFormat="1" x14ac:dyDescent="0.25">
      <c r="A405" s="28" t="str">
        <f>IF(H405&lt;&gt;"",MAX($A$7:A404)+1,"")</f>
        <v/>
      </c>
      <c r="B405" s="243" t="str">
        <f t="shared" si="34"/>
        <v/>
      </c>
      <c r="C405" s="273"/>
      <c r="D405" s="246"/>
      <c r="E405" s="247"/>
      <c r="F405" s="247"/>
      <c r="G405" s="248"/>
      <c r="H405" s="241"/>
      <c r="I405" s="274"/>
      <c r="J405" s="275"/>
      <c r="K405" s="276"/>
      <c r="L405" s="277"/>
      <c r="M405" s="278"/>
      <c r="N405" s="279"/>
      <c r="O405" s="274"/>
      <c r="P405" s="275"/>
      <c r="Q405" s="276"/>
      <c r="R405" s="277"/>
      <c r="S405" s="278"/>
      <c r="T405" s="279"/>
      <c r="U405" s="279"/>
      <c r="V405" s="279"/>
      <c r="W405" s="279"/>
      <c r="X405" s="279"/>
      <c r="Y405" s="279"/>
      <c r="Z405" s="279"/>
      <c r="AA405" s="279"/>
      <c r="AB405" s="279"/>
      <c r="AC405" s="279"/>
      <c r="AD405" s="279"/>
      <c r="AE405" s="279"/>
      <c r="AF405" s="279"/>
      <c r="AG405" s="280"/>
      <c r="AH405" s="281"/>
      <c r="AI405" s="282"/>
      <c r="AJ405" s="283"/>
      <c r="AK405" s="22" t="s">
        <v>58</v>
      </c>
      <c r="AL405" s="22" t="s">
        <v>58</v>
      </c>
      <c r="AM405" s="22" t="s">
        <v>58</v>
      </c>
    </row>
    <row r="406" spans="1:39" s="22" customFormat="1" x14ac:dyDescent="0.25">
      <c r="A406" s="28" t="str">
        <f>IF(H406&lt;&gt;"",MAX($A$7:A405)+1,"")</f>
        <v/>
      </c>
      <c r="B406" s="243" t="str">
        <f t="shared" si="34"/>
        <v/>
      </c>
      <c r="C406" s="273"/>
      <c r="D406" s="246"/>
      <c r="E406" s="247"/>
      <c r="F406" s="247"/>
      <c r="G406" s="248"/>
      <c r="H406" s="241"/>
      <c r="I406" s="274"/>
      <c r="J406" s="275"/>
      <c r="K406" s="276"/>
      <c r="L406" s="277"/>
      <c r="M406" s="278"/>
      <c r="N406" s="279"/>
      <c r="O406" s="274"/>
      <c r="P406" s="275"/>
      <c r="Q406" s="276"/>
      <c r="R406" s="277"/>
      <c r="S406" s="278"/>
      <c r="T406" s="279"/>
      <c r="U406" s="279"/>
      <c r="V406" s="279"/>
      <c r="W406" s="279"/>
      <c r="X406" s="279"/>
      <c r="Y406" s="279"/>
      <c r="Z406" s="279"/>
      <c r="AA406" s="279"/>
      <c r="AB406" s="279"/>
      <c r="AC406" s="279"/>
      <c r="AD406" s="279"/>
      <c r="AE406" s="279"/>
      <c r="AF406" s="279"/>
      <c r="AG406" s="280"/>
      <c r="AH406" s="281"/>
      <c r="AI406" s="282"/>
      <c r="AJ406" s="283"/>
      <c r="AK406" s="22" t="s">
        <v>58</v>
      </c>
      <c r="AL406" s="22" t="s">
        <v>58</v>
      </c>
      <c r="AM406" s="22" t="s">
        <v>58</v>
      </c>
    </row>
    <row r="407" spans="1:39" s="22" customFormat="1" x14ac:dyDescent="0.25">
      <c r="A407" s="28" t="str">
        <f>IF(H407&lt;&gt;"",MAX($A$7:A406)+1,"")</f>
        <v/>
      </c>
      <c r="B407" s="243" t="str">
        <f t="shared" si="34"/>
        <v/>
      </c>
      <c r="C407" s="273"/>
      <c r="D407" s="246"/>
      <c r="E407" s="247"/>
      <c r="F407" s="247"/>
      <c r="G407" s="248"/>
      <c r="H407" s="241"/>
      <c r="I407" s="274"/>
      <c r="J407" s="275"/>
      <c r="K407" s="276"/>
      <c r="L407" s="277"/>
      <c r="M407" s="278"/>
      <c r="N407" s="279"/>
      <c r="O407" s="274"/>
      <c r="P407" s="275"/>
      <c r="Q407" s="276"/>
      <c r="R407" s="277"/>
      <c r="S407" s="278"/>
      <c r="T407" s="279"/>
      <c r="U407" s="279"/>
      <c r="V407" s="279"/>
      <c r="W407" s="279"/>
      <c r="X407" s="279"/>
      <c r="Y407" s="279"/>
      <c r="Z407" s="279"/>
      <c r="AA407" s="279"/>
      <c r="AB407" s="279"/>
      <c r="AC407" s="279"/>
      <c r="AD407" s="279"/>
      <c r="AE407" s="279"/>
      <c r="AF407" s="279"/>
      <c r="AG407" s="280"/>
      <c r="AH407" s="281"/>
      <c r="AI407" s="282"/>
      <c r="AJ407" s="283"/>
      <c r="AK407" s="22" t="s">
        <v>58</v>
      </c>
      <c r="AL407" s="22" t="s">
        <v>58</v>
      </c>
      <c r="AM407" s="22" t="s">
        <v>58</v>
      </c>
    </row>
    <row r="408" spans="1:39" s="22" customFormat="1" x14ac:dyDescent="0.25">
      <c r="A408" s="28" t="str">
        <f>IF(H408&lt;&gt;"",MAX($A$7:A407)+1,"")</f>
        <v/>
      </c>
      <c r="B408" s="243" t="str">
        <f t="shared" si="34"/>
        <v/>
      </c>
      <c r="C408" s="273"/>
      <c r="D408" s="246"/>
      <c r="E408" s="247"/>
      <c r="F408" s="247"/>
      <c r="G408" s="248"/>
      <c r="H408" s="241"/>
      <c r="I408" s="274"/>
      <c r="J408" s="275"/>
      <c r="K408" s="276"/>
      <c r="L408" s="277"/>
      <c r="M408" s="278"/>
      <c r="N408" s="279"/>
      <c r="O408" s="274"/>
      <c r="P408" s="275"/>
      <c r="Q408" s="276"/>
      <c r="R408" s="277"/>
      <c r="S408" s="278"/>
      <c r="T408" s="279"/>
      <c r="U408" s="279"/>
      <c r="V408" s="279"/>
      <c r="W408" s="279"/>
      <c r="X408" s="279"/>
      <c r="Y408" s="279"/>
      <c r="Z408" s="279"/>
      <c r="AA408" s="279"/>
      <c r="AB408" s="279"/>
      <c r="AC408" s="279"/>
      <c r="AD408" s="279"/>
      <c r="AE408" s="279"/>
      <c r="AF408" s="279"/>
      <c r="AG408" s="280"/>
      <c r="AH408" s="281"/>
      <c r="AI408" s="282"/>
      <c r="AJ408" s="283"/>
      <c r="AK408" s="22" t="s">
        <v>58</v>
      </c>
      <c r="AL408" s="22" t="s">
        <v>58</v>
      </c>
      <c r="AM408" s="22" t="s">
        <v>58</v>
      </c>
    </row>
    <row r="409" spans="1:39" s="22" customFormat="1" x14ac:dyDescent="0.25">
      <c r="A409" s="28" t="str">
        <f>IF(H409&lt;&gt;"",MAX($A$7:A408)+1,"")</f>
        <v/>
      </c>
      <c r="B409" s="243" t="str">
        <f t="shared" si="34"/>
        <v/>
      </c>
      <c r="C409" s="273"/>
      <c r="D409" s="246"/>
      <c r="E409" s="247"/>
      <c r="F409" s="247"/>
      <c r="G409" s="248"/>
      <c r="H409" s="241"/>
      <c r="I409" s="274"/>
      <c r="J409" s="275"/>
      <c r="K409" s="276"/>
      <c r="L409" s="277"/>
      <c r="M409" s="278"/>
      <c r="N409" s="279"/>
      <c r="O409" s="274"/>
      <c r="P409" s="275"/>
      <c r="Q409" s="276"/>
      <c r="R409" s="277"/>
      <c r="S409" s="278"/>
      <c r="T409" s="279"/>
      <c r="U409" s="279"/>
      <c r="V409" s="279"/>
      <c r="W409" s="279"/>
      <c r="X409" s="279"/>
      <c r="Y409" s="279"/>
      <c r="Z409" s="279"/>
      <c r="AA409" s="279"/>
      <c r="AB409" s="279"/>
      <c r="AC409" s="279"/>
      <c r="AD409" s="279"/>
      <c r="AE409" s="279"/>
      <c r="AF409" s="279"/>
      <c r="AG409" s="280"/>
      <c r="AH409" s="281"/>
      <c r="AI409" s="282"/>
      <c r="AJ409" s="283"/>
      <c r="AK409" s="22" t="s">
        <v>58</v>
      </c>
      <c r="AL409" s="22" t="s">
        <v>58</v>
      </c>
      <c r="AM409" s="22" t="s">
        <v>58</v>
      </c>
    </row>
    <row r="410" spans="1:39" s="22" customFormat="1" x14ac:dyDescent="0.25">
      <c r="A410" s="28" t="str">
        <f>IF(H410&lt;&gt;"",MAX($A$7:A409)+1,"")</f>
        <v/>
      </c>
      <c r="B410" s="243" t="str">
        <f t="shared" si="34"/>
        <v/>
      </c>
      <c r="C410" s="273"/>
      <c r="D410" s="246"/>
      <c r="E410" s="247"/>
      <c r="F410" s="247"/>
      <c r="G410" s="248"/>
      <c r="H410" s="241"/>
      <c r="I410" s="274"/>
      <c r="J410" s="275"/>
      <c r="K410" s="276"/>
      <c r="L410" s="277"/>
      <c r="M410" s="278"/>
      <c r="N410" s="279"/>
      <c r="O410" s="274"/>
      <c r="P410" s="275"/>
      <c r="Q410" s="276"/>
      <c r="R410" s="277"/>
      <c r="S410" s="278"/>
      <c r="T410" s="279"/>
      <c r="U410" s="279"/>
      <c r="V410" s="279"/>
      <c r="W410" s="279"/>
      <c r="X410" s="279"/>
      <c r="Y410" s="279"/>
      <c r="Z410" s="279"/>
      <c r="AA410" s="279"/>
      <c r="AB410" s="279"/>
      <c r="AC410" s="279"/>
      <c r="AD410" s="279"/>
      <c r="AE410" s="279"/>
      <c r="AF410" s="279"/>
      <c r="AG410" s="280"/>
      <c r="AH410" s="281"/>
      <c r="AI410" s="282"/>
      <c r="AJ410" s="283"/>
      <c r="AK410" s="22" t="s">
        <v>58</v>
      </c>
      <c r="AL410" s="22" t="s">
        <v>58</v>
      </c>
      <c r="AM410" s="22" t="s">
        <v>58</v>
      </c>
    </row>
    <row r="411" spans="1:39" s="22" customFormat="1" x14ac:dyDescent="0.25">
      <c r="A411" s="28" t="str">
        <f>IF(H411&lt;&gt;"",MAX($A$7:A410)+1,"")</f>
        <v/>
      </c>
      <c r="B411" s="243" t="str">
        <f t="shared" si="34"/>
        <v/>
      </c>
      <c r="C411" s="273"/>
      <c r="D411" s="246"/>
      <c r="E411" s="247"/>
      <c r="F411" s="247"/>
      <c r="G411" s="248"/>
      <c r="H411" s="241"/>
      <c r="I411" s="274"/>
      <c r="J411" s="275"/>
      <c r="K411" s="276"/>
      <c r="L411" s="277"/>
      <c r="M411" s="278"/>
      <c r="N411" s="279"/>
      <c r="O411" s="274"/>
      <c r="P411" s="275"/>
      <c r="Q411" s="276"/>
      <c r="R411" s="277"/>
      <c r="S411" s="278"/>
      <c r="T411" s="279"/>
      <c r="U411" s="279"/>
      <c r="V411" s="279"/>
      <c r="W411" s="279"/>
      <c r="X411" s="279"/>
      <c r="Y411" s="279"/>
      <c r="Z411" s="279"/>
      <c r="AA411" s="279"/>
      <c r="AB411" s="279"/>
      <c r="AC411" s="279"/>
      <c r="AD411" s="279"/>
      <c r="AE411" s="279"/>
      <c r="AF411" s="279"/>
      <c r="AG411" s="280"/>
      <c r="AH411" s="281"/>
      <c r="AI411" s="282"/>
      <c r="AJ411" s="283"/>
      <c r="AK411" s="22" t="s">
        <v>58</v>
      </c>
      <c r="AL411" s="22" t="s">
        <v>58</v>
      </c>
      <c r="AM411" s="22" t="s">
        <v>58</v>
      </c>
    </row>
    <row r="412" spans="1:39" s="22" customFormat="1" x14ac:dyDescent="0.25">
      <c r="A412" s="28" t="str">
        <f>IF(H412&lt;&gt;"",MAX($A$7:A411)+1,"")</f>
        <v/>
      </c>
      <c r="B412" s="243" t="str">
        <f t="shared" si="34"/>
        <v/>
      </c>
      <c r="C412" s="273"/>
      <c r="D412" s="246"/>
      <c r="E412" s="247"/>
      <c r="F412" s="247"/>
      <c r="G412" s="248"/>
      <c r="H412" s="241"/>
      <c r="I412" s="274"/>
      <c r="J412" s="275"/>
      <c r="K412" s="276"/>
      <c r="L412" s="277"/>
      <c r="M412" s="278"/>
      <c r="N412" s="279"/>
      <c r="O412" s="274"/>
      <c r="P412" s="275"/>
      <c r="Q412" s="276"/>
      <c r="R412" s="277"/>
      <c r="S412" s="278"/>
      <c r="T412" s="279"/>
      <c r="U412" s="279"/>
      <c r="V412" s="279"/>
      <c r="W412" s="279"/>
      <c r="X412" s="279"/>
      <c r="Y412" s="279"/>
      <c r="Z412" s="279"/>
      <c r="AA412" s="279"/>
      <c r="AB412" s="279"/>
      <c r="AC412" s="279"/>
      <c r="AD412" s="279"/>
      <c r="AE412" s="279"/>
      <c r="AF412" s="279"/>
      <c r="AG412" s="280"/>
      <c r="AH412" s="281"/>
      <c r="AI412" s="282"/>
      <c r="AJ412" s="283"/>
      <c r="AK412" s="22" t="s">
        <v>58</v>
      </c>
      <c r="AL412" s="22" t="s">
        <v>58</v>
      </c>
      <c r="AM412" s="22" t="s">
        <v>58</v>
      </c>
    </row>
    <row r="413" spans="1:39" s="22" customFormat="1" x14ac:dyDescent="0.25">
      <c r="A413" s="28" t="str">
        <f>IF(H413&lt;&gt;"",MAX($A$7:A412)+1,"")</f>
        <v/>
      </c>
      <c r="B413" s="243" t="str">
        <f t="shared" si="34"/>
        <v/>
      </c>
      <c r="C413" s="273"/>
      <c r="D413" s="246"/>
      <c r="E413" s="247"/>
      <c r="F413" s="247"/>
      <c r="G413" s="248"/>
      <c r="H413" s="241"/>
      <c r="I413" s="274"/>
      <c r="J413" s="275"/>
      <c r="K413" s="276"/>
      <c r="L413" s="277"/>
      <c r="M413" s="278"/>
      <c r="N413" s="279"/>
      <c r="O413" s="274"/>
      <c r="P413" s="275"/>
      <c r="Q413" s="276"/>
      <c r="R413" s="277"/>
      <c r="S413" s="278"/>
      <c r="T413" s="279"/>
      <c r="U413" s="279"/>
      <c r="V413" s="279"/>
      <c r="W413" s="279"/>
      <c r="X413" s="279"/>
      <c r="Y413" s="279"/>
      <c r="Z413" s="279"/>
      <c r="AA413" s="279"/>
      <c r="AB413" s="279"/>
      <c r="AC413" s="279"/>
      <c r="AD413" s="279"/>
      <c r="AE413" s="279"/>
      <c r="AF413" s="279"/>
      <c r="AG413" s="280"/>
      <c r="AH413" s="281"/>
      <c r="AI413" s="282"/>
      <c r="AJ413" s="283"/>
      <c r="AK413" s="22" t="s">
        <v>58</v>
      </c>
      <c r="AL413" s="22" t="s">
        <v>58</v>
      </c>
      <c r="AM413" s="22" t="s">
        <v>58</v>
      </c>
    </row>
    <row r="414" spans="1:39" s="22" customFormat="1" x14ac:dyDescent="0.25">
      <c r="A414" s="28" t="str">
        <f>IF(H414&lt;&gt;"",MAX($A$7:A413)+1,"")</f>
        <v/>
      </c>
      <c r="B414" s="243" t="str">
        <f t="shared" si="34"/>
        <v/>
      </c>
      <c r="C414" s="273"/>
      <c r="D414" s="246"/>
      <c r="E414" s="247"/>
      <c r="F414" s="247"/>
      <c r="G414" s="248"/>
      <c r="H414" s="241"/>
      <c r="I414" s="274"/>
      <c r="J414" s="275"/>
      <c r="K414" s="276"/>
      <c r="L414" s="277"/>
      <c r="M414" s="278"/>
      <c r="N414" s="279"/>
      <c r="O414" s="274"/>
      <c r="P414" s="275"/>
      <c r="Q414" s="276"/>
      <c r="R414" s="277"/>
      <c r="S414" s="278"/>
      <c r="T414" s="279"/>
      <c r="U414" s="279"/>
      <c r="V414" s="279"/>
      <c r="W414" s="279"/>
      <c r="X414" s="279"/>
      <c r="Y414" s="279"/>
      <c r="Z414" s="279"/>
      <c r="AA414" s="279"/>
      <c r="AB414" s="279"/>
      <c r="AC414" s="279"/>
      <c r="AD414" s="279"/>
      <c r="AE414" s="279"/>
      <c r="AF414" s="279"/>
      <c r="AG414" s="280"/>
      <c r="AH414" s="281"/>
      <c r="AI414" s="282"/>
      <c r="AJ414" s="283"/>
      <c r="AK414" s="22" t="s">
        <v>58</v>
      </c>
      <c r="AL414" s="22" t="s">
        <v>58</v>
      </c>
      <c r="AM414" s="22" t="s">
        <v>58</v>
      </c>
    </row>
    <row r="415" spans="1:39" s="22" customFormat="1" x14ac:dyDescent="0.25">
      <c r="A415" s="28" t="str">
        <f>IF(H415&lt;&gt;"",MAX($A$7:A414)+1,"")</f>
        <v/>
      </c>
      <c r="B415" s="243" t="str">
        <f t="shared" si="34"/>
        <v/>
      </c>
      <c r="C415" s="273"/>
      <c r="D415" s="246"/>
      <c r="E415" s="247"/>
      <c r="F415" s="247"/>
      <c r="G415" s="248"/>
      <c r="H415" s="241"/>
      <c r="I415" s="274"/>
      <c r="J415" s="275"/>
      <c r="K415" s="276"/>
      <c r="L415" s="277"/>
      <c r="M415" s="278"/>
      <c r="N415" s="279"/>
      <c r="O415" s="274"/>
      <c r="P415" s="275"/>
      <c r="Q415" s="276"/>
      <c r="R415" s="277"/>
      <c r="S415" s="278"/>
      <c r="T415" s="279"/>
      <c r="U415" s="279"/>
      <c r="V415" s="279"/>
      <c r="W415" s="279"/>
      <c r="X415" s="279"/>
      <c r="Y415" s="279"/>
      <c r="Z415" s="279"/>
      <c r="AA415" s="279"/>
      <c r="AB415" s="279"/>
      <c r="AC415" s="279"/>
      <c r="AD415" s="279"/>
      <c r="AE415" s="279"/>
      <c r="AF415" s="279"/>
      <c r="AG415" s="280"/>
      <c r="AH415" s="281"/>
      <c r="AI415" s="282"/>
      <c r="AJ415" s="283"/>
      <c r="AK415" s="22" t="s">
        <v>58</v>
      </c>
      <c r="AL415" s="22" t="s">
        <v>58</v>
      </c>
      <c r="AM415" s="22" t="s">
        <v>58</v>
      </c>
    </row>
    <row r="416" spans="1:39" s="22" customFormat="1" x14ac:dyDescent="0.25">
      <c r="A416" s="28" t="str">
        <f>IF(H416&lt;&gt;"",MAX($A$7:A415)+1,"")</f>
        <v/>
      </c>
      <c r="B416" s="243" t="str">
        <f t="shared" si="34"/>
        <v/>
      </c>
      <c r="C416" s="273"/>
      <c r="D416" s="246"/>
      <c r="E416" s="247"/>
      <c r="F416" s="247"/>
      <c r="G416" s="248"/>
      <c r="H416" s="241"/>
      <c r="I416" s="274"/>
      <c r="J416" s="275"/>
      <c r="K416" s="276"/>
      <c r="L416" s="277"/>
      <c r="M416" s="278"/>
      <c r="N416" s="279"/>
      <c r="O416" s="274"/>
      <c r="P416" s="275"/>
      <c r="Q416" s="276"/>
      <c r="R416" s="277"/>
      <c r="S416" s="278"/>
      <c r="T416" s="279"/>
      <c r="U416" s="279"/>
      <c r="V416" s="279"/>
      <c r="W416" s="279"/>
      <c r="X416" s="279"/>
      <c r="Y416" s="279"/>
      <c r="Z416" s="279"/>
      <c r="AA416" s="279"/>
      <c r="AB416" s="279"/>
      <c r="AC416" s="279"/>
      <c r="AD416" s="279"/>
      <c r="AE416" s="279"/>
      <c r="AF416" s="279"/>
      <c r="AG416" s="280"/>
      <c r="AH416" s="281"/>
      <c r="AI416" s="282"/>
      <c r="AJ416" s="283"/>
      <c r="AK416" s="22" t="s">
        <v>58</v>
      </c>
      <c r="AL416" s="22" t="s">
        <v>58</v>
      </c>
      <c r="AM416" s="22" t="s">
        <v>58</v>
      </c>
    </row>
    <row r="417" spans="1:39" s="22" customFormat="1" x14ac:dyDescent="0.25">
      <c r="A417" s="28" t="str">
        <f>IF(H417&lt;&gt;"",MAX($A$7:A416)+1,"")</f>
        <v/>
      </c>
      <c r="B417" s="243" t="str">
        <f t="shared" si="34"/>
        <v/>
      </c>
      <c r="C417" s="273"/>
      <c r="D417" s="246"/>
      <c r="E417" s="247"/>
      <c r="F417" s="247"/>
      <c r="G417" s="248"/>
      <c r="H417" s="241"/>
      <c r="I417" s="274"/>
      <c r="J417" s="275"/>
      <c r="K417" s="276"/>
      <c r="L417" s="277"/>
      <c r="M417" s="278"/>
      <c r="N417" s="279"/>
      <c r="O417" s="274"/>
      <c r="P417" s="275"/>
      <c r="Q417" s="276"/>
      <c r="R417" s="277"/>
      <c r="S417" s="278"/>
      <c r="T417" s="279"/>
      <c r="U417" s="279"/>
      <c r="V417" s="279"/>
      <c r="W417" s="279"/>
      <c r="X417" s="279"/>
      <c r="Y417" s="279"/>
      <c r="Z417" s="279"/>
      <c r="AA417" s="279"/>
      <c r="AB417" s="279"/>
      <c r="AC417" s="279"/>
      <c r="AD417" s="279"/>
      <c r="AE417" s="279"/>
      <c r="AF417" s="279"/>
      <c r="AG417" s="280"/>
      <c r="AH417" s="281"/>
      <c r="AI417" s="282"/>
      <c r="AJ417" s="283"/>
      <c r="AK417" s="22" t="s">
        <v>58</v>
      </c>
      <c r="AL417" s="22" t="s">
        <v>58</v>
      </c>
      <c r="AM417" s="22" t="s">
        <v>58</v>
      </c>
    </row>
    <row r="418" spans="1:39" s="22" customFormat="1" x14ac:dyDescent="0.25">
      <c r="A418" s="28" t="str">
        <f>IF(H418&lt;&gt;"",MAX($A$7:A417)+1,"")</f>
        <v/>
      </c>
      <c r="B418" s="243" t="str">
        <f t="shared" si="34"/>
        <v/>
      </c>
      <c r="C418" s="273"/>
      <c r="D418" s="246"/>
      <c r="E418" s="247"/>
      <c r="F418" s="247"/>
      <c r="G418" s="248"/>
      <c r="H418" s="241"/>
      <c r="I418" s="274"/>
      <c r="J418" s="275"/>
      <c r="K418" s="276"/>
      <c r="L418" s="277"/>
      <c r="M418" s="278"/>
      <c r="N418" s="279"/>
      <c r="O418" s="274"/>
      <c r="P418" s="275"/>
      <c r="Q418" s="276"/>
      <c r="R418" s="277"/>
      <c r="S418" s="278"/>
      <c r="T418" s="279"/>
      <c r="U418" s="279"/>
      <c r="V418" s="279"/>
      <c r="W418" s="279"/>
      <c r="X418" s="279"/>
      <c r="Y418" s="279"/>
      <c r="Z418" s="279"/>
      <c r="AA418" s="279"/>
      <c r="AB418" s="279"/>
      <c r="AC418" s="279"/>
      <c r="AD418" s="279"/>
      <c r="AE418" s="279"/>
      <c r="AF418" s="279"/>
      <c r="AG418" s="280"/>
      <c r="AH418" s="281"/>
      <c r="AI418" s="282"/>
      <c r="AJ418" s="283"/>
      <c r="AK418" s="22" t="s">
        <v>58</v>
      </c>
      <c r="AL418" s="22" t="s">
        <v>58</v>
      </c>
      <c r="AM418" s="22" t="s">
        <v>58</v>
      </c>
    </row>
    <row r="419" spans="1:39" s="22" customFormat="1" x14ac:dyDescent="0.25">
      <c r="A419" s="28" t="str">
        <f>IF(H419&lt;&gt;"",MAX($A$7:A418)+1,"")</f>
        <v/>
      </c>
      <c r="B419" s="243" t="str">
        <f t="shared" si="34"/>
        <v/>
      </c>
      <c r="C419" s="273"/>
      <c r="D419" s="246"/>
      <c r="E419" s="247"/>
      <c r="F419" s="247"/>
      <c r="G419" s="248"/>
      <c r="H419" s="241"/>
      <c r="I419" s="274"/>
      <c r="J419" s="275"/>
      <c r="K419" s="276"/>
      <c r="L419" s="277"/>
      <c r="M419" s="278"/>
      <c r="N419" s="279"/>
      <c r="O419" s="274"/>
      <c r="P419" s="275"/>
      <c r="Q419" s="276"/>
      <c r="R419" s="277"/>
      <c r="S419" s="278"/>
      <c r="T419" s="279"/>
      <c r="U419" s="279"/>
      <c r="V419" s="279"/>
      <c r="W419" s="279"/>
      <c r="X419" s="279"/>
      <c r="Y419" s="279"/>
      <c r="Z419" s="279"/>
      <c r="AA419" s="279"/>
      <c r="AB419" s="279"/>
      <c r="AC419" s="279"/>
      <c r="AD419" s="279"/>
      <c r="AE419" s="279"/>
      <c r="AF419" s="279"/>
      <c r="AG419" s="280"/>
      <c r="AH419" s="281"/>
      <c r="AI419" s="282"/>
      <c r="AJ419" s="283"/>
      <c r="AK419" s="22" t="s">
        <v>58</v>
      </c>
      <c r="AL419" s="22" t="s">
        <v>58</v>
      </c>
      <c r="AM419" s="22" t="s">
        <v>58</v>
      </c>
    </row>
    <row r="420" spans="1:39" s="22" customFormat="1" x14ac:dyDescent="0.25">
      <c r="A420" s="28" t="str">
        <f>IF(H420&lt;&gt;"",MAX($A$7:A419)+1,"")</f>
        <v/>
      </c>
      <c r="B420" s="243" t="str">
        <f t="shared" si="34"/>
        <v/>
      </c>
      <c r="C420" s="273"/>
      <c r="D420" s="246"/>
      <c r="E420" s="247"/>
      <c r="F420" s="247"/>
      <c r="G420" s="248"/>
      <c r="H420" s="241"/>
      <c r="I420" s="274"/>
      <c r="J420" s="275"/>
      <c r="K420" s="276"/>
      <c r="L420" s="277"/>
      <c r="M420" s="278"/>
      <c r="N420" s="279"/>
      <c r="O420" s="274"/>
      <c r="P420" s="275"/>
      <c r="Q420" s="276"/>
      <c r="R420" s="277"/>
      <c r="S420" s="278"/>
      <c r="T420" s="279"/>
      <c r="U420" s="279"/>
      <c r="V420" s="279"/>
      <c r="W420" s="279"/>
      <c r="X420" s="279"/>
      <c r="Y420" s="279"/>
      <c r="Z420" s="279"/>
      <c r="AA420" s="279"/>
      <c r="AB420" s="279"/>
      <c r="AC420" s="279"/>
      <c r="AD420" s="279"/>
      <c r="AE420" s="279"/>
      <c r="AF420" s="279"/>
      <c r="AG420" s="280"/>
      <c r="AH420" s="281"/>
      <c r="AI420" s="282"/>
      <c r="AJ420" s="283"/>
      <c r="AK420" s="22" t="s">
        <v>58</v>
      </c>
      <c r="AL420" s="22" t="s">
        <v>58</v>
      </c>
      <c r="AM420" s="22" t="s">
        <v>58</v>
      </c>
    </row>
    <row r="421" spans="1:39" s="22" customFormat="1" x14ac:dyDescent="0.25">
      <c r="A421" s="28" t="str">
        <f>IF(H421&lt;&gt;"",MAX($A$7:A420)+1,"")</f>
        <v/>
      </c>
      <c r="B421" s="243" t="str">
        <f t="shared" si="34"/>
        <v/>
      </c>
      <c r="C421" s="273"/>
      <c r="D421" s="246"/>
      <c r="E421" s="247"/>
      <c r="F421" s="247"/>
      <c r="G421" s="248"/>
      <c r="H421" s="241"/>
      <c r="I421" s="274"/>
      <c r="J421" s="275"/>
      <c r="K421" s="276"/>
      <c r="L421" s="277"/>
      <c r="M421" s="278"/>
      <c r="N421" s="279"/>
      <c r="O421" s="274"/>
      <c r="P421" s="275"/>
      <c r="Q421" s="276"/>
      <c r="R421" s="277"/>
      <c r="S421" s="278"/>
      <c r="T421" s="279"/>
      <c r="U421" s="279"/>
      <c r="V421" s="279"/>
      <c r="W421" s="279"/>
      <c r="X421" s="279"/>
      <c r="Y421" s="279"/>
      <c r="Z421" s="279"/>
      <c r="AA421" s="279"/>
      <c r="AB421" s="279"/>
      <c r="AC421" s="279"/>
      <c r="AD421" s="279"/>
      <c r="AE421" s="279"/>
      <c r="AF421" s="279"/>
      <c r="AG421" s="280"/>
      <c r="AH421" s="281"/>
      <c r="AI421" s="282"/>
      <c r="AJ421" s="283"/>
      <c r="AK421" s="22" t="s">
        <v>58</v>
      </c>
      <c r="AL421" s="22" t="s">
        <v>58</v>
      </c>
      <c r="AM421" s="22" t="s">
        <v>58</v>
      </c>
    </row>
    <row r="422" spans="1:39" s="22" customFormat="1" x14ac:dyDescent="0.25">
      <c r="A422" s="28" t="str">
        <f>IF(H422&lt;&gt;"",MAX($A$7:A421)+1,"")</f>
        <v/>
      </c>
      <c r="B422" s="243" t="str">
        <f t="shared" si="34"/>
        <v/>
      </c>
      <c r="C422" s="273"/>
      <c r="D422" s="246"/>
      <c r="E422" s="247"/>
      <c r="F422" s="247"/>
      <c r="G422" s="248"/>
      <c r="H422" s="241"/>
      <c r="I422" s="274"/>
      <c r="J422" s="275"/>
      <c r="K422" s="276"/>
      <c r="L422" s="277"/>
      <c r="M422" s="278"/>
      <c r="N422" s="279"/>
      <c r="O422" s="274"/>
      <c r="P422" s="275"/>
      <c r="Q422" s="276"/>
      <c r="R422" s="277"/>
      <c r="S422" s="278"/>
      <c r="T422" s="279"/>
      <c r="U422" s="279"/>
      <c r="V422" s="279"/>
      <c r="W422" s="279"/>
      <c r="X422" s="279"/>
      <c r="Y422" s="279"/>
      <c r="Z422" s="279"/>
      <c r="AA422" s="279"/>
      <c r="AB422" s="279"/>
      <c r="AC422" s="279"/>
      <c r="AD422" s="279"/>
      <c r="AE422" s="279"/>
      <c r="AF422" s="279"/>
      <c r="AG422" s="280"/>
      <c r="AH422" s="281"/>
      <c r="AI422" s="282"/>
      <c r="AJ422" s="283"/>
      <c r="AK422" s="22" t="s">
        <v>58</v>
      </c>
      <c r="AL422" s="22" t="s">
        <v>58</v>
      </c>
      <c r="AM422" s="22" t="s">
        <v>58</v>
      </c>
    </row>
    <row r="423" spans="1:39" s="22" customFormat="1" x14ac:dyDescent="0.25">
      <c r="A423" s="28" t="str">
        <f>IF(H423&lt;&gt;"",MAX($A$7:A422)+1,"")</f>
        <v/>
      </c>
      <c r="B423" s="243" t="str">
        <f t="shared" si="34"/>
        <v/>
      </c>
      <c r="C423" s="273"/>
      <c r="D423" s="246"/>
      <c r="E423" s="247"/>
      <c r="F423" s="247"/>
      <c r="G423" s="248"/>
      <c r="H423" s="241"/>
      <c r="I423" s="274"/>
      <c r="J423" s="275"/>
      <c r="K423" s="276"/>
      <c r="L423" s="277"/>
      <c r="M423" s="278"/>
      <c r="N423" s="279"/>
      <c r="O423" s="274"/>
      <c r="P423" s="275"/>
      <c r="Q423" s="276"/>
      <c r="R423" s="277"/>
      <c r="S423" s="278"/>
      <c r="T423" s="279"/>
      <c r="U423" s="279"/>
      <c r="V423" s="279"/>
      <c r="W423" s="279"/>
      <c r="X423" s="279"/>
      <c r="Y423" s="279"/>
      <c r="Z423" s="279"/>
      <c r="AA423" s="279"/>
      <c r="AB423" s="279"/>
      <c r="AC423" s="279"/>
      <c r="AD423" s="279"/>
      <c r="AE423" s="279"/>
      <c r="AF423" s="279"/>
      <c r="AG423" s="280"/>
      <c r="AH423" s="281"/>
      <c r="AI423" s="282"/>
      <c r="AJ423" s="283"/>
      <c r="AK423" s="22" t="s">
        <v>58</v>
      </c>
      <c r="AL423" s="22" t="s">
        <v>58</v>
      </c>
      <c r="AM423" s="22" t="s">
        <v>58</v>
      </c>
    </row>
    <row r="424" spans="1:39" s="22" customFormat="1" x14ac:dyDescent="0.25">
      <c r="A424" s="28" t="str">
        <f>IF(H424&lt;&gt;"",MAX($A$7:A423)+1,"")</f>
        <v/>
      </c>
      <c r="B424" s="243" t="str">
        <f t="shared" si="34"/>
        <v/>
      </c>
      <c r="C424" s="273"/>
      <c r="D424" s="246"/>
      <c r="E424" s="247"/>
      <c r="F424" s="247"/>
      <c r="G424" s="248"/>
      <c r="H424" s="241"/>
      <c r="I424" s="274"/>
      <c r="J424" s="275"/>
      <c r="K424" s="276"/>
      <c r="L424" s="277"/>
      <c r="M424" s="278"/>
      <c r="N424" s="279"/>
      <c r="O424" s="274"/>
      <c r="P424" s="275"/>
      <c r="Q424" s="276"/>
      <c r="R424" s="277"/>
      <c r="S424" s="278"/>
      <c r="T424" s="279"/>
      <c r="U424" s="279"/>
      <c r="V424" s="279"/>
      <c r="W424" s="279"/>
      <c r="X424" s="279"/>
      <c r="Y424" s="279"/>
      <c r="Z424" s="279"/>
      <c r="AA424" s="279"/>
      <c r="AB424" s="279"/>
      <c r="AC424" s="279"/>
      <c r="AD424" s="279"/>
      <c r="AE424" s="279"/>
      <c r="AF424" s="279"/>
      <c r="AG424" s="280"/>
      <c r="AH424" s="281"/>
      <c r="AI424" s="282"/>
      <c r="AJ424" s="283"/>
      <c r="AK424" s="22" t="s">
        <v>58</v>
      </c>
      <c r="AL424" s="22" t="s">
        <v>58</v>
      </c>
      <c r="AM424" s="22" t="s">
        <v>58</v>
      </c>
    </row>
    <row r="425" spans="1:39" s="22" customFormat="1" x14ac:dyDescent="0.25">
      <c r="A425" s="28" t="str">
        <f>IF(H425&lt;&gt;"",MAX($A$7:A424)+1,"")</f>
        <v/>
      </c>
      <c r="B425" s="243" t="str">
        <f t="shared" si="34"/>
        <v/>
      </c>
      <c r="C425" s="273"/>
      <c r="D425" s="246"/>
      <c r="E425" s="247"/>
      <c r="F425" s="247"/>
      <c r="G425" s="248"/>
      <c r="H425" s="241"/>
      <c r="I425" s="274"/>
      <c r="J425" s="275"/>
      <c r="K425" s="276"/>
      <c r="L425" s="277"/>
      <c r="M425" s="278"/>
      <c r="N425" s="279"/>
      <c r="O425" s="274"/>
      <c r="P425" s="275"/>
      <c r="Q425" s="276"/>
      <c r="R425" s="277"/>
      <c r="S425" s="278"/>
      <c r="T425" s="279"/>
      <c r="U425" s="279"/>
      <c r="V425" s="279"/>
      <c r="W425" s="279"/>
      <c r="X425" s="279"/>
      <c r="Y425" s="279"/>
      <c r="Z425" s="279"/>
      <c r="AA425" s="279"/>
      <c r="AB425" s="279"/>
      <c r="AC425" s="279"/>
      <c r="AD425" s="279"/>
      <c r="AE425" s="279"/>
      <c r="AF425" s="279"/>
      <c r="AG425" s="280"/>
      <c r="AH425" s="281"/>
      <c r="AI425" s="282"/>
      <c r="AJ425" s="283"/>
      <c r="AK425" s="22" t="s">
        <v>58</v>
      </c>
      <c r="AL425" s="22" t="s">
        <v>58</v>
      </c>
      <c r="AM425" s="22" t="s">
        <v>58</v>
      </c>
    </row>
    <row r="426" spans="1:39" s="22" customFormat="1" x14ac:dyDescent="0.25">
      <c r="A426" s="28" t="str">
        <f>IF(H426&lt;&gt;"",MAX($A$7:A425)+1,"")</f>
        <v/>
      </c>
      <c r="B426" s="243" t="str">
        <f t="shared" si="34"/>
        <v/>
      </c>
      <c r="C426" s="273"/>
      <c r="D426" s="246"/>
      <c r="E426" s="247"/>
      <c r="F426" s="247"/>
      <c r="G426" s="248"/>
      <c r="H426" s="241"/>
      <c r="I426" s="274"/>
      <c r="J426" s="275"/>
      <c r="K426" s="276"/>
      <c r="L426" s="277"/>
      <c r="M426" s="278"/>
      <c r="N426" s="279"/>
      <c r="O426" s="274"/>
      <c r="P426" s="275"/>
      <c r="Q426" s="276"/>
      <c r="R426" s="277"/>
      <c r="S426" s="278"/>
      <c r="T426" s="279"/>
      <c r="U426" s="279"/>
      <c r="V426" s="279"/>
      <c r="W426" s="279"/>
      <c r="X426" s="279"/>
      <c r="Y426" s="279"/>
      <c r="Z426" s="279"/>
      <c r="AA426" s="279"/>
      <c r="AB426" s="279"/>
      <c r="AC426" s="279"/>
      <c r="AD426" s="279"/>
      <c r="AE426" s="279"/>
      <c r="AF426" s="279"/>
      <c r="AG426" s="280"/>
      <c r="AH426" s="281"/>
      <c r="AI426" s="282"/>
      <c r="AJ426" s="283"/>
      <c r="AK426" s="22" t="s">
        <v>58</v>
      </c>
      <c r="AL426" s="22" t="s">
        <v>58</v>
      </c>
      <c r="AM426" s="22" t="s">
        <v>58</v>
      </c>
    </row>
    <row r="427" spans="1:39" s="22" customFormat="1" x14ac:dyDescent="0.25">
      <c r="A427" s="28" t="str">
        <f>IF(H427&lt;&gt;"",MAX($A$7:A426)+1,"")</f>
        <v/>
      </c>
      <c r="B427" s="243" t="str">
        <f t="shared" si="34"/>
        <v/>
      </c>
      <c r="C427" s="273"/>
      <c r="D427" s="246"/>
      <c r="E427" s="247"/>
      <c r="F427" s="247"/>
      <c r="G427" s="248"/>
      <c r="H427" s="241"/>
      <c r="I427" s="274"/>
      <c r="J427" s="275"/>
      <c r="K427" s="276"/>
      <c r="L427" s="277"/>
      <c r="M427" s="278"/>
      <c r="N427" s="279"/>
      <c r="O427" s="274"/>
      <c r="P427" s="275"/>
      <c r="Q427" s="276"/>
      <c r="R427" s="277"/>
      <c r="S427" s="278"/>
      <c r="T427" s="279"/>
      <c r="U427" s="279"/>
      <c r="V427" s="279"/>
      <c r="W427" s="279"/>
      <c r="X427" s="279"/>
      <c r="Y427" s="279"/>
      <c r="Z427" s="279"/>
      <c r="AA427" s="279"/>
      <c r="AB427" s="279"/>
      <c r="AC427" s="279"/>
      <c r="AD427" s="279"/>
      <c r="AE427" s="279"/>
      <c r="AF427" s="279"/>
      <c r="AG427" s="280"/>
      <c r="AH427" s="281"/>
      <c r="AI427" s="282"/>
      <c r="AJ427" s="283"/>
      <c r="AK427" s="22" t="s">
        <v>58</v>
      </c>
      <c r="AL427" s="22" t="s">
        <v>58</v>
      </c>
      <c r="AM427" s="22" t="s">
        <v>58</v>
      </c>
    </row>
    <row r="428" spans="1:39" s="22" customFormat="1" x14ac:dyDescent="0.25">
      <c r="A428" s="28" t="str">
        <f>IF(H428&lt;&gt;"",MAX($A$7:A427)+1,"")</f>
        <v/>
      </c>
      <c r="B428" s="243" t="str">
        <f t="shared" si="34"/>
        <v/>
      </c>
      <c r="C428" s="273"/>
      <c r="D428" s="246"/>
      <c r="E428" s="247"/>
      <c r="F428" s="247"/>
      <c r="G428" s="248"/>
      <c r="H428" s="241"/>
      <c r="I428" s="274"/>
      <c r="J428" s="275"/>
      <c r="K428" s="276"/>
      <c r="L428" s="277"/>
      <c r="M428" s="278"/>
      <c r="N428" s="279"/>
      <c r="O428" s="274"/>
      <c r="P428" s="275"/>
      <c r="Q428" s="276"/>
      <c r="R428" s="277"/>
      <c r="S428" s="278"/>
      <c r="T428" s="279"/>
      <c r="U428" s="279"/>
      <c r="V428" s="279"/>
      <c r="W428" s="279"/>
      <c r="X428" s="279"/>
      <c r="Y428" s="279"/>
      <c r="Z428" s="279"/>
      <c r="AA428" s="279"/>
      <c r="AB428" s="279"/>
      <c r="AC428" s="279"/>
      <c r="AD428" s="279"/>
      <c r="AE428" s="279"/>
      <c r="AF428" s="279"/>
      <c r="AG428" s="280"/>
      <c r="AH428" s="281"/>
      <c r="AI428" s="282"/>
      <c r="AJ428" s="283"/>
      <c r="AK428" s="22" t="s">
        <v>58</v>
      </c>
      <c r="AL428" s="22" t="s">
        <v>58</v>
      </c>
      <c r="AM428" s="22" t="s">
        <v>58</v>
      </c>
    </row>
    <row r="429" spans="1:39" s="22" customFormat="1" x14ac:dyDescent="0.25">
      <c r="A429" s="28" t="str">
        <f>IF(H429&lt;&gt;"",MAX($A$7:A428)+1,"")</f>
        <v/>
      </c>
      <c r="B429" s="243" t="str">
        <f t="shared" si="34"/>
        <v/>
      </c>
      <c r="C429" s="273"/>
      <c r="D429" s="246"/>
      <c r="E429" s="247"/>
      <c r="F429" s="247"/>
      <c r="G429" s="248"/>
      <c r="H429" s="241"/>
      <c r="I429" s="274"/>
      <c r="J429" s="275"/>
      <c r="K429" s="276"/>
      <c r="L429" s="277"/>
      <c r="M429" s="278"/>
      <c r="N429" s="279"/>
      <c r="O429" s="274"/>
      <c r="P429" s="275"/>
      <c r="Q429" s="276"/>
      <c r="R429" s="277"/>
      <c r="S429" s="278"/>
      <c r="T429" s="279"/>
      <c r="U429" s="279"/>
      <c r="V429" s="279"/>
      <c r="W429" s="279"/>
      <c r="X429" s="279"/>
      <c r="Y429" s="279"/>
      <c r="Z429" s="279"/>
      <c r="AA429" s="279"/>
      <c r="AB429" s="279"/>
      <c r="AC429" s="279"/>
      <c r="AD429" s="279"/>
      <c r="AE429" s="279"/>
      <c r="AF429" s="279"/>
      <c r="AG429" s="280"/>
      <c r="AH429" s="281"/>
      <c r="AI429" s="282"/>
      <c r="AJ429" s="283"/>
      <c r="AK429" s="22" t="s">
        <v>58</v>
      </c>
      <c r="AL429" s="22" t="s">
        <v>58</v>
      </c>
      <c r="AM429" s="22" t="s">
        <v>58</v>
      </c>
    </row>
    <row r="430" spans="1:39" s="22" customFormat="1" x14ac:dyDescent="0.25">
      <c r="A430" s="28" t="str">
        <f>IF(H430&lt;&gt;"",MAX($A$7:A429)+1,"")</f>
        <v/>
      </c>
      <c r="B430" s="243" t="str">
        <f t="shared" si="34"/>
        <v/>
      </c>
      <c r="C430" s="273"/>
      <c r="D430" s="246"/>
      <c r="E430" s="247"/>
      <c r="F430" s="247"/>
      <c r="G430" s="248"/>
      <c r="H430" s="241"/>
      <c r="I430" s="274"/>
      <c r="J430" s="275"/>
      <c r="K430" s="276"/>
      <c r="L430" s="277"/>
      <c r="M430" s="278"/>
      <c r="N430" s="279"/>
      <c r="O430" s="274"/>
      <c r="P430" s="275"/>
      <c r="Q430" s="276"/>
      <c r="R430" s="277"/>
      <c r="S430" s="278"/>
      <c r="T430" s="279"/>
      <c r="U430" s="279"/>
      <c r="V430" s="279"/>
      <c r="W430" s="279"/>
      <c r="X430" s="279"/>
      <c r="Y430" s="279"/>
      <c r="Z430" s="279"/>
      <c r="AA430" s="279"/>
      <c r="AB430" s="279"/>
      <c r="AC430" s="279"/>
      <c r="AD430" s="279"/>
      <c r="AE430" s="279"/>
      <c r="AF430" s="279"/>
      <c r="AG430" s="280"/>
      <c r="AH430" s="281"/>
      <c r="AI430" s="282"/>
      <c r="AJ430" s="283"/>
      <c r="AK430" s="22" t="s">
        <v>58</v>
      </c>
      <c r="AL430" s="22" t="s">
        <v>58</v>
      </c>
      <c r="AM430" s="22" t="s">
        <v>58</v>
      </c>
    </row>
    <row r="431" spans="1:39" s="22" customFormat="1" x14ac:dyDescent="0.25">
      <c r="A431" s="28" t="str">
        <f>IF(H431&lt;&gt;"",MAX($A$7:A430)+1,"")</f>
        <v/>
      </c>
      <c r="B431" s="243" t="str">
        <f t="shared" si="34"/>
        <v/>
      </c>
      <c r="C431" s="273"/>
      <c r="D431" s="246"/>
      <c r="E431" s="247"/>
      <c r="F431" s="247"/>
      <c r="G431" s="248"/>
      <c r="H431" s="241"/>
      <c r="I431" s="274"/>
      <c r="J431" s="275"/>
      <c r="K431" s="276"/>
      <c r="L431" s="277"/>
      <c r="M431" s="278"/>
      <c r="N431" s="279"/>
      <c r="O431" s="274"/>
      <c r="P431" s="275"/>
      <c r="Q431" s="276"/>
      <c r="R431" s="277"/>
      <c r="S431" s="278"/>
      <c r="T431" s="279"/>
      <c r="U431" s="279"/>
      <c r="V431" s="279"/>
      <c r="W431" s="279"/>
      <c r="X431" s="279"/>
      <c r="Y431" s="279"/>
      <c r="Z431" s="279"/>
      <c r="AA431" s="279"/>
      <c r="AB431" s="279"/>
      <c r="AC431" s="279"/>
      <c r="AD431" s="279"/>
      <c r="AE431" s="279"/>
      <c r="AF431" s="279"/>
      <c r="AG431" s="280"/>
      <c r="AH431" s="281"/>
      <c r="AI431" s="282"/>
      <c r="AJ431" s="283"/>
      <c r="AK431" s="22" t="s">
        <v>58</v>
      </c>
      <c r="AL431" s="22" t="s">
        <v>58</v>
      </c>
      <c r="AM431" s="22" t="s">
        <v>58</v>
      </c>
    </row>
    <row r="432" spans="1:39" s="22" customFormat="1" x14ac:dyDescent="0.25">
      <c r="A432" s="28" t="str">
        <f>IF(H432&lt;&gt;"",MAX($A$7:A431)+1,"")</f>
        <v/>
      </c>
      <c r="B432" s="243" t="str">
        <f t="shared" si="34"/>
        <v/>
      </c>
      <c r="C432" s="273"/>
      <c r="D432" s="246"/>
      <c r="E432" s="247"/>
      <c r="F432" s="247"/>
      <c r="G432" s="248"/>
      <c r="H432" s="241"/>
      <c r="I432" s="274"/>
      <c r="J432" s="275"/>
      <c r="K432" s="276"/>
      <c r="L432" s="277"/>
      <c r="M432" s="278"/>
      <c r="N432" s="279"/>
      <c r="O432" s="274"/>
      <c r="P432" s="275"/>
      <c r="Q432" s="276"/>
      <c r="R432" s="277"/>
      <c r="S432" s="278"/>
      <c r="T432" s="279"/>
      <c r="U432" s="279"/>
      <c r="V432" s="279"/>
      <c r="W432" s="279"/>
      <c r="X432" s="279"/>
      <c r="Y432" s="279"/>
      <c r="Z432" s="279"/>
      <c r="AA432" s="279"/>
      <c r="AB432" s="279"/>
      <c r="AC432" s="279"/>
      <c r="AD432" s="279"/>
      <c r="AE432" s="279"/>
      <c r="AF432" s="279"/>
      <c r="AG432" s="280"/>
      <c r="AH432" s="281"/>
      <c r="AI432" s="282"/>
      <c r="AJ432" s="283"/>
      <c r="AK432" s="22" t="s">
        <v>58</v>
      </c>
      <c r="AL432" s="22" t="s">
        <v>58</v>
      </c>
      <c r="AM432" s="22" t="s">
        <v>58</v>
      </c>
    </row>
    <row r="433" spans="1:39" s="22" customFormat="1" x14ac:dyDescent="0.25">
      <c r="A433" s="28" t="str">
        <f>IF(H433&lt;&gt;"",MAX($A$7:A432)+1,"")</f>
        <v/>
      </c>
      <c r="B433" s="243" t="str">
        <f t="shared" si="34"/>
        <v/>
      </c>
      <c r="C433" s="273"/>
      <c r="D433" s="246"/>
      <c r="E433" s="247"/>
      <c r="F433" s="247"/>
      <c r="G433" s="248"/>
      <c r="H433" s="241"/>
      <c r="I433" s="274"/>
      <c r="J433" s="275"/>
      <c r="K433" s="276"/>
      <c r="L433" s="277"/>
      <c r="M433" s="278"/>
      <c r="N433" s="279"/>
      <c r="O433" s="274"/>
      <c r="P433" s="275"/>
      <c r="Q433" s="276"/>
      <c r="R433" s="277"/>
      <c r="S433" s="278"/>
      <c r="T433" s="279"/>
      <c r="U433" s="279"/>
      <c r="V433" s="279"/>
      <c r="W433" s="279"/>
      <c r="X433" s="279"/>
      <c r="Y433" s="279"/>
      <c r="Z433" s="279"/>
      <c r="AA433" s="279"/>
      <c r="AB433" s="279"/>
      <c r="AC433" s="279"/>
      <c r="AD433" s="279"/>
      <c r="AE433" s="279"/>
      <c r="AF433" s="279"/>
      <c r="AG433" s="280"/>
      <c r="AH433" s="281"/>
      <c r="AI433" s="282"/>
      <c r="AJ433" s="283"/>
      <c r="AK433" s="22" t="s">
        <v>58</v>
      </c>
      <c r="AL433" s="22" t="s">
        <v>58</v>
      </c>
      <c r="AM433" s="22" t="s">
        <v>58</v>
      </c>
    </row>
    <row r="434" spans="1:39" s="22" customFormat="1" x14ac:dyDescent="0.25">
      <c r="A434" s="28" t="str">
        <f>IF(H434&lt;&gt;"",MAX($A$7:A433)+1,"")</f>
        <v/>
      </c>
      <c r="B434" s="243" t="str">
        <f t="shared" si="34"/>
        <v/>
      </c>
      <c r="C434" s="273"/>
      <c r="D434" s="246"/>
      <c r="E434" s="247"/>
      <c r="F434" s="247"/>
      <c r="G434" s="248"/>
      <c r="H434" s="241"/>
      <c r="I434" s="274"/>
      <c r="J434" s="275"/>
      <c r="K434" s="276"/>
      <c r="L434" s="277"/>
      <c r="M434" s="278"/>
      <c r="N434" s="279"/>
      <c r="O434" s="274"/>
      <c r="P434" s="275"/>
      <c r="Q434" s="276"/>
      <c r="R434" s="277"/>
      <c r="S434" s="278"/>
      <c r="T434" s="279"/>
      <c r="U434" s="279"/>
      <c r="V434" s="279"/>
      <c r="W434" s="279"/>
      <c r="X434" s="279"/>
      <c r="Y434" s="279"/>
      <c r="Z434" s="279"/>
      <c r="AA434" s="279"/>
      <c r="AB434" s="279"/>
      <c r="AC434" s="279"/>
      <c r="AD434" s="279"/>
      <c r="AE434" s="279"/>
      <c r="AF434" s="279"/>
      <c r="AG434" s="280"/>
      <c r="AH434" s="281"/>
      <c r="AI434" s="282"/>
      <c r="AJ434" s="283"/>
      <c r="AK434" s="22" t="s">
        <v>58</v>
      </c>
      <c r="AL434" s="22" t="s">
        <v>58</v>
      </c>
      <c r="AM434" s="22" t="s">
        <v>58</v>
      </c>
    </row>
    <row r="435" spans="1:39" s="22" customFormat="1" x14ac:dyDescent="0.25">
      <c r="A435" s="28" t="str">
        <f>IF(H435&lt;&gt;"",MAX($A$7:A434)+1,"")</f>
        <v/>
      </c>
      <c r="B435" s="243" t="str">
        <f t="shared" si="34"/>
        <v/>
      </c>
      <c r="C435" s="273"/>
      <c r="D435" s="246"/>
      <c r="E435" s="247"/>
      <c r="F435" s="247"/>
      <c r="G435" s="248"/>
      <c r="H435" s="241"/>
      <c r="I435" s="274"/>
      <c r="J435" s="275"/>
      <c r="K435" s="276"/>
      <c r="L435" s="277"/>
      <c r="M435" s="278"/>
      <c r="N435" s="279"/>
      <c r="O435" s="274"/>
      <c r="P435" s="275"/>
      <c r="Q435" s="276"/>
      <c r="R435" s="277"/>
      <c r="S435" s="278"/>
      <c r="T435" s="279"/>
      <c r="U435" s="279"/>
      <c r="V435" s="279"/>
      <c r="W435" s="279"/>
      <c r="X435" s="279"/>
      <c r="Y435" s="279"/>
      <c r="Z435" s="279"/>
      <c r="AA435" s="279"/>
      <c r="AB435" s="279"/>
      <c r="AC435" s="279"/>
      <c r="AD435" s="279"/>
      <c r="AE435" s="279"/>
      <c r="AF435" s="279"/>
      <c r="AG435" s="280"/>
      <c r="AH435" s="281"/>
      <c r="AI435" s="282"/>
      <c r="AJ435" s="283"/>
      <c r="AK435" s="22" t="s">
        <v>58</v>
      </c>
      <c r="AL435" s="22" t="s">
        <v>58</v>
      </c>
      <c r="AM435" s="22" t="s">
        <v>58</v>
      </c>
    </row>
    <row r="436" spans="1:39" s="22" customFormat="1" x14ac:dyDescent="0.25">
      <c r="A436" s="28" t="str">
        <f>IF(H436&lt;&gt;"",MAX($A$7:A435)+1,"")</f>
        <v/>
      </c>
      <c r="B436" s="243" t="str">
        <f t="shared" si="34"/>
        <v/>
      </c>
      <c r="C436" s="273"/>
      <c r="D436" s="246"/>
      <c r="E436" s="247"/>
      <c r="F436" s="247"/>
      <c r="G436" s="248"/>
      <c r="H436" s="241"/>
      <c r="I436" s="274"/>
      <c r="J436" s="275"/>
      <c r="K436" s="276"/>
      <c r="L436" s="277"/>
      <c r="M436" s="278"/>
      <c r="N436" s="279"/>
      <c r="O436" s="274"/>
      <c r="P436" s="275"/>
      <c r="Q436" s="276"/>
      <c r="R436" s="277"/>
      <c r="S436" s="278"/>
      <c r="T436" s="279"/>
      <c r="U436" s="279"/>
      <c r="V436" s="279"/>
      <c r="W436" s="279"/>
      <c r="X436" s="279"/>
      <c r="Y436" s="279"/>
      <c r="Z436" s="279"/>
      <c r="AA436" s="279"/>
      <c r="AB436" s="279"/>
      <c r="AC436" s="279"/>
      <c r="AD436" s="279"/>
      <c r="AE436" s="279"/>
      <c r="AF436" s="279"/>
      <c r="AG436" s="280"/>
      <c r="AH436" s="281"/>
      <c r="AI436" s="282"/>
      <c r="AJ436" s="283"/>
      <c r="AK436" s="22" t="s">
        <v>58</v>
      </c>
      <c r="AL436" s="22" t="s">
        <v>58</v>
      </c>
      <c r="AM436" s="22" t="s">
        <v>58</v>
      </c>
    </row>
    <row r="437" spans="1:39" s="22" customFormat="1" x14ac:dyDescent="0.25">
      <c r="A437" s="28" t="str">
        <f>IF(H437&lt;&gt;"",MAX($A$7:A436)+1,"")</f>
        <v/>
      </c>
      <c r="B437" s="243" t="str">
        <f t="shared" si="34"/>
        <v/>
      </c>
      <c r="C437" s="273"/>
      <c r="D437" s="246"/>
      <c r="E437" s="247"/>
      <c r="F437" s="247"/>
      <c r="G437" s="248"/>
      <c r="H437" s="241"/>
      <c r="I437" s="274"/>
      <c r="J437" s="275"/>
      <c r="K437" s="276"/>
      <c r="L437" s="277"/>
      <c r="M437" s="278"/>
      <c r="N437" s="279"/>
      <c r="O437" s="274"/>
      <c r="P437" s="275"/>
      <c r="Q437" s="276"/>
      <c r="R437" s="277"/>
      <c r="S437" s="278"/>
      <c r="T437" s="279"/>
      <c r="U437" s="279"/>
      <c r="V437" s="279"/>
      <c r="W437" s="279"/>
      <c r="X437" s="279"/>
      <c r="Y437" s="279"/>
      <c r="Z437" s="279"/>
      <c r="AA437" s="279"/>
      <c r="AB437" s="279"/>
      <c r="AC437" s="279"/>
      <c r="AD437" s="279"/>
      <c r="AE437" s="279"/>
      <c r="AF437" s="279"/>
      <c r="AG437" s="280"/>
      <c r="AH437" s="281"/>
      <c r="AI437" s="282"/>
      <c r="AJ437" s="283"/>
      <c r="AK437" s="22" t="s">
        <v>58</v>
      </c>
      <c r="AL437" s="22" t="s">
        <v>58</v>
      </c>
      <c r="AM437" s="22" t="s">
        <v>58</v>
      </c>
    </row>
    <row r="438" spans="1:39" s="22" customFormat="1" x14ac:dyDescent="0.25">
      <c r="A438" s="28" t="str">
        <f>IF(H438&lt;&gt;"",MAX($A$7:A437)+1,"")</f>
        <v/>
      </c>
      <c r="B438" s="243" t="str">
        <f t="shared" si="34"/>
        <v/>
      </c>
      <c r="C438" s="273"/>
      <c r="D438" s="246"/>
      <c r="E438" s="247"/>
      <c r="F438" s="247"/>
      <c r="G438" s="248"/>
      <c r="H438" s="241"/>
      <c r="I438" s="274"/>
      <c r="J438" s="275"/>
      <c r="K438" s="276"/>
      <c r="L438" s="277"/>
      <c r="M438" s="278"/>
      <c r="N438" s="279"/>
      <c r="O438" s="274"/>
      <c r="P438" s="275"/>
      <c r="Q438" s="276"/>
      <c r="R438" s="277"/>
      <c r="S438" s="278"/>
      <c r="T438" s="279"/>
      <c r="U438" s="279"/>
      <c r="V438" s="279"/>
      <c r="W438" s="279"/>
      <c r="X438" s="279"/>
      <c r="Y438" s="279"/>
      <c r="Z438" s="279"/>
      <c r="AA438" s="279"/>
      <c r="AB438" s="279"/>
      <c r="AC438" s="279"/>
      <c r="AD438" s="279"/>
      <c r="AE438" s="279"/>
      <c r="AF438" s="279"/>
      <c r="AG438" s="280"/>
      <c r="AH438" s="281"/>
      <c r="AI438" s="282"/>
      <c r="AJ438" s="283"/>
      <c r="AK438" s="22" t="s">
        <v>58</v>
      </c>
      <c r="AL438" s="22" t="s">
        <v>58</v>
      </c>
      <c r="AM438" s="22" t="s">
        <v>58</v>
      </c>
    </row>
    <row r="439" spans="1:39" s="22" customFormat="1" x14ac:dyDescent="0.25">
      <c r="A439" s="28" t="str">
        <f>IF(H439&lt;&gt;"",MAX($A$7:A438)+1,"")</f>
        <v/>
      </c>
      <c r="B439" s="243" t="str">
        <f t="shared" si="34"/>
        <v/>
      </c>
      <c r="C439" s="273"/>
      <c r="D439" s="246"/>
      <c r="E439" s="247"/>
      <c r="F439" s="247"/>
      <c r="G439" s="248"/>
      <c r="H439" s="241"/>
      <c r="I439" s="274"/>
      <c r="J439" s="275"/>
      <c r="K439" s="276"/>
      <c r="L439" s="277"/>
      <c r="M439" s="278"/>
      <c r="N439" s="279"/>
      <c r="O439" s="274"/>
      <c r="P439" s="275"/>
      <c r="Q439" s="276"/>
      <c r="R439" s="277"/>
      <c r="S439" s="278"/>
      <c r="T439" s="279"/>
      <c r="U439" s="279"/>
      <c r="V439" s="279"/>
      <c r="W439" s="279"/>
      <c r="X439" s="279"/>
      <c r="Y439" s="279"/>
      <c r="Z439" s="279"/>
      <c r="AA439" s="279"/>
      <c r="AB439" s="279"/>
      <c r="AC439" s="279"/>
      <c r="AD439" s="279"/>
      <c r="AE439" s="279"/>
      <c r="AF439" s="279"/>
      <c r="AG439" s="280"/>
      <c r="AH439" s="281"/>
      <c r="AI439" s="282"/>
      <c r="AJ439" s="283"/>
      <c r="AK439" s="22" t="s">
        <v>58</v>
      </c>
      <c r="AL439" s="22" t="s">
        <v>58</v>
      </c>
      <c r="AM439" s="22" t="s">
        <v>58</v>
      </c>
    </row>
    <row r="440" spans="1:39" s="22" customFormat="1" x14ac:dyDescent="0.25">
      <c r="A440" s="28" t="str">
        <f>IF(H440&lt;&gt;"",MAX($A$7:A439)+1,"")</f>
        <v/>
      </c>
      <c r="B440" s="243" t="str">
        <f t="shared" si="34"/>
        <v/>
      </c>
      <c r="C440" s="273"/>
      <c r="D440" s="246"/>
      <c r="E440" s="247"/>
      <c r="F440" s="247"/>
      <c r="G440" s="248"/>
      <c r="H440" s="241"/>
      <c r="I440" s="274"/>
      <c r="J440" s="275"/>
      <c r="K440" s="276"/>
      <c r="L440" s="277"/>
      <c r="M440" s="278"/>
      <c r="N440" s="279"/>
      <c r="O440" s="274"/>
      <c r="P440" s="275"/>
      <c r="Q440" s="276"/>
      <c r="R440" s="277"/>
      <c r="S440" s="278"/>
      <c r="T440" s="279"/>
      <c r="U440" s="279"/>
      <c r="V440" s="279"/>
      <c r="W440" s="279"/>
      <c r="X440" s="279"/>
      <c r="Y440" s="279"/>
      <c r="Z440" s="279"/>
      <c r="AA440" s="279"/>
      <c r="AB440" s="279"/>
      <c r="AC440" s="279"/>
      <c r="AD440" s="279"/>
      <c r="AE440" s="279"/>
      <c r="AF440" s="279"/>
      <c r="AG440" s="280"/>
      <c r="AH440" s="281"/>
      <c r="AI440" s="282"/>
      <c r="AJ440" s="283"/>
      <c r="AK440" s="22" t="s">
        <v>58</v>
      </c>
      <c r="AL440" s="22" t="s">
        <v>58</v>
      </c>
      <c r="AM440" s="22" t="s">
        <v>58</v>
      </c>
    </row>
    <row r="441" spans="1:39" s="22" customFormat="1" x14ac:dyDescent="0.25">
      <c r="A441" s="28" t="str">
        <f>IF(H441&lt;&gt;"",MAX($A$7:A440)+1,"")</f>
        <v/>
      </c>
      <c r="B441" s="243" t="str">
        <f t="shared" si="34"/>
        <v/>
      </c>
      <c r="C441" s="273"/>
      <c r="D441" s="246"/>
      <c r="E441" s="247"/>
      <c r="F441" s="247"/>
      <c r="G441" s="248"/>
      <c r="H441" s="241"/>
      <c r="I441" s="274"/>
      <c r="J441" s="275"/>
      <c r="K441" s="276"/>
      <c r="L441" s="277"/>
      <c r="M441" s="278"/>
      <c r="N441" s="279"/>
      <c r="O441" s="274"/>
      <c r="P441" s="275"/>
      <c r="Q441" s="276"/>
      <c r="R441" s="277"/>
      <c r="S441" s="278"/>
      <c r="T441" s="279"/>
      <c r="U441" s="279"/>
      <c r="V441" s="279"/>
      <c r="W441" s="279"/>
      <c r="X441" s="279"/>
      <c r="Y441" s="279"/>
      <c r="Z441" s="279"/>
      <c r="AA441" s="279"/>
      <c r="AB441" s="279"/>
      <c r="AC441" s="279"/>
      <c r="AD441" s="279"/>
      <c r="AE441" s="279"/>
      <c r="AF441" s="279"/>
      <c r="AG441" s="280"/>
      <c r="AH441" s="281"/>
      <c r="AI441" s="282"/>
      <c r="AJ441" s="283"/>
      <c r="AK441" s="22" t="s">
        <v>58</v>
      </c>
      <c r="AL441" s="22" t="s">
        <v>58</v>
      </c>
      <c r="AM441" s="22" t="s">
        <v>58</v>
      </c>
    </row>
    <row r="442" spans="1:39" s="22" customFormat="1" x14ac:dyDescent="0.25">
      <c r="A442" s="28" t="str">
        <f>IF(H442&lt;&gt;"",MAX($A$7:A441)+1,"")</f>
        <v/>
      </c>
      <c r="B442" s="243" t="str">
        <f t="shared" si="34"/>
        <v/>
      </c>
      <c r="C442" s="273"/>
      <c r="D442" s="246"/>
      <c r="E442" s="247"/>
      <c r="F442" s="247"/>
      <c r="G442" s="248"/>
      <c r="H442" s="241"/>
      <c r="I442" s="274"/>
      <c r="J442" s="275"/>
      <c r="K442" s="276"/>
      <c r="L442" s="277"/>
      <c r="M442" s="278"/>
      <c r="N442" s="279"/>
      <c r="O442" s="274"/>
      <c r="P442" s="275"/>
      <c r="Q442" s="276"/>
      <c r="R442" s="277"/>
      <c r="S442" s="278"/>
      <c r="T442" s="279"/>
      <c r="U442" s="279"/>
      <c r="V442" s="279"/>
      <c r="W442" s="279"/>
      <c r="X442" s="279"/>
      <c r="Y442" s="279"/>
      <c r="Z442" s="279"/>
      <c r="AA442" s="279"/>
      <c r="AB442" s="279"/>
      <c r="AC442" s="279"/>
      <c r="AD442" s="279"/>
      <c r="AE442" s="279"/>
      <c r="AF442" s="279"/>
      <c r="AG442" s="280"/>
      <c r="AH442" s="281"/>
      <c r="AI442" s="282"/>
      <c r="AJ442" s="283"/>
      <c r="AK442" s="22" t="s">
        <v>58</v>
      </c>
      <c r="AL442" s="22" t="s">
        <v>58</v>
      </c>
      <c r="AM442" s="22" t="s">
        <v>58</v>
      </c>
    </row>
    <row r="443" spans="1:39" s="22" customFormat="1" x14ac:dyDescent="0.25">
      <c r="A443" s="28" t="str">
        <f>IF(H443&lt;&gt;"",MAX($A$7:A442)+1,"")</f>
        <v/>
      </c>
      <c r="B443" s="243" t="str">
        <f t="shared" si="34"/>
        <v/>
      </c>
      <c r="C443" s="273"/>
      <c r="D443" s="246"/>
      <c r="E443" s="247"/>
      <c r="F443" s="247"/>
      <c r="G443" s="248"/>
      <c r="H443" s="241"/>
      <c r="I443" s="274"/>
      <c r="J443" s="275"/>
      <c r="K443" s="276"/>
      <c r="L443" s="277"/>
      <c r="M443" s="278"/>
      <c r="N443" s="279"/>
      <c r="O443" s="274"/>
      <c r="P443" s="275"/>
      <c r="Q443" s="276"/>
      <c r="R443" s="277"/>
      <c r="S443" s="278"/>
      <c r="T443" s="279"/>
      <c r="U443" s="279"/>
      <c r="V443" s="279"/>
      <c r="W443" s="279"/>
      <c r="X443" s="279"/>
      <c r="Y443" s="279"/>
      <c r="Z443" s="279"/>
      <c r="AA443" s="279"/>
      <c r="AB443" s="279"/>
      <c r="AC443" s="279"/>
      <c r="AD443" s="279"/>
      <c r="AE443" s="279"/>
      <c r="AF443" s="279"/>
      <c r="AG443" s="280"/>
      <c r="AH443" s="281"/>
      <c r="AI443" s="282"/>
      <c r="AJ443" s="283"/>
      <c r="AK443" s="22" t="s">
        <v>58</v>
      </c>
      <c r="AL443" s="22" t="s">
        <v>58</v>
      </c>
      <c r="AM443" s="22" t="s">
        <v>58</v>
      </c>
    </row>
    <row r="444" spans="1:39" s="22" customFormat="1" x14ac:dyDescent="0.25">
      <c r="A444" s="28" t="str">
        <f>IF(H444&lt;&gt;"",MAX($A$7:A443)+1,"")</f>
        <v/>
      </c>
      <c r="B444" s="243" t="str">
        <f t="shared" si="34"/>
        <v/>
      </c>
      <c r="C444" s="273"/>
      <c r="D444" s="246"/>
      <c r="E444" s="247"/>
      <c r="F444" s="247"/>
      <c r="G444" s="248"/>
      <c r="H444" s="241"/>
      <c r="I444" s="274"/>
      <c r="J444" s="275"/>
      <c r="K444" s="276"/>
      <c r="L444" s="277"/>
      <c r="M444" s="278"/>
      <c r="N444" s="279"/>
      <c r="O444" s="274"/>
      <c r="P444" s="275"/>
      <c r="Q444" s="276"/>
      <c r="R444" s="277"/>
      <c r="S444" s="278"/>
      <c r="T444" s="279"/>
      <c r="U444" s="279"/>
      <c r="V444" s="279"/>
      <c r="W444" s="279"/>
      <c r="X444" s="279"/>
      <c r="Y444" s="279"/>
      <c r="Z444" s="279"/>
      <c r="AA444" s="279"/>
      <c r="AB444" s="279"/>
      <c r="AC444" s="279"/>
      <c r="AD444" s="279"/>
      <c r="AE444" s="279"/>
      <c r="AF444" s="279"/>
      <c r="AG444" s="280"/>
      <c r="AH444" s="281"/>
      <c r="AI444" s="282"/>
      <c r="AJ444" s="283"/>
      <c r="AK444" s="22" t="s">
        <v>58</v>
      </c>
      <c r="AL444" s="22" t="s">
        <v>58</v>
      </c>
      <c r="AM444" s="22" t="s">
        <v>58</v>
      </c>
    </row>
    <row r="445" spans="1:39" s="22" customFormat="1" x14ac:dyDescent="0.25">
      <c r="A445" s="28" t="str">
        <f>IF(H445&lt;&gt;"",MAX($A$7:A444)+1,"")</f>
        <v/>
      </c>
      <c r="B445" s="243" t="str">
        <f t="shared" si="34"/>
        <v/>
      </c>
      <c r="C445" s="273"/>
      <c r="D445" s="246"/>
      <c r="E445" s="247"/>
      <c r="F445" s="247"/>
      <c r="G445" s="248"/>
      <c r="H445" s="241"/>
      <c r="I445" s="274"/>
      <c r="J445" s="275"/>
      <c r="K445" s="276"/>
      <c r="L445" s="277"/>
      <c r="M445" s="278"/>
      <c r="N445" s="279"/>
      <c r="O445" s="274"/>
      <c r="P445" s="275"/>
      <c r="Q445" s="276"/>
      <c r="R445" s="277"/>
      <c r="S445" s="278"/>
      <c r="T445" s="279"/>
      <c r="U445" s="279"/>
      <c r="V445" s="279"/>
      <c r="W445" s="279"/>
      <c r="X445" s="279"/>
      <c r="Y445" s="279"/>
      <c r="Z445" s="279"/>
      <c r="AA445" s="279"/>
      <c r="AB445" s="279"/>
      <c r="AC445" s="279"/>
      <c r="AD445" s="279"/>
      <c r="AE445" s="279"/>
      <c r="AF445" s="279"/>
      <c r="AG445" s="280"/>
      <c r="AH445" s="281"/>
      <c r="AI445" s="282"/>
      <c r="AJ445" s="283"/>
      <c r="AK445" s="22" t="s">
        <v>58</v>
      </c>
      <c r="AL445" s="22" t="s">
        <v>58</v>
      </c>
      <c r="AM445" s="22" t="s">
        <v>58</v>
      </c>
    </row>
    <row r="446" spans="1:39" s="22" customFormat="1" x14ac:dyDescent="0.25">
      <c r="A446" s="28" t="str">
        <f>IF(H446&lt;&gt;"",MAX($A$7:A445)+1,"")</f>
        <v/>
      </c>
      <c r="B446" s="243" t="str">
        <f t="shared" si="34"/>
        <v/>
      </c>
      <c r="C446" s="273"/>
      <c r="D446" s="246"/>
      <c r="E446" s="247"/>
      <c r="F446" s="247"/>
      <c r="G446" s="248"/>
      <c r="H446" s="241"/>
      <c r="I446" s="274"/>
      <c r="J446" s="275"/>
      <c r="K446" s="276"/>
      <c r="L446" s="277"/>
      <c r="M446" s="278"/>
      <c r="N446" s="279"/>
      <c r="O446" s="274"/>
      <c r="P446" s="275"/>
      <c r="Q446" s="276"/>
      <c r="R446" s="277"/>
      <c r="S446" s="278"/>
      <c r="T446" s="279"/>
      <c r="U446" s="279"/>
      <c r="V446" s="279"/>
      <c r="W446" s="279"/>
      <c r="X446" s="279"/>
      <c r="Y446" s="279"/>
      <c r="Z446" s="279"/>
      <c r="AA446" s="279"/>
      <c r="AB446" s="279"/>
      <c r="AC446" s="279"/>
      <c r="AD446" s="279"/>
      <c r="AE446" s="279"/>
      <c r="AF446" s="279"/>
      <c r="AG446" s="280"/>
      <c r="AH446" s="281"/>
      <c r="AI446" s="282"/>
      <c r="AJ446" s="283"/>
      <c r="AK446" s="22" t="s">
        <v>58</v>
      </c>
      <c r="AL446" s="22" t="s">
        <v>58</v>
      </c>
      <c r="AM446" s="22" t="s">
        <v>58</v>
      </c>
    </row>
    <row r="447" spans="1:39" s="22" customFormat="1" x14ac:dyDescent="0.25">
      <c r="A447" s="28" t="str">
        <f>IF(H447&lt;&gt;"",MAX($A$7:A446)+1,"")</f>
        <v/>
      </c>
      <c r="B447" s="243" t="str">
        <f t="shared" si="34"/>
        <v/>
      </c>
      <c r="C447" s="273"/>
      <c r="D447" s="246"/>
      <c r="E447" s="247"/>
      <c r="F447" s="247"/>
      <c r="G447" s="248"/>
      <c r="H447" s="241"/>
      <c r="I447" s="274"/>
      <c r="J447" s="275"/>
      <c r="K447" s="276"/>
      <c r="L447" s="277"/>
      <c r="M447" s="278"/>
      <c r="N447" s="279"/>
      <c r="O447" s="274"/>
      <c r="P447" s="275"/>
      <c r="Q447" s="276"/>
      <c r="R447" s="277"/>
      <c r="S447" s="278"/>
      <c r="T447" s="279"/>
      <c r="U447" s="279"/>
      <c r="V447" s="279"/>
      <c r="W447" s="279"/>
      <c r="X447" s="279"/>
      <c r="Y447" s="279"/>
      <c r="Z447" s="279"/>
      <c r="AA447" s="279"/>
      <c r="AB447" s="279"/>
      <c r="AC447" s="279"/>
      <c r="AD447" s="279"/>
      <c r="AE447" s="279"/>
      <c r="AF447" s="279"/>
      <c r="AG447" s="280"/>
      <c r="AH447" s="281"/>
      <c r="AI447" s="282"/>
      <c r="AJ447" s="283"/>
      <c r="AK447" s="22" t="s">
        <v>58</v>
      </c>
      <c r="AL447" s="22" t="s">
        <v>58</v>
      </c>
      <c r="AM447" s="22" t="s">
        <v>58</v>
      </c>
    </row>
    <row r="448" spans="1:39" s="22" customFormat="1" x14ac:dyDescent="0.25">
      <c r="A448" s="28" t="str">
        <f>IF(H448&lt;&gt;"",MAX($A$7:A447)+1,"")</f>
        <v/>
      </c>
      <c r="B448" s="243" t="str">
        <f t="shared" si="34"/>
        <v/>
      </c>
      <c r="C448" s="273"/>
      <c r="D448" s="246"/>
      <c r="E448" s="247"/>
      <c r="F448" s="247"/>
      <c r="G448" s="248"/>
      <c r="H448" s="241"/>
      <c r="I448" s="274"/>
      <c r="J448" s="275"/>
      <c r="K448" s="276"/>
      <c r="L448" s="277"/>
      <c r="M448" s="278"/>
      <c r="N448" s="279"/>
      <c r="O448" s="274"/>
      <c r="P448" s="275"/>
      <c r="Q448" s="276"/>
      <c r="R448" s="277"/>
      <c r="S448" s="278"/>
      <c r="T448" s="279"/>
      <c r="U448" s="279"/>
      <c r="V448" s="279"/>
      <c r="W448" s="279"/>
      <c r="X448" s="279"/>
      <c r="Y448" s="279"/>
      <c r="Z448" s="279"/>
      <c r="AA448" s="279"/>
      <c r="AB448" s="279"/>
      <c r="AC448" s="279"/>
      <c r="AD448" s="279"/>
      <c r="AE448" s="279"/>
      <c r="AF448" s="279"/>
      <c r="AG448" s="280"/>
      <c r="AH448" s="281"/>
      <c r="AI448" s="282"/>
      <c r="AJ448" s="283"/>
      <c r="AK448" s="22" t="s">
        <v>58</v>
      </c>
      <c r="AL448" s="22" t="s">
        <v>58</v>
      </c>
      <c r="AM448" s="22" t="s">
        <v>58</v>
      </c>
    </row>
    <row r="449" spans="1:39" s="22" customFormat="1" x14ac:dyDescent="0.25">
      <c r="A449" s="28" t="str">
        <f>IF(H449&lt;&gt;"",MAX($A$7:A448)+1,"")</f>
        <v/>
      </c>
      <c r="B449" s="243" t="str">
        <f t="shared" si="34"/>
        <v/>
      </c>
      <c r="C449" s="273"/>
      <c r="D449" s="246"/>
      <c r="E449" s="247"/>
      <c r="F449" s="247"/>
      <c r="G449" s="248"/>
      <c r="H449" s="241"/>
      <c r="I449" s="274"/>
      <c r="J449" s="275"/>
      <c r="K449" s="276"/>
      <c r="L449" s="277"/>
      <c r="M449" s="278"/>
      <c r="N449" s="279"/>
      <c r="O449" s="274"/>
      <c r="P449" s="275"/>
      <c r="Q449" s="276"/>
      <c r="R449" s="277"/>
      <c r="S449" s="278"/>
      <c r="T449" s="279"/>
      <c r="U449" s="279"/>
      <c r="V449" s="279"/>
      <c r="W449" s="279"/>
      <c r="X449" s="279"/>
      <c r="Y449" s="279"/>
      <c r="Z449" s="279"/>
      <c r="AA449" s="279"/>
      <c r="AB449" s="279"/>
      <c r="AC449" s="279"/>
      <c r="AD449" s="279"/>
      <c r="AE449" s="279"/>
      <c r="AF449" s="279"/>
      <c r="AG449" s="280"/>
      <c r="AH449" s="281"/>
      <c r="AI449" s="282"/>
      <c r="AJ449" s="283"/>
      <c r="AK449" s="22" t="s">
        <v>58</v>
      </c>
      <c r="AL449" s="22" t="s">
        <v>58</v>
      </c>
      <c r="AM449" s="22" t="s">
        <v>58</v>
      </c>
    </row>
    <row r="450" spans="1:39" s="22" customFormat="1" x14ac:dyDescent="0.25">
      <c r="A450" s="28" t="str">
        <f>IF(H450&lt;&gt;"",MAX($A$7:A449)+1,"")</f>
        <v/>
      </c>
      <c r="B450" s="243" t="str">
        <f t="shared" si="34"/>
        <v/>
      </c>
      <c r="C450" s="273"/>
      <c r="D450" s="246"/>
      <c r="E450" s="247"/>
      <c r="F450" s="247"/>
      <c r="G450" s="248"/>
      <c r="H450" s="241"/>
      <c r="I450" s="274"/>
      <c r="J450" s="275"/>
      <c r="K450" s="276"/>
      <c r="L450" s="277"/>
      <c r="M450" s="278"/>
      <c r="N450" s="279"/>
      <c r="O450" s="274"/>
      <c r="P450" s="275"/>
      <c r="Q450" s="276"/>
      <c r="R450" s="277"/>
      <c r="S450" s="278"/>
      <c r="T450" s="279"/>
      <c r="U450" s="279"/>
      <c r="V450" s="279"/>
      <c r="W450" s="279"/>
      <c r="X450" s="279"/>
      <c r="Y450" s="279"/>
      <c r="Z450" s="279"/>
      <c r="AA450" s="279"/>
      <c r="AB450" s="279"/>
      <c r="AC450" s="279"/>
      <c r="AD450" s="279"/>
      <c r="AE450" s="279"/>
      <c r="AF450" s="279"/>
      <c r="AG450" s="280"/>
      <c r="AH450" s="281"/>
      <c r="AI450" s="282"/>
      <c r="AJ450" s="283"/>
      <c r="AK450" s="22" t="s">
        <v>58</v>
      </c>
      <c r="AL450" s="22" t="s">
        <v>58</v>
      </c>
      <c r="AM450" s="22" t="s">
        <v>58</v>
      </c>
    </row>
    <row r="451" spans="1:39" s="22" customFormat="1" x14ac:dyDescent="0.25">
      <c r="A451" s="28" t="str">
        <f>IF(H451&lt;&gt;"",MAX($A$7:A450)+1,"")</f>
        <v/>
      </c>
      <c r="B451" s="243" t="str">
        <f t="shared" si="34"/>
        <v/>
      </c>
      <c r="C451" s="273"/>
      <c r="D451" s="246"/>
      <c r="E451" s="247"/>
      <c r="F451" s="247"/>
      <c r="G451" s="248"/>
      <c r="H451" s="241"/>
      <c r="I451" s="274"/>
      <c r="J451" s="275"/>
      <c r="K451" s="276"/>
      <c r="L451" s="277"/>
      <c r="M451" s="278"/>
      <c r="N451" s="279"/>
      <c r="O451" s="274"/>
      <c r="P451" s="275"/>
      <c r="Q451" s="276"/>
      <c r="R451" s="277"/>
      <c r="S451" s="278"/>
      <c r="T451" s="279"/>
      <c r="U451" s="279"/>
      <c r="V451" s="279"/>
      <c r="W451" s="279"/>
      <c r="X451" s="279"/>
      <c r="Y451" s="279"/>
      <c r="Z451" s="279"/>
      <c r="AA451" s="279"/>
      <c r="AB451" s="279"/>
      <c r="AC451" s="279"/>
      <c r="AD451" s="279"/>
      <c r="AE451" s="279"/>
      <c r="AF451" s="279"/>
      <c r="AG451" s="280"/>
      <c r="AH451" s="281"/>
      <c r="AI451" s="282"/>
      <c r="AJ451" s="283"/>
      <c r="AK451" s="22" t="s">
        <v>58</v>
      </c>
      <c r="AL451" s="22" t="s">
        <v>58</v>
      </c>
      <c r="AM451" s="22" t="s">
        <v>58</v>
      </c>
    </row>
    <row r="452" spans="1:39" s="22" customFormat="1" x14ac:dyDescent="0.25">
      <c r="A452" s="28" t="str">
        <f>IF(H452&lt;&gt;"",MAX($A$7:A451)+1,"")</f>
        <v/>
      </c>
      <c r="B452" s="243" t="str">
        <f t="shared" si="34"/>
        <v/>
      </c>
      <c r="C452" s="273"/>
      <c r="D452" s="246"/>
      <c r="E452" s="247"/>
      <c r="F452" s="247"/>
      <c r="G452" s="248"/>
      <c r="H452" s="241"/>
      <c r="I452" s="274"/>
      <c r="J452" s="275"/>
      <c r="K452" s="276"/>
      <c r="L452" s="277"/>
      <c r="M452" s="278"/>
      <c r="N452" s="279"/>
      <c r="O452" s="274"/>
      <c r="P452" s="275"/>
      <c r="Q452" s="276"/>
      <c r="R452" s="277"/>
      <c r="S452" s="278"/>
      <c r="T452" s="279"/>
      <c r="U452" s="279"/>
      <c r="V452" s="279"/>
      <c r="W452" s="279"/>
      <c r="X452" s="279"/>
      <c r="Y452" s="279"/>
      <c r="Z452" s="279"/>
      <c r="AA452" s="279"/>
      <c r="AB452" s="279"/>
      <c r="AC452" s="279"/>
      <c r="AD452" s="279"/>
      <c r="AE452" s="279"/>
      <c r="AF452" s="279"/>
      <c r="AG452" s="280"/>
      <c r="AH452" s="281"/>
      <c r="AI452" s="282"/>
      <c r="AJ452" s="283"/>
      <c r="AK452" s="22" t="s">
        <v>58</v>
      </c>
      <c r="AL452" s="22" t="s">
        <v>58</v>
      </c>
      <c r="AM452" s="22" t="s">
        <v>58</v>
      </c>
    </row>
    <row r="453" spans="1:39" s="22" customFormat="1" x14ac:dyDescent="0.25">
      <c r="A453" s="28" t="str">
        <f>IF(H453&lt;&gt;"",MAX($A$7:A452)+1,"")</f>
        <v/>
      </c>
      <c r="B453" s="243" t="str">
        <f t="shared" si="34"/>
        <v/>
      </c>
      <c r="C453" s="273"/>
      <c r="D453" s="246"/>
      <c r="E453" s="247"/>
      <c r="F453" s="247"/>
      <c r="G453" s="248"/>
      <c r="H453" s="241"/>
      <c r="I453" s="274"/>
      <c r="J453" s="275"/>
      <c r="K453" s="276"/>
      <c r="L453" s="277"/>
      <c r="M453" s="278"/>
      <c r="N453" s="279"/>
      <c r="O453" s="274"/>
      <c r="P453" s="275"/>
      <c r="Q453" s="276"/>
      <c r="R453" s="277"/>
      <c r="S453" s="278"/>
      <c r="T453" s="279"/>
      <c r="U453" s="279"/>
      <c r="V453" s="279"/>
      <c r="W453" s="279"/>
      <c r="X453" s="279"/>
      <c r="Y453" s="279"/>
      <c r="Z453" s="279"/>
      <c r="AA453" s="279"/>
      <c r="AB453" s="279"/>
      <c r="AC453" s="279"/>
      <c r="AD453" s="279"/>
      <c r="AE453" s="279"/>
      <c r="AF453" s="279"/>
      <c r="AG453" s="280"/>
      <c r="AH453" s="281"/>
      <c r="AI453" s="282"/>
      <c r="AJ453" s="283"/>
      <c r="AK453" s="22" t="s">
        <v>58</v>
      </c>
      <c r="AL453" s="22" t="s">
        <v>58</v>
      </c>
      <c r="AM453" s="22" t="s">
        <v>58</v>
      </c>
    </row>
    <row r="454" spans="1:39" s="22" customFormat="1" x14ac:dyDescent="0.25">
      <c r="A454" s="28" t="str">
        <f>IF(H454&lt;&gt;"",MAX($A$7:A453)+1,"")</f>
        <v/>
      </c>
      <c r="B454" s="243" t="str">
        <f t="shared" si="34"/>
        <v/>
      </c>
      <c r="C454" s="273"/>
      <c r="D454" s="246"/>
      <c r="E454" s="247"/>
      <c r="F454" s="247"/>
      <c r="G454" s="248"/>
      <c r="H454" s="241"/>
      <c r="I454" s="274"/>
      <c r="J454" s="275"/>
      <c r="K454" s="276"/>
      <c r="L454" s="277"/>
      <c r="M454" s="278"/>
      <c r="N454" s="279"/>
      <c r="O454" s="274"/>
      <c r="P454" s="275"/>
      <c r="Q454" s="276"/>
      <c r="R454" s="277"/>
      <c r="S454" s="278"/>
      <c r="T454" s="279"/>
      <c r="U454" s="279"/>
      <c r="V454" s="279"/>
      <c r="W454" s="279"/>
      <c r="X454" s="279"/>
      <c r="Y454" s="279"/>
      <c r="Z454" s="279"/>
      <c r="AA454" s="279"/>
      <c r="AB454" s="279"/>
      <c r="AC454" s="279"/>
      <c r="AD454" s="279"/>
      <c r="AE454" s="279"/>
      <c r="AF454" s="279"/>
      <c r="AG454" s="280"/>
      <c r="AH454" s="281"/>
      <c r="AI454" s="282"/>
      <c r="AJ454" s="283"/>
      <c r="AK454" s="22" t="s">
        <v>58</v>
      </c>
      <c r="AL454" s="22" t="s">
        <v>58</v>
      </c>
      <c r="AM454" s="22" t="s">
        <v>58</v>
      </c>
    </row>
    <row r="455" spans="1:39" s="22" customFormat="1" x14ac:dyDescent="0.25">
      <c r="A455" s="28" t="str">
        <f>IF(H455&lt;&gt;"",MAX($A$7:A454)+1,"")</f>
        <v/>
      </c>
      <c r="B455" s="243" t="str">
        <f t="shared" ref="B455:B518" si="35">IF(A455="","",PREF_PREGUNTA&amp;" - "&amp;IF(MAX(A:A)&gt;99,IF(A455&lt;100,"0",""),"")&amp;IF(A455&lt;10,"0","")&amp;A455&amp;IF(G455&lt;&gt;""," "&amp;G455,""))</f>
        <v/>
      </c>
      <c r="C455" s="273"/>
      <c r="D455" s="246"/>
      <c r="E455" s="247"/>
      <c r="F455" s="247"/>
      <c r="G455" s="248"/>
      <c r="H455" s="241"/>
      <c r="I455" s="274"/>
      <c r="J455" s="275"/>
      <c r="K455" s="276"/>
      <c r="L455" s="277"/>
      <c r="M455" s="278"/>
      <c r="N455" s="279"/>
      <c r="O455" s="274"/>
      <c r="P455" s="275"/>
      <c r="Q455" s="276"/>
      <c r="R455" s="277"/>
      <c r="S455" s="278"/>
      <c r="T455" s="279"/>
      <c r="U455" s="279"/>
      <c r="V455" s="279"/>
      <c r="W455" s="279"/>
      <c r="X455" s="279"/>
      <c r="Y455" s="279"/>
      <c r="Z455" s="279"/>
      <c r="AA455" s="279"/>
      <c r="AB455" s="279"/>
      <c r="AC455" s="279"/>
      <c r="AD455" s="279"/>
      <c r="AE455" s="279"/>
      <c r="AF455" s="279"/>
      <c r="AG455" s="280"/>
      <c r="AH455" s="281"/>
      <c r="AI455" s="282"/>
      <c r="AJ455" s="283"/>
      <c r="AK455" s="22" t="s">
        <v>58</v>
      </c>
      <c r="AL455" s="22" t="s">
        <v>58</v>
      </c>
      <c r="AM455" s="22" t="s">
        <v>58</v>
      </c>
    </row>
    <row r="456" spans="1:39" s="22" customFormat="1" x14ac:dyDescent="0.25">
      <c r="A456" s="28" t="str">
        <f>IF(H456&lt;&gt;"",MAX($A$7:A455)+1,"")</f>
        <v/>
      </c>
      <c r="B456" s="243" t="str">
        <f t="shared" si="35"/>
        <v/>
      </c>
      <c r="C456" s="273"/>
      <c r="D456" s="246"/>
      <c r="E456" s="247"/>
      <c r="F456" s="247"/>
      <c r="G456" s="248"/>
      <c r="H456" s="241"/>
      <c r="I456" s="274"/>
      <c r="J456" s="275"/>
      <c r="K456" s="276"/>
      <c r="L456" s="277"/>
      <c r="M456" s="278"/>
      <c r="N456" s="279"/>
      <c r="O456" s="274"/>
      <c r="P456" s="275"/>
      <c r="Q456" s="276"/>
      <c r="R456" s="277"/>
      <c r="S456" s="278"/>
      <c r="T456" s="279"/>
      <c r="U456" s="279"/>
      <c r="V456" s="279"/>
      <c r="W456" s="279"/>
      <c r="X456" s="279"/>
      <c r="Y456" s="279"/>
      <c r="Z456" s="279"/>
      <c r="AA456" s="279"/>
      <c r="AB456" s="279"/>
      <c r="AC456" s="279"/>
      <c r="AD456" s="279"/>
      <c r="AE456" s="279"/>
      <c r="AF456" s="279"/>
      <c r="AG456" s="280"/>
      <c r="AH456" s="281"/>
      <c r="AI456" s="282"/>
      <c r="AJ456" s="283"/>
      <c r="AK456" s="22" t="s">
        <v>58</v>
      </c>
      <c r="AL456" s="22" t="s">
        <v>58</v>
      </c>
      <c r="AM456" s="22" t="s">
        <v>58</v>
      </c>
    </row>
    <row r="457" spans="1:39" s="22" customFormat="1" x14ac:dyDescent="0.25">
      <c r="A457" s="28" t="str">
        <f>IF(H457&lt;&gt;"",MAX($A$7:A456)+1,"")</f>
        <v/>
      </c>
      <c r="B457" s="243" t="str">
        <f t="shared" si="35"/>
        <v/>
      </c>
      <c r="C457" s="273"/>
      <c r="D457" s="246"/>
      <c r="E457" s="247"/>
      <c r="F457" s="247"/>
      <c r="G457" s="248"/>
      <c r="H457" s="241"/>
      <c r="I457" s="274"/>
      <c r="J457" s="275"/>
      <c r="K457" s="276"/>
      <c r="L457" s="277"/>
      <c r="M457" s="278"/>
      <c r="N457" s="279"/>
      <c r="O457" s="274"/>
      <c r="P457" s="275"/>
      <c r="Q457" s="276"/>
      <c r="R457" s="277"/>
      <c r="S457" s="278"/>
      <c r="T457" s="279"/>
      <c r="U457" s="279"/>
      <c r="V457" s="279"/>
      <c r="W457" s="279"/>
      <c r="X457" s="279"/>
      <c r="Y457" s="279"/>
      <c r="Z457" s="279"/>
      <c r="AA457" s="279"/>
      <c r="AB457" s="279"/>
      <c r="AC457" s="279"/>
      <c r="AD457" s="279"/>
      <c r="AE457" s="279"/>
      <c r="AF457" s="279"/>
      <c r="AG457" s="280"/>
      <c r="AH457" s="281"/>
      <c r="AI457" s="282"/>
      <c r="AJ457" s="283"/>
      <c r="AK457" s="22" t="s">
        <v>58</v>
      </c>
      <c r="AL457" s="22" t="s">
        <v>58</v>
      </c>
      <c r="AM457" s="22" t="s">
        <v>58</v>
      </c>
    </row>
    <row r="458" spans="1:39" s="22" customFormat="1" x14ac:dyDescent="0.25">
      <c r="A458" s="28" t="str">
        <f>IF(H458&lt;&gt;"",MAX($A$7:A457)+1,"")</f>
        <v/>
      </c>
      <c r="B458" s="243" t="str">
        <f t="shared" si="35"/>
        <v/>
      </c>
      <c r="C458" s="273"/>
      <c r="D458" s="246"/>
      <c r="E458" s="247"/>
      <c r="F458" s="247"/>
      <c r="G458" s="248"/>
      <c r="H458" s="241"/>
      <c r="I458" s="274"/>
      <c r="J458" s="275"/>
      <c r="K458" s="276"/>
      <c r="L458" s="277"/>
      <c r="M458" s="278"/>
      <c r="N458" s="279"/>
      <c r="O458" s="274"/>
      <c r="P458" s="275"/>
      <c r="Q458" s="276"/>
      <c r="R458" s="277"/>
      <c r="S458" s="278"/>
      <c r="T458" s="279"/>
      <c r="U458" s="279"/>
      <c r="V458" s="279"/>
      <c r="W458" s="279"/>
      <c r="X458" s="279"/>
      <c r="Y458" s="279"/>
      <c r="Z458" s="279"/>
      <c r="AA458" s="279"/>
      <c r="AB458" s="279"/>
      <c r="AC458" s="279"/>
      <c r="AD458" s="279"/>
      <c r="AE458" s="279"/>
      <c r="AF458" s="279"/>
      <c r="AG458" s="280"/>
      <c r="AH458" s="281"/>
      <c r="AI458" s="282"/>
      <c r="AJ458" s="283"/>
      <c r="AK458" s="22" t="s">
        <v>58</v>
      </c>
      <c r="AL458" s="22" t="s">
        <v>58</v>
      </c>
      <c r="AM458" s="22" t="s">
        <v>58</v>
      </c>
    </row>
    <row r="459" spans="1:39" s="22" customFormat="1" x14ac:dyDescent="0.25">
      <c r="A459" s="28" t="str">
        <f>IF(H459&lt;&gt;"",MAX($A$7:A458)+1,"")</f>
        <v/>
      </c>
      <c r="B459" s="243" t="str">
        <f t="shared" si="35"/>
        <v/>
      </c>
      <c r="C459" s="273"/>
      <c r="D459" s="246"/>
      <c r="E459" s="247"/>
      <c r="F459" s="247"/>
      <c r="G459" s="248"/>
      <c r="H459" s="241"/>
      <c r="I459" s="274"/>
      <c r="J459" s="275"/>
      <c r="K459" s="276"/>
      <c r="L459" s="277"/>
      <c r="M459" s="278"/>
      <c r="N459" s="279"/>
      <c r="O459" s="274"/>
      <c r="P459" s="275"/>
      <c r="Q459" s="276"/>
      <c r="R459" s="277"/>
      <c r="S459" s="278"/>
      <c r="T459" s="279"/>
      <c r="U459" s="279"/>
      <c r="V459" s="279"/>
      <c r="W459" s="279"/>
      <c r="X459" s="279"/>
      <c r="Y459" s="279"/>
      <c r="Z459" s="279"/>
      <c r="AA459" s="279"/>
      <c r="AB459" s="279"/>
      <c r="AC459" s="279"/>
      <c r="AD459" s="279"/>
      <c r="AE459" s="279"/>
      <c r="AF459" s="279"/>
      <c r="AG459" s="280"/>
      <c r="AH459" s="281"/>
      <c r="AI459" s="282"/>
      <c r="AJ459" s="283"/>
      <c r="AK459" s="22" t="s">
        <v>58</v>
      </c>
      <c r="AL459" s="22" t="s">
        <v>58</v>
      </c>
      <c r="AM459" s="22" t="s">
        <v>58</v>
      </c>
    </row>
    <row r="460" spans="1:39" s="22" customFormat="1" x14ac:dyDescent="0.25">
      <c r="A460" s="28" t="str">
        <f>IF(H460&lt;&gt;"",MAX($A$7:A459)+1,"")</f>
        <v/>
      </c>
      <c r="B460" s="243" t="str">
        <f t="shared" si="35"/>
        <v/>
      </c>
      <c r="C460" s="273"/>
      <c r="D460" s="246"/>
      <c r="E460" s="247"/>
      <c r="F460" s="247"/>
      <c r="G460" s="248"/>
      <c r="H460" s="241"/>
      <c r="I460" s="274"/>
      <c r="J460" s="275"/>
      <c r="K460" s="276"/>
      <c r="L460" s="277"/>
      <c r="M460" s="278"/>
      <c r="N460" s="279"/>
      <c r="O460" s="274"/>
      <c r="P460" s="275"/>
      <c r="Q460" s="276"/>
      <c r="R460" s="277"/>
      <c r="S460" s="278"/>
      <c r="T460" s="279"/>
      <c r="U460" s="279"/>
      <c r="V460" s="279"/>
      <c r="W460" s="279"/>
      <c r="X460" s="279"/>
      <c r="Y460" s="279"/>
      <c r="Z460" s="279"/>
      <c r="AA460" s="279"/>
      <c r="AB460" s="279"/>
      <c r="AC460" s="279"/>
      <c r="AD460" s="279"/>
      <c r="AE460" s="279"/>
      <c r="AF460" s="279"/>
      <c r="AG460" s="280"/>
      <c r="AH460" s="281"/>
      <c r="AI460" s="282"/>
      <c r="AJ460" s="283"/>
      <c r="AK460" s="22" t="s">
        <v>58</v>
      </c>
      <c r="AL460" s="22" t="s">
        <v>58</v>
      </c>
      <c r="AM460" s="22" t="s">
        <v>58</v>
      </c>
    </row>
    <row r="461" spans="1:39" s="22" customFormat="1" x14ac:dyDescent="0.25">
      <c r="A461" s="28" t="str">
        <f>IF(H461&lt;&gt;"",MAX($A$7:A460)+1,"")</f>
        <v/>
      </c>
      <c r="B461" s="243" t="str">
        <f t="shared" si="35"/>
        <v/>
      </c>
      <c r="C461" s="273"/>
      <c r="D461" s="246"/>
      <c r="E461" s="247"/>
      <c r="F461" s="247"/>
      <c r="G461" s="248"/>
      <c r="H461" s="241"/>
      <c r="I461" s="274"/>
      <c r="J461" s="275"/>
      <c r="K461" s="276"/>
      <c r="L461" s="277"/>
      <c r="M461" s="278"/>
      <c r="N461" s="279"/>
      <c r="O461" s="274"/>
      <c r="P461" s="275"/>
      <c r="Q461" s="276"/>
      <c r="R461" s="277"/>
      <c r="S461" s="278"/>
      <c r="T461" s="279"/>
      <c r="U461" s="279"/>
      <c r="V461" s="279"/>
      <c r="W461" s="279"/>
      <c r="X461" s="279"/>
      <c r="Y461" s="279"/>
      <c r="Z461" s="279"/>
      <c r="AA461" s="279"/>
      <c r="AB461" s="279"/>
      <c r="AC461" s="279"/>
      <c r="AD461" s="279"/>
      <c r="AE461" s="279"/>
      <c r="AF461" s="279"/>
      <c r="AG461" s="280"/>
      <c r="AH461" s="281"/>
      <c r="AI461" s="282"/>
      <c r="AJ461" s="283"/>
      <c r="AK461" s="22" t="s">
        <v>58</v>
      </c>
      <c r="AL461" s="22" t="s">
        <v>58</v>
      </c>
      <c r="AM461" s="22" t="s">
        <v>58</v>
      </c>
    </row>
    <row r="462" spans="1:39" s="22" customFormat="1" x14ac:dyDescent="0.25">
      <c r="A462" s="28" t="str">
        <f>IF(H462&lt;&gt;"",MAX($A$7:A461)+1,"")</f>
        <v/>
      </c>
      <c r="B462" s="243" t="str">
        <f t="shared" si="35"/>
        <v/>
      </c>
      <c r="C462" s="273"/>
      <c r="D462" s="246"/>
      <c r="E462" s="247"/>
      <c r="F462" s="247"/>
      <c r="G462" s="248"/>
      <c r="H462" s="241"/>
      <c r="I462" s="274"/>
      <c r="J462" s="275"/>
      <c r="K462" s="276"/>
      <c r="L462" s="277"/>
      <c r="M462" s="278"/>
      <c r="N462" s="279"/>
      <c r="O462" s="274"/>
      <c r="P462" s="275"/>
      <c r="Q462" s="276"/>
      <c r="R462" s="277"/>
      <c r="S462" s="278"/>
      <c r="T462" s="279"/>
      <c r="U462" s="279"/>
      <c r="V462" s="279"/>
      <c r="W462" s="279"/>
      <c r="X462" s="279"/>
      <c r="Y462" s="279"/>
      <c r="Z462" s="279"/>
      <c r="AA462" s="279"/>
      <c r="AB462" s="279"/>
      <c r="AC462" s="279"/>
      <c r="AD462" s="279"/>
      <c r="AE462" s="279"/>
      <c r="AF462" s="279"/>
      <c r="AG462" s="280"/>
      <c r="AH462" s="281"/>
      <c r="AI462" s="282"/>
      <c r="AJ462" s="283"/>
      <c r="AK462" s="22" t="s">
        <v>58</v>
      </c>
      <c r="AL462" s="22" t="s">
        <v>58</v>
      </c>
      <c r="AM462" s="22" t="s">
        <v>58</v>
      </c>
    </row>
    <row r="463" spans="1:39" s="22" customFormat="1" x14ac:dyDescent="0.25">
      <c r="A463" s="28" t="str">
        <f>IF(H463&lt;&gt;"",MAX($A$7:A462)+1,"")</f>
        <v/>
      </c>
      <c r="B463" s="243" t="str">
        <f t="shared" si="35"/>
        <v/>
      </c>
      <c r="C463" s="273"/>
      <c r="D463" s="246"/>
      <c r="E463" s="247"/>
      <c r="F463" s="247"/>
      <c r="G463" s="248"/>
      <c r="H463" s="241"/>
      <c r="I463" s="274"/>
      <c r="J463" s="275"/>
      <c r="K463" s="276"/>
      <c r="L463" s="277"/>
      <c r="M463" s="278"/>
      <c r="N463" s="279"/>
      <c r="O463" s="274"/>
      <c r="P463" s="275"/>
      <c r="Q463" s="276"/>
      <c r="R463" s="277"/>
      <c r="S463" s="278"/>
      <c r="T463" s="279"/>
      <c r="U463" s="279"/>
      <c r="V463" s="279"/>
      <c r="W463" s="279"/>
      <c r="X463" s="279"/>
      <c r="Y463" s="279"/>
      <c r="Z463" s="279"/>
      <c r="AA463" s="279"/>
      <c r="AB463" s="279"/>
      <c r="AC463" s="279"/>
      <c r="AD463" s="279"/>
      <c r="AE463" s="279"/>
      <c r="AF463" s="279"/>
      <c r="AG463" s="280"/>
      <c r="AH463" s="281"/>
      <c r="AI463" s="282"/>
      <c r="AJ463" s="283"/>
      <c r="AK463" s="22" t="s">
        <v>58</v>
      </c>
      <c r="AL463" s="22" t="s">
        <v>58</v>
      </c>
      <c r="AM463" s="22" t="s">
        <v>58</v>
      </c>
    </row>
    <row r="464" spans="1:39" s="22" customFormat="1" x14ac:dyDescent="0.25">
      <c r="A464" s="28" t="str">
        <f>IF(H464&lt;&gt;"",MAX($A$7:A463)+1,"")</f>
        <v/>
      </c>
      <c r="B464" s="243" t="str">
        <f t="shared" si="35"/>
        <v/>
      </c>
      <c r="C464" s="273"/>
      <c r="D464" s="246"/>
      <c r="E464" s="247"/>
      <c r="F464" s="247"/>
      <c r="G464" s="248"/>
      <c r="H464" s="241"/>
      <c r="I464" s="274"/>
      <c r="J464" s="275"/>
      <c r="K464" s="276"/>
      <c r="L464" s="277"/>
      <c r="M464" s="278"/>
      <c r="N464" s="279"/>
      <c r="O464" s="274"/>
      <c r="P464" s="275"/>
      <c r="Q464" s="276"/>
      <c r="R464" s="277"/>
      <c r="S464" s="278"/>
      <c r="T464" s="279"/>
      <c r="U464" s="279"/>
      <c r="V464" s="279"/>
      <c r="W464" s="279"/>
      <c r="X464" s="279"/>
      <c r="Y464" s="279"/>
      <c r="Z464" s="279"/>
      <c r="AA464" s="279"/>
      <c r="AB464" s="279"/>
      <c r="AC464" s="279"/>
      <c r="AD464" s="279"/>
      <c r="AE464" s="279"/>
      <c r="AF464" s="279"/>
      <c r="AG464" s="280"/>
      <c r="AH464" s="281"/>
      <c r="AI464" s="282"/>
      <c r="AJ464" s="283"/>
      <c r="AK464" s="22" t="s">
        <v>58</v>
      </c>
      <c r="AL464" s="22" t="s">
        <v>58</v>
      </c>
      <c r="AM464" s="22" t="s">
        <v>58</v>
      </c>
    </row>
    <row r="465" spans="1:39" s="22" customFormat="1" x14ac:dyDescent="0.25">
      <c r="A465" s="28" t="str">
        <f>IF(H465&lt;&gt;"",MAX($A$7:A464)+1,"")</f>
        <v/>
      </c>
      <c r="B465" s="243" t="str">
        <f t="shared" si="35"/>
        <v/>
      </c>
      <c r="C465" s="273"/>
      <c r="D465" s="246"/>
      <c r="E465" s="247"/>
      <c r="F465" s="247"/>
      <c r="G465" s="248"/>
      <c r="H465" s="241"/>
      <c r="I465" s="274"/>
      <c r="J465" s="275"/>
      <c r="K465" s="276"/>
      <c r="L465" s="277"/>
      <c r="M465" s="278"/>
      <c r="N465" s="279"/>
      <c r="O465" s="274"/>
      <c r="P465" s="275"/>
      <c r="Q465" s="276"/>
      <c r="R465" s="277"/>
      <c r="S465" s="278"/>
      <c r="T465" s="279"/>
      <c r="U465" s="279"/>
      <c r="V465" s="279"/>
      <c r="W465" s="279"/>
      <c r="X465" s="279"/>
      <c r="Y465" s="279"/>
      <c r="Z465" s="279"/>
      <c r="AA465" s="279"/>
      <c r="AB465" s="279"/>
      <c r="AC465" s="279"/>
      <c r="AD465" s="279"/>
      <c r="AE465" s="279"/>
      <c r="AF465" s="279"/>
      <c r="AG465" s="280"/>
      <c r="AH465" s="281"/>
      <c r="AI465" s="282"/>
      <c r="AJ465" s="283"/>
      <c r="AK465" s="22" t="s">
        <v>58</v>
      </c>
      <c r="AL465" s="22" t="s">
        <v>58</v>
      </c>
      <c r="AM465" s="22" t="s">
        <v>58</v>
      </c>
    </row>
    <row r="466" spans="1:39" s="22" customFormat="1" x14ac:dyDescent="0.25">
      <c r="A466" s="28" t="str">
        <f>IF(H466&lt;&gt;"",MAX($A$7:A465)+1,"")</f>
        <v/>
      </c>
      <c r="B466" s="243" t="str">
        <f t="shared" si="35"/>
        <v/>
      </c>
      <c r="C466" s="273"/>
      <c r="D466" s="246"/>
      <c r="E466" s="247"/>
      <c r="F466" s="247"/>
      <c r="G466" s="248"/>
      <c r="H466" s="241"/>
      <c r="I466" s="274"/>
      <c r="J466" s="275"/>
      <c r="K466" s="276"/>
      <c r="L466" s="277"/>
      <c r="M466" s="278"/>
      <c r="N466" s="279"/>
      <c r="O466" s="274"/>
      <c r="P466" s="275"/>
      <c r="Q466" s="276"/>
      <c r="R466" s="277"/>
      <c r="S466" s="278"/>
      <c r="T466" s="279"/>
      <c r="U466" s="279"/>
      <c r="V466" s="279"/>
      <c r="W466" s="279"/>
      <c r="X466" s="279"/>
      <c r="Y466" s="279"/>
      <c r="Z466" s="279"/>
      <c r="AA466" s="279"/>
      <c r="AB466" s="279"/>
      <c r="AC466" s="279"/>
      <c r="AD466" s="279"/>
      <c r="AE466" s="279"/>
      <c r="AF466" s="279"/>
      <c r="AG466" s="280"/>
      <c r="AH466" s="281"/>
      <c r="AI466" s="282"/>
      <c r="AJ466" s="283"/>
      <c r="AK466" s="22" t="s">
        <v>58</v>
      </c>
      <c r="AL466" s="22" t="s">
        <v>58</v>
      </c>
      <c r="AM466" s="22" t="s">
        <v>58</v>
      </c>
    </row>
    <row r="467" spans="1:39" s="22" customFormat="1" x14ac:dyDescent="0.25">
      <c r="A467" s="28" t="str">
        <f>IF(H467&lt;&gt;"",MAX($A$7:A466)+1,"")</f>
        <v/>
      </c>
      <c r="B467" s="243" t="str">
        <f t="shared" si="35"/>
        <v/>
      </c>
      <c r="C467" s="273"/>
      <c r="D467" s="246"/>
      <c r="E467" s="247"/>
      <c r="F467" s="247"/>
      <c r="G467" s="248"/>
      <c r="H467" s="241"/>
      <c r="I467" s="274"/>
      <c r="J467" s="275"/>
      <c r="K467" s="276"/>
      <c r="L467" s="277"/>
      <c r="M467" s="278"/>
      <c r="N467" s="279"/>
      <c r="O467" s="274"/>
      <c r="P467" s="275"/>
      <c r="Q467" s="276"/>
      <c r="R467" s="277"/>
      <c r="S467" s="278"/>
      <c r="T467" s="279"/>
      <c r="U467" s="279"/>
      <c r="V467" s="279"/>
      <c r="W467" s="279"/>
      <c r="X467" s="279"/>
      <c r="Y467" s="279"/>
      <c r="Z467" s="279"/>
      <c r="AA467" s="279"/>
      <c r="AB467" s="279"/>
      <c r="AC467" s="279"/>
      <c r="AD467" s="279"/>
      <c r="AE467" s="279"/>
      <c r="AF467" s="279"/>
      <c r="AG467" s="280"/>
      <c r="AH467" s="281"/>
      <c r="AI467" s="282"/>
      <c r="AJ467" s="283"/>
      <c r="AK467" s="22" t="s">
        <v>58</v>
      </c>
      <c r="AL467" s="22" t="s">
        <v>58</v>
      </c>
      <c r="AM467" s="22" t="s">
        <v>58</v>
      </c>
    </row>
    <row r="468" spans="1:39" s="22" customFormat="1" x14ac:dyDescent="0.25">
      <c r="A468" s="28" t="str">
        <f>IF(H468&lt;&gt;"",MAX($A$7:A467)+1,"")</f>
        <v/>
      </c>
      <c r="B468" s="243" t="str">
        <f t="shared" si="35"/>
        <v/>
      </c>
      <c r="C468" s="273"/>
      <c r="D468" s="246"/>
      <c r="E468" s="247"/>
      <c r="F468" s="247"/>
      <c r="G468" s="248"/>
      <c r="H468" s="241"/>
      <c r="I468" s="274"/>
      <c r="J468" s="275"/>
      <c r="K468" s="276"/>
      <c r="L468" s="277"/>
      <c r="M468" s="278"/>
      <c r="N468" s="279"/>
      <c r="O468" s="274"/>
      <c r="P468" s="275"/>
      <c r="Q468" s="276"/>
      <c r="R468" s="277"/>
      <c r="S468" s="278"/>
      <c r="T468" s="279"/>
      <c r="U468" s="279"/>
      <c r="V468" s="279"/>
      <c r="W468" s="279"/>
      <c r="X468" s="279"/>
      <c r="Y468" s="279"/>
      <c r="Z468" s="279"/>
      <c r="AA468" s="279"/>
      <c r="AB468" s="279"/>
      <c r="AC468" s="279"/>
      <c r="AD468" s="279"/>
      <c r="AE468" s="279"/>
      <c r="AF468" s="279"/>
      <c r="AG468" s="280"/>
      <c r="AH468" s="281"/>
      <c r="AI468" s="282"/>
      <c r="AJ468" s="283"/>
      <c r="AK468" s="22" t="s">
        <v>58</v>
      </c>
      <c r="AL468" s="22" t="s">
        <v>58</v>
      </c>
      <c r="AM468" s="22" t="s">
        <v>58</v>
      </c>
    </row>
    <row r="469" spans="1:39" s="22" customFormat="1" x14ac:dyDescent="0.25">
      <c r="A469" s="28" t="str">
        <f>IF(H469&lt;&gt;"",MAX($A$7:A468)+1,"")</f>
        <v/>
      </c>
      <c r="B469" s="243" t="str">
        <f t="shared" si="35"/>
        <v/>
      </c>
      <c r="C469" s="273"/>
      <c r="D469" s="246"/>
      <c r="E469" s="247"/>
      <c r="F469" s="247"/>
      <c r="G469" s="248"/>
      <c r="H469" s="241"/>
      <c r="I469" s="274"/>
      <c r="J469" s="275"/>
      <c r="K469" s="276"/>
      <c r="L469" s="277"/>
      <c r="M469" s="278"/>
      <c r="N469" s="279"/>
      <c r="O469" s="274"/>
      <c r="P469" s="275"/>
      <c r="Q469" s="276"/>
      <c r="R469" s="277"/>
      <c r="S469" s="278"/>
      <c r="T469" s="279"/>
      <c r="U469" s="279"/>
      <c r="V469" s="279"/>
      <c r="W469" s="279"/>
      <c r="X469" s="279"/>
      <c r="Y469" s="279"/>
      <c r="Z469" s="279"/>
      <c r="AA469" s="279"/>
      <c r="AB469" s="279"/>
      <c r="AC469" s="279"/>
      <c r="AD469" s="279"/>
      <c r="AE469" s="279"/>
      <c r="AF469" s="279"/>
      <c r="AG469" s="280"/>
      <c r="AH469" s="281"/>
      <c r="AI469" s="282"/>
      <c r="AJ469" s="283"/>
      <c r="AK469" s="22" t="s">
        <v>58</v>
      </c>
      <c r="AL469" s="22" t="s">
        <v>58</v>
      </c>
      <c r="AM469" s="22" t="s">
        <v>58</v>
      </c>
    </row>
    <row r="470" spans="1:39" s="22" customFormat="1" x14ac:dyDescent="0.25">
      <c r="A470" s="28" t="str">
        <f>IF(H470&lt;&gt;"",MAX($A$7:A469)+1,"")</f>
        <v/>
      </c>
      <c r="B470" s="243" t="str">
        <f t="shared" si="35"/>
        <v/>
      </c>
      <c r="C470" s="273"/>
      <c r="D470" s="246"/>
      <c r="E470" s="247"/>
      <c r="F470" s="247"/>
      <c r="G470" s="248"/>
      <c r="H470" s="241"/>
      <c r="I470" s="274"/>
      <c r="J470" s="275"/>
      <c r="K470" s="276"/>
      <c r="L470" s="277"/>
      <c r="M470" s="278"/>
      <c r="N470" s="279"/>
      <c r="O470" s="274"/>
      <c r="P470" s="275"/>
      <c r="Q470" s="276"/>
      <c r="R470" s="277"/>
      <c r="S470" s="278"/>
      <c r="T470" s="279"/>
      <c r="U470" s="279"/>
      <c r="V470" s="279"/>
      <c r="W470" s="279"/>
      <c r="X470" s="279"/>
      <c r="Y470" s="279"/>
      <c r="Z470" s="279"/>
      <c r="AA470" s="279"/>
      <c r="AB470" s="279"/>
      <c r="AC470" s="279"/>
      <c r="AD470" s="279"/>
      <c r="AE470" s="279"/>
      <c r="AF470" s="279"/>
      <c r="AG470" s="280"/>
      <c r="AH470" s="281"/>
      <c r="AI470" s="282"/>
      <c r="AJ470" s="283"/>
      <c r="AK470" s="22" t="s">
        <v>58</v>
      </c>
      <c r="AL470" s="22" t="s">
        <v>58</v>
      </c>
      <c r="AM470" s="22" t="s">
        <v>58</v>
      </c>
    </row>
    <row r="471" spans="1:39" s="22" customFormat="1" x14ac:dyDescent="0.25">
      <c r="A471" s="28" t="str">
        <f>IF(H471&lt;&gt;"",MAX($A$7:A470)+1,"")</f>
        <v/>
      </c>
      <c r="B471" s="243" t="str">
        <f t="shared" si="35"/>
        <v/>
      </c>
      <c r="C471" s="273"/>
      <c r="D471" s="246"/>
      <c r="E471" s="247"/>
      <c r="F471" s="247"/>
      <c r="G471" s="248"/>
      <c r="H471" s="241"/>
      <c r="I471" s="274"/>
      <c r="J471" s="275"/>
      <c r="K471" s="276"/>
      <c r="L471" s="277"/>
      <c r="M471" s="278"/>
      <c r="N471" s="279"/>
      <c r="O471" s="274"/>
      <c r="P471" s="275"/>
      <c r="Q471" s="276"/>
      <c r="R471" s="277"/>
      <c r="S471" s="278"/>
      <c r="T471" s="279"/>
      <c r="U471" s="279"/>
      <c r="V471" s="279"/>
      <c r="W471" s="279"/>
      <c r="X471" s="279"/>
      <c r="Y471" s="279"/>
      <c r="Z471" s="279"/>
      <c r="AA471" s="279"/>
      <c r="AB471" s="279"/>
      <c r="AC471" s="279"/>
      <c r="AD471" s="279"/>
      <c r="AE471" s="279"/>
      <c r="AF471" s="279"/>
      <c r="AG471" s="280"/>
      <c r="AH471" s="281"/>
      <c r="AI471" s="282"/>
      <c r="AJ471" s="283"/>
      <c r="AK471" s="22" t="s">
        <v>58</v>
      </c>
      <c r="AL471" s="22" t="s">
        <v>58</v>
      </c>
      <c r="AM471" s="22" t="s">
        <v>58</v>
      </c>
    </row>
    <row r="472" spans="1:39" s="22" customFormat="1" x14ac:dyDescent="0.25">
      <c r="A472" s="28" t="str">
        <f>IF(H472&lt;&gt;"",MAX($A$7:A471)+1,"")</f>
        <v/>
      </c>
      <c r="B472" s="243" t="str">
        <f t="shared" si="35"/>
        <v/>
      </c>
      <c r="C472" s="273"/>
      <c r="D472" s="246"/>
      <c r="E472" s="247"/>
      <c r="F472" s="247"/>
      <c r="G472" s="248"/>
      <c r="H472" s="241"/>
      <c r="I472" s="274"/>
      <c r="J472" s="275"/>
      <c r="K472" s="276"/>
      <c r="L472" s="277"/>
      <c r="M472" s="278"/>
      <c r="N472" s="279"/>
      <c r="O472" s="274"/>
      <c r="P472" s="275"/>
      <c r="Q472" s="276"/>
      <c r="R472" s="277"/>
      <c r="S472" s="278"/>
      <c r="T472" s="279"/>
      <c r="U472" s="279"/>
      <c r="V472" s="279"/>
      <c r="W472" s="279"/>
      <c r="X472" s="279"/>
      <c r="Y472" s="279"/>
      <c r="Z472" s="279"/>
      <c r="AA472" s="279"/>
      <c r="AB472" s="279"/>
      <c r="AC472" s="279"/>
      <c r="AD472" s="279"/>
      <c r="AE472" s="279"/>
      <c r="AF472" s="279"/>
      <c r="AG472" s="280"/>
      <c r="AH472" s="281"/>
      <c r="AI472" s="282"/>
      <c r="AJ472" s="283"/>
      <c r="AK472" s="22" t="s">
        <v>58</v>
      </c>
      <c r="AL472" s="22" t="s">
        <v>58</v>
      </c>
      <c r="AM472" s="22" t="s">
        <v>58</v>
      </c>
    </row>
    <row r="473" spans="1:39" s="22" customFormat="1" x14ac:dyDescent="0.25">
      <c r="A473" s="28" t="str">
        <f>IF(H473&lt;&gt;"",MAX($A$7:A472)+1,"")</f>
        <v/>
      </c>
      <c r="B473" s="243" t="str">
        <f t="shared" si="35"/>
        <v/>
      </c>
      <c r="C473" s="273"/>
      <c r="D473" s="246"/>
      <c r="E473" s="247"/>
      <c r="F473" s="247"/>
      <c r="G473" s="248"/>
      <c r="H473" s="241"/>
      <c r="I473" s="274"/>
      <c r="J473" s="275"/>
      <c r="K473" s="276"/>
      <c r="L473" s="277"/>
      <c r="M473" s="278"/>
      <c r="N473" s="279"/>
      <c r="O473" s="274"/>
      <c r="P473" s="275"/>
      <c r="Q473" s="276"/>
      <c r="R473" s="277"/>
      <c r="S473" s="278"/>
      <c r="T473" s="279"/>
      <c r="U473" s="279"/>
      <c r="V473" s="279"/>
      <c r="W473" s="279"/>
      <c r="X473" s="279"/>
      <c r="Y473" s="279"/>
      <c r="Z473" s="279"/>
      <c r="AA473" s="279"/>
      <c r="AB473" s="279"/>
      <c r="AC473" s="279"/>
      <c r="AD473" s="279"/>
      <c r="AE473" s="279"/>
      <c r="AF473" s="279"/>
      <c r="AG473" s="280"/>
      <c r="AH473" s="281"/>
      <c r="AI473" s="282"/>
      <c r="AJ473" s="283"/>
      <c r="AK473" s="22" t="s">
        <v>58</v>
      </c>
      <c r="AL473" s="22" t="s">
        <v>58</v>
      </c>
      <c r="AM473" s="22" t="s">
        <v>58</v>
      </c>
    </row>
    <row r="474" spans="1:39" s="22" customFormat="1" x14ac:dyDescent="0.25">
      <c r="A474" s="28" t="str">
        <f>IF(H474&lt;&gt;"",MAX($A$7:A473)+1,"")</f>
        <v/>
      </c>
      <c r="B474" s="243" t="str">
        <f t="shared" si="35"/>
        <v/>
      </c>
      <c r="C474" s="273"/>
      <c r="D474" s="246"/>
      <c r="E474" s="247"/>
      <c r="F474" s="247"/>
      <c r="G474" s="248"/>
      <c r="H474" s="241"/>
      <c r="I474" s="274"/>
      <c r="J474" s="275"/>
      <c r="K474" s="276"/>
      <c r="L474" s="277"/>
      <c r="M474" s="278"/>
      <c r="N474" s="279"/>
      <c r="O474" s="274"/>
      <c r="P474" s="275"/>
      <c r="Q474" s="276"/>
      <c r="R474" s="277"/>
      <c r="S474" s="278"/>
      <c r="T474" s="279"/>
      <c r="U474" s="279"/>
      <c r="V474" s="279"/>
      <c r="W474" s="279"/>
      <c r="X474" s="279"/>
      <c r="Y474" s="279"/>
      <c r="Z474" s="279"/>
      <c r="AA474" s="279"/>
      <c r="AB474" s="279"/>
      <c r="AC474" s="279"/>
      <c r="AD474" s="279"/>
      <c r="AE474" s="279"/>
      <c r="AF474" s="279"/>
      <c r="AG474" s="280"/>
      <c r="AH474" s="281"/>
      <c r="AI474" s="282"/>
      <c r="AJ474" s="283"/>
      <c r="AK474" s="22" t="s">
        <v>58</v>
      </c>
      <c r="AL474" s="22" t="s">
        <v>58</v>
      </c>
      <c r="AM474" s="22" t="s">
        <v>58</v>
      </c>
    </row>
    <row r="475" spans="1:39" s="22" customFormat="1" x14ac:dyDescent="0.25">
      <c r="A475" s="28" t="str">
        <f>IF(H475&lt;&gt;"",MAX($A$7:A474)+1,"")</f>
        <v/>
      </c>
      <c r="B475" s="243" t="str">
        <f t="shared" si="35"/>
        <v/>
      </c>
      <c r="C475" s="273"/>
      <c r="D475" s="246"/>
      <c r="E475" s="247"/>
      <c r="F475" s="247"/>
      <c r="G475" s="248"/>
      <c r="H475" s="241"/>
      <c r="I475" s="274"/>
      <c r="J475" s="275"/>
      <c r="K475" s="276"/>
      <c r="L475" s="277"/>
      <c r="M475" s="278"/>
      <c r="N475" s="279"/>
      <c r="O475" s="274"/>
      <c r="P475" s="275"/>
      <c r="Q475" s="276"/>
      <c r="R475" s="277"/>
      <c r="S475" s="278"/>
      <c r="T475" s="279"/>
      <c r="U475" s="279"/>
      <c r="V475" s="279"/>
      <c r="W475" s="279"/>
      <c r="X475" s="279"/>
      <c r="Y475" s="279"/>
      <c r="Z475" s="279"/>
      <c r="AA475" s="279"/>
      <c r="AB475" s="279"/>
      <c r="AC475" s="279"/>
      <c r="AD475" s="279"/>
      <c r="AE475" s="279"/>
      <c r="AF475" s="279"/>
      <c r="AG475" s="280"/>
      <c r="AH475" s="281"/>
      <c r="AI475" s="282"/>
      <c r="AJ475" s="283"/>
      <c r="AK475" s="22" t="s">
        <v>58</v>
      </c>
      <c r="AL475" s="22" t="s">
        <v>58</v>
      </c>
      <c r="AM475" s="22" t="s">
        <v>58</v>
      </c>
    </row>
    <row r="476" spans="1:39" s="22" customFormat="1" x14ac:dyDescent="0.25">
      <c r="A476" s="28" t="str">
        <f>IF(H476&lt;&gt;"",MAX($A$7:A475)+1,"")</f>
        <v/>
      </c>
      <c r="B476" s="243" t="str">
        <f t="shared" si="35"/>
        <v/>
      </c>
      <c r="C476" s="273"/>
      <c r="D476" s="246"/>
      <c r="E476" s="247"/>
      <c r="F476" s="247"/>
      <c r="G476" s="248"/>
      <c r="H476" s="241"/>
      <c r="I476" s="274"/>
      <c r="J476" s="275"/>
      <c r="K476" s="276"/>
      <c r="L476" s="277"/>
      <c r="M476" s="278"/>
      <c r="N476" s="279"/>
      <c r="O476" s="274"/>
      <c r="P476" s="275"/>
      <c r="Q476" s="276"/>
      <c r="R476" s="277"/>
      <c r="S476" s="278"/>
      <c r="T476" s="279"/>
      <c r="U476" s="279"/>
      <c r="V476" s="279"/>
      <c r="W476" s="279"/>
      <c r="X476" s="279"/>
      <c r="Y476" s="279"/>
      <c r="Z476" s="279"/>
      <c r="AA476" s="279"/>
      <c r="AB476" s="279"/>
      <c r="AC476" s="279"/>
      <c r="AD476" s="279"/>
      <c r="AE476" s="279"/>
      <c r="AF476" s="279"/>
      <c r="AG476" s="280"/>
      <c r="AH476" s="281"/>
      <c r="AI476" s="282"/>
      <c r="AJ476" s="283"/>
      <c r="AK476" s="22" t="s">
        <v>58</v>
      </c>
      <c r="AL476" s="22" t="s">
        <v>58</v>
      </c>
      <c r="AM476" s="22" t="s">
        <v>58</v>
      </c>
    </row>
    <row r="477" spans="1:39" s="22" customFormat="1" x14ac:dyDescent="0.25">
      <c r="A477" s="28" t="str">
        <f>IF(H477&lt;&gt;"",MAX($A$7:A476)+1,"")</f>
        <v/>
      </c>
      <c r="B477" s="243" t="str">
        <f t="shared" si="35"/>
        <v/>
      </c>
      <c r="C477" s="273"/>
      <c r="D477" s="246"/>
      <c r="E477" s="247"/>
      <c r="F477" s="247"/>
      <c r="G477" s="248"/>
      <c r="H477" s="241"/>
      <c r="I477" s="274"/>
      <c r="J477" s="275"/>
      <c r="K477" s="276"/>
      <c r="L477" s="277"/>
      <c r="M477" s="278"/>
      <c r="N477" s="279"/>
      <c r="O477" s="274"/>
      <c r="P477" s="275"/>
      <c r="Q477" s="276"/>
      <c r="R477" s="277"/>
      <c r="S477" s="278"/>
      <c r="T477" s="279"/>
      <c r="U477" s="279"/>
      <c r="V477" s="279"/>
      <c r="W477" s="279"/>
      <c r="X477" s="279"/>
      <c r="Y477" s="279"/>
      <c r="Z477" s="279"/>
      <c r="AA477" s="279"/>
      <c r="AB477" s="279"/>
      <c r="AC477" s="279"/>
      <c r="AD477" s="279"/>
      <c r="AE477" s="279"/>
      <c r="AF477" s="279"/>
      <c r="AG477" s="280"/>
      <c r="AH477" s="281"/>
      <c r="AI477" s="282"/>
      <c r="AJ477" s="283"/>
      <c r="AK477" s="22" t="s">
        <v>58</v>
      </c>
      <c r="AL477" s="22" t="s">
        <v>58</v>
      </c>
      <c r="AM477" s="22" t="s">
        <v>58</v>
      </c>
    </row>
    <row r="478" spans="1:39" s="22" customFormat="1" x14ac:dyDescent="0.25">
      <c r="A478" s="28" t="str">
        <f>IF(H478&lt;&gt;"",MAX($A$7:A477)+1,"")</f>
        <v/>
      </c>
      <c r="B478" s="243" t="str">
        <f t="shared" si="35"/>
        <v/>
      </c>
      <c r="C478" s="273"/>
      <c r="D478" s="246"/>
      <c r="E478" s="247"/>
      <c r="F478" s="247"/>
      <c r="G478" s="248"/>
      <c r="H478" s="241"/>
      <c r="I478" s="274"/>
      <c r="J478" s="275"/>
      <c r="K478" s="276"/>
      <c r="L478" s="277"/>
      <c r="M478" s="278"/>
      <c r="N478" s="279"/>
      <c r="O478" s="274"/>
      <c r="P478" s="275"/>
      <c r="Q478" s="276"/>
      <c r="R478" s="277"/>
      <c r="S478" s="278"/>
      <c r="T478" s="279"/>
      <c r="U478" s="279"/>
      <c r="V478" s="279"/>
      <c r="W478" s="279"/>
      <c r="X478" s="279"/>
      <c r="Y478" s="279"/>
      <c r="Z478" s="279"/>
      <c r="AA478" s="279"/>
      <c r="AB478" s="279"/>
      <c r="AC478" s="279"/>
      <c r="AD478" s="279"/>
      <c r="AE478" s="279"/>
      <c r="AF478" s="279"/>
      <c r="AG478" s="280"/>
      <c r="AH478" s="281"/>
      <c r="AI478" s="282"/>
      <c r="AJ478" s="283"/>
      <c r="AK478" s="22" t="s">
        <v>58</v>
      </c>
      <c r="AL478" s="22" t="s">
        <v>58</v>
      </c>
      <c r="AM478" s="22" t="s">
        <v>58</v>
      </c>
    </row>
    <row r="479" spans="1:39" s="22" customFormat="1" x14ac:dyDescent="0.25">
      <c r="A479" s="28" t="str">
        <f>IF(H479&lt;&gt;"",MAX($A$7:A478)+1,"")</f>
        <v/>
      </c>
      <c r="B479" s="243" t="str">
        <f t="shared" si="35"/>
        <v/>
      </c>
      <c r="C479" s="273"/>
      <c r="D479" s="246"/>
      <c r="E479" s="247"/>
      <c r="F479" s="247"/>
      <c r="G479" s="248"/>
      <c r="H479" s="241"/>
      <c r="I479" s="274"/>
      <c r="J479" s="275"/>
      <c r="K479" s="276"/>
      <c r="L479" s="277"/>
      <c r="M479" s="278"/>
      <c r="N479" s="279"/>
      <c r="O479" s="274"/>
      <c r="P479" s="275"/>
      <c r="Q479" s="276"/>
      <c r="R479" s="277"/>
      <c r="S479" s="278"/>
      <c r="T479" s="279"/>
      <c r="U479" s="279"/>
      <c r="V479" s="279"/>
      <c r="W479" s="279"/>
      <c r="X479" s="279"/>
      <c r="Y479" s="279"/>
      <c r="Z479" s="279"/>
      <c r="AA479" s="279"/>
      <c r="AB479" s="279"/>
      <c r="AC479" s="279"/>
      <c r="AD479" s="279"/>
      <c r="AE479" s="279"/>
      <c r="AF479" s="279"/>
      <c r="AG479" s="280"/>
      <c r="AH479" s="281"/>
      <c r="AI479" s="282"/>
      <c r="AJ479" s="283"/>
      <c r="AK479" s="22" t="s">
        <v>58</v>
      </c>
      <c r="AL479" s="22" t="s">
        <v>58</v>
      </c>
      <c r="AM479" s="22" t="s">
        <v>58</v>
      </c>
    </row>
    <row r="480" spans="1:39" s="22" customFormat="1" x14ac:dyDescent="0.25">
      <c r="A480" s="28" t="str">
        <f>IF(H480&lt;&gt;"",MAX($A$7:A479)+1,"")</f>
        <v/>
      </c>
      <c r="B480" s="243" t="str">
        <f t="shared" si="35"/>
        <v/>
      </c>
      <c r="C480" s="273"/>
      <c r="D480" s="246"/>
      <c r="E480" s="247"/>
      <c r="F480" s="247"/>
      <c r="G480" s="248"/>
      <c r="H480" s="241"/>
      <c r="I480" s="274"/>
      <c r="J480" s="275"/>
      <c r="K480" s="276"/>
      <c r="L480" s="277"/>
      <c r="M480" s="278"/>
      <c r="N480" s="279"/>
      <c r="O480" s="274"/>
      <c r="P480" s="275"/>
      <c r="Q480" s="276"/>
      <c r="R480" s="277"/>
      <c r="S480" s="278"/>
      <c r="T480" s="279"/>
      <c r="U480" s="279"/>
      <c r="V480" s="279"/>
      <c r="W480" s="279"/>
      <c r="X480" s="279"/>
      <c r="Y480" s="279"/>
      <c r="Z480" s="279"/>
      <c r="AA480" s="279"/>
      <c r="AB480" s="279"/>
      <c r="AC480" s="279"/>
      <c r="AD480" s="279"/>
      <c r="AE480" s="279"/>
      <c r="AF480" s="279"/>
      <c r="AG480" s="280"/>
      <c r="AH480" s="281"/>
      <c r="AI480" s="282"/>
      <c r="AJ480" s="283"/>
      <c r="AK480" s="22" t="s">
        <v>58</v>
      </c>
      <c r="AL480" s="22" t="s">
        <v>58</v>
      </c>
      <c r="AM480" s="22" t="s">
        <v>58</v>
      </c>
    </row>
    <row r="481" spans="1:39" s="22" customFormat="1" x14ac:dyDescent="0.25">
      <c r="A481" s="28" t="str">
        <f>IF(H481&lt;&gt;"",MAX($A$7:A480)+1,"")</f>
        <v/>
      </c>
      <c r="B481" s="243" t="str">
        <f t="shared" si="35"/>
        <v/>
      </c>
      <c r="C481" s="273"/>
      <c r="D481" s="246"/>
      <c r="E481" s="247"/>
      <c r="F481" s="247"/>
      <c r="G481" s="248"/>
      <c r="H481" s="241"/>
      <c r="I481" s="274"/>
      <c r="J481" s="275"/>
      <c r="K481" s="276"/>
      <c r="L481" s="277"/>
      <c r="M481" s="278"/>
      <c r="N481" s="279"/>
      <c r="O481" s="274"/>
      <c r="P481" s="275"/>
      <c r="Q481" s="276"/>
      <c r="R481" s="277"/>
      <c r="S481" s="278"/>
      <c r="T481" s="279"/>
      <c r="U481" s="279"/>
      <c r="V481" s="279"/>
      <c r="W481" s="279"/>
      <c r="X481" s="279"/>
      <c r="Y481" s="279"/>
      <c r="Z481" s="279"/>
      <c r="AA481" s="279"/>
      <c r="AB481" s="279"/>
      <c r="AC481" s="279"/>
      <c r="AD481" s="279"/>
      <c r="AE481" s="279"/>
      <c r="AF481" s="279"/>
      <c r="AG481" s="280"/>
      <c r="AH481" s="281"/>
      <c r="AI481" s="282"/>
      <c r="AJ481" s="283"/>
      <c r="AK481" s="22" t="s">
        <v>58</v>
      </c>
      <c r="AL481" s="22" t="s">
        <v>58</v>
      </c>
      <c r="AM481" s="22" t="s">
        <v>58</v>
      </c>
    </row>
    <row r="482" spans="1:39" s="22" customFormat="1" x14ac:dyDescent="0.25">
      <c r="A482" s="28" t="str">
        <f>IF(H482&lt;&gt;"",MAX($A$7:A481)+1,"")</f>
        <v/>
      </c>
      <c r="B482" s="243" t="str">
        <f t="shared" si="35"/>
        <v/>
      </c>
      <c r="C482" s="273"/>
      <c r="D482" s="246"/>
      <c r="E482" s="247"/>
      <c r="F482" s="247"/>
      <c r="G482" s="248"/>
      <c r="H482" s="241"/>
      <c r="I482" s="274"/>
      <c r="J482" s="275"/>
      <c r="K482" s="276"/>
      <c r="L482" s="277"/>
      <c r="M482" s="278"/>
      <c r="N482" s="279"/>
      <c r="O482" s="274"/>
      <c r="P482" s="275"/>
      <c r="Q482" s="276"/>
      <c r="R482" s="277"/>
      <c r="S482" s="278"/>
      <c r="T482" s="279"/>
      <c r="U482" s="279"/>
      <c r="V482" s="279"/>
      <c r="W482" s="279"/>
      <c r="X482" s="279"/>
      <c r="Y482" s="279"/>
      <c r="Z482" s="279"/>
      <c r="AA482" s="279"/>
      <c r="AB482" s="279"/>
      <c r="AC482" s="279"/>
      <c r="AD482" s="279"/>
      <c r="AE482" s="279"/>
      <c r="AF482" s="279"/>
      <c r="AG482" s="280"/>
      <c r="AH482" s="281"/>
      <c r="AI482" s="282"/>
      <c r="AJ482" s="283"/>
      <c r="AK482" s="22" t="s">
        <v>58</v>
      </c>
      <c r="AL482" s="22" t="s">
        <v>58</v>
      </c>
      <c r="AM482" s="22" t="s">
        <v>58</v>
      </c>
    </row>
    <row r="483" spans="1:39" s="22" customFormat="1" x14ac:dyDescent="0.25">
      <c r="A483" s="28" t="str">
        <f>IF(H483&lt;&gt;"",MAX($A$7:A482)+1,"")</f>
        <v/>
      </c>
      <c r="B483" s="243" t="str">
        <f t="shared" si="35"/>
        <v/>
      </c>
      <c r="C483" s="273"/>
      <c r="D483" s="246"/>
      <c r="E483" s="247"/>
      <c r="F483" s="247"/>
      <c r="G483" s="248"/>
      <c r="H483" s="241"/>
      <c r="I483" s="274"/>
      <c r="J483" s="275"/>
      <c r="K483" s="276"/>
      <c r="L483" s="277"/>
      <c r="M483" s="278"/>
      <c r="N483" s="279"/>
      <c r="O483" s="274"/>
      <c r="P483" s="275"/>
      <c r="Q483" s="276"/>
      <c r="R483" s="277"/>
      <c r="S483" s="278"/>
      <c r="T483" s="279"/>
      <c r="U483" s="279"/>
      <c r="V483" s="279"/>
      <c r="W483" s="279"/>
      <c r="X483" s="279"/>
      <c r="Y483" s="279"/>
      <c r="Z483" s="279"/>
      <c r="AA483" s="279"/>
      <c r="AB483" s="279"/>
      <c r="AC483" s="279"/>
      <c r="AD483" s="279"/>
      <c r="AE483" s="279"/>
      <c r="AF483" s="279"/>
      <c r="AG483" s="280"/>
      <c r="AH483" s="281"/>
      <c r="AI483" s="282"/>
      <c r="AJ483" s="283"/>
      <c r="AK483" s="22" t="s">
        <v>58</v>
      </c>
      <c r="AL483" s="22" t="s">
        <v>58</v>
      </c>
      <c r="AM483" s="22" t="s">
        <v>58</v>
      </c>
    </row>
    <row r="484" spans="1:39" s="22" customFormat="1" x14ac:dyDescent="0.25">
      <c r="A484" s="28" t="str">
        <f>IF(H484&lt;&gt;"",MAX($A$7:A483)+1,"")</f>
        <v/>
      </c>
      <c r="B484" s="243" t="str">
        <f t="shared" si="35"/>
        <v/>
      </c>
      <c r="C484" s="273"/>
      <c r="D484" s="246"/>
      <c r="E484" s="247"/>
      <c r="F484" s="247"/>
      <c r="G484" s="248"/>
      <c r="H484" s="241"/>
      <c r="I484" s="274"/>
      <c r="J484" s="275"/>
      <c r="K484" s="276"/>
      <c r="L484" s="277"/>
      <c r="M484" s="278"/>
      <c r="N484" s="279"/>
      <c r="O484" s="274"/>
      <c r="P484" s="275"/>
      <c r="Q484" s="276"/>
      <c r="R484" s="277"/>
      <c r="S484" s="278"/>
      <c r="T484" s="279"/>
      <c r="U484" s="279"/>
      <c r="V484" s="279"/>
      <c r="W484" s="279"/>
      <c r="X484" s="279"/>
      <c r="Y484" s="279"/>
      <c r="Z484" s="279"/>
      <c r="AA484" s="279"/>
      <c r="AB484" s="279"/>
      <c r="AC484" s="279"/>
      <c r="AD484" s="279"/>
      <c r="AE484" s="279"/>
      <c r="AF484" s="279"/>
      <c r="AG484" s="280"/>
      <c r="AH484" s="281"/>
      <c r="AI484" s="282"/>
      <c r="AJ484" s="283"/>
      <c r="AK484" s="22" t="s">
        <v>58</v>
      </c>
      <c r="AL484" s="22" t="s">
        <v>58</v>
      </c>
      <c r="AM484" s="22" t="s">
        <v>58</v>
      </c>
    </row>
    <row r="485" spans="1:39" s="22" customFormat="1" x14ac:dyDescent="0.25">
      <c r="A485" s="28" t="str">
        <f>IF(H485&lt;&gt;"",MAX($A$7:A484)+1,"")</f>
        <v/>
      </c>
      <c r="B485" s="243" t="str">
        <f t="shared" si="35"/>
        <v/>
      </c>
      <c r="C485" s="273"/>
      <c r="D485" s="246"/>
      <c r="E485" s="247"/>
      <c r="F485" s="247"/>
      <c r="G485" s="248"/>
      <c r="H485" s="241"/>
      <c r="I485" s="274"/>
      <c r="J485" s="275"/>
      <c r="K485" s="276"/>
      <c r="L485" s="277"/>
      <c r="M485" s="278"/>
      <c r="N485" s="279"/>
      <c r="O485" s="274"/>
      <c r="P485" s="275"/>
      <c r="Q485" s="276"/>
      <c r="R485" s="277"/>
      <c r="S485" s="278"/>
      <c r="T485" s="279"/>
      <c r="U485" s="279"/>
      <c r="V485" s="279"/>
      <c r="W485" s="279"/>
      <c r="X485" s="279"/>
      <c r="Y485" s="279"/>
      <c r="Z485" s="279"/>
      <c r="AA485" s="279"/>
      <c r="AB485" s="279"/>
      <c r="AC485" s="279"/>
      <c r="AD485" s="279"/>
      <c r="AE485" s="279"/>
      <c r="AF485" s="279"/>
      <c r="AG485" s="280"/>
      <c r="AH485" s="281"/>
      <c r="AI485" s="282"/>
      <c r="AJ485" s="283"/>
      <c r="AK485" s="22" t="s">
        <v>58</v>
      </c>
      <c r="AL485" s="22" t="s">
        <v>58</v>
      </c>
      <c r="AM485" s="22" t="s">
        <v>58</v>
      </c>
    </row>
    <row r="486" spans="1:39" s="22" customFormat="1" x14ac:dyDescent="0.25">
      <c r="A486" s="28" t="str">
        <f>IF(H486&lt;&gt;"",MAX($A$7:A485)+1,"")</f>
        <v/>
      </c>
      <c r="B486" s="243" t="str">
        <f t="shared" si="35"/>
        <v/>
      </c>
      <c r="C486" s="273"/>
      <c r="D486" s="246"/>
      <c r="E486" s="247"/>
      <c r="F486" s="247"/>
      <c r="G486" s="248"/>
      <c r="H486" s="241"/>
      <c r="I486" s="274"/>
      <c r="J486" s="275"/>
      <c r="K486" s="276"/>
      <c r="L486" s="277"/>
      <c r="M486" s="278"/>
      <c r="N486" s="279"/>
      <c r="O486" s="274"/>
      <c r="P486" s="275"/>
      <c r="Q486" s="276"/>
      <c r="R486" s="277"/>
      <c r="S486" s="278"/>
      <c r="T486" s="279"/>
      <c r="U486" s="279"/>
      <c r="V486" s="279"/>
      <c r="W486" s="279"/>
      <c r="X486" s="279"/>
      <c r="Y486" s="279"/>
      <c r="Z486" s="279"/>
      <c r="AA486" s="279"/>
      <c r="AB486" s="279"/>
      <c r="AC486" s="279"/>
      <c r="AD486" s="279"/>
      <c r="AE486" s="279"/>
      <c r="AF486" s="279"/>
      <c r="AG486" s="280"/>
      <c r="AH486" s="281"/>
      <c r="AI486" s="282"/>
      <c r="AJ486" s="283"/>
      <c r="AK486" s="22" t="s">
        <v>58</v>
      </c>
      <c r="AL486" s="22" t="s">
        <v>58</v>
      </c>
      <c r="AM486" s="22" t="s">
        <v>58</v>
      </c>
    </row>
    <row r="487" spans="1:39" s="22" customFormat="1" x14ac:dyDescent="0.25">
      <c r="A487" s="28" t="str">
        <f>IF(H487&lt;&gt;"",MAX($A$7:A486)+1,"")</f>
        <v/>
      </c>
      <c r="B487" s="243" t="str">
        <f t="shared" si="35"/>
        <v/>
      </c>
      <c r="C487" s="273"/>
      <c r="D487" s="246"/>
      <c r="E487" s="247"/>
      <c r="F487" s="247"/>
      <c r="G487" s="248"/>
      <c r="H487" s="241"/>
      <c r="I487" s="274"/>
      <c r="J487" s="275"/>
      <c r="K487" s="276"/>
      <c r="L487" s="277"/>
      <c r="M487" s="278"/>
      <c r="N487" s="279"/>
      <c r="O487" s="274"/>
      <c r="P487" s="275"/>
      <c r="Q487" s="276"/>
      <c r="R487" s="277"/>
      <c r="S487" s="278"/>
      <c r="T487" s="279"/>
      <c r="U487" s="279"/>
      <c r="V487" s="279"/>
      <c r="W487" s="279"/>
      <c r="X487" s="279"/>
      <c r="Y487" s="279"/>
      <c r="Z487" s="279"/>
      <c r="AA487" s="279"/>
      <c r="AB487" s="279"/>
      <c r="AC487" s="279"/>
      <c r="AD487" s="279"/>
      <c r="AE487" s="279"/>
      <c r="AF487" s="279"/>
      <c r="AG487" s="280"/>
      <c r="AH487" s="281"/>
      <c r="AI487" s="282"/>
      <c r="AJ487" s="283"/>
      <c r="AK487" s="22" t="s">
        <v>58</v>
      </c>
      <c r="AL487" s="22" t="s">
        <v>58</v>
      </c>
      <c r="AM487" s="22" t="s">
        <v>58</v>
      </c>
    </row>
    <row r="488" spans="1:39" s="22" customFormat="1" x14ac:dyDescent="0.25">
      <c r="A488" s="28" t="str">
        <f>IF(H488&lt;&gt;"",MAX($A$7:A487)+1,"")</f>
        <v/>
      </c>
      <c r="B488" s="243" t="str">
        <f t="shared" si="35"/>
        <v/>
      </c>
      <c r="C488" s="273"/>
      <c r="D488" s="246"/>
      <c r="E488" s="247"/>
      <c r="F488" s="247"/>
      <c r="G488" s="248"/>
      <c r="H488" s="241"/>
      <c r="I488" s="274"/>
      <c r="J488" s="275"/>
      <c r="K488" s="276"/>
      <c r="L488" s="277"/>
      <c r="M488" s="278"/>
      <c r="N488" s="279"/>
      <c r="O488" s="274"/>
      <c r="P488" s="275"/>
      <c r="Q488" s="276"/>
      <c r="R488" s="277"/>
      <c r="S488" s="278"/>
      <c r="T488" s="279"/>
      <c r="U488" s="279"/>
      <c r="V488" s="279"/>
      <c r="W488" s="279"/>
      <c r="X488" s="279"/>
      <c r="Y488" s="279"/>
      <c r="Z488" s="279"/>
      <c r="AA488" s="279"/>
      <c r="AB488" s="279"/>
      <c r="AC488" s="279"/>
      <c r="AD488" s="279"/>
      <c r="AE488" s="279"/>
      <c r="AF488" s="279"/>
      <c r="AG488" s="280"/>
      <c r="AH488" s="281"/>
      <c r="AI488" s="282"/>
      <c r="AJ488" s="283"/>
      <c r="AK488" s="22" t="s">
        <v>58</v>
      </c>
      <c r="AL488" s="22" t="s">
        <v>58</v>
      </c>
      <c r="AM488" s="22" t="s">
        <v>58</v>
      </c>
    </row>
    <row r="489" spans="1:39" s="22" customFormat="1" x14ac:dyDescent="0.25">
      <c r="A489" s="28" t="str">
        <f>IF(H489&lt;&gt;"",MAX($A$7:A488)+1,"")</f>
        <v/>
      </c>
      <c r="B489" s="243" t="str">
        <f t="shared" si="35"/>
        <v/>
      </c>
      <c r="C489" s="273"/>
      <c r="D489" s="246"/>
      <c r="E489" s="247"/>
      <c r="F489" s="247"/>
      <c r="G489" s="248"/>
      <c r="H489" s="241"/>
      <c r="I489" s="274"/>
      <c r="J489" s="275"/>
      <c r="K489" s="276"/>
      <c r="L489" s="277"/>
      <c r="M489" s="278"/>
      <c r="N489" s="279"/>
      <c r="O489" s="274"/>
      <c r="P489" s="275"/>
      <c r="Q489" s="276"/>
      <c r="R489" s="277"/>
      <c r="S489" s="278"/>
      <c r="T489" s="279"/>
      <c r="U489" s="279"/>
      <c r="V489" s="279"/>
      <c r="W489" s="279"/>
      <c r="X489" s="279"/>
      <c r="Y489" s="279"/>
      <c r="Z489" s="279"/>
      <c r="AA489" s="279"/>
      <c r="AB489" s="279"/>
      <c r="AC489" s="279"/>
      <c r="AD489" s="279"/>
      <c r="AE489" s="279"/>
      <c r="AF489" s="279"/>
      <c r="AG489" s="280"/>
      <c r="AH489" s="281"/>
      <c r="AI489" s="282"/>
      <c r="AJ489" s="283"/>
      <c r="AK489" s="22" t="s">
        <v>58</v>
      </c>
      <c r="AL489" s="22" t="s">
        <v>58</v>
      </c>
      <c r="AM489" s="22" t="s">
        <v>58</v>
      </c>
    </row>
    <row r="490" spans="1:39" s="22" customFormat="1" x14ac:dyDescent="0.25">
      <c r="A490" s="28" t="str">
        <f>IF(H490&lt;&gt;"",MAX($A$7:A489)+1,"")</f>
        <v/>
      </c>
      <c r="B490" s="243" t="str">
        <f t="shared" si="35"/>
        <v/>
      </c>
      <c r="C490" s="273"/>
      <c r="D490" s="246"/>
      <c r="E490" s="247"/>
      <c r="F490" s="247"/>
      <c r="G490" s="248"/>
      <c r="H490" s="241"/>
      <c r="I490" s="274"/>
      <c r="J490" s="275"/>
      <c r="K490" s="276"/>
      <c r="L490" s="277"/>
      <c r="M490" s="278"/>
      <c r="N490" s="279"/>
      <c r="O490" s="274"/>
      <c r="P490" s="275"/>
      <c r="Q490" s="276"/>
      <c r="R490" s="277"/>
      <c r="S490" s="278"/>
      <c r="T490" s="279"/>
      <c r="U490" s="279"/>
      <c r="V490" s="279"/>
      <c r="W490" s="279"/>
      <c r="X490" s="279"/>
      <c r="Y490" s="279"/>
      <c r="Z490" s="279"/>
      <c r="AA490" s="279"/>
      <c r="AB490" s="279"/>
      <c r="AC490" s="279"/>
      <c r="AD490" s="279"/>
      <c r="AE490" s="279"/>
      <c r="AF490" s="279"/>
      <c r="AG490" s="280"/>
      <c r="AH490" s="281"/>
      <c r="AI490" s="282"/>
      <c r="AJ490" s="283"/>
      <c r="AK490" s="22" t="s">
        <v>58</v>
      </c>
      <c r="AL490" s="22" t="s">
        <v>58</v>
      </c>
      <c r="AM490" s="22" t="s">
        <v>58</v>
      </c>
    </row>
    <row r="491" spans="1:39" s="22" customFormat="1" x14ac:dyDescent="0.25">
      <c r="A491" s="28" t="str">
        <f>IF(H491&lt;&gt;"",MAX($A$7:A490)+1,"")</f>
        <v/>
      </c>
      <c r="B491" s="243" t="str">
        <f t="shared" si="35"/>
        <v/>
      </c>
      <c r="C491" s="273"/>
      <c r="D491" s="246"/>
      <c r="E491" s="247"/>
      <c r="F491" s="247"/>
      <c r="G491" s="248"/>
      <c r="H491" s="241"/>
      <c r="I491" s="274"/>
      <c r="J491" s="275"/>
      <c r="K491" s="276"/>
      <c r="L491" s="277"/>
      <c r="M491" s="278"/>
      <c r="N491" s="279"/>
      <c r="O491" s="274"/>
      <c r="P491" s="275"/>
      <c r="Q491" s="276"/>
      <c r="R491" s="277"/>
      <c r="S491" s="278"/>
      <c r="T491" s="279"/>
      <c r="U491" s="279"/>
      <c r="V491" s="279"/>
      <c r="W491" s="279"/>
      <c r="X491" s="279"/>
      <c r="Y491" s="279"/>
      <c r="Z491" s="279"/>
      <c r="AA491" s="279"/>
      <c r="AB491" s="279"/>
      <c r="AC491" s="279"/>
      <c r="AD491" s="279"/>
      <c r="AE491" s="279"/>
      <c r="AF491" s="279"/>
      <c r="AG491" s="280"/>
      <c r="AH491" s="281"/>
      <c r="AI491" s="282"/>
      <c r="AJ491" s="283"/>
      <c r="AK491" s="22" t="s">
        <v>58</v>
      </c>
      <c r="AL491" s="22" t="s">
        <v>58</v>
      </c>
      <c r="AM491" s="22" t="s">
        <v>58</v>
      </c>
    </row>
    <row r="492" spans="1:39" s="22" customFormat="1" x14ac:dyDescent="0.25">
      <c r="A492" s="28" t="str">
        <f>IF(H492&lt;&gt;"",MAX($A$7:A491)+1,"")</f>
        <v/>
      </c>
      <c r="B492" s="243" t="str">
        <f t="shared" si="35"/>
        <v/>
      </c>
      <c r="C492" s="273"/>
      <c r="D492" s="246"/>
      <c r="E492" s="247"/>
      <c r="F492" s="247"/>
      <c r="G492" s="248"/>
      <c r="H492" s="241"/>
      <c r="I492" s="274"/>
      <c r="J492" s="275"/>
      <c r="K492" s="276"/>
      <c r="L492" s="277"/>
      <c r="M492" s="278"/>
      <c r="N492" s="279"/>
      <c r="O492" s="274"/>
      <c r="P492" s="275"/>
      <c r="Q492" s="276"/>
      <c r="R492" s="277"/>
      <c r="S492" s="278"/>
      <c r="T492" s="279"/>
      <c r="U492" s="279"/>
      <c r="V492" s="279"/>
      <c r="W492" s="279"/>
      <c r="X492" s="279"/>
      <c r="Y492" s="279"/>
      <c r="Z492" s="279"/>
      <c r="AA492" s="279"/>
      <c r="AB492" s="279"/>
      <c r="AC492" s="279"/>
      <c r="AD492" s="279"/>
      <c r="AE492" s="279"/>
      <c r="AF492" s="279"/>
      <c r="AG492" s="280"/>
      <c r="AH492" s="281"/>
      <c r="AI492" s="282"/>
      <c r="AJ492" s="283"/>
      <c r="AK492" s="22" t="s">
        <v>58</v>
      </c>
      <c r="AL492" s="22" t="s">
        <v>58</v>
      </c>
      <c r="AM492" s="22" t="s">
        <v>58</v>
      </c>
    </row>
    <row r="493" spans="1:39" s="22" customFormat="1" x14ac:dyDescent="0.25">
      <c r="A493" s="28" t="str">
        <f>IF(H493&lt;&gt;"",MAX($A$7:A492)+1,"")</f>
        <v/>
      </c>
      <c r="B493" s="243" t="str">
        <f t="shared" si="35"/>
        <v/>
      </c>
      <c r="C493" s="273"/>
      <c r="D493" s="246"/>
      <c r="E493" s="247"/>
      <c r="F493" s="247"/>
      <c r="G493" s="248"/>
      <c r="H493" s="241"/>
      <c r="I493" s="274"/>
      <c r="J493" s="275"/>
      <c r="K493" s="276"/>
      <c r="L493" s="277"/>
      <c r="M493" s="278"/>
      <c r="N493" s="279"/>
      <c r="O493" s="274"/>
      <c r="P493" s="275"/>
      <c r="Q493" s="276"/>
      <c r="R493" s="277"/>
      <c r="S493" s="278"/>
      <c r="T493" s="279"/>
      <c r="U493" s="279"/>
      <c r="V493" s="279"/>
      <c r="W493" s="279"/>
      <c r="X493" s="279"/>
      <c r="Y493" s="279"/>
      <c r="Z493" s="279"/>
      <c r="AA493" s="279"/>
      <c r="AB493" s="279"/>
      <c r="AC493" s="279"/>
      <c r="AD493" s="279"/>
      <c r="AE493" s="279"/>
      <c r="AF493" s="279"/>
      <c r="AG493" s="280"/>
      <c r="AH493" s="281"/>
      <c r="AI493" s="282"/>
      <c r="AJ493" s="283"/>
      <c r="AK493" s="22" t="s">
        <v>58</v>
      </c>
      <c r="AL493" s="22" t="s">
        <v>58</v>
      </c>
      <c r="AM493" s="22" t="s">
        <v>58</v>
      </c>
    </row>
    <row r="494" spans="1:39" s="22" customFormat="1" x14ac:dyDescent="0.25">
      <c r="A494" s="28" t="str">
        <f>IF(H494&lt;&gt;"",MAX($A$7:A493)+1,"")</f>
        <v/>
      </c>
      <c r="B494" s="243" t="str">
        <f t="shared" si="35"/>
        <v/>
      </c>
      <c r="C494" s="273"/>
      <c r="D494" s="246"/>
      <c r="E494" s="247"/>
      <c r="F494" s="247"/>
      <c r="G494" s="248"/>
      <c r="H494" s="241"/>
      <c r="I494" s="274"/>
      <c r="J494" s="275"/>
      <c r="K494" s="276"/>
      <c r="L494" s="277"/>
      <c r="M494" s="278"/>
      <c r="N494" s="279"/>
      <c r="O494" s="274"/>
      <c r="P494" s="275"/>
      <c r="Q494" s="276"/>
      <c r="R494" s="277"/>
      <c r="S494" s="278"/>
      <c r="T494" s="279"/>
      <c r="U494" s="279"/>
      <c r="V494" s="279"/>
      <c r="W494" s="279"/>
      <c r="X494" s="279"/>
      <c r="Y494" s="279"/>
      <c r="Z494" s="279"/>
      <c r="AA494" s="279"/>
      <c r="AB494" s="279"/>
      <c r="AC494" s="279"/>
      <c r="AD494" s="279"/>
      <c r="AE494" s="279"/>
      <c r="AF494" s="279"/>
      <c r="AG494" s="280"/>
      <c r="AH494" s="281"/>
      <c r="AI494" s="282"/>
      <c r="AJ494" s="283"/>
      <c r="AK494" s="22" t="s">
        <v>58</v>
      </c>
      <c r="AL494" s="22" t="s">
        <v>58</v>
      </c>
      <c r="AM494" s="22" t="s">
        <v>58</v>
      </c>
    </row>
    <row r="495" spans="1:39" s="22" customFormat="1" x14ac:dyDescent="0.25">
      <c r="A495" s="28" t="str">
        <f>IF(H495&lt;&gt;"",MAX($A$7:A494)+1,"")</f>
        <v/>
      </c>
      <c r="B495" s="243" t="str">
        <f t="shared" si="35"/>
        <v/>
      </c>
      <c r="C495" s="273"/>
      <c r="D495" s="246"/>
      <c r="E495" s="247"/>
      <c r="F495" s="247"/>
      <c r="G495" s="248"/>
      <c r="H495" s="241"/>
      <c r="I495" s="274"/>
      <c r="J495" s="275"/>
      <c r="K495" s="276"/>
      <c r="L495" s="277"/>
      <c r="M495" s="278"/>
      <c r="N495" s="279"/>
      <c r="O495" s="274"/>
      <c r="P495" s="275"/>
      <c r="Q495" s="276"/>
      <c r="R495" s="277"/>
      <c r="S495" s="278"/>
      <c r="T495" s="279"/>
      <c r="U495" s="279"/>
      <c r="V495" s="279"/>
      <c r="W495" s="279"/>
      <c r="X495" s="279"/>
      <c r="Y495" s="279"/>
      <c r="Z495" s="279"/>
      <c r="AA495" s="279"/>
      <c r="AB495" s="279"/>
      <c r="AC495" s="279"/>
      <c r="AD495" s="279"/>
      <c r="AE495" s="279"/>
      <c r="AF495" s="279"/>
      <c r="AG495" s="280"/>
      <c r="AH495" s="281"/>
      <c r="AI495" s="282"/>
      <c r="AJ495" s="283"/>
      <c r="AK495" s="22" t="s">
        <v>58</v>
      </c>
      <c r="AL495" s="22" t="s">
        <v>58</v>
      </c>
      <c r="AM495" s="22" t="s">
        <v>58</v>
      </c>
    </row>
    <row r="496" spans="1:39" s="22" customFormat="1" x14ac:dyDescent="0.25">
      <c r="A496" s="28" t="str">
        <f>IF(H496&lt;&gt;"",MAX($A$7:A495)+1,"")</f>
        <v/>
      </c>
      <c r="B496" s="243" t="str">
        <f t="shared" si="35"/>
        <v/>
      </c>
      <c r="C496" s="273"/>
      <c r="D496" s="246"/>
      <c r="E496" s="247"/>
      <c r="F496" s="247"/>
      <c r="G496" s="248"/>
      <c r="H496" s="241"/>
      <c r="I496" s="274"/>
      <c r="J496" s="275"/>
      <c r="K496" s="276"/>
      <c r="L496" s="277"/>
      <c r="M496" s="278"/>
      <c r="N496" s="279"/>
      <c r="O496" s="274"/>
      <c r="P496" s="275"/>
      <c r="Q496" s="276"/>
      <c r="R496" s="277"/>
      <c r="S496" s="278"/>
      <c r="T496" s="279"/>
      <c r="U496" s="279"/>
      <c r="V496" s="279"/>
      <c r="W496" s="279"/>
      <c r="X496" s="279"/>
      <c r="Y496" s="279"/>
      <c r="Z496" s="279"/>
      <c r="AA496" s="279"/>
      <c r="AB496" s="279"/>
      <c r="AC496" s="279"/>
      <c r="AD496" s="279"/>
      <c r="AE496" s="279"/>
      <c r="AF496" s="279"/>
      <c r="AG496" s="280"/>
      <c r="AH496" s="281"/>
      <c r="AI496" s="282"/>
      <c r="AJ496" s="283"/>
      <c r="AK496" s="22" t="s">
        <v>58</v>
      </c>
      <c r="AL496" s="22" t="s">
        <v>58</v>
      </c>
      <c r="AM496" s="22" t="s">
        <v>58</v>
      </c>
    </row>
    <row r="497" spans="1:39" s="22" customFormat="1" x14ac:dyDescent="0.25">
      <c r="A497" s="28" t="str">
        <f>IF(H497&lt;&gt;"",MAX($A$7:A496)+1,"")</f>
        <v/>
      </c>
      <c r="B497" s="243" t="str">
        <f t="shared" si="35"/>
        <v/>
      </c>
      <c r="C497" s="273"/>
      <c r="D497" s="246"/>
      <c r="E497" s="247"/>
      <c r="F497" s="247"/>
      <c r="G497" s="248"/>
      <c r="H497" s="241"/>
      <c r="I497" s="274"/>
      <c r="J497" s="275"/>
      <c r="K497" s="276"/>
      <c r="L497" s="277"/>
      <c r="M497" s="278"/>
      <c r="N497" s="279"/>
      <c r="O497" s="274"/>
      <c r="P497" s="275"/>
      <c r="Q497" s="276"/>
      <c r="R497" s="277"/>
      <c r="S497" s="278"/>
      <c r="T497" s="279"/>
      <c r="U497" s="279"/>
      <c r="V497" s="279"/>
      <c r="W497" s="279"/>
      <c r="X497" s="279"/>
      <c r="Y497" s="279"/>
      <c r="Z497" s="279"/>
      <c r="AA497" s="279"/>
      <c r="AB497" s="279"/>
      <c r="AC497" s="279"/>
      <c r="AD497" s="279"/>
      <c r="AE497" s="279"/>
      <c r="AF497" s="279"/>
      <c r="AG497" s="280"/>
      <c r="AH497" s="281"/>
      <c r="AI497" s="282"/>
      <c r="AJ497" s="283"/>
      <c r="AK497" s="22" t="s">
        <v>58</v>
      </c>
      <c r="AL497" s="22" t="s">
        <v>58</v>
      </c>
      <c r="AM497" s="22" t="s">
        <v>58</v>
      </c>
    </row>
    <row r="498" spans="1:39" s="22" customFormat="1" x14ac:dyDescent="0.25">
      <c r="A498" s="28" t="str">
        <f>IF(H498&lt;&gt;"",MAX($A$7:A497)+1,"")</f>
        <v/>
      </c>
      <c r="B498" s="243" t="str">
        <f t="shared" si="35"/>
        <v/>
      </c>
      <c r="C498" s="273"/>
      <c r="D498" s="246"/>
      <c r="E498" s="247"/>
      <c r="F498" s="247"/>
      <c r="G498" s="248"/>
      <c r="H498" s="241"/>
      <c r="I498" s="274"/>
      <c r="J498" s="275"/>
      <c r="K498" s="276"/>
      <c r="L498" s="277"/>
      <c r="M498" s="278"/>
      <c r="N498" s="279"/>
      <c r="O498" s="274"/>
      <c r="P498" s="275"/>
      <c r="Q498" s="276"/>
      <c r="R498" s="277"/>
      <c r="S498" s="278"/>
      <c r="T498" s="279"/>
      <c r="U498" s="279"/>
      <c r="V498" s="279"/>
      <c r="W498" s="279"/>
      <c r="X498" s="279"/>
      <c r="Y498" s="279"/>
      <c r="Z498" s="279"/>
      <c r="AA498" s="279"/>
      <c r="AB498" s="279"/>
      <c r="AC498" s="279"/>
      <c r="AD498" s="279"/>
      <c r="AE498" s="279"/>
      <c r="AF498" s="279"/>
      <c r="AG498" s="280"/>
      <c r="AH498" s="281"/>
      <c r="AI498" s="282"/>
      <c r="AJ498" s="283"/>
      <c r="AK498" s="22" t="s">
        <v>58</v>
      </c>
      <c r="AL498" s="22" t="s">
        <v>58</v>
      </c>
      <c r="AM498" s="22" t="s">
        <v>58</v>
      </c>
    </row>
    <row r="499" spans="1:39" s="22" customFormat="1" x14ac:dyDescent="0.25">
      <c r="A499" s="28" t="str">
        <f>IF(H499&lt;&gt;"",MAX($A$7:A498)+1,"")</f>
        <v/>
      </c>
      <c r="B499" s="243" t="str">
        <f t="shared" si="35"/>
        <v/>
      </c>
      <c r="C499" s="273"/>
      <c r="D499" s="246"/>
      <c r="E499" s="247"/>
      <c r="F499" s="247"/>
      <c r="G499" s="248"/>
      <c r="H499" s="241"/>
      <c r="I499" s="274"/>
      <c r="J499" s="275"/>
      <c r="K499" s="276"/>
      <c r="L499" s="277"/>
      <c r="M499" s="278"/>
      <c r="N499" s="279"/>
      <c r="O499" s="274"/>
      <c r="P499" s="275"/>
      <c r="Q499" s="276"/>
      <c r="R499" s="277"/>
      <c r="S499" s="278"/>
      <c r="T499" s="279"/>
      <c r="U499" s="279"/>
      <c r="V499" s="279"/>
      <c r="W499" s="279"/>
      <c r="X499" s="279"/>
      <c r="Y499" s="279"/>
      <c r="Z499" s="279"/>
      <c r="AA499" s="279"/>
      <c r="AB499" s="279"/>
      <c r="AC499" s="279"/>
      <c r="AD499" s="279"/>
      <c r="AE499" s="279"/>
      <c r="AF499" s="279"/>
      <c r="AG499" s="280"/>
      <c r="AH499" s="281"/>
      <c r="AI499" s="282"/>
      <c r="AJ499" s="283"/>
      <c r="AK499" s="22" t="s">
        <v>58</v>
      </c>
      <c r="AL499" s="22" t="s">
        <v>58</v>
      </c>
      <c r="AM499" s="22" t="s">
        <v>58</v>
      </c>
    </row>
    <row r="500" spans="1:39" s="22" customFormat="1" x14ac:dyDescent="0.25">
      <c r="A500" s="28" t="str">
        <f>IF(H500&lt;&gt;"",MAX($A$7:A499)+1,"")</f>
        <v/>
      </c>
      <c r="B500" s="243" t="str">
        <f t="shared" si="35"/>
        <v/>
      </c>
      <c r="C500" s="273"/>
      <c r="D500" s="246"/>
      <c r="E500" s="247"/>
      <c r="F500" s="247"/>
      <c r="G500" s="248"/>
      <c r="H500" s="241"/>
      <c r="I500" s="274"/>
      <c r="J500" s="275"/>
      <c r="K500" s="276"/>
      <c r="L500" s="277"/>
      <c r="M500" s="278"/>
      <c r="N500" s="279"/>
      <c r="O500" s="274"/>
      <c r="P500" s="275"/>
      <c r="Q500" s="276"/>
      <c r="R500" s="277"/>
      <c r="S500" s="278"/>
      <c r="T500" s="279"/>
      <c r="U500" s="279"/>
      <c r="V500" s="279"/>
      <c r="W500" s="279"/>
      <c r="X500" s="279"/>
      <c r="Y500" s="279"/>
      <c r="Z500" s="279"/>
      <c r="AA500" s="279"/>
      <c r="AB500" s="279"/>
      <c r="AC500" s="279"/>
      <c r="AD500" s="279"/>
      <c r="AE500" s="279"/>
      <c r="AF500" s="279"/>
      <c r="AG500" s="280"/>
      <c r="AH500" s="281"/>
      <c r="AI500" s="282"/>
      <c r="AJ500" s="283"/>
      <c r="AK500" s="22" t="s">
        <v>58</v>
      </c>
      <c r="AL500" s="22" t="s">
        <v>58</v>
      </c>
      <c r="AM500" s="22" t="s">
        <v>58</v>
      </c>
    </row>
    <row r="501" spans="1:39" s="22" customFormat="1" x14ac:dyDescent="0.25">
      <c r="A501" s="28" t="str">
        <f>IF(H501&lt;&gt;"",MAX($A$7:A500)+1,"")</f>
        <v/>
      </c>
      <c r="B501" s="243" t="str">
        <f t="shared" si="35"/>
        <v/>
      </c>
      <c r="C501" s="273"/>
      <c r="D501" s="246"/>
      <c r="E501" s="247"/>
      <c r="F501" s="247"/>
      <c r="G501" s="248"/>
      <c r="H501" s="241"/>
      <c r="I501" s="274"/>
      <c r="J501" s="275"/>
      <c r="K501" s="276"/>
      <c r="L501" s="277"/>
      <c r="M501" s="278"/>
      <c r="N501" s="279"/>
      <c r="O501" s="274"/>
      <c r="P501" s="275"/>
      <c r="Q501" s="276"/>
      <c r="R501" s="277"/>
      <c r="S501" s="278"/>
      <c r="T501" s="279"/>
      <c r="U501" s="279"/>
      <c r="V501" s="279"/>
      <c r="W501" s="279"/>
      <c r="X501" s="279"/>
      <c r="Y501" s="279"/>
      <c r="Z501" s="279"/>
      <c r="AA501" s="279"/>
      <c r="AB501" s="279"/>
      <c r="AC501" s="279"/>
      <c r="AD501" s="279"/>
      <c r="AE501" s="279"/>
      <c r="AF501" s="279"/>
      <c r="AG501" s="280"/>
      <c r="AH501" s="281"/>
      <c r="AI501" s="282"/>
      <c r="AJ501" s="283"/>
      <c r="AK501" s="22" t="s">
        <v>58</v>
      </c>
      <c r="AL501" s="22" t="s">
        <v>58</v>
      </c>
      <c r="AM501" s="22" t="s">
        <v>58</v>
      </c>
    </row>
    <row r="502" spans="1:39" s="22" customFormat="1" x14ac:dyDescent="0.25">
      <c r="A502" s="28" t="str">
        <f>IF(H502&lt;&gt;"",MAX($A$7:A501)+1,"")</f>
        <v/>
      </c>
      <c r="B502" s="243" t="str">
        <f t="shared" si="35"/>
        <v/>
      </c>
      <c r="C502" s="273"/>
      <c r="D502" s="246"/>
      <c r="E502" s="247"/>
      <c r="F502" s="247"/>
      <c r="G502" s="248"/>
      <c r="H502" s="241"/>
      <c r="I502" s="274"/>
      <c r="J502" s="275"/>
      <c r="K502" s="276"/>
      <c r="L502" s="277"/>
      <c r="M502" s="278"/>
      <c r="N502" s="279"/>
      <c r="O502" s="274"/>
      <c r="P502" s="275"/>
      <c r="Q502" s="276"/>
      <c r="R502" s="277"/>
      <c r="S502" s="278"/>
      <c r="T502" s="279"/>
      <c r="U502" s="279"/>
      <c r="V502" s="279"/>
      <c r="W502" s="279"/>
      <c r="X502" s="279"/>
      <c r="Y502" s="279"/>
      <c r="Z502" s="279"/>
      <c r="AA502" s="279"/>
      <c r="AB502" s="279"/>
      <c r="AC502" s="279"/>
      <c r="AD502" s="279"/>
      <c r="AE502" s="279"/>
      <c r="AF502" s="279"/>
      <c r="AG502" s="280"/>
      <c r="AH502" s="281"/>
      <c r="AI502" s="282"/>
      <c r="AJ502" s="283"/>
      <c r="AK502" s="22" t="s">
        <v>58</v>
      </c>
      <c r="AL502" s="22" t="s">
        <v>58</v>
      </c>
      <c r="AM502" s="22" t="s">
        <v>58</v>
      </c>
    </row>
    <row r="503" spans="1:39" s="22" customFormat="1" x14ac:dyDescent="0.25">
      <c r="A503" s="28" t="str">
        <f>IF(H503&lt;&gt;"",MAX($A$7:A502)+1,"")</f>
        <v/>
      </c>
      <c r="B503" s="243" t="str">
        <f t="shared" si="35"/>
        <v/>
      </c>
      <c r="C503" s="273"/>
      <c r="D503" s="246"/>
      <c r="E503" s="247"/>
      <c r="F503" s="247"/>
      <c r="G503" s="248"/>
      <c r="H503" s="241"/>
      <c r="I503" s="274"/>
      <c r="J503" s="275"/>
      <c r="K503" s="276"/>
      <c r="L503" s="277"/>
      <c r="M503" s="278"/>
      <c r="N503" s="279"/>
      <c r="O503" s="274"/>
      <c r="P503" s="275"/>
      <c r="Q503" s="276"/>
      <c r="R503" s="277"/>
      <c r="S503" s="278"/>
      <c r="T503" s="279"/>
      <c r="U503" s="279"/>
      <c r="V503" s="279"/>
      <c r="W503" s="279"/>
      <c r="X503" s="279"/>
      <c r="Y503" s="279"/>
      <c r="Z503" s="279"/>
      <c r="AA503" s="279"/>
      <c r="AB503" s="279"/>
      <c r="AC503" s="279"/>
      <c r="AD503" s="279"/>
      <c r="AE503" s="279"/>
      <c r="AF503" s="279"/>
      <c r="AG503" s="280"/>
      <c r="AH503" s="281"/>
      <c r="AI503" s="282"/>
      <c r="AJ503" s="283"/>
      <c r="AK503" s="22" t="s">
        <v>58</v>
      </c>
      <c r="AL503" s="22" t="s">
        <v>58</v>
      </c>
      <c r="AM503" s="22" t="s">
        <v>58</v>
      </c>
    </row>
    <row r="504" spans="1:39" s="22" customFormat="1" x14ac:dyDescent="0.25">
      <c r="A504" s="28" t="str">
        <f>IF(H504&lt;&gt;"",MAX($A$7:A503)+1,"")</f>
        <v/>
      </c>
      <c r="B504" s="243" t="str">
        <f t="shared" si="35"/>
        <v/>
      </c>
      <c r="C504" s="273"/>
      <c r="D504" s="246"/>
      <c r="E504" s="247"/>
      <c r="F504" s="247"/>
      <c r="G504" s="248"/>
      <c r="H504" s="241"/>
      <c r="I504" s="274"/>
      <c r="J504" s="275"/>
      <c r="K504" s="276"/>
      <c r="L504" s="277"/>
      <c r="M504" s="278"/>
      <c r="N504" s="279"/>
      <c r="O504" s="274"/>
      <c r="P504" s="275"/>
      <c r="Q504" s="276"/>
      <c r="R504" s="277"/>
      <c r="S504" s="278"/>
      <c r="T504" s="279"/>
      <c r="U504" s="279"/>
      <c r="V504" s="279"/>
      <c r="W504" s="279"/>
      <c r="X504" s="279"/>
      <c r="Y504" s="279"/>
      <c r="Z504" s="279"/>
      <c r="AA504" s="279"/>
      <c r="AB504" s="279"/>
      <c r="AC504" s="279"/>
      <c r="AD504" s="279"/>
      <c r="AE504" s="279"/>
      <c r="AF504" s="279"/>
      <c r="AG504" s="280"/>
      <c r="AH504" s="281"/>
      <c r="AI504" s="282"/>
      <c r="AJ504" s="283"/>
      <c r="AK504" s="22" t="s">
        <v>58</v>
      </c>
      <c r="AL504" s="22" t="s">
        <v>58</v>
      </c>
      <c r="AM504" s="22" t="s">
        <v>58</v>
      </c>
    </row>
    <row r="505" spans="1:39" s="22" customFormat="1" x14ac:dyDescent="0.25">
      <c r="A505" s="28" t="str">
        <f>IF(H505&lt;&gt;"",MAX($A$7:A504)+1,"")</f>
        <v/>
      </c>
      <c r="B505" s="243" t="str">
        <f t="shared" si="35"/>
        <v/>
      </c>
      <c r="C505" s="273"/>
      <c r="D505" s="246"/>
      <c r="E505" s="247"/>
      <c r="F505" s="247"/>
      <c r="G505" s="248"/>
      <c r="H505" s="241"/>
      <c r="I505" s="274"/>
      <c r="J505" s="275"/>
      <c r="K505" s="276"/>
      <c r="L505" s="277"/>
      <c r="M505" s="278"/>
      <c r="N505" s="279"/>
      <c r="O505" s="274"/>
      <c r="P505" s="275"/>
      <c r="Q505" s="276"/>
      <c r="R505" s="277"/>
      <c r="S505" s="278"/>
      <c r="T505" s="279"/>
      <c r="U505" s="279"/>
      <c r="V505" s="279"/>
      <c r="W505" s="279"/>
      <c r="X505" s="279"/>
      <c r="Y505" s="279"/>
      <c r="Z505" s="279"/>
      <c r="AA505" s="279"/>
      <c r="AB505" s="279"/>
      <c r="AC505" s="279"/>
      <c r="AD505" s="279"/>
      <c r="AE505" s="279"/>
      <c r="AF505" s="279"/>
      <c r="AG505" s="280"/>
      <c r="AH505" s="281"/>
      <c r="AI505" s="282"/>
      <c r="AJ505" s="283"/>
      <c r="AK505" s="22" t="s">
        <v>58</v>
      </c>
      <c r="AL505" s="22" t="s">
        <v>58</v>
      </c>
      <c r="AM505" s="22" t="s">
        <v>58</v>
      </c>
    </row>
    <row r="506" spans="1:39" s="22" customFormat="1" x14ac:dyDescent="0.25">
      <c r="A506" s="28" t="str">
        <f>IF(H506&lt;&gt;"",MAX($A$7:A505)+1,"")</f>
        <v/>
      </c>
      <c r="B506" s="243" t="str">
        <f t="shared" si="35"/>
        <v/>
      </c>
      <c r="C506" s="273"/>
      <c r="D506" s="246"/>
      <c r="E506" s="247"/>
      <c r="F506" s="247"/>
      <c r="G506" s="248"/>
      <c r="H506" s="241"/>
      <c r="I506" s="274"/>
      <c r="J506" s="275"/>
      <c r="K506" s="276"/>
      <c r="L506" s="277"/>
      <c r="M506" s="278"/>
      <c r="N506" s="279"/>
      <c r="O506" s="274"/>
      <c r="P506" s="275"/>
      <c r="Q506" s="276"/>
      <c r="R506" s="277"/>
      <c r="S506" s="278"/>
      <c r="T506" s="279"/>
      <c r="U506" s="279"/>
      <c r="V506" s="279"/>
      <c r="W506" s="279"/>
      <c r="X506" s="279"/>
      <c r="Y506" s="279"/>
      <c r="Z506" s="279"/>
      <c r="AA506" s="279"/>
      <c r="AB506" s="279"/>
      <c r="AC506" s="279"/>
      <c r="AD506" s="279"/>
      <c r="AE506" s="279"/>
      <c r="AF506" s="279"/>
      <c r="AG506" s="280"/>
      <c r="AH506" s="281"/>
      <c r="AI506" s="282"/>
      <c r="AJ506" s="283"/>
      <c r="AK506" s="22" t="s">
        <v>58</v>
      </c>
      <c r="AL506" s="22" t="s">
        <v>58</v>
      </c>
      <c r="AM506" s="22" t="s">
        <v>58</v>
      </c>
    </row>
    <row r="507" spans="1:39" s="22" customFormat="1" x14ac:dyDescent="0.25">
      <c r="A507" s="28" t="str">
        <f>IF(H507&lt;&gt;"",MAX($A$7:A506)+1,"")</f>
        <v/>
      </c>
      <c r="B507" s="243" t="str">
        <f t="shared" si="35"/>
        <v/>
      </c>
      <c r="C507" s="273"/>
      <c r="D507" s="246"/>
      <c r="E507" s="247"/>
      <c r="F507" s="247"/>
      <c r="G507" s="248"/>
      <c r="H507" s="241"/>
      <c r="I507" s="274"/>
      <c r="J507" s="275"/>
      <c r="K507" s="276"/>
      <c r="L507" s="277"/>
      <c r="M507" s="278"/>
      <c r="N507" s="279"/>
      <c r="O507" s="274"/>
      <c r="P507" s="275"/>
      <c r="Q507" s="276"/>
      <c r="R507" s="277"/>
      <c r="S507" s="278"/>
      <c r="T507" s="279"/>
      <c r="U507" s="279"/>
      <c r="V507" s="279"/>
      <c r="W507" s="279"/>
      <c r="X507" s="279"/>
      <c r="Y507" s="279"/>
      <c r="Z507" s="279"/>
      <c r="AA507" s="279"/>
      <c r="AB507" s="279"/>
      <c r="AC507" s="279"/>
      <c r="AD507" s="279"/>
      <c r="AE507" s="279"/>
      <c r="AF507" s="279"/>
      <c r="AG507" s="280"/>
      <c r="AH507" s="281"/>
      <c r="AI507" s="282"/>
      <c r="AJ507" s="283"/>
      <c r="AK507" s="22" t="s">
        <v>58</v>
      </c>
      <c r="AL507" s="22" t="s">
        <v>58</v>
      </c>
      <c r="AM507" s="22" t="s">
        <v>58</v>
      </c>
    </row>
    <row r="508" spans="1:39" s="22" customFormat="1" x14ac:dyDescent="0.25">
      <c r="A508" s="28" t="str">
        <f>IF(H508&lt;&gt;"",MAX($A$7:A507)+1,"")</f>
        <v/>
      </c>
      <c r="B508" s="243" t="str">
        <f t="shared" si="35"/>
        <v/>
      </c>
      <c r="C508" s="273"/>
      <c r="D508" s="246"/>
      <c r="E508" s="247"/>
      <c r="F508" s="247"/>
      <c r="G508" s="248"/>
      <c r="H508" s="241"/>
      <c r="I508" s="274"/>
      <c r="J508" s="275"/>
      <c r="K508" s="276"/>
      <c r="L508" s="277"/>
      <c r="M508" s="278"/>
      <c r="N508" s="279"/>
      <c r="O508" s="274"/>
      <c r="P508" s="275"/>
      <c r="Q508" s="276"/>
      <c r="R508" s="277"/>
      <c r="S508" s="278"/>
      <c r="T508" s="279"/>
      <c r="U508" s="279"/>
      <c r="V508" s="279"/>
      <c r="W508" s="279"/>
      <c r="X508" s="279"/>
      <c r="Y508" s="279"/>
      <c r="Z508" s="279"/>
      <c r="AA508" s="279"/>
      <c r="AB508" s="279"/>
      <c r="AC508" s="279"/>
      <c r="AD508" s="279"/>
      <c r="AE508" s="279"/>
      <c r="AF508" s="279"/>
      <c r="AG508" s="280"/>
      <c r="AH508" s="281"/>
      <c r="AI508" s="282"/>
      <c r="AJ508" s="283"/>
      <c r="AK508" s="22" t="s">
        <v>58</v>
      </c>
      <c r="AL508" s="22" t="s">
        <v>58</v>
      </c>
      <c r="AM508" s="22" t="s">
        <v>58</v>
      </c>
    </row>
  </sheetData>
  <sheetProtection algorithmName="SHA-512" hashValue="XFvDsa7Utrgt76dbbSG0/PyFL/OFvt9bRCKO6s89QIaYuXhjBDbbour9YBcFJWtVI5fOdIwJDDKYPwBzwjABSw==" saltValue="NHT39gUNRTVAKWqhvuIdLA==" spinCount="100000" sheet="1" objects="1" scenarios="1" selectLockedCells="1"/>
  <conditionalFormatting sqref="C7">
    <cfRule type="cellIs" dxfId="68" priority="146" operator="equal">
      <formula>""</formula>
    </cfRule>
  </conditionalFormatting>
  <conditionalFormatting sqref="C7">
    <cfRule type="cellIs" dxfId="67" priority="147" operator="equal">
      <formula>0</formula>
    </cfRule>
  </conditionalFormatting>
  <conditionalFormatting sqref="B8:B10 B12:B508">
    <cfRule type="cellIs" dxfId="66" priority="145" operator="equal">
      <formula>""</formula>
    </cfRule>
  </conditionalFormatting>
  <conditionalFormatting sqref="B4:D4 H4">
    <cfRule type="expression" dxfId="65" priority="142">
      <formula>MAX($D$7:$D$156)&gt;1</formula>
    </cfRule>
  </conditionalFormatting>
  <conditionalFormatting sqref="C11">
    <cfRule type="cellIs" dxfId="64" priority="135" operator="equal">
      <formula>""</formula>
    </cfRule>
  </conditionalFormatting>
  <conditionalFormatting sqref="B11">
    <cfRule type="cellIs" dxfId="63" priority="137" operator="equal">
      <formula>""</formula>
    </cfRule>
  </conditionalFormatting>
  <conditionalFormatting sqref="C11">
    <cfRule type="cellIs" dxfId="62" priority="136" operator="equal">
      <formula>0</formula>
    </cfRule>
  </conditionalFormatting>
  <conditionalFormatting sqref="B5:AJ6 B7:C508">
    <cfRule type="cellIs" dxfId="61" priority="143" operator="equal">
      <formula>""</formula>
    </cfRule>
    <cfRule type="cellIs" dxfId="60" priority="144" operator="equal">
      <formula>0</formula>
    </cfRule>
  </conditionalFormatting>
  <conditionalFormatting sqref="D7:AJ508">
    <cfRule type="cellIs" dxfId="59" priority="1" operator="equal">
      <formula>""</formula>
    </cfRule>
    <cfRule type="cellIs" dxfId="58"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 type="list" allowBlank="1" showInputMessage="1" showErrorMessage="1" sqref="I7:I508">
      <formula1>"VERDADERO,FALSO"</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D28"/>
  <sheetViews>
    <sheetView showGridLines="0" showRowColHeaders="0" zoomScale="145" zoomScaleNormal="145" workbookViewId="0">
      <pane ySplit="2" topLeftCell="A6" activePane="bottomLeft" state="frozen"/>
      <selection activeCell="J5" sqref="J5:P5"/>
      <selection pane="bottomLeft"/>
    </sheetView>
  </sheetViews>
  <sheetFormatPr baseColWidth="10" defaultRowHeight="15" x14ac:dyDescent="0.25"/>
  <cols>
    <col min="1" max="1" width="66.42578125" style="37" customWidth="1"/>
    <col min="2" max="2" width="16.42578125" style="38" hidden="1" customWidth="1"/>
    <col min="3" max="3" width="13" style="37" hidden="1" customWidth="1"/>
    <col min="4" max="4" width="10.85546875" style="37" customWidth="1"/>
  </cols>
  <sheetData>
    <row r="1" spans="1:3" x14ac:dyDescent="0.25">
      <c r="A1" s="37" t="str">
        <f>"&lt;!-- question: "&amp;'Datos VF'!A2&amp;"  --&gt;"</f>
        <v>&lt;!-- question: 1  --&gt;</v>
      </c>
      <c r="B1" s="40">
        <f>COUNTA(A1:A27)</f>
        <v>27</v>
      </c>
    </row>
    <row r="2" spans="1:3" x14ac:dyDescent="0.25">
      <c r="A2" s="72" t="s">
        <v>115</v>
      </c>
      <c r="B2" s="39" t="s">
        <v>116</v>
      </c>
    </row>
    <row r="3" spans="1:3" x14ac:dyDescent="0.25">
      <c r="A3" s="37" t="s">
        <v>75</v>
      </c>
      <c r="B3" s="37" t="s">
        <v>76</v>
      </c>
    </row>
    <row r="4" spans="1:3" x14ac:dyDescent="0.25">
      <c r="A4" s="37" t="e">
        <f>"      &lt;text&gt;"&amp;B4&amp;"&lt;/text&gt;"</f>
        <v>#N/A</v>
      </c>
      <c r="B4" s="40" t="e">
        <f>NOMBRE_VF</f>
        <v>#N/A</v>
      </c>
    </row>
    <row r="5" spans="1:3" x14ac:dyDescent="0.25">
      <c r="A5" s="37" t="s">
        <v>77</v>
      </c>
    </row>
    <row r="6" spans="1:3" x14ac:dyDescent="0.25">
      <c r="A6" s="37" t="s">
        <v>78</v>
      </c>
      <c r="B6" s="38" t="s">
        <v>47</v>
      </c>
    </row>
    <row r="7" spans="1:3" x14ac:dyDescent="0.25">
      <c r="A7" s="37" t="e">
        <f>"      &lt;text&gt;&lt;![CDATA[&lt;p&gt;"&amp;B7&amp;"&lt;/p&gt;]]&gt;&lt;/text&gt;"</f>
        <v>#N/A</v>
      </c>
      <c r="B7" s="40" t="e">
        <f>ENUNCIADO_VF</f>
        <v>#N/A</v>
      </c>
    </row>
    <row r="8" spans="1:3" x14ac:dyDescent="0.25">
      <c r="A8" s="37" t="s">
        <v>79</v>
      </c>
    </row>
    <row r="9" spans="1:3" x14ac:dyDescent="0.25">
      <c r="A9" s="37" t="s">
        <v>80</v>
      </c>
      <c r="B9" s="65" t="s">
        <v>119</v>
      </c>
    </row>
    <row r="10" spans="1:3" x14ac:dyDescent="0.25">
      <c r="A10" s="37" t="str">
        <f>"      &lt;text&gt;&lt;![CDATA[&lt;p&gt;"&amp;B10&amp;"&lt;/p&gt;]]&gt;&lt;/text&gt;"</f>
        <v xml:space="preserve">      &lt;text&gt;&lt;![CDATA[&lt;p&gt;Tomo no de tus respuestas&lt;/p&gt;]]&gt;&lt;/text&gt;</v>
      </c>
      <c r="B10" s="40" t="str">
        <f>Retroalim_GENERAL</f>
        <v>Tomo no de tus respuestas</v>
      </c>
    </row>
    <row r="11" spans="1:3" x14ac:dyDescent="0.25">
      <c r="A11" s="37" t="s">
        <v>82</v>
      </c>
    </row>
    <row r="12" spans="1:3" x14ac:dyDescent="0.25">
      <c r="A12" s="37" t="str">
        <f>"    &lt;defaultgrade&gt;"&amp;B12&amp;"&lt;/defaultgrade&gt;"</f>
        <v xml:space="preserve">    &lt;defaultgrade&gt;1&lt;/defaultgrade&gt;</v>
      </c>
      <c r="B12" s="42">
        <f>PUNTUACION</f>
        <v>1</v>
      </c>
      <c r="C12" s="37" t="s">
        <v>83</v>
      </c>
    </row>
    <row r="13" spans="1:3" x14ac:dyDescent="0.25">
      <c r="A13" s="37" t="str">
        <f>"    &lt;penalty&gt;"&amp;B13&amp;"&lt;/penalty&gt;"</f>
        <v xml:space="preserve">    &lt;penalty&gt;0,333333333333333&lt;/penalty&gt;</v>
      </c>
      <c r="B13" s="42">
        <f>PENALIZACION</f>
        <v>0.33333333333333331</v>
      </c>
      <c r="C13" s="37" t="s">
        <v>84</v>
      </c>
    </row>
    <row r="14" spans="1:3" x14ac:dyDescent="0.25">
      <c r="A14" s="37" t="str">
        <f>"    &lt;hidden&gt;"&amp;B14&amp;"&lt;/hidden&gt;"</f>
        <v xml:space="preserve">    &lt;hidden&gt;0&lt;/hidden&gt;</v>
      </c>
      <c r="B14" s="40">
        <f>Oculto</f>
        <v>0</v>
      </c>
      <c r="C14" s="37" t="s">
        <v>85</v>
      </c>
    </row>
    <row r="15" spans="1:3" x14ac:dyDescent="0.25">
      <c r="A15" s="37" t="str">
        <f>"    &lt;idnumber&gt;"&amp;B15&amp;"&lt;/idnumber&gt;"</f>
        <v xml:space="preserve">    &lt;idnumber&gt;&lt;/idnumber&gt;</v>
      </c>
      <c r="B15" s="38" t="str">
        <f>IF(CONTRASEN_A="","",A15)</f>
        <v/>
      </c>
      <c r="C15" s="37" t="s">
        <v>86</v>
      </c>
    </row>
    <row r="16" spans="1:3" x14ac:dyDescent="0.25">
      <c r="A16" s="47" t="s">
        <v>117</v>
      </c>
      <c r="B16" s="45" t="s">
        <v>121</v>
      </c>
    </row>
    <row r="17" spans="1:2" x14ac:dyDescent="0.25">
      <c r="A17" s="37" t="e">
        <f>"      &lt;text&gt;"&amp;IF(B17="'FALSO","false","true")&amp;"&lt;/text&gt;"</f>
        <v>#N/A</v>
      </c>
      <c r="B17" s="46" t="e">
        <f>"'"&amp;RESPUESTA_1_VF</f>
        <v>#N/A</v>
      </c>
    </row>
    <row r="18" spans="1:2" x14ac:dyDescent="0.25">
      <c r="A18" s="37" t="s">
        <v>100</v>
      </c>
      <c r="B18" s="40"/>
    </row>
    <row r="19" spans="1:2" x14ac:dyDescent="0.25">
      <c r="A19" s="37" t="e">
        <f>"      &lt;text&gt;&lt;![CDATA[&lt;p&gt;"&amp;B19&amp;"&lt;/p&gt;]]&gt;&lt;/text&gt;"</f>
        <v>#N/A</v>
      </c>
      <c r="B19" s="39" t="e">
        <f>RETROAL_1_VF</f>
        <v>#N/A</v>
      </c>
    </row>
    <row r="20" spans="1:2" x14ac:dyDescent="0.25">
      <c r="A20" s="37" t="s">
        <v>112</v>
      </c>
      <c r="B20" s="39"/>
    </row>
    <row r="21" spans="1:2" x14ac:dyDescent="0.25">
      <c r="A21" s="37" t="s">
        <v>113</v>
      </c>
    </row>
    <row r="22" spans="1:2" x14ac:dyDescent="0.25">
      <c r="A22" s="47" t="s">
        <v>118</v>
      </c>
      <c r="B22" s="45" t="s">
        <v>120</v>
      </c>
    </row>
    <row r="23" spans="1:2" x14ac:dyDescent="0.25">
      <c r="A23" s="37" t="e">
        <f>"      &lt;text&gt;"&amp;IF(B23="'FALSO","false","true")&amp;"&lt;/text&gt;"</f>
        <v>#N/A</v>
      </c>
      <c r="B23" s="46" t="e">
        <f>IF(B17="'VERDADERO","'FALSO","'VERDADERO")</f>
        <v>#N/A</v>
      </c>
    </row>
    <row r="24" spans="1:2" x14ac:dyDescent="0.25">
      <c r="A24" s="37" t="s">
        <v>100</v>
      </c>
    </row>
    <row r="25" spans="1:2" x14ac:dyDescent="0.25">
      <c r="A25" s="37" t="e">
        <f>"      &lt;text&gt;&lt;![CDATA[&lt;p&gt;"&amp;B25&amp;"&lt;/p&gt;]]&gt;&lt;/text&gt;"</f>
        <v>#N/A</v>
      </c>
      <c r="B25" s="39" t="e">
        <f>RETROAL_2_VF</f>
        <v>#N/A</v>
      </c>
    </row>
    <row r="26" spans="1:2" x14ac:dyDescent="0.25">
      <c r="A26" s="37" t="str">
        <f>A20</f>
        <v xml:space="preserve">      &lt;/feedback&gt;</v>
      </c>
    </row>
    <row r="27" spans="1:2" x14ac:dyDescent="0.25">
      <c r="A27" s="37" t="str">
        <f>A21</f>
        <v xml:space="preserve">    &lt;/answer&gt;</v>
      </c>
    </row>
    <row r="28" spans="1:2" x14ac:dyDescent="0.25">
      <c r="A28"/>
      <c r="B28" s="49"/>
    </row>
  </sheetData>
  <sheetProtection algorithmName="SHA-512" hashValue="QjYYyNEcFXbft4UuxfdgfkUBU0pDHS93vCuT58HlOwVU3Ef0NLp0/QX/liVPS55ihv3xGeGePC/yGsOjLxiKUA==" saltValue="d3zihossD3y6PhzYQoWeMw==" spinCount="100000" sheet="1" objects="1" scenarios="1"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Z72"/>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6" t="str">
        <f>'Formulario OM'!A1</f>
        <v>CÓDIGOS ESPECIALES</v>
      </c>
      <c r="B1" s="443" t="str">
        <f>APP&amp;" - "&amp;Tipo_4</f>
        <v>FastTest PlugIn - Emparejar</v>
      </c>
      <c r="C1" s="444"/>
      <c r="D1" s="444"/>
      <c r="E1" s="444"/>
      <c r="F1" s="444"/>
      <c r="G1" s="444"/>
      <c r="H1" s="444"/>
      <c r="I1" s="444"/>
      <c r="J1" s="444"/>
      <c r="K1" s="444"/>
      <c r="L1" s="300"/>
      <c r="M1" s="300"/>
      <c r="N1" s="300"/>
      <c r="O1" s="300"/>
      <c r="P1" s="300"/>
      <c r="Q1" s="300"/>
      <c r="R1" s="300"/>
      <c r="S1" s="300"/>
      <c r="T1" s="300"/>
      <c r="U1" s="300"/>
      <c r="V1" s="300"/>
      <c r="W1" s="300"/>
      <c r="X1" s="301"/>
      <c r="Y1" s="447" t="str">
        <f>'Formulario OM'!Y1</f>
        <v>NO USAR CORTAR [Ctrl+X]</v>
      </c>
    </row>
    <row r="2" spans="1:25" ht="20.100000000000001" customHeight="1" x14ac:dyDescent="0.25">
      <c r="A2" s="427"/>
      <c r="B2" s="445"/>
      <c r="C2" s="446"/>
      <c r="D2" s="446"/>
      <c r="E2" s="446"/>
      <c r="F2" s="446"/>
      <c r="G2" s="446"/>
      <c r="H2" s="446"/>
      <c r="I2" s="446"/>
      <c r="J2" s="446"/>
      <c r="K2" s="446"/>
      <c r="L2" s="474" t="str">
        <f>'Formulario OM'!L2</f>
        <v>DATOS
GENERALES</v>
      </c>
      <c r="M2" s="467">
        <f>'Formulario OM'!M2</f>
        <v>0</v>
      </c>
      <c r="N2" s="466" t="str">
        <f>'Formulario OM'!N2</f>
        <v>BANCO
PREGUNTAS</v>
      </c>
      <c r="O2" s="465">
        <f>'Formulario OM'!O2</f>
        <v>0</v>
      </c>
      <c r="P2" s="464" t="str">
        <f>'Formulario OM'!P2</f>
        <v>LIMPIAR
DATOS</v>
      </c>
      <c r="Q2" s="465">
        <f>'Formulario OM'!Q2</f>
        <v>0</v>
      </c>
      <c r="R2" s="464" t="str">
        <f>'Formulario OM'!R2</f>
        <v>GUARDAR
PREGUNTA</v>
      </c>
      <c r="S2" s="465">
        <f>'Formulario OM'!S2</f>
        <v>0</v>
      </c>
      <c r="T2" s="464" t="str">
        <f>'Formulario OM'!T2</f>
        <v>BORRAR
PREGUNTA</v>
      </c>
      <c r="U2" s="465">
        <f>'Formulario OM'!U2</f>
        <v>0</v>
      </c>
      <c r="V2" s="464" t="str">
        <f>'Formulario OM'!V2</f>
        <v>DAR
FORMATO</v>
      </c>
      <c r="W2" s="472">
        <f>'Formulario OM'!W2</f>
        <v>0</v>
      </c>
      <c r="X2" s="413" t="s">
        <v>372</v>
      </c>
      <c r="Y2" s="448"/>
    </row>
    <row r="3" spans="1:25"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E'!A7</f>
        <v>31</v>
      </c>
      <c r="I5" s="157"/>
      <c r="J5" s="158"/>
      <c r="K5" s="137" t="str">
        <f>'Formulario OM'!K5</f>
        <v xml:space="preserve">Pregunta Nº: </v>
      </c>
      <c r="L5" s="174">
        <v>30</v>
      </c>
      <c r="M5" s="158"/>
      <c r="N5" s="158"/>
      <c r="O5" s="157"/>
      <c r="P5" s="157"/>
      <c r="Q5" s="156"/>
      <c r="R5" s="482" t="str">
        <f ca="1">'DATOS GENERALES'!R5</f>
        <v>Rango de preguntas almacenadas de la 0 a la 0</v>
      </c>
      <c r="S5" s="482"/>
      <c r="T5" s="482"/>
      <c r="U5" s="482"/>
      <c r="V5" s="482"/>
      <c r="W5" s="482"/>
      <c r="X5" s="139"/>
      <c r="Y5" s="329"/>
    </row>
    <row r="6" spans="1:25" ht="6" customHeight="1" x14ac:dyDescent="0.25">
      <c r="A6" s="35"/>
      <c r="B6" s="131"/>
      <c r="C6" s="132"/>
      <c r="D6" s="132"/>
      <c r="E6" s="132"/>
      <c r="F6" s="159"/>
      <c r="G6" s="159"/>
      <c r="H6" s="160">
        <f>'Datos E'!B3</f>
        <v>2</v>
      </c>
      <c r="I6" s="161"/>
      <c r="J6" s="161"/>
      <c r="K6" s="161"/>
      <c r="L6" s="161">
        <f>N_E</f>
        <v>30</v>
      </c>
      <c r="M6" s="161"/>
      <c r="N6" s="161"/>
      <c r="O6" s="160"/>
      <c r="P6" s="161"/>
      <c r="Q6" s="161"/>
      <c r="R6" s="161"/>
      <c r="S6" s="162"/>
      <c r="T6" s="162"/>
      <c r="U6" s="162"/>
      <c r="V6" s="160"/>
      <c r="W6" s="160"/>
      <c r="X6" s="135"/>
      <c r="Y6" s="328"/>
    </row>
    <row r="7" spans="1:25" x14ac:dyDescent="0.25">
      <c r="A7" s="324" t="str">
        <f>'Formulario OM'!A7</f>
        <v>SUPERÍNDICE</v>
      </c>
      <c r="B7" s="136"/>
      <c r="C7" s="137"/>
      <c r="D7" s="137"/>
      <c r="E7" s="137"/>
      <c r="F7" s="157"/>
      <c r="G7" s="137" t="str">
        <f>'Formulario OM'!G7</f>
        <v xml:space="preserve">Nombre de la pregunta: </v>
      </c>
      <c r="H7" s="471" t="str">
        <f>IFERROR(VLOOKUP(L5,'Datos E'!$A$7:$AG$500,2,1),"")</f>
        <v/>
      </c>
      <c r="I7" s="471"/>
      <c r="J7" s="471"/>
      <c r="K7" s="471"/>
      <c r="L7" s="471"/>
      <c r="M7" s="471"/>
      <c r="N7" s="471"/>
      <c r="O7" s="160"/>
      <c r="P7" s="161"/>
      <c r="Q7" s="157"/>
      <c r="R7" s="157"/>
      <c r="S7" s="162"/>
      <c r="T7" s="162"/>
      <c r="U7" s="162"/>
      <c r="V7" s="157"/>
      <c r="W7" s="160"/>
      <c r="X7" s="139"/>
      <c r="Y7" s="329"/>
    </row>
    <row r="8" spans="1:25" ht="6" customHeight="1" x14ac:dyDescent="0.25">
      <c r="A8" s="36"/>
      <c r="B8" s="131"/>
      <c r="C8" s="132"/>
      <c r="D8" s="132"/>
      <c r="E8" s="132"/>
      <c r="F8" s="159"/>
      <c r="G8" s="161"/>
      <c r="H8" s="161">
        <f>'Datos E'!G3</f>
        <v>7</v>
      </c>
      <c r="I8" s="160"/>
      <c r="J8" s="160"/>
      <c r="K8" s="160"/>
      <c r="L8" s="160"/>
      <c r="M8" s="161"/>
      <c r="N8" s="161"/>
      <c r="O8" s="162"/>
      <c r="P8" s="162"/>
      <c r="Q8" s="161"/>
      <c r="R8" s="162"/>
      <c r="S8" s="162"/>
      <c r="T8" s="162"/>
      <c r="U8" s="162"/>
      <c r="V8" s="162"/>
      <c r="W8" s="163"/>
      <c r="X8" s="135"/>
      <c r="Y8" s="173"/>
    </row>
    <row r="9" spans="1:25" x14ac:dyDescent="0.25">
      <c r="A9" s="324" t="str">
        <f>'Formulario OM'!A9</f>
        <v>SUBÍNDICE</v>
      </c>
      <c r="B9" s="136"/>
      <c r="C9" s="137"/>
      <c r="D9" s="137"/>
      <c r="E9" s="137"/>
      <c r="F9" s="157"/>
      <c r="G9" s="137" t="str">
        <f>'Formulario OM'!G9</f>
        <v xml:space="preserve">Descripción: </v>
      </c>
      <c r="H9" s="462"/>
      <c r="I9" s="462"/>
      <c r="J9" s="462"/>
      <c r="K9" s="462"/>
      <c r="L9" s="462"/>
      <c r="M9" s="462"/>
      <c r="N9" s="162"/>
      <c r="O9" s="164"/>
      <c r="P9" s="161"/>
      <c r="Q9" s="156"/>
      <c r="R9" s="162"/>
      <c r="S9" s="162"/>
      <c r="T9" s="162"/>
      <c r="U9" s="162"/>
      <c r="V9" s="157"/>
      <c r="W9" s="163"/>
      <c r="X9" s="139"/>
      <c r="Y9" s="330"/>
    </row>
    <row r="10" spans="1:25" ht="6" customHeight="1" x14ac:dyDescent="0.25">
      <c r="A10" s="35"/>
      <c r="B10" s="131"/>
      <c r="C10" s="132"/>
      <c r="D10" s="132"/>
      <c r="E10" s="132"/>
      <c r="F10" s="159"/>
      <c r="G10" s="159"/>
      <c r="H10" s="160">
        <f>'Datos E'!H3</f>
        <v>8</v>
      </c>
      <c r="I10" s="161"/>
      <c r="J10" s="161"/>
      <c r="K10" s="161"/>
      <c r="L10" s="161"/>
      <c r="M10" s="161"/>
      <c r="N10" s="161"/>
      <c r="O10" s="161"/>
      <c r="P10" s="161"/>
      <c r="Q10" s="161"/>
      <c r="R10" s="161"/>
      <c r="S10" s="161"/>
      <c r="T10" s="160"/>
      <c r="U10" s="160"/>
      <c r="V10" s="160"/>
      <c r="W10" s="160"/>
      <c r="X10" s="135"/>
      <c r="Y10" s="173"/>
    </row>
    <row r="11" spans="1:25" x14ac:dyDescent="0.25">
      <c r="A11" s="324" t="str">
        <f>'Formulario OM'!A11</f>
        <v xml:space="preserve">SALTO LÍNEA </v>
      </c>
      <c r="B11" s="136"/>
      <c r="C11" s="137"/>
      <c r="D11" s="137"/>
      <c r="E11" s="137"/>
      <c r="F11" s="157"/>
      <c r="G11" s="137" t="str">
        <f>'Formulario OM'!G11</f>
        <v xml:space="preserve">Enunciado de la pregunta: </v>
      </c>
      <c r="H11" s="469"/>
      <c r="I11" s="469"/>
      <c r="J11" s="469"/>
      <c r="K11" s="469"/>
      <c r="L11" s="469"/>
      <c r="M11" s="469"/>
      <c r="N11" s="469"/>
      <c r="O11" s="469"/>
      <c r="P11" s="469"/>
      <c r="Q11" s="469"/>
      <c r="R11" s="469"/>
      <c r="S11" s="469"/>
      <c r="T11" s="469"/>
      <c r="U11" s="469"/>
      <c r="V11" s="469"/>
      <c r="W11" s="469"/>
      <c r="X11" s="139"/>
      <c r="Y11" s="330"/>
    </row>
    <row r="12" spans="1:25" ht="6" customHeight="1" thickBot="1" x14ac:dyDescent="0.3">
      <c r="A12" s="2"/>
      <c r="B12" s="131"/>
      <c r="C12" s="132"/>
      <c r="D12" s="132"/>
      <c r="E12" s="132"/>
      <c r="F12" s="159"/>
      <c r="G12" s="159"/>
      <c r="H12" s="160"/>
      <c r="I12" s="161"/>
      <c r="J12" s="161"/>
      <c r="K12" s="161"/>
      <c r="L12" s="161"/>
      <c r="M12" s="161"/>
      <c r="N12" s="161"/>
      <c r="O12" s="161"/>
      <c r="P12" s="161"/>
      <c r="Q12" s="161"/>
      <c r="R12" s="161"/>
      <c r="S12" s="161"/>
      <c r="T12" s="160"/>
      <c r="U12" s="160"/>
      <c r="V12" s="160"/>
      <c r="W12" s="160"/>
      <c r="X12" s="135"/>
      <c r="Y12" s="173"/>
    </row>
    <row r="13" spans="1:25" x14ac:dyDescent="0.25">
      <c r="A13" s="324" t="str">
        <f>'Formulario OM'!A13</f>
        <v>CONCATENAR</v>
      </c>
      <c r="B13" s="136"/>
      <c r="C13" s="137"/>
      <c r="D13" s="137"/>
      <c r="E13" s="137"/>
      <c r="F13" s="479" t="s">
        <v>134</v>
      </c>
      <c r="G13" s="479"/>
      <c r="H13" s="479"/>
      <c r="I13" s="479"/>
      <c r="J13" s="478" t="s">
        <v>135</v>
      </c>
      <c r="K13" s="478"/>
      <c r="L13" s="478"/>
      <c r="M13" s="478"/>
      <c r="N13" s="165"/>
      <c r="O13" s="165"/>
      <c r="P13" s="479" t="s">
        <v>134</v>
      </c>
      <c r="Q13" s="479"/>
      <c r="R13" s="479"/>
      <c r="S13" s="479"/>
      <c r="T13" s="478" t="s">
        <v>135</v>
      </c>
      <c r="U13" s="478"/>
      <c r="V13" s="478"/>
      <c r="W13" s="478"/>
      <c r="X13" s="139"/>
      <c r="Y13" s="177"/>
    </row>
    <row r="14" spans="1:25" ht="6" customHeight="1" x14ac:dyDescent="0.25">
      <c r="B14" s="150"/>
      <c r="C14" s="151"/>
      <c r="D14" s="151"/>
      <c r="E14" s="151"/>
      <c r="F14" s="151">
        <f>H10+1</f>
        <v>9</v>
      </c>
      <c r="G14" s="152"/>
      <c r="H14" s="153"/>
      <c r="I14" s="154"/>
      <c r="J14" s="154">
        <f>F14+1</f>
        <v>10</v>
      </c>
      <c r="K14" s="154"/>
      <c r="L14" s="154"/>
      <c r="M14" s="154"/>
      <c r="N14" s="154"/>
      <c r="O14" s="154"/>
      <c r="P14" s="154">
        <f>J14+1</f>
        <v>11</v>
      </c>
      <c r="Q14" s="154"/>
      <c r="R14" s="154"/>
      <c r="S14" s="154"/>
      <c r="T14" s="154">
        <f>P14+1</f>
        <v>12</v>
      </c>
      <c r="U14" s="154"/>
      <c r="V14" s="154"/>
      <c r="W14" s="154"/>
      <c r="X14" s="155"/>
      <c r="Y14" s="173"/>
    </row>
    <row r="15" spans="1:25" x14ac:dyDescent="0.25">
      <c r="B15" s="136"/>
      <c r="C15" s="137"/>
      <c r="D15" s="137"/>
      <c r="E15" s="137" t="s">
        <v>122</v>
      </c>
      <c r="F15" s="481"/>
      <c r="G15" s="481"/>
      <c r="H15" s="481"/>
      <c r="I15" s="483"/>
      <c r="J15" s="480"/>
      <c r="K15" s="481"/>
      <c r="L15" s="481"/>
      <c r="M15" s="481"/>
      <c r="N15" s="156"/>
      <c r="O15" s="157" t="s">
        <v>123</v>
      </c>
      <c r="P15" s="481"/>
      <c r="Q15" s="481"/>
      <c r="R15" s="481"/>
      <c r="S15" s="483"/>
      <c r="T15" s="480"/>
      <c r="U15" s="481"/>
      <c r="V15" s="481"/>
      <c r="W15" s="481"/>
      <c r="X15" s="139"/>
      <c r="Y15" s="330"/>
    </row>
    <row r="16" spans="1:25" ht="6" customHeight="1" thickBot="1" x14ac:dyDescent="0.3">
      <c r="B16" s="150"/>
      <c r="C16" s="151"/>
      <c r="D16" s="151"/>
      <c r="E16" s="151"/>
      <c r="F16" s="151">
        <f>T14+1</f>
        <v>13</v>
      </c>
      <c r="G16" s="152"/>
      <c r="H16" s="153"/>
      <c r="I16" s="154"/>
      <c r="J16" s="154">
        <f>F16+1</f>
        <v>14</v>
      </c>
      <c r="K16" s="154"/>
      <c r="L16" s="154"/>
      <c r="M16" s="154"/>
      <c r="N16" s="154"/>
      <c r="O16" s="154"/>
      <c r="P16" s="154">
        <f>J16+1</f>
        <v>15</v>
      </c>
      <c r="Q16" s="154"/>
      <c r="R16" s="154"/>
      <c r="S16" s="154"/>
      <c r="T16" s="154">
        <f>P16+1</f>
        <v>16</v>
      </c>
      <c r="U16" s="154"/>
      <c r="V16" s="154"/>
      <c r="W16" s="154"/>
      <c r="X16" s="155"/>
      <c r="Y16" s="173"/>
    </row>
    <row r="17" spans="1:26" ht="15" customHeight="1" x14ac:dyDescent="0.25">
      <c r="A17" s="440" t="str">
        <f>'Formulario OM'!A17</f>
        <v>USAR DATOS
VARIABLES</v>
      </c>
      <c r="B17" s="136"/>
      <c r="C17" s="137"/>
      <c r="D17" s="137"/>
      <c r="E17" s="137" t="s">
        <v>124</v>
      </c>
      <c r="F17" s="480"/>
      <c r="G17" s="481"/>
      <c r="H17" s="481"/>
      <c r="I17" s="481"/>
      <c r="J17" s="475"/>
      <c r="K17" s="476"/>
      <c r="L17" s="476"/>
      <c r="M17" s="476"/>
      <c r="N17" s="156"/>
      <c r="O17" s="157" t="s">
        <v>125</v>
      </c>
      <c r="P17" s="480"/>
      <c r="Q17" s="481"/>
      <c r="R17" s="481"/>
      <c r="S17" s="481"/>
      <c r="T17" s="475"/>
      <c r="U17" s="476"/>
      <c r="V17" s="476"/>
      <c r="W17" s="476"/>
      <c r="X17" s="139"/>
      <c r="Y17" s="330"/>
    </row>
    <row r="18" spans="1:26" ht="6" customHeight="1" x14ac:dyDescent="0.25">
      <c r="A18" s="441">
        <f>'Formulario OM'!A18</f>
        <v>0</v>
      </c>
      <c r="B18" s="150"/>
      <c r="C18" s="151"/>
      <c r="D18" s="151"/>
      <c r="E18" s="151"/>
      <c r="F18" s="151">
        <f>T16+1</f>
        <v>17</v>
      </c>
      <c r="G18" s="152"/>
      <c r="H18" s="153"/>
      <c r="I18" s="154"/>
      <c r="J18" s="154">
        <f>F18+1</f>
        <v>18</v>
      </c>
      <c r="K18" s="154"/>
      <c r="L18" s="154"/>
      <c r="M18" s="154"/>
      <c r="N18" s="154"/>
      <c r="O18" s="154"/>
      <c r="P18" s="154">
        <f>J18+1</f>
        <v>19</v>
      </c>
      <c r="Q18" s="154"/>
      <c r="R18" s="154"/>
      <c r="S18" s="154"/>
      <c r="T18" s="154">
        <f>P18+1</f>
        <v>20</v>
      </c>
      <c r="U18" s="154"/>
      <c r="V18" s="154"/>
      <c r="W18" s="154"/>
      <c r="X18" s="155"/>
      <c r="Y18" s="173"/>
    </row>
    <row r="19" spans="1:26" ht="15.75" thickBot="1" x14ac:dyDescent="0.3">
      <c r="A19" s="442">
        <f>'Formulario OM'!A19</f>
        <v>0</v>
      </c>
      <c r="B19" s="136"/>
      <c r="C19" s="137"/>
      <c r="D19" s="137"/>
      <c r="E19" s="137" t="s">
        <v>130</v>
      </c>
      <c r="F19" s="476"/>
      <c r="G19" s="476"/>
      <c r="H19" s="476"/>
      <c r="I19" s="477"/>
      <c r="J19" s="475"/>
      <c r="K19" s="476"/>
      <c r="L19" s="476"/>
      <c r="M19" s="476"/>
      <c r="N19" s="156"/>
      <c r="O19" s="157" t="s">
        <v>126</v>
      </c>
      <c r="P19" s="476"/>
      <c r="Q19" s="476"/>
      <c r="R19" s="476"/>
      <c r="S19" s="477"/>
      <c r="T19" s="475"/>
      <c r="U19" s="476"/>
      <c r="V19" s="476"/>
      <c r="W19" s="476"/>
      <c r="X19" s="139"/>
      <c r="Y19" s="330"/>
    </row>
    <row r="20" spans="1:26" ht="6" customHeight="1" x14ac:dyDescent="0.25">
      <c r="A20" s="326"/>
      <c r="B20" s="150"/>
      <c r="C20" s="151"/>
      <c r="D20" s="151"/>
      <c r="E20" s="151"/>
      <c r="F20" s="151">
        <f>T18+1</f>
        <v>21</v>
      </c>
      <c r="G20" s="152"/>
      <c r="H20" s="153"/>
      <c r="I20" s="154"/>
      <c r="J20" s="154">
        <f>F20+1</f>
        <v>22</v>
      </c>
      <c r="K20" s="154"/>
      <c r="L20" s="154"/>
      <c r="M20" s="154"/>
      <c r="N20" s="154"/>
      <c r="O20" s="154"/>
      <c r="P20" s="154">
        <f>J20+1</f>
        <v>23</v>
      </c>
      <c r="Q20" s="154"/>
      <c r="R20" s="154"/>
      <c r="S20" s="154"/>
      <c r="T20" s="154">
        <f>P20+1</f>
        <v>24</v>
      </c>
      <c r="U20" s="154"/>
      <c r="V20" s="154"/>
      <c r="W20" s="154"/>
      <c r="X20" s="155"/>
      <c r="Y20" s="173"/>
    </row>
    <row r="21" spans="1:26" x14ac:dyDescent="0.25">
      <c r="A21" s="324" t="str">
        <f>'Formulario OM'!A21</f>
        <v>ACTIVAR</v>
      </c>
      <c r="B21" s="136"/>
      <c r="C21" s="137"/>
      <c r="D21" s="137"/>
      <c r="E21" s="137" t="s">
        <v>131</v>
      </c>
      <c r="F21" s="476"/>
      <c r="G21" s="476"/>
      <c r="H21" s="476"/>
      <c r="I21" s="477"/>
      <c r="J21" s="475"/>
      <c r="K21" s="476"/>
      <c r="L21" s="476"/>
      <c r="M21" s="476"/>
      <c r="N21" s="156"/>
      <c r="O21" s="157" t="s">
        <v>127</v>
      </c>
      <c r="P21" s="476"/>
      <c r="Q21" s="476"/>
      <c r="R21" s="476"/>
      <c r="S21" s="477"/>
      <c r="T21" s="475"/>
      <c r="U21" s="476"/>
      <c r="V21" s="476"/>
      <c r="W21" s="476"/>
      <c r="X21" s="139"/>
      <c r="Y21" s="330"/>
    </row>
    <row r="22" spans="1:26" ht="6" customHeight="1" thickBot="1" x14ac:dyDescent="0.3">
      <c r="A22" s="2"/>
      <c r="B22" s="150"/>
      <c r="C22" s="151"/>
      <c r="D22" s="151"/>
      <c r="E22" s="151"/>
      <c r="F22" s="151">
        <f>T20+1</f>
        <v>25</v>
      </c>
      <c r="G22" s="152"/>
      <c r="H22" s="153"/>
      <c r="I22" s="154"/>
      <c r="J22" s="154">
        <f>F22+1</f>
        <v>26</v>
      </c>
      <c r="K22" s="154"/>
      <c r="L22" s="154"/>
      <c r="M22" s="154"/>
      <c r="N22" s="154"/>
      <c r="O22" s="154"/>
      <c r="P22" s="154">
        <f>J22+1</f>
        <v>27</v>
      </c>
      <c r="Q22" s="154"/>
      <c r="R22" s="154"/>
      <c r="S22" s="154"/>
      <c r="T22" s="154">
        <f>P22+1</f>
        <v>28</v>
      </c>
      <c r="U22" s="154"/>
      <c r="V22" s="154"/>
      <c r="W22" s="154"/>
      <c r="X22" s="155"/>
      <c r="Y22" s="173"/>
      <c r="Z22" s="32"/>
    </row>
    <row r="23" spans="1:26" x14ac:dyDescent="0.25">
      <c r="A23" s="324" t="str">
        <f>'Formulario OM'!A23</f>
        <v>DESACTIVAR</v>
      </c>
      <c r="B23" s="136"/>
      <c r="C23" s="137"/>
      <c r="D23" s="137"/>
      <c r="E23" s="137" t="s">
        <v>132</v>
      </c>
      <c r="F23" s="476"/>
      <c r="G23" s="476"/>
      <c r="H23" s="476"/>
      <c r="I23" s="477"/>
      <c r="J23" s="475"/>
      <c r="K23" s="476"/>
      <c r="L23" s="476"/>
      <c r="M23" s="476"/>
      <c r="N23" s="156"/>
      <c r="O23" s="157" t="s">
        <v>128</v>
      </c>
      <c r="P23" s="476"/>
      <c r="Q23" s="476"/>
      <c r="R23" s="476"/>
      <c r="S23" s="477"/>
      <c r="T23" s="475"/>
      <c r="U23" s="476"/>
      <c r="V23" s="476"/>
      <c r="W23" s="476"/>
      <c r="X23" s="139"/>
      <c r="Y23" s="330"/>
      <c r="Z23" s="32"/>
    </row>
    <row r="24" spans="1:26" ht="6" customHeight="1" thickBot="1" x14ac:dyDescent="0.3">
      <c r="B24" s="150"/>
      <c r="C24" s="151"/>
      <c r="D24" s="151"/>
      <c r="E24" s="151"/>
      <c r="F24" s="151">
        <f>T22+1</f>
        <v>29</v>
      </c>
      <c r="G24" s="152"/>
      <c r="H24" s="153"/>
      <c r="I24" s="154"/>
      <c r="J24" s="154">
        <f>F24+1</f>
        <v>30</v>
      </c>
      <c r="K24" s="154"/>
      <c r="L24" s="154"/>
      <c r="M24" s="154"/>
      <c r="N24" s="154"/>
      <c r="O24" s="154"/>
      <c r="P24" s="154">
        <f>J24+1</f>
        <v>31</v>
      </c>
      <c r="Q24" s="154"/>
      <c r="R24" s="154"/>
      <c r="S24" s="154"/>
      <c r="T24" s="154">
        <f>P24+1</f>
        <v>32</v>
      </c>
      <c r="U24" s="154"/>
      <c r="V24" s="154"/>
      <c r="W24" s="154"/>
      <c r="X24" s="155"/>
      <c r="Y24" s="177"/>
      <c r="Z24" s="32"/>
    </row>
    <row r="25" spans="1:26" ht="15" customHeight="1" x14ac:dyDescent="0.25">
      <c r="A25" s="440" t="str">
        <f>'Formulario OM'!A25</f>
        <v>INSERTAR IMÁGENES</v>
      </c>
      <c r="B25" s="136"/>
      <c r="C25" s="137"/>
      <c r="D25" s="137"/>
      <c r="E25" s="137" t="s">
        <v>133</v>
      </c>
      <c r="F25" s="476"/>
      <c r="G25" s="476"/>
      <c r="H25" s="476"/>
      <c r="I25" s="477"/>
      <c r="J25" s="475"/>
      <c r="K25" s="476"/>
      <c r="L25" s="476"/>
      <c r="M25" s="476"/>
      <c r="N25" s="156"/>
      <c r="O25" s="157" t="s">
        <v>129</v>
      </c>
      <c r="P25" s="476"/>
      <c r="Q25" s="476"/>
      <c r="R25" s="476"/>
      <c r="S25" s="477"/>
      <c r="T25" s="475"/>
      <c r="U25" s="476"/>
      <c r="V25" s="476"/>
      <c r="W25" s="476"/>
      <c r="X25" s="139"/>
      <c r="Y25" s="330"/>
      <c r="Z25" s="32"/>
    </row>
    <row r="26" spans="1:26" ht="6" customHeight="1" x14ac:dyDescent="0.25">
      <c r="A26" s="441">
        <f>'Formulario OM'!A26</f>
        <v>0</v>
      </c>
      <c r="B26" s="150"/>
      <c r="C26" s="151"/>
      <c r="D26" s="151"/>
      <c r="E26" s="151"/>
      <c r="F26" s="151"/>
      <c r="G26" s="152"/>
      <c r="H26" s="153"/>
      <c r="I26" s="154"/>
      <c r="J26" s="154"/>
      <c r="K26" s="154"/>
      <c r="L26" s="154"/>
      <c r="M26" s="154"/>
      <c r="N26" s="154"/>
      <c r="O26" s="154"/>
      <c r="P26" s="154"/>
      <c r="Q26" s="154"/>
      <c r="R26" s="154"/>
      <c r="S26" s="154"/>
      <c r="T26" s="154"/>
      <c r="U26" s="154"/>
      <c r="V26" s="154"/>
      <c r="W26" s="154"/>
      <c r="X26" s="155"/>
      <c r="Y26" s="173"/>
      <c r="Z26" s="32"/>
    </row>
    <row r="27" spans="1:26" ht="15" customHeight="1" thickBot="1" x14ac:dyDescent="0.3">
      <c r="A27" s="442">
        <f>'Formulario OM'!A27</f>
        <v>0</v>
      </c>
      <c r="B27" s="150"/>
      <c r="C27" s="151"/>
      <c r="D27" s="151"/>
      <c r="E27" s="151"/>
      <c r="F27" s="151"/>
      <c r="G27" s="152"/>
      <c r="H27" s="153"/>
      <c r="I27" s="154"/>
      <c r="J27" s="154"/>
      <c r="K27" s="154"/>
      <c r="L27" s="154"/>
      <c r="M27" s="154"/>
      <c r="N27" s="154"/>
      <c r="O27" s="154"/>
      <c r="P27" s="154"/>
      <c r="Q27" s="154"/>
      <c r="R27" s="154"/>
      <c r="S27" s="154"/>
      <c r="T27" s="154"/>
      <c r="U27" s="154"/>
      <c r="V27" s="154"/>
      <c r="W27" s="154"/>
      <c r="X27" s="155"/>
      <c r="Y27" s="177"/>
      <c r="Z27" s="32"/>
    </row>
    <row r="28" spans="1:26" ht="6" customHeight="1" x14ac:dyDescent="0.25">
      <c r="B28" s="150"/>
      <c r="C28" s="151"/>
      <c r="D28" s="151"/>
      <c r="E28" s="151"/>
      <c r="F28" s="151"/>
      <c r="G28" s="152"/>
      <c r="H28" s="153">
        <f>'Datos E'!AG3</f>
        <v>33</v>
      </c>
      <c r="I28" s="154"/>
      <c r="J28" s="154"/>
      <c r="K28" s="154"/>
      <c r="L28" s="154"/>
      <c r="M28" s="154"/>
      <c r="N28" s="154"/>
      <c r="O28" s="154"/>
      <c r="P28" s="154"/>
      <c r="Q28" s="154"/>
      <c r="R28" s="154"/>
      <c r="S28" s="154"/>
      <c r="T28" s="154"/>
      <c r="U28" s="154"/>
      <c r="V28" s="154"/>
      <c r="W28" s="154"/>
      <c r="X28" s="155"/>
      <c r="Y28" s="173"/>
      <c r="Z28" s="32"/>
    </row>
    <row r="29" spans="1:26" x14ac:dyDescent="0.25">
      <c r="B29" s="136"/>
      <c r="C29" s="137"/>
      <c r="D29" s="137"/>
      <c r="E29" s="137"/>
      <c r="F29" s="137"/>
      <c r="G29" s="137" t="str">
        <f>'Formulario OM'!G29</f>
        <v xml:space="preserve">Pista 1: </v>
      </c>
      <c r="H29" s="462"/>
      <c r="I29" s="462"/>
      <c r="J29" s="462"/>
      <c r="K29" s="462"/>
      <c r="L29" s="462"/>
      <c r="M29" s="462"/>
      <c r="N29" s="462"/>
      <c r="O29" s="462"/>
      <c r="P29" s="462"/>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8"/>
      <c r="T30" s="418"/>
      <c r="U30" s="418"/>
      <c r="V30" s="418"/>
      <c r="W30" s="418"/>
      <c r="X30" s="419"/>
      <c r="Y30" s="173"/>
      <c r="Z30" s="32"/>
    </row>
    <row r="31" spans="1:26" x14ac:dyDescent="0.25">
      <c r="B31" s="136"/>
      <c r="C31" s="137"/>
      <c r="D31" s="137"/>
      <c r="E31" s="137"/>
      <c r="F31" s="137"/>
      <c r="G31" s="137" t="str">
        <f>'Formulario OM'!G31</f>
        <v xml:space="preserve">Pista 2: </v>
      </c>
      <c r="H31" s="462"/>
      <c r="I31" s="462"/>
      <c r="J31" s="462"/>
      <c r="K31" s="462"/>
      <c r="L31" s="462"/>
      <c r="M31" s="462"/>
      <c r="N31" s="462"/>
      <c r="O31" s="462"/>
      <c r="P31" s="462"/>
      <c r="Q31" s="138"/>
      <c r="R31" s="307"/>
      <c r="S31" s="418"/>
      <c r="T31" s="418"/>
      <c r="U31" s="418"/>
      <c r="V31" s="418"/>
      <c r="W31" s="418"/>
      <c r="X31" s="419"/>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8"/>
      <c r="T32" s="418"/>
      <c r="U32" s="418"/>
      <c r="V32" s="418"/>
      <c r="W32" s="418"/>
      <c r="X32" s="419"/>
      <c r="Y32" s="173"/>
    </row>
    <row r="33" spans="1:25" x14ac:dyDescent="0.25">
      <c r="B33" s="136"/>
      <c r="C33" s="137"/>
      <c r="D33" s="137"/>
      <c r="E33" s="137"/>
      <c r="F33" s="137"/>
      <c r="G33" s="137" t="str">
        <f>'Formulario OM'!G33</f>
        <v xml:space="preserve">Pista 3: </v>
      </c>
      <c r="H33" s="462"/>
      <c r="I33" s="462"/>
      <c r="J33" s="462"/>
      <c r="K33" s="462"/>
      <c r="L33" s="462"/>
      <c r="M33" s="462"/>
      <c r="N33" s="462"/>
      <c r="O33" s="462"/>
      <c r="P33" s="462"/>
      <c r="Q33" s="138"/>
      <c r="R33" s="307"/>
      <c r="S33" s="418"/>
      <c r="T33" s="418"/>
      <c r="U33" s="418"/>
      <c r="V33" s="418"/>
      <c r="W33" s="418"/>
      <c r="X33" s="419"/>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8"/>
      <c r="T34" s="418"/>
      <c r="U34" s="418"/>
      <c r="V34" s="418"/>
      <c r="W34" s="418"/>
      <c r="X34" s="419"/>
      <c r="Y34" s="173"/>
    </row>
    <row r="35" spans="1:25" x14ac:dyDescent="0.25">
      <c r="B35" s="136"/>
      <c r="C35" s="137"/>
      <c r="D35" s="137"/>
      <c r="E35" s="137"/>
      <c r="F35" s="137"/>
      <c r="G35" s="137" t="str">
        <f>'Formulario OM'!G35</f>
        <v xml:space="preserve">Pista 4: </v>
      </c>
      <c r="H35" s="462"/>
      <c r="I35" s="462"/>
      <c r="J35" s="462"/>
      <c r="K35" s="462"/>
      <c r="L35" s="462"/>
      <c r="M35" s="462"/>
      <c r="N35" s="462"/>
      <c r="O35" s="462"/>
      <c r="P35" s="462"/>
      <c r="Q35" s="138"/>
      <c r="R35" s="307"/>
      <c r="S35" s="418"/>
      <c r="T35" s="418"/>
      <c r="U35" s="418"/>
      <c r="V35" s="418"/>
      <c r="W35" s="418"/>
      <c r="X35" s="419"/>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0"/>
      <c r="T36" s="420"/>
      <c r="U36" s="420"/>
      <c r="V36" s="420"/>
      <c r="W36" s="420"/>
      <c r="X36" s="421"/>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tW43WM8LedpzUXWeT/p98fV0FLgmCeu/sPSD9soYz+q4a/P6tW6lTEFIte/Fr0YdTjLd6OslWRBZCuxU+2eJvw==" saltValue="0ARkRQl99Khm9Ftb3W6YPw==" spinCount="100000" sheet="1" objects="1" scenarios="1" selectLockedCells="1"/>
  <mergeCells count="48">
    <mergeCell ref="Y1:Y3"/>
    <mergeCell ref="L2:M2"/>
    <mergeCell ref="V2:W2"/>
    <mergeCell ref="T2:U2"/>
    <mergeCell ref="R2:S2"/>
    <mergeCell ref="P2:Q2"/>
    <mergeCell ref="N2:O2"/>
    <mergeCell ref="S30:X36"/>
    <mergeCell ref="A17:A19"/>
    <mergeCell ref="H35:P35"/>
    <mergeCell ref="P15:S15"/>
    <mergeCell ref="J17:M17"/>
    <mergeCell ref="F17:I17"/>
    <mergeCell ref="F15:I15"/>
    <mergeCell ref="J15:M15"/>
    <mergeCell ref="H33:P33"/>
    <mergeCell ref="H29:P29"/>
    <mergeCell ref="H31:P31"/>
    <mergeCell ref="F21:I21"/>
    <mergeCell ref="P25:S25"/>
    <mergeCell ref="F19:I19"/>
    <mergeCell ref="J19:M19"/>
    <mergeCell ref="P19:S19"/>
    <mergeCell ref="A1:A3"/>
    <mergeCell ref="R5:W5"/>
    <mergeCell ref="H7:N7"/>
    <mergeCell ref="H9:M9"/>
    <mergeCell ref="H11:W11"/>
    <mergeCell ref="B1:K3"/>
    <mergeCell ref="T25:W25"/>
    <mergeCell ref="P17:S17"/>
    <mergeCell ref="T15:W15"/>
    <mergeCell ref="T17:W17"/>
    <mergeCell ref="T19:W19"/>
    <mergeCell ref="T13:W13"/>
    <mergeCell ref="F13:I13"/>
    <mergeCell ref="J13:M13"/>
    <mergeCell ref="P13:S13"/>
    <mergeCell ref="T23:W23"/>
    <mergeCell ref="T21:W21"/>
    <mergeCell ref="F23:I23"/>
    <mergeCell ref="J23:M23"/>
    <mergeCell ref="P23:S23"/>
    <mergeCell ref="A25:A27"/>
    <mergeCell ref="J25:M25"/>
    <mergeCell ref="J21:M21"/>
    <mergeCell ref="P21:S21"/>
    <mergeCell ref="F25:I25"/>
  </mergeCells>
  <dataValidations xWindow="128" yWindow="654" count="10">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Enunciado de la pregunta" prompt="Escribe el enunciado de la pregunta. Si quieres poner CÓDIGOS ESPECIALES, pincha F2 o haz &quot;clic&quot; dos veces con el ratón." sqref="H11"/>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1 - Pareja" prompt="Primer elemento de la pareja" sqref="P25:S25 P15:S15 F15 F25:I25 P19:S19 P17:S17 F19:I19 F21:I21 F23:I23 P23:S23 P21:S21 F17"/>
    <dataValidation allowBlank="1" showInputMessage="1" showErrorMessage="1" promptTitle="G2 - Pareja" prompt="Segundo elemento de la pareja" sqref="T25:W25 T15:W15 J15 J25:M25 T19:W19 T17:W17 J19:M19 J21:M21 J23:M23 T23:W23 T21:W21 J17"/>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3313" r:id="rId6" name="Spinner 1">
              <controlPr defaultSize="0" print="0" autoPict="0" macro="[0]!Ver_Datos_Preguntas" altText="Para consultar los datos de cada pregunta.">
                <anchor moveWithCells="1" sizeWithCells="1">
                  <from>
                    <xdr:col>12</xdr:col>
                    <xdr:colOff>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331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3315" r:id="rId8" name="Spinner 3">
              <controlPr defaultSize="0" print="0" autoPict="0" macro="[0]!Cambiar_N_I_Banco_Preguntas" altText="Para consultar los datos de cada pregunta.">
                <anchor moveWithCells="1" sizeWithCells="1">
                  <from>
                    <xdr:col>8</xdr:col>
                    <xdr:colOff>76200</xdr:colOff>
                    <xdr:row>4</xdr:row>
                    <xdr:rowOff>0</xdr:rowOff>
                  </from>
                  <to>
                    <xdr:col>8</xdr:col>
                    <xdr:colOff>200025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tabColor rgb="FFE87B00"/>
    <pageSetUpPr autoPageBreaks="0" fitToPage="1"/>
  </sheetPr>
  <dimension ref="A1:AJ508"/>
  <sheetViews>
    <sheetView showGridLines="0" showRowColHeaders="0" topLeftCell="B3" zoomScale="145" zoomScaleNormal="145" workbookViewId="0">
      <pane xSplit="7" ySplit="4" topLeftCell="AE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5703125" style="14" hidden="1" customWidth="1"/>
    <col min="2" max="2" width="9.140625" style="29" customWidth="1"/>
    <col min="3" max="3" width="4.85546875" style="14" customWidth="1"/>
    <col min="4" max="4" width="3.42578125" style="14" hidden="1" customWidth="1"/>
    <col min="5" max="5" width="5.28515625" style="30" hidden="1" customWidth="1"/>
    <col min="6" max="6" width="5.7109375" style="30" hidden="1" customWidth="1"/>
    <col min="7" max="7" width="10.140625" style="30" customWidth="1"/>
    <col min="8" max="8" width="59.5703125" style="14" customWidth="1"/>
    <col min="9" max="14" width="12.5703125" style="14" customWidth="1"/>
    <col min="15" max="29" width="14.28515625" style="14" customWidth="1"/>
    <col min="30" max="16384" width="11.42578125" style="14"/>
  </cols>
  <sheetData>
    <row r="1" spans="1:36" hidden="1" x14ac:dyDescent="0.25">
      <c r="A1" s="12">
        <f>MAX(A7:A500)</f>
        <v>31</v>
      </c>
      <c r="B1" s="13" t="str">
        <f>B5</f>
        <v>T01 - 00</v>
      </c>
      <c r="C1" s="13" t="str">
        <f t="shared" ref="C1:J1" si="0">C6</f>
        <v>PAREJAS</v>
      </c>
      <c r="D1" s="13">
        <f t="shared" si="0"/>
        <v>0</v>
      </c>
      <c r="E1" s="13">
        <f t="shared" si="0"/>
        <v>0</v>
      </c>
      <c r="F1" s="13">
        <f t="shared" si="0"/>
        <v>0</v>
      </c>
      <c r="G1" s="13" t="str">
        <f t="shared" si="0"/>
        <v>Descrip.
Pregunta</v>
      </c>
      <c r="H1" s="13" t="str">
        <f t="shared" si="0"/>
        <v>Enunciado  | FastTest PlugIn - Emparejar</v>
      </c>
      <c r="I1" s="13" t="str">
        <f t="shared" si="0"/>
        <v>Pareja 01.1</v>
      </c>
      <c r="J1" s="13" t="str">
        <f t="shared" si="0"/>
        <v>Pareja 01.2</v>
      </c>
      <c r="K1" s="13" t="str">
        <f t="shared" ref="K1:AJ1" si="1">K6</f>
        <v>Pareja 02.1</v>
      </c>
      <c r="L1" s="13" t="str">
        <f t="shared" si="1"/>
        <v>Pareja 02.2</v>
      </c>
      <c r="M1" s="13" t="str">
        <f t="shared" si="1"/>
        <v>Pareja 03.1</v>
      </c>
      <c r="N1" s="13" t="str">
        <f t="shared" si="1"/>
        <v>Pareja 03.2</v>
      </c>
      <c r="O1" s="13" t="str">
        <f t="shared" si="1"/>
        <v>Pareja 04.1</v>
      </c>
      <c r="P1" s="13" t="str">
        <f t="shared" si="1"/>
        <v>Pareja 04.2</v>
      </c>
      <c r="Q1" s="13" t="str">
        <f t="shared" si="1"/>
        <v>Pareja 05.1</v>
      </c>
      <c r="R1" s="13" t="str">
        <f t="shared" si="1"/>
        <v>Pareja 05.2</v>
      </c>
      <c r="S1" s="13" t="str">
        <f t="shared" si="1"/>
        <v>Pareja 06.1</v>
      </c>
      <c r="T1" s="13" t="str">
        <f t="shared" si="1"/>
        <v>Pareja 06.2</v>
      </c>
      <c r="U1" s="13" t="str">
        <f t="shared" si="1"/>
        <v>Pareja 07.1</v>
      </c>
      <c r="V1" s="13" t="str">
        <f t="shared" si="1"/>
        <v>Pareja 07.2</v>
      </c>
      <c r="W1" s="13" t="str">
        <f t="shared" si="1"/>
        <v>Pareja 08.1</v>
      </c>
      <c r="X1" s="13" t="str">
        <f t="shared" si="1"/>
        <v>Pareja 08.2</v>
      </c>
      <c r="Y1" s="13" t="str">
        <f t="shared" si="1"/>
        <v>Pareja 09.1</v>
      </c>
      <c r="Z1" s="13" t="str">
        <f t="shared" si="1"/>
        <v>Pareja 09.2</v>
      </c>
      <c r="AA1" s="13" t="str">
        <f t="shared" si="1"/>
        <v>Pareja 10.1</v>
      </c>
      <c r="AB1" s="13" t="str">
        <f t="shared" si="1"/>
        <v>Pareja 10.2</v>
      </c>
      <c r="AC1" s="13" t="str">
        <f t="shared" si="1"/>
        <v>Pareja 11.1</v>
      </c>
      <c r="AD1" s="13" t="str">
        <f t="shared" si="1"/>
        <v>Pareja 11.2</v>
      </c>
      <c r="AE1" s="13" t="str">
        <f t="shared" si="1"/>
        <v>Pareja 12.1</v>
      </c>
      <c r="AF1" s="13" t="str">
        <f t="shared" si="1"/>
        <v>Pareja 12.2</v>
      </c>
      <c r="AG1" s="13" t="str">
        <f t="shared" si="1"/>
        <v>Pista 1</v>
      </c>
      <c r="AH1" s="13" t="str">
        <f t="shared" si="1"/>
        <v>Pista 2</v>
      </c>
      <c r="AI1" s="13" t="str">
        <f t="shared" si="1"/>
        <v>Pista 3</v>
      </c>
      <c r="AJ1" s="13" t="str">
        <f t="shared" si="1"/>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20">
        <v>2</v>
      </c>
      <c r="C3" s="21">
        <f t="shared" ref="C3:J3" si="2">B3+1</f>
        <v>3</v>
      </c>
      <c r="D3" s="21">
        <f t="shared" si="2"/>
        <v>4</v>
      </c>
      <c r="E3" s="21">
        <f t="shared" si="2"/>
        <v>5</v>
      </c>
      <c r="F3" s="21">
        <f t="shared" si="2"/>
        <v>6</v>
      </c>
      <c r="G3" s="393">
        <f t="shared" si="2"/>
        <v>7</v>
      </c>
      <c r="H3" s="393">
        <f t="shared" si="2"/>
        <v>8</v>
      </c>
      <c r="I3" s="21">
        <f t="shared" si="2"/>
        <v>9</v>
      </c>
      <c r="J3" s="21">
        <f t="shared" si="2"/>
        <v>10</v>
      </c>
      <c r="K3" s="21">
        <f t="shared" ref="K3" si="3">J3+1</f>
        <v>11</v>
      </c>
      <c r="L3" s="21">
        <f t="shared" ref="L3" si="4">K3+1</f>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0</v>
      </c>
      <c r="B4" s="23"/>
      <c r="C4" s="24"/>
      <c r="D4" s="23"/>
      <c r="E4" s="25"/>
      <c r="F4" s="25"/>
      <c r="G4" s="484" t="str">
        <f>'Datos OM'!E4</f>
        <v>DATOS GENERALES | Ir A FORMULARIO | Dar FORMATO</v>
      </c>
      <c r="H4" s="484"/>
      <c r="I4" s="229">
        <f>COUNTA(H7:H500)</f>
        <v>0</v>
      </c>
      <c r="J4" s="336" t="s">
        <v>305</v>
      </c>
    </row>
    <row r="5" spans="1:36" s="242" customFormat="1" hidden="1" x14ac:dyDescent="0.25">
      <c r="A5" s="237">
        <v>0</v>
      </c>
      <c r="B5" s="243" t="str">
        <f>IF(A5="","",PREF_PREGUNTA&amp;" - "&amp;IF(MAX(A:A)&gt;99,IF(A5&lt;100,"0",""),"")&amp;IF(A5&lt;10,"0","")&amp;A5&amp;IF(G5&lt;&gt;""," "&amp;G5,""))</f>
        <v>T01 - 00</v>
      </c>
      <c r="C5" s="96">
        <f>IF(COUNTA(I5:N5)-D5=0,"",COUNTA(I5:N5)-D5)</f>
        <v>6</v>
      </c>
      <c r="D5" s="238"/>
      <c r="E5" s="239"/>
      <c r="F5" s="239"/>
      <c r="G5" s="240" t="str">
        <f>IF('Formulario E'!H9="","",'Formulario E'!H9)</f>
        <v/>
      </c>
      <c r="H5" s="241" t="str">
        <f>IF('Formulario E'!H11="","",'Formulario E'!H11)</f>
        <v/>
      </c>
      <c r="I5" s="231" t="str">
        <f>IF('Formulario E'!$F15="","",'Formulario E'!$F15)</f>
        <v/>
      </c>
      <c r="J5" s="231" t="str">
        <f>IF('Formulario E'!$J15="","",'Formulario E'!$J15)</f>
        <v/>
      </c>
      <c r="K5" s="232" t="str">
        <f>IF('Formulario E'!$P15="","",'Formulario E'!$P15)</f>
        <v/>
      </c>
      <c r="L5" s="232" t="str">
        <f>IF('Formulario E'!$T15="","",'Formulario E'!$T15)</f>
        <v/>
      </c>
      <c r="M5" s="233" t="str">
        <f>IF('Formulario E'!$F17="","",'Formulario E'!$F17)</f>
        <v/>
      </c>
      <c r="N5" s="233" t="str">
        <f>IF('Formulario E'!$J17="","",'Formulario E'!$J17)</f>
        <v/>
      </c>
      <c r="O5" s="234" t="str">
        <f>IF('Formulario E'!$P17="","",'Formulario E'!$P17)</f>
        <v/>
      </c>
      <c r="P5" s="234" t="str">
        <f>IF('Formulario E'!$T17="","",'Formulario E'!$T17)</f>
        <v/>
      </c>
      <c r="Q5" s="235" t="str">
        <f>IF('Formulario E'!$F19="","",'Formulario E'!$F19)</f>
        <v/>
      </c>
      <c r="R5" s="235" t="str">
        <f>IF('Formulario E'!$J19="","",'Formulario E'!$J19)</f>
        <v/>
      </c>
      <c r="S5" s="236" t="str">
        <f>IF('Formulario E'!$P19="","",'Formulario E'!$P19)</f>
        <v/>
      </c>
      <c r="T5" s="236" t="str">
        <f>IF('Formulario E'!$T19="","",'Formulario E'!$T19)</f>
        <v/>
      </c>
      <c r="U5" s="231" t="str">
        <f>IF('Formulario E'!$F21="","",'Formulario E'!$F21)</f>
        <v/>
      </c>
      <c r="V5" s="231" t="str">
        <f>IF('Formulario E'!$J21="","",'Formulario E'!$J21)</f>
        <v/>
      </c>
      <c r="W5" s="232" t="str">
        <f>IF('Formulario E'!$P21="","",'Formulario E'!$P21)</f>
        <v/>
      </c>
      <c r="X5" s="232" t="str">
        <f>IF('Formulario E'!$T21="","",'Formulario E'!$T21)</f>
        <v/>
      </c>
      <c r="Y5" s="233" t="str">
        <f>IF('Formulario E'!$F23="","",'Formulario E'!$F23)</f>
        <v/>
      </c>
      <c r="Z5" s="233" t="str">
        <f>IF('Formulario E'!$J23="","",'Formulario E'!$J23)</f>
        <v/>
      </c>
      <c r="AA5" s="234" t="str">
        <f>IF('Formulario E'!$P23="","",'Formulario E'!$P23)</f>
        <v/>
      </c>
      <c r="AB5" s="234" t="str">
        <f>IF('Formulario E'!$T23="","",'Formulario E'!$T23)</f>
        <v/>
      </c>
      <c r="AC5" s="235" t="str">
        <f>IF('Formulario E'!$F25="","",'Formulario E'!$F25)</f>
        <v/>
      </c>
      <c r="AD5" s="235" t="str">
        <f>IF('Formulario E'!$J25="","",'Formulario E'!$J25)</f>
        <v/>
      </c>
      <c r="AE5" s="236" t="str">
        <f>IF('Formulario E'!$P25="","",'Formulario E'!$P25)</f>
        <v/>
      </c>
      <c r="AF5" s="236" t="str">
        <f>IF('Formulario E'!$T25="","",'Formulario E'!$T25)</f>
        <v/>
      </c>
      <c r="AG5" s="67" t="str">
        <f>IF('Formulario E'!H29="","",'Formulario E'!H29)</f>
        <v/>
      </c>
      <c r="AH5" s="68" t="str">
        <f>IF('Formulario E'!H31="","",'Formulario E'!H31)</f>
        <v/>
      </c>
      <c r="AI5" s="69" t="str">
        <f>IF('Formulario E'!H33="","",'Formulario E'!H33)</f>
        <v/>
      </c>
      <c r="AJ5" s="71" t="str">
        <f>IF('Formulario E'!H35="","",'Formulario E'!H35)</f>
        <v/>
      </c>
    </row>
    <row r="6" spans="1:36" s="27" customFormat="1" ht="24.75" x14ac:dyDescent="0.25">
      <c r="A6" s="26">
        <v>0</v>
      </c>
      <c r="B6" s="337" t="s">
        <v>41</v>
      </c>
      <c r="C6" s="80" t="s">
        <v>160</v>
      </c>
      <c r="D6" s="63"/>
      <c r="E6" s="55"/>
      <c r="F6" s="55"/>
      <c r="G6" s="64" t="s">
        <v>43</v>
      </c>
      <c r="H6" s="348" t="str">
        <f>"Enunciado  | "&amp;'Formulario E'!B1</f>
        <v>Enunciado  | FastTest PlugIn - Emparejar</v>
      </c>
      <c r="I6" s="349" t="s">
        <v>142</v>
      </c>
      <c r="J6" s="349" t="s">
        <v>143</v>
      </c>
      <c r="K6" s="350" t="s">
        <v>144</v>
      </c>
      <c r="L6" s="350" t="s">
        <v>145</v>
      </c>
      <c r="M6" s="351" t="s">
        <v>146</v>
      </c>
      <c r="N6" s="351" t="s">
        <v>147</v>
      </c>
      <c r="O6" s="352" t="s">
        <v>148</v>
      </c>
      <c r="P6" s="352" t="s">
        <v>149</v>
      </c>
      <c r="Q6" s="353" t="s">
        <v>150</v>
      </c>
      <c r="R6" s="353" t="s">
        <v>151</v>
      </c>
      <c r="S6" s="354" t="s">
        <v>152</v>
      </c>
      <c r="T6" s="354" t="s">
        <v>153</v>
      </c>
      <c r="U6" s="349" t="s">
        <v>154</v>
      </c>
      <c r="V6" s="349" t="s">
        <v>155</v>
      </c>
      <c r="W6" s="350" t="s">
        <v>156</v>
      </c>
      <c r="X6" s="350" t="s">
        <v>157</v>
      </c>
      <c r="Y6" s="351" t="s">
        <v>158</v>
      </c>
      <c r="Z6" s="377" t="s">
        <v>159</v>
      </c>
      <c r="AA6" s="352" t="s">
        <v>136</v>
      </c>
      <c r="AB6" s="352" t="s">
        <v>137</v>
      </c>
      <c r="AC6" s="353" t="s">
        <v>138</v>
      </c>
      <c r="AD6" s="353" t="s">
        <v>139</v>
      </c>
      <c r="AE6" s="354" t="s">
        <v>140</v>
      </c>
      <c r="AF6" s="354" t="s">
        <v>141</v>
      </c>
      <c r="AG6" s="355" t="s">
        <v>54</v>
      </c>
      <c r="AH6" s="356" t="s">
        <v>55</v>
      </c>
      <c r="AI6" s="357" t="s">
        <v>56</v>
      </c>
      <c r="AJ6" s="358" t="s">
        <v>57</v>
      </c>
    </row>
    <row r="7" spans="1:36" s="22" customFormat="1" x14ac:dyDescent="0.25">
      <c r="A7" s="34">
        <v>31</v>
      </c>
      <c r="B7" s="243" t="str">
        <f t="shared" ref="B7:B70" si="29">IF(A7="","",PREF_PREGUNTA&amp;" - "&amp;IF(MAX(A:A)&gt;99,IF(A7&lt;100,"0",""),"")&amp;IF(A7&lt;10,"0","")&amp;A7&amp;IF(G7&lt;&gt;""," "&amp;G7,""))</f>
        <v>T01 - 31</v>
      </c>
      <c r="C7" s="96" t="str">
        <f t="shared" ref="C7:C70" si="30">IF(COUNTA(I7:N7)-D7=0,"",COUNTA(I7:N7)-D7)</f>
        <v/>
      </c>
      <c r="D7" s="238"/>
      <c r="E7" s="239"/>
      <c r="F7" s="239"/>
      <c r="G7" s="240"/>
      <c r="H7" s="241"/>
      <c r="I7" s="231"/>
      <c r="J7" s="231"/>
      <c r="K7" s="232"/>
      <c r="L7" s="232"/>
      <c r="M7" s="233"/>
      <c r="N7" s="233"/>
      <c r="O7" s="234"/>
      <c r="P7" s="234"/>
      <c r="Q7" s="235"/>
      <c r="R7" s="235"/>
      <c r="S7" s="236"/>
      <c r="T7" s="236"/>
      <c r="U7" s="231"/>
      <c r="V7" s="231"/>
      <c r="W7" s="232"/>
      <c r="X7" s="232"/>
      <c r="Y7" s="233"/>
      <c r="Z7" s="233"/>
      <c r="AA7" s="234"/>
      <c r="AB7" s="234"/>
      <c r="AC7" s="235"/>
      <c r="AD7" s="235"/>
      <c r="AE7" s="236"/>
      <c r="AF7" s="236"/>
      <c r="AG7" s="67"/>
      <c r="AH7" s="68"/>
      <c r="AI7" s="69"/>
      <c r="AJ7" s="71"/>
    </row>
    <row r="8" spans="1:36" s="22" customFormat="1" x14ac:dyDescent="0.25">
      <c r="A8" s="28" t="str">
        <f>IF(H8&lt;&gt;"",MAX($A$7:A7)+1,"")</f>
        <v/>
      </c>
      <c r="B8" s="243" t="str">
        <f t="shared" si="29"/>
        <v/>
      </c>
      <c r="C8" s="96" t="str">
        <f t="shared" si="30"/>
        <v/>
      </c>
      <c r="D8" s="238"/>
      <c r="E8" s="239"/>
      <c r="F8" s="239"/>
      <c r="G8" s="240"/>
      <c r="H8" s="241"/>
      <c r="I8" s="231"/>
      <c r="J8" s="231"/>
      <c r="K8" s="232"/>
      <c r="L8" s="232"/>
      <c r="M8" s="233"/>
      <c r="N8" s="233"/>
      <c r="O8" s="234"/>
      <c r="P8" s="234"/>
      <c r="Q8" s="235"/>
      <c r="R8" s="235"/>
      <c r="S8" s="236"/>
      <c r="T8" s="236"/>
      <c r="U8" s="231"/>
      <c r="V8" s="231"/>
      <c r="W8" s="232"/>
      <c r="X8" s="232"/>
      <c r="Y8" s="233"/>
      <c r="Z8" s="233"/>
      <c r="AA8" s="234"/>
      <c r="AB8" s="234"/>
      <c r="AC8" s="235"/>
      <c r="AD8" s="235"/>
      <c r="AE8" s="236"/>
      <c r="AF8" s="236"/>
      <c r="AG8" s="67"/>
      <c r="AH8" s="68"/>
      <c r="AI8" s="69"/>
      <c r="AJ8" s="71"/>
    </row>
    <row r="9" spans="1:36" s="22" customFormat="1" x14ac:dyDescent="0.25">
      <c r="A9" s="28" t="str">
        <f>IF(H9&lt;&gt;"",MAX($A$7:A8)+1,"")</f>
        <v/>
      </c>
      <c r="B9" s="243" t="str">
        <f t="shared" si="29"/>
        <v/>
      </c>
      <c r="C9" s="96" t="str">
        <f t="shared" si="30"/>
        <v/>
      </c>
      <c r="D9" s="238"/>
      <c r="E9" s="239"/>
      <c r="F9" s="239"/>
      <c r="G9" s="240"/>
      <c r="H9" s="241"/>
      <c r="I9" s="231"/>
      <c r="J9" s="231"/>
      <c r="K9" s="232"/>
      <c r="L9" s="232"/>
      <c r="M9" s="233"/>
      <c r="N9" s="233"/>
      <c r="O9" s="234"/>
      <c r="P9" s="234"/>
      <c r="Q9" s="235"/>
      <c r="R9" s="235"/>
      <c r="S9" s="236"/>
      <c r="T9" s="236"/>
      <c r="U9" s="231"/>
      <c r="V9" s="231"/>
      <c r="W9" s="232"/>
      <c r="X9" s="232"/>
      <c r="Y9" s="233"/>
      <c r="Z9" s="233"/>
      <c r="AA9" s="234"/>
      <c r="AB9" s="234"/>
      <c r="AC9" s="235"/>
      <c r="AD9" s="235"/>
      <c r="AE9" s="236"/>
      <c r="AF9" s="236"/>
      <c r="AG9" s="67"/>
      <c r="AH9" s="68"/>
      <c r="AI9" s="69"/>
      <c r="AJ9" s="71"/>
    </row>
    <row r="10" spans="1:36" s="22" customFormat="1" x14ac:dyDescent="0.25">
      <c r="A10" s="28" t="str">
        <f>IF(H10&lt;&gt;"",MAX($A$7:A9)+1,"")</f>
        <v/>
      </c>
      <c r="B10" s="243" t="str">
        <f t="shared" si="29"/>
        <v/>
      </c>
      <c r="C10" s="96" t="str">
        <f t="shared" si="30"/>
        <v/>
      </c>
      <c r="D10" s="238"/>
      <c r="E10" s="239"/>
      <c r="F10" s="239"/>
      <c r="G10" s="240"/>
      <c r="H10" s="241"/>
      <c r="I10" s="231"/>
      <c r="J10" s="231"/>
      <c r="K10" s="232"/>
      <c r="L10" s="232"/>
      <c r="M10" s="233"/>
      <c r="N10" s="233"/>
      <c r="O10" s="234"/>
      <c r="P10" s="234"/>
      <c r="Q10" s="235"/>
      <c r="R10" s="235"/>
      <c r="S10" s="236"/>
      <c r="T10" s="236"/>
      <c r="U10" s="231"/>
      <c r="V10" s="231"/>
      <c r="W10" s="232"/>
      <c r="X10" s="232"/>
      <c r="Y10" s="233"/>
      <c r="Z10" s="233"/>
      <c r="AA10" s="234"/>
      <c r="AB10" s="234"/>
      <c r="AC10" s="235"/>
      <c r="AD10" s="235"/>
      <c r="AE10" s="236"/>
      <c r="AF10" s="236"/>
      <c r="AG10" s="67"/>
      <c r="AH10" s="68"/>
      <c r="AI10" s="69"/>
      <c r="AJ10" s="71"/>
    </row>
    <row r="11" spans="1:36" s="22" customFormat="1" x14ac:dyDescent="0.25">
      <c r="A11" s="28" t="str">
        <f>IF(H11&lt;&gt;"",MAX($A$7:A10)+1,"")</f>
        <v/>
      </c>
      <c r="B11" s="243" t="str">
        <f t="shared" si="29"/>
        <v/>
      </c>
      <c r="C11" s="96" t="str">
        <f t="shared" si="30"/>
        <v/>
      </c>
      <c r="D11" s="238"/>
      <c r="E11" s="239"/>
      <c r="F11" s="239"/>
      <c r="G11" s="240"/>
      <c r="H11" s="241"/>
      <c r="I11" s="231"/>
      <c r="J11" s="231"/>
      <c r="K11" s="232"/>
      <c r="L11" s="232"/>
      <c r="M11" s="233"/>
      <c r="N11" s="233"/>
      <c r="O11" s="234"/>
      <c r="P11" s="234"/>
      <c r="Q11" s="235"/>
      <c r="R11" s="235"/>
      <c r="S11" s="236"/>
      <c r="T11" s="236"/>
      <c r="U11" s="231"/>
      <c r="V11" s="231"/>
      <c r="W11" s="232"/>
      <c r="X11" s="232"/>
      <c r="Y11" s="233"/>
      <c r="Z11" s="233"/>
      <c r="AA11" s="234"/>
      <c r="AB11" s="234"/>
      <c r="AC11" s="235"/>
      <c r="AD11" s="235"/>
      <c r="AE11" s="236"/>
      <c r="AF11" s="236"/>
      <c r="AG11" s="67"/>
      <c r="AH11" s="68"/>
      <c r="AI11" s="69"/>
      <c r="AJ11" s="71"/>
    </row>
    <row r="12" spans="1:36" s="22" customFormat="1" x14ac:dyDescent="0.25">
      <c r="A12" s="28" t="str">
        <f>IF(H12&lt;&gt;"",MAX($A$7:A11)+1,"")</f>
        <v/>
      </c>
      <c r="B12" s="243" t="str">
        <f t="shared" si="29"/>
        <v/>
      </c>
      <c r="C12" s="96" t="str">
        <f t="shared" si="30"/>
        <v/>
      </c>
      <c r="D12" s="238"/>
      <c r="E12" s="239"/>
      <c r="F12" s="239"/>
      <c r="G12" s="240"/>
      <c r="H12" s="241"/>
      <c r="I12" s="231"/>
      <c r="J12" s="231"/>
      <c r="K12" s="232"/>
      <c r="L12" s="232"/>
      <c r="M12" s="233"/>
      <c r="N12" s="233"/>
      <c r="O12" s="234"/>
      <c r="P12" s="234"/>
      <c r="Q12" s="235"/>
      <c r="R12" s="235"/>
      <c r="S12" s="236"/>
      <c r="T12" s="236"/>
      <c r="U12" s="231"/>
      <c r="V12" s="231"/>
      <c r="W12" s="232"/>
      <c r="X12" s="232"/>
      <c r="Y12" s="233"/>
      <c r="Z12" s="233"/>
      <c r="AA12" s="234"/>
      <c r="AB12" s="234"/>
      <c r="AC12" s="235"/>
      <c r="AD12" s="235"/>
      <c r="AE12" s="236"/>
      <c r="AF12" s="236"/>
      <c r="AG12" s="67"/>
      <c r="AH12" s="68"/>
      <c r="AI12" s="69"/>
      <c r="AJ12" s="71"/>
    </row>
    <row r="13" spans="1:36" s="22" customFormat="1" x14ac:dyDescent="0.25">
      <c r="A13" s="28" t="str">
        <f>IF(H13&lt;&gt;"",MAX($A$7:A12)+1,"")</f>
        <v/>
      </c>
      <c r="B13" s="243" t="str">
        <f t="shared" si="29"/>
        <v/>
      </c>
      <c r="C13" s="96" t="str">
        <f t="shared" si="30"/>
        <v/>
      </c>
      <c r="D13" s="238"/>
      <c r="E13" s="239"/>
      <c r="F13" s="239"/>
      <c r="G13" s="240"/>
      <c r="H13" s="241"/>
      <c r="I13" s="231"/>
      <c r="J13" s="231"/>
      <c r="K13" s="232"/>
      <c r="L13" s="232"/>
      <c r="M13" s="233"/>
      <c r="N13" s="233"/>
      <c r="O13" s="234"/>
      <c r="P13" s="234"/>
      <c r="Q13" s="235"/>
      <c r="R13" s="235"/>
      <c r="S13" s="236"/>
      <c r="T13" s="236"/>
      <c r="U13" s="231"/>
      <c r="V13" s="231"/>
      <c r="W13" s="232"/>
      <c r="X13" s="232"/>
      <c r="Y13" s="233"/>
      <c r="Z13" s="233"/>
      <c r="AA13" s="234"/>
      <c r="AB13" s="234"/>
      <c r="AC13" s="235"/>
      <c r="AD13" s="235"/>
      <c r="AE13" s="236"/>
      <c r="AF13" s="236"/>
      <c r="AG13" s="67"/>
      <c r="AH13" s="68"/>
      <c r="AI13" s="69"/>
      <c r="AJ13" s="71"/>
    </row>
    <row r="14" spans="1:36" s="22" customFormat="1" x14ac:dyDescent="0.25">
      <c r="A14" s="28" t="str">
        <f>IF(H14&lt;&gt;"",MAX($A$7:A13)+1,"")</f>
        <v/>
      </c>
      <c r="B14" s="243" t="str">
        <f t="shared" si="29"/>
        <v/>
      </c>
      <c r="C14" s="96" t="str">
        <f t="shared" si="30"/>
        <v/>
      </c>
      <c r="D14" s="238"/>
      <c r="E14" s="239"/>
      <c r="F14" s="239"/>
      <c r="G14" s="240"/>
      <c r="H14" s="241"/>
      <c r="I14" s="231"/>
      <c r="J14" s="231"/>
      <c r="K14" s="232"/>
      <c r="L14" s="232"/>
      <c r="M14" s="233"/>
      <c r="N14" s="233"/>
      <c r="O14" s="234"/>
      <c r="P14" s="234"/>
      <c r="Q14" s="235"/>
      <c r="R14" s="235"/>
      <c r="S14" s="236"/>
      <c r="T14" s="236"/>
      <c r="U14" s="231"/>
      <c r="V14" s="231"/>
      <c r="W14" s="232"/>
      <c r="X14" s="232"/>
      <c r="Y14" s="233"/>
      <c r="Z14" s="233"/>
      <c r="AA14" s="234"/>
      <c r="AB14" s="234"/>
      <c r="AC14" s="235"/>
      <c r="AD14" s="235"/>
      <c r="AE14" s="236"/>
      <c r="AF14" s="236"/>
      <c r="AG14" s="67"/>
      <c r="AH14" s="68"/>
      <c r="AI14" s="69"/>
      <c r="AJ14" s="71"/>
    </row>
    <row r="15" spans="1:36" s="22" customFormat="1" x14ac:dyDescent="0.25">
      <c r="A15" s="28" t="str">
        <f>IF(H15&lt;&gt;"",MAX($A$7:A14)+1,"")</f>
        <v/>
      </c>
      <c r="B15" s="243" t="str">
        <f t="shared" si="29"/>
        <v/>
      </c>
      <c r="C15" s="96" t="str">
        <f t="shared" si="30"/>
        <v/>
      </c>
      <c r="D15" s="238"/>
      <c r="E15" s="239"/>
      <c r="F15" s="239"/>
      <c r="G15" s="240"/>
      <c r="H15" s="241"/>
      <c r="I15" s="231"/>
      <c r="J15" s="231"/>
      <c r="K15" s="232"/>
      <c r="L15" s="232"/>
      <c r="M15" s="233"/>
      <c r="N15" s="233"/>
      <c r="O15" s="234"/>
      <c r="P15" s="234"/>
      <c r="Q15" s="235"/>
      <c r="R15" s="235"/>
      <c r="S15" s="236"/>
      <c r="T15" s="236"/>
      <c r="U15" s="231"/>
      <c r="V15" s="231"/>
      <c r="W15" s="232"/>
      <c r="X15" s="232"/>
      <c r="Y15" s="233"/>
      <c r="Z15" s="233"/>
      <c r="AA15" s="234"/>
      <c r="AB15" s="234"/>
      <c r="AC15" s="235"/>
      <c r="AD15" s="235"/>
      <c r="AE15" s="236"/>
      <c r="AF15" s="236"/>
      <c r="AG15" s="67"/>
      <c r="AH15" s="68"/>
      <c r="AI15" s="69"/>
      <c r="AJ15" s="71"/>
    </row>
    <row r="16" spans="1:36" s="22" customFormat="1" x14ac:dyDescent="0.25">
      <c r="A16" s="28" t="str">
        <f>IF(H16&lt;&gt;"",MAX($A$7:A15)+1,"")</f>
        <v/>
      </c>
      <c r="B16" s="243" t="str">
        <f t="shared" si="29"/>
        <v/>
      </c>
      <c r="C16" s="96" t="str">
        <f t="shared" si="30"/>
        <v/>
      </c>
      <c r="D16" s="238"/>
      <c r="E16" s="239"/>
      <c r="F16" s="239"/>
      <c r="G16" s="240"/>
      <c r="H16" s="241"/>
      <c r="I16" s="231"/>
      <c r="J16" s="231"/>
      <c r="K16" s="232"/>
      <c r="L16" s="232"/>
      <c r="M16" s="233"/>
      <c r="N16" s="233"/>
      <c r="O16" s="234"/>
      <c r="P16" s="234"/>
      <c r="Q16" s="235"/>
      <c r="R16" s="235"/>
      <c r="S16" s="236"/>
      <c r="T16" s="236"/>
      <c r="U16" s="231"/>
      <c r="V16" s="231"/>
      <c r="W16" s="232"/>
      <c r="X16" s="232"/>
      <c r="Y16" s="233"/>
      <c r="Z16" s="233"/>
      <c r="AA16" s="234"/>
      <c r="AB16" s="234"/>
      <c r="AC16" s="235"/>
      <c r="AD16" s="235"/>
      <c r="AE16" s="236"/>
      <c r="AF16" s="236"/>
      <c r="AG16" s="67"/>
      <c r="AH16" s="68"/>
      <c r="AI16" s="69"/>
      <c r="AJ16" s="71"/>
    </row>
    <row r="17" spans="1:36" s="22" customFormat="1" x14ac:dyDescent="0.25">
      <c r="A17" s="28" t="str">
        <f>IF(H17&lt;&gt;"",MAX($A$7:A16)+1,"")</f>
        <v/>
      </c>
      <c r="B17" s="243" t="str">
        <f t="shared" si="29"/>
        <v/>
      </c>
      <c r="C17" s="96" t="str">
        <f t="shared" si="30"/>
        <v/>
      </c>
      <c r="D17" s="238"/>
      <c r="E17" s="239"/>
      <c r="F17" s="239"/>
      <c r="G17" s="240"/>
      <c r="H17" s="241"/>
      <c r="I17" s="231"/>
      <c r="J17" s="231"/>
      <c r="K17" s="232"/>
      <c r="L17" s="232"/>
      <c r="M17" s="233"/>
      <c r="N17" s="233"/>
      <c r="O17" s="234"/>
      <c r="P17" s="234"/>
      <c r="Q17" s="235"/>
      <c r="R17" s="235"/>
      <c r="S17" s="236"/>
      <c r="T17" s="236"/>
      <c r="U17" s="231"/>
      <c r="V17" s="231"/>
      <c r="W17" s="232"/>
      <c r="X17" s="232"/>
      <c r="Y17" s="233"/>
      <c r="Z17" s="233"/>
      <c r="AA17" s="234"/>
      <c r="AB17" s="234"/>
      <c r="AC17" s="235"/>
      <c r="AD17" s="235"/>
      <c r="AE17" s="236"/>
      <c r="AF17" s="236"/>
      <c r="AG17" s="67"/>
      <c r="AH17" s="68"/>
      <c r="AI17" s="69"/>
      <c r="AJ17" s="71"/>
    </row>
    <row r="18" spans="1:36" s="22" customFormat="1" x14ac:dyDescent="0.25">
      <c r="A18" s="28" t="str">
        <f>IF(H18&lt;&gt;"",MAX($A$7:A17)+1,"")</f>
        <v/>
      </c>
      <c r="B18" s="243" t="str">
        <f t="shared" si="29"/>
        <v/>
      </c>
      <c r="C18" s="96" t="str">
        <f t="shared" si="30"/>
        <v/>
      </c>
      <c r="D18" s="238"/>
      <c r="E18" s="239"/>
      <c r="F18" s="239"/>
      <c r="G18" s="240"/>
      <c r="H18" s="241"/>
      <c r="I18" s="231"/>
      <c r="J18" s="231"/>
      <c r="K18" s="232"/>
      <c r="L18" s="232"/>
      <c r="M18" s="233"/>
      <c r="N18" s="233"/>
      <c r="O18" s="234"/>
      <c r="P18" s="234"/>
      <c r="Q18" s="235"/>
      <c r="R18" s="235"/>
      <c r="S18" s="236"/>
      <c r="T18" s="236"/>
      <c r="U18" s="231"/>
      <c r="V18" s="231"/>
      <c r="W18" s="232"/>
      <c r="X18" s="232"/>
      <c r="Y18" s="233"/>
      <c r="Z18" s="233"/>
      <c r="AA18" s="234"/>
      <c r="AB18" s="234"/>
      <c r="AC18" s="235"/>
      <c r="AD18" s="235"/>
      <c r="AE18" s="236"/>
      <c r="AF18" s="236"/>
      <c r="AG18" s="67"/>
      <c r="AH18" s="68"/>
      <c r="AI18" s="69"/>
      <c r="AJ18" s="71"/>
    </row>
    <row r="19" spans="1:36" s="22" customFormat="1" x14ac:dyDescent="0.25">
      <c r="A19" s="28" t="str">
        <f>IF(H19&lt;&gt;"",MAX($A$7:A18)+1,"")</f>
        <v/>
      </c>
      <c r="B19" s="243" t="str">
        <f t="shared" si="29"/>
        <v/>
      </c>
      <c r="C19" s="96" t="str">
        <f t="shared" si="30"/>
        <v/>
      </c>
      <c r="D19" s="238"/>
      <c r="E19" s="239"/>
      <c r="F19" s="239"/>
      <c r="G19" s="240"/>
      <c r="H19" s="241"/>
      <c r="I19" s="231"/>
      <c r="J19" s="231"/>
      <c r="K19" s="232"/>
      <c r="L19" s="232"/>
      <c r="M19" s="233"/>
      <c r="N19" s="233"/>
      <c r="O19" s="234"/>
      <c r="P19" s="234"/>
      <c r="Q19" s="235"/>
      <c r="R19" s="235"/>
      <c r="S19" s="236"/>
      <c r="T19" s="236"/>
      <c r="U19" s="231"/>
      <c r="V19" s="231"/>
      <c r="W19" s="232"/>
      <c r="X19" s="232"/>
      <c r="Y19" s="233"/>
      <c r="Z19" s="233"/>
      <c r="AA19" s="234"/>
      <c r="AB19" s="234"/>
      <c r="AC19" s="235"/>
      <c r="AD19" s="235"/>
      <c r="AE19" s="236"/>
      <c r="AF19" s="236"/>
      <c r="AG19" s="67"/>
      <c r="AH19" s="68"/>
      <c r="AI19" s="69"/>
      <c r="AJ19" s="71"/>
    </row>
    <row r="20" spans="1:36" s="22" customFormat="1" x14ac:dyDescent="0.25">
      <c r="A20" s="28" t="str">
        <f>IF(H20&lt;&gt;"",MAX($A$7:A19)+1,"")</f>
        <v/>
      </c>
      <c r="B20" s="243" t="str">
        <f t="shared" si="29"/>
        <v/>
      </c>
      <c r="C20" s="96" t="str">
        <f t="shared" si="30"/>
        <v/>
      </c>
      <c r="D20" s="238"/>
      <c r="E20" s="239"/>
      <c r="F20" s="239"/>
      <c r="G20" s="240"/>
      <c r="H20" s="241"/>
      <c r="I20" s="231"/>
      <c r="J20" s="231"/>
      <c r="K20" s="232"/>
      <c r="L20" s="232"/>
      <c r="M20" s="233"/>
      <c r="N20" s="233"/>
      <c r="O20" s="234"/>
      <c r="P20" s="234"/>
      <c r="Q20" s="235"/>
      <c r="R20" s="235"/>
      <c r="S20" s="236"/>
      <c r="T20" s="236"/>
      <c r="U20" s="231"/>
      <c r="V20" s="231"/>
      <c r="W20" s="232"/>
      <c r="X20" s="232"/>
      <c r="Y20" s="233"/>
      <c r="Z20" s="233"/>
      <c r="AA20" s="234"/>
      <c r="AB20" s="234"/>
      <c r="AC20" s="235"/>
      <c r="AD20" s="235"/>
      <c r="AE20" s="236"/>
      <c r="AF20" s="236"/>
      <c r="AG20" s="67"/>
      <c r="AH20" s="68"/>
      <c r="AI20" s="69"/>
      <c r="AJ20" s="71"/>
    </row>
    <row r="21" spans="1:36" s="22" customFormat="1" x14ac:dyDescent="0.25">
      <c r="A21" s="28" t="str">
        <f>IF(H21&lt;&gt;"",MAX($A$7:A20)+1,"")</f>
        <v/>
      </c>
      <c r="B21" s="243" t="str">
        <f t="shared" si="29"/>
        <v/>
      </c>
      <c r="C21" s="96" t="str">
        <f t="shared" si="30"/>
        <v/>
      </c>
      <c r="D21" s="238"/>
      <c r="E21" s="239"/>
      <c r="F21" s="239"/>
      <c r="G21" s="240"/>
      <c r="H21" s="241"/>
      <c r="I21" s="231"/>
      <c r="J21" s="231"/>
      <c r="K21" s="232"/>
      <c r="L21" s="232"/>
      <c r="M21" s="233"/>
      <c r="N21" s="233"/>
      <c r="O21" s="234"/>
      <c r="P21" s="234"/>
      <c r="Q21" s="235"/>
      <c r="R21" s="235"/>
      <c r="S21" s="236"/>
      <c r="T21" s="236"/>
      <c r="U21" s="231"/>
      <c r="V21" s="231"/>
      <c r="W21" s="232"/>
      <c r="X21" s="232"/>
      <c r="Y21" s="233"/>
      <c r="Z21" s="233"/>
      <c r="AA21" s="234"/>
      <c r="AB21" s="234"/>
      <c r="AC21" s="235"/>
      <c r="AD21" s="235"/>
      <c r="AE21" s="236"/>
      <c r="AF21" s="236"/>
      <c r="AG21" s="67"/>
      <c r="AH21" s="68"/>
      <c r="AI21" s="69"/>
      <c r="AJ21" s="71"/>
    </row>
    <row r="22" spans="1:36" s="22" customFormat="1" x14ac:dyDescent="0.25">
      <c r="A22" s="28" t="str">
        <f>IF(H22&lt;&gt;"",MAX($A$7:A21)+1,"")</f>
        <v/>
      </c>
      <c r="B22" s="243" t="str">
        <f t="shared" si="29"/>
        <v/>
      </c>
      <c r="C22" s="96" t="str">
        <f t="shared" si="30"/>
        <v/>
      </c>
      <c r="D22" s="238"/>
      <c r="E22" s="239"/>
      <c r="F22" s="239"/>
      <c r="G22" s="240"/>
      <c r="H22" s="241"/>
      <c r="I22" s="231"/>
      <c r="J22" s="231"/>
      <c r="K22" s="232"/>
      <c r="L22" s="232"/>
      <c r="M22" s="233"/>
      <c r="N22" s="233"/>
      <c r="O22" s="234"/>
      <c r="P22" s="234"/>
      <c r="Q22" s="235"/>
      <c r="R22" s="235"/>
      <c r="S22" s="236"/>
      <c r="T22" s="236"/>
      <c r="U22" s="231"/>
      <c r="V22" s="231"/>
      <c r="W22" s="232"/>
      <c r="X22" s="232"/>
      <c r="Y22" s="233"/>
      <c r="Z22" s="233"/>
      <c r="AA22" s="234"/>
      <c r="AB22" s="234"/>
      <c r="AC22" s="235"/>
      <c r="AD22" s="235"/>
      <c r="AE22" s="236"/>
      <c r="AF22" s="236"/>
      <c r="AG22" s="67"/>
      <c r="AH22" s="68"/>
      <c r="AI22" s="69"/>
      <c r="AJ22" s="71"/>
    </row>
    <row r="23" spans="1:36" s="22" customFormat="1" x14ac:dyDescent="0.25">
      <c r="A23" s="28" t="str">
        <f>IF(H23&lt;&gt;"",MAX($A$7:A22)+1,"")</f>
        <v/>
      </c>
      <c r="B23" s="243" t="str">
        <f t="shared" si="29"/>
        <v/>
      </c>
      <c r="C23" s="96" t="str">
        <f t="shared" si="30"/>
        <v/>
      </c>
      <c r="D23" s="238"/>
      <c r="E23" s="239"/>
      <c r="F23" s="239"/>
      <c r="G23" s="240"/>
      <c r="H23" s="241"/>
      <c r="I23" s="231"/>
      <c r="J23" s="231"/>
      <c r="K23" s="232"/>
      <c r="L23" s="232"/>
      <c r="M23" s="233"/>
      <c r="N23" s="233"/>
      <c r="O23" s="234"/>
      <c r="P23" s="234"/>
      <c r="Q23" s="235"/>
      <c r="R23" s="235"/>
      <c r="S23" s="236"/>
      <c r="T23" s="236"/>
      <c r="U23" s="231"/>
      <c r="V23" s="231"/>
      <c r="W23" s="232"/>
      <c r="X23" s="232"/>
      <c r="Y23" s="233"/>
      <c r="Z23" s="233"/>
      <c r="AA23" s="234"/>
      <c r="AB23" s="234"/>
      <c r="AC23" s="235"/>
      <c r="AD23" s="235"/>
      <c r="AE23" s="236"/>
      <c r="AF23" s="236"/>
      <c r="AG23" s="67"/>
      <c r="AH23" s="68"/>
      <c r="AI23" s="69"/>
      <c r="AJ23" s="71"/>
    </row>
    <row r="24" spans="1:36" s="22" customFormat="1" x14ac:dyDescent="0.25">
      <c r="A24" s="28" t="str">
        <f>IF(H24&lt;&gt;"",MAX($A$7:A23)+1,"")</f>
        <v/>
      </c>
      <c r="B24" s="243" t="str">
        <f t="shared" si="29"/>
        <v/>
      </c>
      <c r="C24" s="96" t="str">
        <f t="shared" si="30"/>
        <v/>
      </c>
      <c r="D24" s="238"/>
      <c r="E24" s="239"/>
      <c r="F24" s="239"/>
      <c r="G24" s="240"/>
      <c r="H24" s="241"/>
      <c r="I24" s="231"/>
      <c r="J24" s="231"/>
      <c r="K24" s="232"/>
      <c r="L24" s="232"/>
      <c r="M24" s="233"/>
      <c r="N24" s="233"/>
      <c r="O24" s="234"/>
      <c r="P24" s="234"/>
      <c r="Q24" s="235"/>
      <c r="R24" s="235"/>
      <c r="S24" s="236"/>
      <c r="T24" s="236"/>
      <c r="U24" s="231"/>
      <c r="V24" s="231"/>
      <c r="W24" s="232"/>
      <c r="X24" s="232"/>
      <c r="Y24" s="233"/>
      <c r="Z24" s="233"/>
      <c r="AA24" s="234"/>
      <c r="AB24" s="234"/>
      <c r="AC24" s="235"/>
      <c r="AD24" s="235"/>
      <c r="AE24" s="236"/>
      <c r="AF24" s="236"/>
      <c r="AG24" s="67"/>
      <c r="AH24" s="68"/>
      <c r="AI24" s="69"/>
      <c r="AJ24" s="71"/>
    </row>
    <row r="25" spans="1:36" s="22" customFormat="1" x14ac:dyDescent="0.25">
      <c r="A25" s="28" t="str">
        <f>IF(H25&lt;&gt;"",MAX($A$7:A24)+1,"")</f>
        <v/>
      </c>
      <c r="B25" s="243" t="str">
        <f t="shared" si="29"/>
        <v/>
      </c>
      <c r="C25" s="96" t="str">
        <f t="shared" si="30"/>
        <v/>
      </c>
      <c r="D25" s="238"/>
      <c r="E25" s="239"/>
      <c r="F25" s="239"/>
      <c r="G25" s="240"/>
      <c r="H25" s="241"/>
      <c r="I25" s="231"/>
      <c r="J25" s="231"/>
      <c r="K25" s="232"/>
      <c r="L25" s="232"/>
      <c r="M25" s="233"/>
      <c r="N25" s="233"/>
      <c r="O25" s="234"/>
      <c r="P25" s="234"/>
      <c r="Q25" s="235"/>
      <c r="R25" s="235"/>
      <c r="S25" s="236"/>
      <c r="T25" s="236"/>
      <c r="U25" s="231"/>
      <c r="V25" s="231"/>
      <c r="W25" s="232"/>
      <c r="X25" s="232"/>
      <c r="Y25" s="233"/>
      <c r="Z25" s="233"/>
      <c r="AA25" s="234"/>
      <c r="AB25" s="234"/>
      <c r="AC25" s="235"/>
      <c r="AD25" s="235"/>
      <c r="AE25" s="236"/>
      <c r="AF25" s="236"/>
      <c r="AG25" s="67"/>
      <c r="AH25" s="68"/>
      <c r="AI25" s="69"/>
      <c r="AJ25" s="71"/>
    </row>
    <row r="26" spans="1:36" s="22" customFormat="1" x14ac:dyDescent="0.25">
      <c r="A26" s="28" t="str">
        <f>IF(H26&lt;&gt;"",MAX($A$7:A25)+1,"")</f>
        <v/>
      </c>
      <c r="B26" s="243" t="str">
        <f t="shared" si="29"/>
        <v/>
      </c>
      <c r="C26" s="96" t="str">
        <f t="shared" si="30"/>
        <v/>
      </c>
      <c r="D26" s="238"/>
      <c r="E26" s="239"/>
      <c r="F26" s="239"/>
      <c r="G26" s="240"/>
      <c r="H26" s="241"/>
      <c r="I26" s="231"/>
      <c r="J26" s="231"/>
      <c r="K26" s="232"/>
      <c r="L26" s="232"/>
      <c r="M26" s="233"/>
      <c r="N26" s="233"/>
      <c r="O26" s="234"/>
      <c r="P26" s="234"/>
      <c r="Q26" s="235"/>
      <c r="R26" s="235"/>
      <c r="S26" s="236"/>
      <c r="T26" s="236"/>
      <c r="U26" s="231"/>
      <c r="V26" s="231"/>
      <c r="W26" s="232"/>
      <c r="X26" s="232"/>
      <c r="Y26" s="233"/>
      <c r="Z26" s="233"/>
      <c r="AA26" s="234"/>
      <c r="AB26" s="234"/>
      <c r="AC26" s="235"/>
      <c r="AD26" s="235"/>
      <c r="AE26" s="236"/>
      <c r="AF26" s="236"/>
      <c r="AG26" s="67"/>
      <c r="AH26" s="68"/>
      <c r="AI26" s="69"/>
      <c r="AJ26" s="71"/>
    </row>
    <row r="27" spans="1:36" s="22" customFormat="1" x14ac:dyDescent="0.25">
      <c r="A27" s="28" t="str">
        <f>IF(H27&lt;&gt;"",MAX($A$7:A26)+1,"")</f>
        <v/>
      </c>
      <c r="B27" s="243" t="str">
        <f t="shared" si="29"/>
        <v/>
      </c>
      <c r="C27" s="96" t="str">
        <f t="shared" si="30"/>
        <v/>
      </c>
      <c r="D27" s="238"/>
      <c r="E27" s="239"/>
      <c r="F27" s="239"/>
      <c r="G27" s="240"/>
      <c r="H27" s="241"/>
      <c r="I27" s="231"/>
      <c r="J27" s="231"/>
      <c r="K27" s="232"/>
      <c r="L27" s="232"/>
      <c r="M27" s="233"/>
      <c r="N27" s="233"/>
      <c r="O27" s="234"/>
      <c r="P27" s="234"/>
      <c r="Q27" s="235"/>
      <c r="R27" s="235"/>
      <c r="S27" s="236"/>
      <c r="T27" s="236"/>
      <c r="U27" s="231"/>
      <c r="V27" s="231"/>
      <c r="W27" s="232"/>
      <c r="X27" s="232"/>
      <c r="Y27" s="233"/>
      <c r="Z27" s="233"/>
      <c r="AA27" s="234"/>
      <c r="AB27" s="234"/>
      <c r="AC27" s="235"/>
      <c r="AD27" s="235"/>
      <c r="AE27" s="236"/>
      <c r="AF27" s="236"/>
      <c r="AG27" s="67"/>
      <c r="AH27" s="68"/>
      <c r="AI27" s="69"/>
      <c r="AJ27" s="71"/>
    </row>
    <row r="28" spans="1:36" s="22" customFormat="1" x14ac:dyDescent="0.25">
      <c r="A28" s="28" t="str">
        <f>IF(H28&lt;&gt;"",MAX($A$7:A27)+1,"")</f>
        <v/>
      </c>
      <c r="B28" s="243" t="str">
        <f t="shared" si="29"/>
        <v/>
      </c>
      <c r="C28" s="96" t="str">
        <f t="shared" si="30"/>
        <v/>
      </c>
      <c r="D28" s="238"/>
      <c r="E28" s="239"/>
      <c r="F28" s="239"/>
      <c r="G28" s="240"/>
      <c r="H28" s="241"/>
      <c r="I28" s="231"/>
      <c r="J28" s="231"/>
      <c r="K28" s="232"/>
      <c r="L28" s="232"/>
      <c r="M28" s="233"/>
      <c r="N28" s="233"/>
      <c r="O28" s="234"/>
      <c r="P28" s="234"/>
      <c r="Q28" s="235"/>
      <c r="R28" s="235"/>
      <c r="S28" s="236"/>
      <c r="T28" s="236"/>
      <c r="U28" s="231"/>
      <c r="V28" s="231"/>
      <c r="W28" s="232"/>
      <c r="X28" s="232"/>
      <c r="Y28" s="233"/>
      <c r="Z28" s="233"/>
      <c r="AA28" s="234"/>
      <c r="AB28" s="234"/>
      <c r="AC28" s="235"/>
      <c r="AD28" s="235"/>
      <c r="AE28" s="236"/>
      <c r="AF28" s="236"/>
      <c r="AG28" s="67"/>
      <c r="AH28" s="68"/>
      <c r="AI28" s="69"/>
      <c r="AJ28" s="71"/>
    </row>
    <row r="29" spans="1:36" s="22" customFormat="1" x14ac:dyDescent="0.25">
      <c r="A29" s="28" t="str">
        <f>IF(H29&lt;&gt;"",MAX($A$7:A28)+1,"")</f>
        <v/>
      </c>
      <c r="B29" s="243" t="str">
        <f t="shared" si="29"/>
        <v/>
      </c>
      <c r="C29" s="96" t="str">
        <f t="shared" si="30"/>
        <v/>
      </c>
      <c r="D29" s="238"/>
      <c r="E29" s="239"/>
      <c r="F29" s="239"/>
      <c r="G29" s="240"/>
      <c r="H29" s="241"/>
      <c r="I29" s="231"/>
      <c r="J29" s="231"/>
      <c r="K29" s="232"/>
      <c r="L29" s="232"/>
      <c r="M29" s="233"/>
      <c r="N29" s="233"/>
      <c r="O29" s="234"/>
      <c r="P29" s="234"/>
      <c r="Q29" s="235"/>
      <c r="R29" s="235"/>
      <c r="S29" s="236"/>
      <c r="T29" s="236"/>
      <c r="U29" s="231"/>
      <c r="V29" s="231"/>
      <c r="W29" s="232"/>
      <c r="X29" s="232"/>
      <c r="Y29" s="233"/>
      <c r="Z29" s="233"/>
      <c r="AA29" s="234"/>
      <c r="AB29" s="234"/>
      <c r="AC29" s="235"/>
      <c r="AD29" s="235"/>
      <c r="AE29" s="236"/>
      <c r="AF29" s="236"/>
      <c r="AG29" s="67"/>
      <c r="AH29" s="68"/>
      <c r="AI29" s="69"/>
      <c r="AJ29" s="71"/>
    </row>
    <row r="30" spans="1:36" s="22" customFormat="1" x14ac:dyDescent="0.25">
      <c r="A30" s="28" t="str">
        <f>IF(H30&lt;&gt;"",MAX($A$7:A29)+1,"")</f>
        <v/>
      </c>
      <c r="B30" s="243" t="str">
        <f t="shared" si="29"/>
        <v/>
      </c>
      <c r="C30" s="96" t="str">
        <f t="shared" si="30"/>
        <v/>
      </c>
      <c r="D30" s="238"/>
      <c r="E30" s="239"/>
      <c r="F30" s="239"/>
      <c r="G30" s="240"/>
      <c r="H30" s="241"/>
      <c r="I30" s="231"/>
      <c r="J30" s="231"/>
      <c r="K30" s="232"/>
      <c r="L30" s="232"/>
      <c r="M30" s="233"/>
      <c r="N30" s="233"/>
      <c r="O30" s="234"/>
      <c r="P30" s="234"/>
      <c r="Q30" s="235"/>
      <c r="R30" s="235"/>
      <c r="S30" s="236"/>
      <c r="T30" s="236"/>
      <c r="U30" s="231"/>
      <c r="V30" s="231"/>
      <c r="W30" s="232"/>
      <c r="X30" s="232"/>
      <c r="Y30" s="233"/>
      <c r="Z30" s="233"/>
      <c r="AA30" s="234"/>
      <c r="AB30" s="234"/>
      <c r="AC30" s="235"/>
      <c r="AD30" s="235"/>
      <c r="AE30" s="236"/>
      <c r="AF30" s="236"/>
      <c r="AG30" s="67"/>
      <c r="AH30" s="68"/>
      <c r="AI30" s="69"/>
      <c r="AJ30" s="71"/>
    </row>
    <row r="31" spans="1:36" s="22" customFormat="1" x14ac:dyDescent="0.25">
      <c r="A31" s="28" t="str">
        <f>IF(H31&lt;&gt;"",MAX($A$7:A30)+1,"")</f>
        <v/>
      </c>
      <c r="B31" s="243" t="str">
        <f t="shared" si="29"/>
        <v/>
      </c>
      <c r="C31" s="96" t="str">
        <f t="shared" si="30"/>
        <v/>
      </c>
      <c r="D31" s="238"/>
      <c r="E31" s="239"/>
      <c r="F31" s="239"/>
      <c r="G31" s="240"/>
      <c r="H31" s="241"/>
      <c r="I31" s="231"/>
      <c r="J31" s="231"/>
      <c r="K31" s="232"/>
      <c r="L31" s="232"/>
      <c r="M31" s="233"/>
      <c r="N31" s="233"/>
      <c r="O31" s="234"/>
      <c r="P31" s="234"/>
      <c r="Q31" s="235"/>
      <c r="R31" s="235"/>
      <c r="S31" s="236"/>
      <c r="T31" s="236"/>
      <c r="U31" s="231"/>
      <c r="V31" s="231"/>
      <c r="W31" s="232"/>
      <c r="X31" s="232"/>
      <c r="Y31" s="233"/>
      <c r="Z31" s="233"/>
      <c r="AA31" s="234"/>
      <c r="AB31" s="234"/>
      <c r="AC31" s="235"/>
      <c r="AD31" s="235"/>
      <c r="AE31" s="236"/>
      <c r="AF31" s="236"/>
      <c r="AG31" s="67"/>
      <c r="AH31" s="68"/>
      <c r="AI31" s="69"/>
      <c r="AJ31" s="71"/>
    </row>
    <row r="32" spans="1:36" s="22" customFormat="1" x14ac:dyDescent="0.25">
      <c r="A32" s="28" t="str">
        <f>IF(H32&lt;&gt;"",MAX($A$7:A31)+1,"")</f>
        <v/>
      </c>
      <c r="B32" s="243" t="str">
        <f t="shared" si="29"/>
        <v/>
      </c>
      <c r="C32" s="96" t="str">
        <f t="shared" si="30"/>
        <v/>
      </c>
      <c r="D32" s="238"/>
      <c r="E32" s="239"/>
      <c r="F32" s="239"/>
      <c r="G32" s="240"/>
      <c r="H32" s="241"/>
      <c r="I32" s="231"/>
      <c r="J32" s="231"/>
      <c r="K32" s="232"/>
      <c r="L32" s="232"/>
      <c r="M32" s="233"/>
      <c r="N32" s="233"/>
      <c r="O32" s="234"/>
      <c r="P32" s="234"/>
      <c r="Q32" s="235"/>
      <c r="R32" s="235"/>
      <c r="S32" s="236"/>
      <c r="T32" s="236"/>
      <c r="U32" s="231"/>
      <c r="V32" s="231"/>
      <c r="W32" s="232"/>
      <c r="X32" s="232"/>
      <c r="Y32" s="233"/>
      <c r="Z32" s="233"/>
      <c r="AA32" s="234"/>
      <c r="AB32" s="234"/>
      <c r="AC32" s="235"/>
      <c r="AD32" s="235"/>
      <c r="AE32" s="236"/>
      <c r="AF32" s="236"/>
      <c r="AG32" s="67"/>
      <c r="AH32" s="68"/>
      <c r="AI32" s="69"/>
      <c r="AJ32" s="71"/>
    </row>
    <row r="33" spans="1:36" s="22" customFormat="1" x14ac:dyDescent="0.25">
      <c r="A33" s="28" t="str">
        <f>IF(H33&lt;&gt;"",MAX($A$7:A32)+1,"")</f>
        <v/>
      </c>
      <c r="B33" s="243" t="str">
        <f t="shared" si="29"/>
        <v/>
      </c>
      <c r="C33" s="96" t="str">
        <f t="shared" si="30"/>
        <v/>
      </c>
      <c r="D33" s="238"/>
      <c r="E33" s="239"/>
      <c r="F33" s="239"/>
      <c r="G33" s="240"/>
      <c r="H33" s="241"/>
      <c r="I33" s="231"/>
      <c r="J33" s="231"/>
      <c r="K33" s="232"/>
      <c r="L33" s="232"/>
      <c r="M33" s="233"/>
      <c r="N33" s="233"/>
      <c r="O33" s="234"/>
      <c r="P33" s="234"/>
      <c r="Q33" s="235"/>
      <c r="R33" s="235"/>
      <c r="S33" s="236"/>
      <c r="T33" s="236"/>
      <c r="U33" s="231"/>
      <c r="V33" s="231"/>
      <c r="W33" s="232"/>
      <c r="X33" s="232"/>
      <c r="Y33" s="233"/>
      <c r="Z33" s="233"/>
      <c r="AA33" s="234"/>
      <c r="AB33" s="234"/>
      <c r="AC33" s="235"/>
      <c r="AD33" s="235"/>
      <c r="AE33" s="236"/>
      <c r="AF33" s="236"/>
      <c r="AG33" s="67"/>
      <c r="AH33" s="68"/>
      <c r="AI33" s="69"/>
      <c r="AJ33" s="71"/>
    </row>
    <row r="34" spans="1:36" s="22" customFormat="1" x14ac:dyDescent="0.25">
      <c r="A34" s="28" t="str">
        <f>IF(H34&lt;&gt;"",MAX($A$7:A33)+1,"")</f>
        <v/>
      </c>
      <c r="B34" s="243" t="str">
        <f t="shared" si="29"/>
        <v/>
      </c>
      <c r="C34" s="96" t="str">
        <f t="shared" si="30"/>
        <v/>
      </c>
      <c r="D34" s="238"/>
      <c r="E34" s="239"/>
      <c r="F34" s="239"/>
      <c r="G34" s="240"/>
      <c r="H34" s="241"/>
      <c r="I34" s="231"/>
      <c r="J34" s="231"/>
      <c r="K34" s="232"/>
      <c r="L34" s="232"/>
      <c r="M34" s="233"/>
      <c r="N34" s="233"/>
      <c r="O34" s="234"/>
      <c r="P34" s="234"/>
      <c r="Q34" s="235"/>
      <c r="R34" s="235"/>
      <c r="S34" s="236"/>
      <c r="T34" s="236"/>
      <c r="U34" s="231"/>
      <c r="V34" s="231"/>
      <c r="W34" s="232"/>
      <c r="X34" s="232"/>
      <c r="Y34" s="233"/>
      <c r="Z34" s="233"/>
      <c r="AA34" s="234"/>
      <c r="AB34" s="234"/>
      <c r="AC34" s="235"/>
      <c r="AD34" s="235"/>
      <c r="AE34" s="236"/>
      <c r="AF34" s="236"/>
      <c r="AG34" s="67"/>
      <c r="AH34" s="68"/>
      <c r="AI34" s="69"/>
      <c r="AJ34" s="71"/>
    </row>
    <row r="35" spans="1:36" s="22" customFormat="1" x14ac:dyDescent="0.25">
      <c r="A35" s="28" t="str">
        <f>IF(H35&lt;&gt;"",MAX($A$7:A34)+1,"")</f>
        <v/>
      </c>
      <c r="B35" s="243" t="str">
        <f t="shared" si="29"/>
        <v/>
      </c>
      <c r="C35" s="96" t="str">
        <f t="shared" si="30"/>
        <v/>
      </c>
      <c r="D35" s="238"/>
      <c r="E35" s="239"/>
      <c r="F35" s="239"/>
      <c r="G35" s="240"/>
      <c r="H35" s="241"/>
      <c r="I35" s="231"/>
      <c r="J35" s="231"/>
      <c r="K35" s="232"/>
      <c r="L35" s="232"/>
      <c r="M35" s="233"/>
      <c r="N35" s="233"/>
      <c r="O35" s="234"/>
      <c r="P35" s="234"/>
      <c r="Q35" s="235"/>
      <c r="R35" s="235"/>
      <c r="S35" s="236"/>
      <c r="T35" s="236"/>
      <c r="U35" s="231"/>
      <c r="V35" s="231"/>
      <c r="W35" s="232"/>
      <c r="X35" s="232"/>
      <c r="Y35" s="233"/>
      <c r="Z35" s="233"/>
      <c r="AA35" s="234"/>
      <c r="AB35" s="234"/>
      <c r="AC35" s="235"/>
      <c r="AD35" s="235"/>
      <c r="AE35" s="236"/>
      <c r="AF35" s="236"/>
      <c r="AG35" s="67"/>
      <c r="AH35" s="68"/>
      <c r="AI35" s="69"/>
      <c r="AJ35" s="71"/>
    </row>
    <row r="36" spans="1:36" s="22" customFormat="1" x14ac:dyDescent="0.25">
      <c r="A36" s="28" t="str">
        <f>IF(H36&lt;&gt;"",MAX($A$7:A35)+1,"")</f>
        <v/>
      </c>
      <c r="B36" s="243" t="str">
        <f t="shared" si="29"/>
        <v/>
      </c>
      <c r="C36" s="96" t="str">
        <f t="shared" si="30"/>
        <v/>
      </c>
      <c r="D36" s="238"/>
      <c r="E36" s="239"/>
      <c r="F36" s="239"/>
      <c r="G36" s="240"/>
      <c r="H36" s="241"/>
      <c r="I36" s="231"/>
      <c r="J36" s="231"/>
      <c r="K36" s="232"/>
      <c r="L36" s="232"/>
      <c r="M36" s="233"/>
      <c r="N36" s="233"/>
      <c r="O36" s="234"/>
      <c r="P36" s="234"/>
      <c r="Q36" s="235"/>
      <c r="R36" s="235"/>
      <c r="S36" s="236"/>
      <c r="T36" s="236"/>
      <c r="U36" s="231"/>
      <c r="V36" s="231"/>
      <c r="W36" s="232"/>
      <c r="X36" s="232"/>
      <c r="Y36" s="233"/>
      <c r="Z36" s="233"/>
      <c r="AA36" s="234"/>
      <c r="AB36" s="234"/>
      <c r="AC36" s="235"/>
      <c r="AD36" s="235"/>
      <c r="AE36" s="236"/>
      <c r="AF36" s="236"/>
      <c r="AG36" s="67"/>
      <c r="AH36" s="68"/>
      <c r="AI36" s="69"/>
      <c r="AJ36" s="71"/>
    </row>
    <row r="37" spans="1:36" s="22" customFormat="1" x14ac:dyDescent="0.25">
      <c r="A37" s="28" t="str">
        <f>IF(H37&lt;&gt;"",MAX($A$7:A36)+1,"")</f>
        <v/>
      </c>
      <c r="B37" s="243" t="str">
        <f t="shared" si="29"/>
        <v/>
      </c>
      <c r="C37" s="96" t="str">
        <f t="shared" si="30"/>
        <v/>
      </c>
      <c r="D37" s="238"/>
      <c r="E37" s="239"/>
      <c r="F37" s="239"/>
      <c r="G37" s="240"/>
      <c r="H37" s="241"/>
      <c r="I37" s="231"/>
      <c r="J37" s="231"/>
      <c r="K37" s="232"/>
      <c r="L37" s="232"/>
      <c r="M37" s="233"/>
      <c r="N37" s="233"/>
      <c r="O37" s="234"/>
      <c r="P37" s="234"/>
      <c r="Q37" s="235"/>
      <c r="R37" s="235"/>
      <c r="S37" s="236"/>
      <c r="T37" s="236"/>
      <c r="U37" s="231"/>
      <c r="V37" s="231"/>
      <c r="W37" s="232"/>
      <c r="X37" s="232"/>
      <c r="Y37" s="233"/>
      <c r="Z37" s="233"/>
      <c r="AA37" s="234"/>
      <c r="AB37" s="234"/>
      <c r="AC37" s="235"/>
      <c r="AD37" s="235"/>
      <c r="AE37" s="236"/>
      <c r="AF37" s="236"/>
      <c r="AG37" s="67"/>
      <c r="AH37" s="68"/>
      <c r="AI37" s="69"/>
      <c r="AJ37" s="71"/>
    </row>
    <row r="38" spans="1:36" s="22" customFormat="1" x14ac:dyDescent="0.25">
      <c r="A38" s="28" t="str">
        <f>IF(H38&lt;&gt;"",MAX($A$7:A37)+1,"")</f>
        <v/>
      </c>
      <c r="B38" s="243" t="str">
        <f t="shared" si="29"/>
        <v/>
      </c>
      <c r="C38" s="96" t="str">
        <f t="shared" si="30"/>
        <v/>
      </c>
      <c r="D38" s="238"/>
      <c r="E38" s="239"/>
      <c r="F38" s="239"/>
      <c r="G38" s="240"/>
      <c r="H38" s="241"/>
      <c r="I38" s="231"/>
      <c r="J38" s="231"/>
      <c r="K38" s="232"/>
      <c r="L38" s="232"/>
      <c r="M38" s="233"/>
      <c r="N38" s="233"/>
      <c r="O38" s="234"/>
      <c r="P38" s="234"/>
      <c r="Q38" s="235"/>
      <c r="R38" s="235"/>
      <c r="S38" s="236"/>
      <c r="T38" s="236"/>
      <c r="U38" s="231"/>
      <c r="V38" s="231"/>
      <c r="W38" s="232"/>
      <c r="X38" s="232"/>
      <c r="Y38" s="233"/>
      <c r="Z38" s="233"/>
      <c r="AA38" s="234"/>
      <c r="AB38" s="234"/>
      <c r="AC38" s="235"/>
      <c r="AD38" s="235"/>
      <c r="AE38" s="236"/>
      <c r="AF38" s="236"/>
      <c r="AG38" s="67"/>
      <c r="AH38" s="68"/>
      <c r="AI38" s="69"/>
      <c r="AJ38" s="71"/>
    </row>
    <row r="39" spans="1:36" s="22" customFormat="1" x14ac:dyDescent="0.25">
      <c r="A39" s="28" t="str">
        <f>IF(H39&lt;&gt;"",MAX($A$7:A38)+1,"")</f>
        <v/>
      </c>
      <c r="B39" s="243" t="str">
        <f t="shared" si="29"/>
        <v/>
      </c>
      <c r="C39" s="96" t="str">
        <f t="shared" si="30"/>
        <v/>
      </c>
      <c r="D39" s="238"/>
      <c r="E39" s="239"/>
      <c r="F39" s="239"/>
      <c r="G39" s="240"/>
      <c r="H39" s="241"/>
      <c r="I39" s="231"/>
      <c r="J39" s="231"/>
      <c r="K39" s="232"/>
      <c r="L39" s="232"/>
      <c r="M39" s="233"/>
      <c r="N39" s="233"/>
      <c r="O39" s="234"/>
      <c r="P39" s="234"/>
      <c r="Q39" s="235"/>
      <c r="R39" s="235"/>
      <c r="S39" s="236"/>
      <c r="T39" s="236"/>
      <c r="U39" s="231"/>
      <c r="V39" s="231"/>
      <c r="W39" s="232"/>
      <c r="X39" s="232"/>
      <c r="Y39" s="233"/>
      <c r="Z39" s="233"/>
      <c r="AA39" s="234"/>
      <c r="AB39" s="234"/>
      <c r="AC39" s="235"/>
      <c r="AD39" s="235"/>
      <c r="AE39" s="236"/>
      <c r="AF39" s="236"/>
      <c r="AG39" s="67"/>
      <c r="AH39" s="68"/>
      <c r="AI39" s="69"/>
      <c r="AJ39" s="71"/>
    </row>
    <row r="40" spans="1:36" s="22" customFormat="1" x14ac:dyDescent="0.25">
      <c r="A40" s="28" t="str">
        <f>IF(H40&lt;&gt;"",MAX($A$7:A39)+1,"")</f>
        <v/>
      </c>
      <c r="B40" s="243" t="str">
        <f t="shared" si="29"/>
        <v/>
      </c>
      <c r="C40" s="96" t="str">
        <f t="shared" si="30"/>
        <v/>
      </c>
      <c r="D40" s="238"/>
      <c r="E40" s="239"/>
      <c r="F40" s="239"/>
      <c r="G40" s="240"/>
      <c r="H40" s="241"/>
      <c r="I40" s="231"/>
      <c r="J40" s="231"/>
      <c r="K40" s="232"/>
      <c r="L40" s="232"/>
      <c r="M40" s="233"/>
      <c r="N40" s="233"/>
      <c r="O40" s="234"/>
      <c r="P40" s="234"/>
      <c r="Q40" s="235"/>
      <c r="R40" s="235"/>
      <c r="S40" s="236"/>
      <c r="T40" s="236"/>
      <c r="U40" s="231"/>
      <c r="V40" s="231"/>
      <c r="W40" s="232"/>
      <c r="X40" s="232"/>
      <c r="Y40" s="233"/>
      <c r="Z40" s="233"/>
      <c r="AA40" s="234"/>
      <c r="AB40" s="234"/>
      <c r="AC40" s="235"/>
      <c r="AD40" s="235"/>
      <c r="AE40" s="236"/>
      <c r="AF40" s="236"/>
      <c r="AG40" s="67"/>
      <c r="AH40" s="68"/>
      <c r="AI40" s="69"/>
      <c r="AJ40" s="71"/>
    </row>
    <row r="41" spans="1:36" s="22" customFormat="1" x14ac:dyDescent="0.25">
      <c r="A41" s="28" t="str">
        <f>IF(H41&lt;&gt;"",MAX($A$7:A40)+1,"")</f>
        <v/>
      </c>
      <c r="B41" s="243" t="str">
        <f t="shared" si="29"/>
        <v/>
      </c>
      <c r="C41" s="96" t="str">
        <f t="shared" si="30"/>
        <v/>
      </c>
      <c r="D41" s="238"/>
      <c r="E41" s="239"/>
      <c r="F41" s="239"/>
      <c r="G41" s="240"/>
      <c r="H41" s="241"/>
      <c r="I41" s="231"/>
      <c r="J41" s="231"/>
      <c r="K41" s="232"/>
      <c r="L41" s="232"/>
      <c r="M41" s="233"/>
      <c r="N41" s="233"/>
      <c r="O41" s="234"/>
      <c r="P41" s="234"/>
      <c r="Q41" s="235"/>
      <c r="R41" s="235"/>
      <c r="S41" s="236"/>
      <c r="T41" s="236"/>
      <c r="U41" s="231"/>
      <c r="V41" s="231"/>
      <c r="W41" s="232"/>
      <c r="X41" s="232"/>
      <c r="Y41" s="233"/>
      <c r="Z41" s="233"/>
      <c r="AA41" s="234"/>
      <c r="AB41" s="234"/>
      <c r="AC41" s="235"/>
      <c r="AD41" s="235"/>
      <c r="AE41" s="236"/>
      <c r="AF41" s="236"/>
      <c r="AG41" s="67"/>
      <c r="AH41" s="68"/>
      <c r="AI41" s="69"/>
      <c r="AJ41" s="71"/>
    </row>
    <row r="42" spans="1:36" s="22" customFormat="1" x14ac:dyDescent="0.25">
      <c r="A42" s="28" t="str">
        <f>IF(H42&lt;&gt;"",MAX($A$7:A41)+1,"")</f>
        <v/>
      </c>
      <c r="B42" s="243" t="str">
        <f t="shared" si="29"/>
        <v/>
      </c>
      <c r="C42" s="96" t="str">
        <f t="shared" si="30"/>
        <v/>
      </c>
      <c r="D42" s="238"/>
      <c r="E42" s="239"/>
      <c r="F42" s="239"/>
      <c r="G42" s="240"/>
      <c r="H42" s="241"/>
      <c r="I42" s="231"/>
      <c r="J42" s="231"/>
      <c r="K42" s="232"/>
      <c r="L42" s="232"/>
      <c r="M42" s="233"/>
      <c r="N42" s="233"/>
      <c r="O42" s="234"/>
      <c r="P42" s="234"/>
      <c r="Q42" s="235"/>
      <c r="R42" s="235"/>
      <c r="S42" s="236"/>
      <c r="T42" s="236"/>
      <c r="U42" s="231"/>
      <c r="V42" s="231"/>
      <c r="W42" s="232"/>
      <c r="X42" s="232"/>
      <c r="Y42" s="233"/>
      <c r="Z42" s="233"/>
      <c r="AA42" s="234"/>
      <c r="AB42" s="234"/>
      <c r="AC42" s="235"/>
      <c r="AD42" s="235"/>
      <c r="AE42" s="236"/>
      <c r="AF42" s="236"/>
      <c r="AG42" s="67"/>
      <c r="AH42" s="68"/>
      <c r="AI42" s="69"/>
      <c r="AJ42" s="71"/>
    </row>
    <row r="43" spans="1:36" s="22" customFormat="1" x14ac:dyDescent="0.25">
      <c r="A43" s="28" t="str">
        <f>IF(H43&lt;&gt;"",MAX($A$7:A42)+1,"")</f>
        <v/>
      </c>
      <c r="B43" s="243" t="str">
        <f t="shared" si="29"/>
        <v/>
      </c>
      <c r="C43" s="96" t="str">
        <f t="shared" si="30"/>
        <v/>
      </c>
      <c r="D43" s="238"/>
      <c r="E43" s="239"/>
      <c r="F43" s="239"/>
      <c r="G43" s="240"/>
      <c r="H43" s="241"/>
      <c r="I43" s="231"/>
      <c r="J43" s="231"/>
      <c r="K43" s="232"/>
      <c r="L43" s="232"/>
      <c r="M43" s="233"/>
      <c r="N43" s="233"/>
      <c r="O43" s="234"/>
      <c r="P43" s="234"/>
      <c r="Q43" s="235"/>
      <c r="R43" s="235"/>
      <c r="S43" s="236"/>
      <c r="T43" s="236"/>
      <c r="U43" s="231"/>
      <c r="V43" s="231"/>
      <c r="W43" s="232"/>
      <c r="X43" s="232"/>
      <c r="Y43" s="233"/>
      <c r="Z43" s="233"/>
      <c r="AA43" s="234"/>
      <c r="AB43" s="234"/>
      <c r="AC43" s="235"/>
      <c r="AD43" s="235"/>
      <c r="AE43" s="236"/>
      <c r="AF43" s="236"/>
      <c r="AG43" s="67"/>
      <c r="AH43" s="68"/>
      <c r="AI43" s="69"/>
      <c r="AJ43" s="71"/>
    </row>
    <row r="44" spans="1:36" s="22" customFormat="1" x14ac:dyDescent="0.25">
      <c r="A44" s="28" t="str">
        <f>IF(H44&lt;&gt;"",MAX($A$7:A43)+1,"")</f>
        <v/>
      </c>
      <c r="B44" s="243" t="str">
        <f t="shared" si="29"/>
        <v/>
      </c>
      <c r="C44" s="96" t="str">
        <f t="shared" si="30"/>
        <v/>
      </c>
      <c r="D44" s="238"/>
      <c r="E44" s="239"/>
      <c r="F44" s="239"/>
      <c r="G44" s="240"/>
      <c r="H44" s="241"/>
      <c r="I44" s="231"/>
      <c r="J44" s="231"/>
      <c r="K44" s="232"/>
      <c r="L44" s="232"/>
      <c r="M44" s="233"/>
      <c r="N44" s="233"/>
      <c r="O44" s="234"/>
      <c r="P44" s="234"/>
      <c r="Q44" s="235"/>
      <c r="R44" s="235"/>
      <c r="S44" s="236"/>
      <c r="T44" s="236"/>
      <c r="U44" s="231"/>
      <c r="V44" s="231"/>
      <c r="W44" s="232"/>
      <c r="X44" s="232"/>
      <c r="Y44" s="233"/>
      <c r="Z44" s="233"/>
      <c r="AA44" s="234"/>
      <c r="AB44" s="234"/>
      <c r="AC44" s="235"/>
      <c r="AD44" s="235"/>
      <c r="AE44" s="236"/>
      <c r="AF44" s="236"/>
      <c r="AG44" s="67"/>
      <c r="AH44" s="68"/>
      <c r="AI44" s="69"/>
      <c r="AJ44" s="71"/>
    </row>
    <row r="45" spans="1:36" s="22" customFormat="1" x14ac:dyDescent="0.25">
      <c r="A45" s="28" t="str">
        <f>IF(H45&lt;&gt;"",MAX($A$7:A44)+1,"")</f>
        <v/>
      </c>
      <c r="B45" s="243" t="str">
        <f t="shared" si="29"/>
        <v/>
      </c>
      <c r="C45" s="96" t="str">
        <f t="shared" si="30"/>
        <v/>
      </c>
      <c r="D45" s="238"/>
      <c r="E45" s="239"/>
      <c r="F45" s="239"/>
      <c r="G45" s="240"/>
      <c r="H45" s="241"/>
      <c r="I45" s="231"/>
      <c r="J45" s="231"/>
      <c r="K45" s="232"/>
      <c r="L45" s="232"/>
      <c r="M45" s="233"/>
      <c r="N45" s="233"/>
      <c r="O45" s="234"/>
      <c r="P45" s="234"/>
      <c r="Q45" s="235"/>
      <c r="R45" s="235"/>
      <c r="S45" s="236"/>
      <c r="T45" s="236"/>
      <c r="U45" s="231"/>
      <c r="V45" s="231"/>
      <c r="W45" s="232"/>
      <c r="X45" s="232"/>
      <c r="Y45" s="233"/>
      <c r="Z45" s="233"/>
      <c r="AA45" s="234"/>
      <c r="AB45" s="234"/>
      <c r="AC45" s="235"/>
      <c r="AD45" s="235"/>
      <c r="AE45" s="236"/>
      <c r="AF45" s="236"/>
      <c r="AG45" s="67"/>
      <c r="AH45" s="68"/>
      <c r="AI45" s="69"/>
      <c r="AJ45" s="71"/>
    </row>
    <row r="46" spans="1:36" s="22" customFormat="1" x14ac:dyDescent="0.25">
      <c r="A46" s="28" t="str">
        <f>IF(H46&lt;&gt;"",MAX($A$7:A45)+1,"")</f>
        <v/>
      </c>
      <c r="B46" s="243" t="str">
        <f t="shared" si="29"/>
        <v/>
      </c>
      <c r="C46" s="96" t="str">
        <f t="shared" si="30"/>
        <v/>
      </c>
      <c r="D46" s="238"/>
      <c r="E46" s="239"/>
      <c r="F46" s="239"/>
      <c r="G46" s="240"/>
      <c r="H46" s="241"/>
      <c r="I46" s="231"/>
      <c r="J46" s="231"/>
      <c r="K46" s="232"/>
      <c r="L46" s="232"/>
      <c r="M46" s="233"/>
      <c r="N46" s="233"/>
      <c r="O46" s="234"/>
      <c r="P46" s="234"/>
      <c r="Q46" s="235"/>
      <c r="R46" s="235"/>
      <c r="S46" s="236"/>
      <c r="T46" s="236"/>
      <c r="U46" s="231"/>
      <c r="V46" s="231"/>
      <c r="W46" s="232"/>
      <c r="X46" s="232"/>
      <c r="Y46" s="233"/>
      <c r="Z46" s="233"/>
      <c r="AA46" s="234"/>
      <c r="AB46" s="234"/>
      <c r="AC46" s="235"/>
      <c r="AD46" s="235"/>
      <c r="AE46" s="236"/>
      <c r="AF46" s="236"/>
      <c r="AG46" s="67"/>
      <c r="AH46" s="68"/>
      <c r="AI46" s="69"/>
      <c r="AJ46" s="71"/>
    </row>
    <row r="47" spans="1:36" s="22" customFormat="1" x14ac:dyDescent="0.25">
      <c r="A47" s="28" t="str">
        <f>IF(H47&lt;&gt;"",MAX($A$7:A46)+1,"")</f>
        <v/>
      </c>
      <c r="B47" s="243" t="str">
        <f t="shared" si="29"/>
        <v/>
      </c>
      <c r="C47" s="96" t="str">
        <f t="shared" si="30"/>
        <v/>
      </c>
      <c r="D47" s="238"/>
      <c r="E47" s="239"/>
      <c r="F47" s="239"/>
      <c r="G47" s="240"/>
      <c r="H47" s="241"/>
      <c r="I47" s="231"/>
      <c r="J47" s="231"/>
      <c r="K47" s="232"/>
      <c r="L47" s="232"/>
      <c r="M47" s="233"/>
      <c r="N47" s="233"/>
      <c r="O47" s="234"/>
      <c r="P47" s="234"/>
      <c r="Q47" s="235"/>
      <c r="R47" s="235"/>
      <c r="S47" s="236"/>
      <c r="T47" s="236"/>
      <c r="U47" s="231"/>
      <c r="V47" s="231"/>
      <c r="W47" s="232"/>
      <c r="X47" s="232"/>
      <c r="Y47" s="233"/>
      <c r="Z47" s="233"/>
      <c r="AA47" s="234"/>
      <c r="AB47" s="234"/>
      <c r="AC47" s="235"/>
      <c r="AD47" s="235"/>
      <c r="AE47" s="236"/>
      <c r="AF47" s="236"/>
      <c r="AG47" s="67"/>
      <c r="AH47" s="68"/>
      <c r="AI47" s="69"/>
      <c r="AJ47" s="71"/>
    </row>
    <row r="48" spans="1:36" s="22" customFormat="1" x14ac:dyDescent="0.25">
      <c r="A48" s="28" t="str">
        <f>IF(H48&lt;&gt;"",MAX($A$7:A47)+1,"")</f>
        <v/>
      </c>
      <c r="B48" s="243" t="str">
        <f t="shared" si="29"/>
        <v/>
      </c>
      <c r="C48" s="96" t="str">
        <f t="shared" si="30"/>
        <v/>
      </c>
      <c r="D48" s="238"/>
      <c r="E48" s="239"/>
      <c r="F48" s="239"/>
      <c r="G48" s="240"/>
      <c r="H48" s="241"/>
      <c r="I48" s="231"/>
      <c r="J48" s="231"/>
      <c r="K48" s="232"/>
      <c r="L48" s="232"/>
      <c r="M48" s="233"/>
      <c r="N48" s="233"/>
      <c r="O48" s="234"/>
      <c r="P48" s="234"/>
      <c r="Q48" s="235"/>
      <c r="R48" s="235"/>
      <c r="S48" s="236"/>
      <c r="T48" s="236"/>
      <c r="U48" s="231"/>
      <c r="V48" s="231"/>
      <c r="W48" s="232"/>
      <c r="X48" s="232"/>
      <c r="Y48" s="233"/>
      <c r="Z48" s="233"/>
      <c r="AA48" s="234"/>
      <c r="AB48" s="234"/>
      <c r="AC48" s="235"/>
      <c r="AD48" s="235"/>
      <c r="AE48" s="236"/>
      <c r="AF48" s="236"/>
      <c r="AG48" s="67"/>
      <c r="AH48" s="68"/>
      <c r="AI48" s="69"/>
      <c r="AJ48" s="71"/>
    </row>
    <row r="49" spans="1:36" s="22" customFormat="1" x14ac:dyDescent="0.25">
      <c r="A49" s="28" t="str">
        <f>IF(H49&lt;&gt;"",MAX($A$7:A48)+1,"")</f>
        <v/>
      </c>
      <c r="B49" s="243" t="str">
        <f t="shared" si="29"/>
        <v/>
      </c>
      <c r="C49" s="96" t="str">
        <f t="shared" si="30"/>
        <v/>
      </c>
      <c r="D49" s="238"/>
      <c r="E49" s="239"/>
      <c r="F49" s="239"/>
      <c r="G49" s="240"/>
      <c r="H49" s="241"/>
      <c r="I49" s="231"/>
      <c r="J49" s="231"/>
      <c r="K49" s="232"/>
      <c r="L49" s="232"/>
      <c r="M49" s="233"/>
      <c r="N49" s="233"/>
      <c r="O49" s="234"/>
      <c r="P49" s="234"/>
      <c r="Q49" s="235"/>
      <c r="R49" s="235"/>
      <c r="S49" s="236"/>
      <c r="T49" s="236"/>
      <c r="U49" s="231"/>
      <c r="V49" s="231"/>
      <c r="W49" s="232"/>
      <c r="X49" s="232"/>
      <c r="Y49" s="233"/>
      <c r="Z49" s="233"/>
      <c r="AA49" s="234"/>
      <c r="AB49" s="234"/>
      <c r="AC49" s="235"/>
      <c r="AD49" s="235"/>
      <c r="AE49" s="236"/>
      <c r="AF49" s="236"/>
      <c r="AG49" s="67"/>
      <c r="AH49" s="68"/>
      <c r="AI49" s="69"/>
      <c r="AJ49" s="71"/>
    </row>
    <row r="50" spans="1:36" s="22" customFormat="1" x14ac:dyDescent="0.25">
      <c r="A50" s="28" t="str">
        <f>IF(H50&lt;&gt;"",MAX($A$7:A49)+1,"")</f>
        <v/>
      </c>
      <c r="B50" s="243" t="str">
        <f t="shared" si="29"/>
        <v/>
      </c>
      <c r="C50" s="96" t="str">
        <f t="shared" si="30"/>
        <v/>
      </c>
      <c r="D50" s="238"/>
      <c r="E50" s="239"/>
      <c r="F50" s="239"/>
      <c r="G50" s="240"/>
      <c r="H50" s="241"/>
      <c r="I50" s="231"/>
      <c r="J50" s="231"/>
      <c r="K50" s="232"/>
      <c r="L50" s="232"/>
      <c r="M50" s="233"/>
      <c r="N50" s="233"/>
      <c r="O50" s="234"/>
      <c r="P50" s="234"/>
      <c r="Q50" s="235"/>
      <c r="R50" s="235"/>
      <c r="S50" s="236"/>
      <c r="T50" s="236"/>
      <c r="U50" s="231"/>
      <c r="V50" s="231"/>
      <c r="W50" s="232"/>
      <c r="X50" s="232"/>
      <c r="Y50" s="233"/>
      <c r="Z50" s="233"/>
      <c r="AA50" s="234"/>
      <c r="AB50" s="234"/>
      <c r="AC50" s="235"/>
      <c r="AD50" s="235"/>
      <c r="AE50" s="236"/>
      <c r="AF50" s="236"/>
      <c r="AG50" s="67"/>
      <c r="AH50" s="68"/>
      <c r="AI50" s="69"/>
      <c r="AJ50" s="71"/>
    </row>
    <row r="51" spans="1:36" s="22" customFormat="1" x14ac:dyDescent="0.25">
      <c r="A51" s="28" t="str">
        <f>IF(H51&lt;&gt;"",MAX($A$7:A50)+1,"")</f>
        <v/>
      </c>
      <c r="B51" s="243" t="str">
        <f t="shared" si="29"/>
        <v/>
      </c>
      <c r="C51" s="96" t="str">
        <f t="shared" si="30"/>
        <v/>
      </c>
      <c r="D51" s="238"/>
      <c r="E51" s="239"/>
      <c r="F51" s="239"/>
      <c r="G51" s="240"/>
      <c r="H51" s="241"/>
      <c r="I51" s="231"/>
      <c r="J51" s="231"/>
      <c r="K51" s="232"/>
      <c r="L51" s="232"/>
      <c r="M51" s="233"/>
      <c r="N51" s="233"/>
      <c r="O51" s="234"/>
      <c r="P51" s="234"/>
      <c r="Q51" s="235"/>
      <c r="R51" s="235"/>
      <c r="S51" s="236"/>
      <c r="T51" s="236"/>
      <c r="U51" s="231"/>
      <c r="V51" s="231"/>
      <c r="W51" s="232"/>
      <c r="X51" s="232"/>
      <c r="Y51" s="233"/>
      <c r="Z51" s="233"/>
      <c r="AA51" s="234"/>
      <c r="AB51" s="234"/>
      <c r="AC51" s="235"/>
      <c r="AD51" s="235"/>
      <c r="AE51" s="236"/>
      <c r="AF51" s="236"/>
      <c r="AG51" s="67"/>
      <c r="AH51" s="68"/>
      <c r="AI51" s="69"/>
      <c r="AJ51" s="71"/>
    </row>
    <row r="52" spans="1:36" s="22" customFormat="1" x14ac:dyDescent="0.25">
      <c r="A52" s="28" t="str">
        <f>IF(H52&lt;&gt;"",MAX($A$7:A51)+1,"")</f>
        <v/>
      </c>
      <c r="B52" s="243" t="str">
        <f t="shared" si="29"/>
        <v/>
      </c>
      <c r="C52" s="96" t="str">
        <f t="shared" si="30"/>
        <v/>
      </c>
      <c r="D52" s="238"/>
      <c r="E52" s="239"/>
      <c r="F52" s="239"/>
      <c r="G52" s="240"/>
      <c r="H52" s="241"/>
      <c r="I52" s="231"/>
      <c r="J52" s="231"/>
      <c r="K52" s="232"/>
      <c r="L52" s="232"/>
      <c r="M52" s="233"/>
      <c r="N52" s="233"/>
      <c r="O52" s="234"/>
      <c r="P52" s="234"/>
      <c r="Q52" s="235"/>
      <c r="R52" s="235"/>
      <c r="S52" s="236"/>
      <c r="T52" s="236"/>
      <c r="U52" s="231"/>
      <c r="V52" s="231"/>
      <c r="W52" s="232"/>
      <c r="X52" s="232"/>
      <c r="Y52" s="233"/>
      <c r="Z52" s="233"/>
      <c r="AA52" s="234"/>
      <c r="AB52" s="234"/>
      <c r="AC52" s="235"/>
      <c r="AD52" s="235"/>
      <c r="AE52" s="236"/>
      <c r="AF52" s="236"/>
      <c r="AG52" s="67"/>
      <c r="AH52" s="68"/>
      <c r="AI52" s="69"/>
      <c r="AJ52" s="71"/>
    </row>
    <row r="53" spans="1:36" s="22" customFormat="1" x14ac:dyDescent="0.25">
      <c r="A53" s="28" t="str">
        <f>IF(H53&lt;&gt;"",MAX($A$7:A52)+1,"")</f>
        <v/>
      </c>
      <c r="B53" s="243" t="str">
        <f t="shared" si="29"/>
        <v/>
      </c>
      <c r="C53" s="96" t="str">
        <f t="shared" si="30"/>
        <v/>
      </c>
      <c r="D53" s="238"/>
      <c r="E53" s="239"/>
      <c r="F53" s="239"/>
      <c r="G53" s="240"/>
      <c r="H53" s="241"/>
      <c r="I53" s="231"/>
      <c r="J53" s="231"/>
      <c r="K53" s="232"/>
      <c r="L53" s="232"/>
      <c r="M53" s="233"/>
      <c r="N53" s="233"/>
      <c r="O53" s="234"/>
      <c r="P53" s="234"/>
      <c r="Q53" s="235"/>
      <c r="R53" s="235"/>
      <c r="S53" s="236"/>
      <c r="T53" s="236"/>
      <c r="U53" s="231"/>
      <c r="V53" s="231"/>
      <c r="W53" s="232"/>
      <c r="X53" s="232"/>
      <c r="Y53" s="233"/>
      <c r="Z53" s="233"/>
      <c r="AA53" s="234"/>
      <c r="AB53" s="234"/>
      <c r="AC53" s="235"/>
      <c r="AD53" s="235"/>
      <c r="AE53" s="236"/>
      <c r="AF53" s="236"/>
      <c r="AG53" s="67"/>
      <c r="AH53" s="68"/>
      <c r="AI53" s="69"/>
      <c r="AJ53" s="71"/>
    </row>
    <row r="54" spans="1:36" s="22" customFormat="1" x14ac:dyDescent="0.25">
      <c r="A54" s="28" t="str">
        <f>IF(H54&lt;&gt;"",MAX($A$7:A53)+1,"")</f>
        <v/>
      </c>
      <c r="B54" s="243" t="str">
        <f t="shared" si="29"/>
        <v/>
      </c>
      <c r="C54" s="96" t="str">
        <f t="shared" si="30"/>
        <v/>
      </c>
      <c r="D54" s="238"/>
      <c r="E54" s="239"/>
      <c r="F54" s="239"/>
      <c r="G54" s="240"/>
      <c r="H54" s="241"/>
      <c r="I54" s="231"/>
      <c r="J54" s="231"/>
      <c r="K54" s="232"/>
      <c r="L54" s="232"/>
      <c r="M54" s="233"/>
      <c r="N54" s="233"/>
      <c r="O54" s="234"/>
      <c r="P54" s="234"/>
      <c r="Q54" s="235"/>
      <c r="R54" s="235"/>
      <c r="S54" s="236"/>
      <c r="T54" s="236"/>
      <c r="U54" s="231"/>
      <c r="V54" s="231"/>
      <c r="W54" s="232"/>
      <c r="X54" s="232"/>
      <c r="Y54" s="233"/>
      <c r="Z54" s="233"/>
      <c r="AA54" s="234"/>
      <c r="AB54" s="234"/>
      <c r="AC54" s="235"/>
      <c r="AD54" s="235"/>
      <c r="AE54" s="236"/>
      <c r="AF54" s="236"/>
      <c r="AG54" s="67"/>
      <c r="AH54" s="68"/>
      <c r="AI54" s="69"/>
      <c r="AJ54" s="71"/>
    </row>
    <row r="55" spans="1:36" s="22" customFormat="1" x14ac:dyDescent="0.25">
      <c r="A55" s="28" t="str">
        <f>IF(H55&lt;&gt;"",MAX($A$7:A54)+1,"")</f>
        <v/>
      </c>
      <c r="B55" s="243" t="str">
        <f t="shared" si="29"/>
        <v/>
      </c>
      <c r="C55" s="96" t="str">
        <f t="shared" si="30"/>
        <v/>
      </c>
      <c r="D55" s="238"/>
      <c r="E55" s="239"/>
      <c r="F55" s="239"/>
      <c r="G55" s="240"/>
      <c r="H55" s="241"/>
      <c r="I55" s="231"/>
      <c r="J55" s="231"/>
      <c r="K55" s="232"/>
      <c r="L55" s="232"/>
      <c r="M55" s="233"/>
      <c r="N55" s="233"/>
      <c r="O55" s="234"/>
      <c r="P55" s="234"/>
      <c r="Q55" s="235"/>
      <c r="R55" s="235"/>
      <c r="S55" s="236"/>
      <c r="T55" s="236"/>
      <c r="U55" s="231"/>
      <c r="V55" s="231"/>
      <c r="W55" s="232"/>
      <c r="X55" s="232"/>
      <c r="Y55" s="233"/>
      <c r="Z55" s="233"/>
      <c r="AA55" s="234"/>
      <c r="AB55" s="234"/>
      <c r="AC55" s="235"/>
      <c r="AD55" s="235"/>
      <c r="AE55" s="236"/>
      <c r="AF55" s="236"/>
      <c r="AG55" s="67"/>
      <c r="AH55" s="68"/>
      <c r="AI55" s="69"/>
      <c r="AJ55" s="71"/>
    </row>
    <row r="56" spans="1:36" s="22" customFormat="1" x14ac:dyDescent="0.25">
      <c r="A56" s="28" t="str">
        <f>IF(H56&lt;&gt;"",MAX($A$7:A55)+1,"")</f>
        <v/>
      </c>
      <c r="B56" s="243" t="str">
        <f t="shared" si="29"/>
        <v/>
      </c>
      <c r="C56" s="96" t="str">
        <f t="shared" si="30"/>
        <v/>
      </c>
      <c r="D56" s="238"/>
      <c r="E56" s="239"/>
      <c r="F56" s="239"/>
      <c r="G56" s="240"/>
      <c r="H56" s="241"/>
      <c r="I56" s="231"/>
      <c r="J56" s="231"/>
      <c r="K56" s="232"/>
      <c r="L56" s="232"/>
      <c r="M56" s="233"/>
      <c r="N56" s="233"/>
      <c r="O56" s="234"/>
      <c r="P56" s="234"/>
      <c r="Q56" s="235"/>
      <c r="R56" s="235"/>
      <c r="S56" s="236"/>
      <c r="T56" s="236"/>
      <c r="U56" s="231"/>
      <c r="V56" s="231"/>
      <c r="W56" s="232"/>
      <c r="X56" s="232"/>
      <c r="Y56" s="233"/>
      <c r="Z56" s="233"/>
      <c r="AA56" s="234"/>
      <c r="AB56" s="234"/>
      <c r="AC56" s="235"/>
      <c r="AD56" s="235"/>
      <c r="AE56" s="236"/>
      <c r="AF56" s="236"/>
      <c r="AG56" s="67"/>
      <c r="AH56" s="68"/>
      <c r="AI56" s="69"/>
      <c r="AJ56" s="71"/>
    </row>
    <row r="57" spans="1:36" s="22" customFormat="1" x14ac:dyDescent="0.25">
      <c r="A57" s="28" t="str">
        <f>IF(H57&lt;&gt;"",MAX($A$7:A56)+1,"")</f>
        <v/>
      </c>
      <c r="B57" s="243" t="str">
        <f t="shared" si="29"/>
        <v/>
      </c>
      <c r="C57" s="96" t="str">
        <f t="shared" si="30"/>
        <v/>
      </c>
      <c r="D57" s="238"/>
      <c r="E57" s="239"/>
      <c r="F57" s="239"/>
      <c r="G57" s="240"/>
      <c r="H57" s="241"/>
      <c r="I57" s="231"/>
      <c r="J57" s="231"/>
      <c r="K57" s="232"/>
      <c r="L57" s="232"/>
      <c r="M57" s="233"/>
      <c r="N57" s="233"/>
      <c r="O57" s="234"/>
      <c r="P57" s="234"/>
      <c r="Q57" s="235"/>
      <c r="R57" s="235"/>
      <c r="S57" s="236"/>
      <c r="T57" s="236"/>
      <c r="U57" s="231"/>
      <c r="V57" s="231"/>
      <c r="W57" s="232"/>
      <c r="X57" s="232"/>
      <c r="Y57" s="233"/>
      <c r="Z57" s="233"/>
      <c r="AA57" s="234"/>
      <c r="AB57" s="234"/>
      <c r="AC57" s="235"/>
      <c r="AD57" s="235"/>
      <c r="AE57" s="236"/>
      <c r="AF57" s="236"/>
      <c r="AG57" s="67"/>
      <c r="AH57" s="68"/>
      <c r="AI57" s="69"/>
      <c r="AJ57" s="71"/>
    </row>
    <row r="58" spans="1:36" s="22" customFormat="1" x14ac:dyDescent="0.25">
      <c r="A58" s="28" t="str">
        <f>IF(H58&lt;&gt;"",MAX($A$7:A57)+1,"")</f>
        <v/>
      </c>
      <c r="B58" s="243" t="str">
        <f t="shared" si="29"/>
        <v/>
      </c>
      <c r="C58" s="96" t="str">
        <f t="shared" si="30"/>
        <v/>
      </c>
      <c r="D58" s="238"/>
      <c r="E58" s="239"/>
      <c r="F58" s="239"/>
      <c r="G58" s="240"/>
      <c r="H58" s="241"/>
      <c r="I58" s="231"/>
      <c r="J58" s="231"/>
      <c r="K58" s="232"/>
      <c r="L58" s="232"/>
      <c r="M58" s="233"/>
      <c r="N58" s="233"/>
      <c r="O58" s="234"/>
      <c r="P58" s="234"/>
      <c r="Q58" s="235"/>
      <c r="R58" s="235"/>
      <c r="S58" s="236"/>
      <c r="T58" s="236"/>
      <c r="U58" s="231"/>
      <c r="V58" s="231"/>
      <c r="W58" s="232"/>
      <c r="X58" s="232"/>
      <c r="Y58" s="233"/>
      <c r="Z58" s="233"/>
      <c r="AA58" s="234"/>
      <c r="AB58" s="234"/>
      <c r="AC58" s="235"/>
      <c r="AD58" s="235"/>
      <c r="AE58" s="236"/>
      <c r="AF58" s="236"/>
      <c r="AG58" s="67"/>
      <c r="AH58" s="68"/>
      <c r="AI58" s="69"/>
      <c r="AJ58" s="71"/>
    </row>
    <row r="59" spans="1:36" s="22" customFormat="1" x14ac:dyDescent="0.25">
      <c r="A59" s="28" t="str">
        <f>IF(H59&lt;&gt;"",MAX($A$7:A58)+1,"")</f>
        <v/>
      </c>
      <c r="B59" s="243" t="str">
        <f t="shared" si="29"/>
        <v/>
      </c>
      <c r="C59" s="96" t="str">
        <f t="shared" si="30"/>
        <v/>
      </c>
      <c r="D59" s="238"/>
      <c r="E59" s="239"/>
      <c r="F59" s="239"/>
      <c r="G59" s="240"/>
      <c r="H59" s="241"/>
      <c r="I59" s="231"/>
      <c r="J59" s="231"/>
      <c r="K59" s="232"/>
      <c r="L59" s="232"/>
      <c r="M59" s="233"/>
      <c r="N59" s="233"/>
      <c r="O59" s="234"/>
      <c r="P59" s="234"/>
      <c r="Q59" s="235"/>
      <c r="R59" s="235"/>
      <c r="S59" s="236"/>
      <c r="T59" s="236"/>
      <c r="U59" s="231"/>
      <c r="V59" s="231"/>
      <c r="W59" s="232"/>
      <c r="X59" s="232"/>
      <c r="Y59" s="233"/>
      <c r="Z59" s="233"/>
      <c r="AA59" s="234"/>
      <c r="AB59" s="234"/>
      <c r="AC59" s="235"/>
      <c r="AD59" s="235"/>
      <c r="AE59" s="236"/>
      <c r="AF59" s="236"/>
      <c r="AG59" s="67"/>
      <c r="AH59" s="68"/>
      <c r="AI59" s="69"/>
      <c r="AJ59" s="71"/>
    </row>
    <row r="60" spans="1:36" s="22" customFormat="1" x14ac:dyDescent="0.25">
      <c r="A60" s="28" t="str">
        <f>IF(H60&lt;&gt;"",MAX($A$7:A59)+1,"")</f>
        <v/>
      </c>
      <c r="B60" s="243" t="str">
        <f t="shared" si="29"/>
        <v/>
      </c>
      <c r="C60" s="96" t="str">
        <f t="shared" si="30"/>
        <v/>
      </c>
      <c r="D60" s="238"/>
      <c r="E60" s="239"/>
      <c r="F60" s="239"/>
      <c r="G60" s="240"/>
      <c r="H60" s="241"/>
      <c r="I60" s="231"/>
      <c r="J60" s="231"/>
      <c r="K60" s="232"/>
      <c r="L60" s="232"/>
      <c r="M60" s="233"/>
      <c r="N60" s="233"/>
      <c r="O60" s="234"/>
      <c r="P60" s="234"/>
      <c r="Q60" s="235"/>
      <c r="R60" s="235"/>
      <c r="S60" s="236"/>
      <c r="T60" s="236"/>
      <c r="U60" s="231"/>
      <c r="V60" s="231"/>
      <c r="W60" s="232"/>
      <c r="X60" s="232"/>
      <c r="Y60" s="233"/>
      <c r="Z60" s="233"/>
      <c r="AA60" s="234"/>
      <c r="AB60" s="234"/>
      <c r="AC60" s="235"/>
      <c r="AD60" s="235"/>
      <c r="AE60" s="236"/>
      <c r="AF60" s="236"/>
      <c r="AG60" s="67"/>
      <c r="AH60" s="68"/>
      <c r="AI60" s="69"/>
      <c r="AJ60" s="71"/>
    </row>
    <row r="61" spans="1:36" s="22" customFormat="1" x14ac:dyDescent="0.25">
      <c r="A61" s="28" t="str">
        <f>IF(H61&lt;&gt;"",MAX($A$7:A60)+1,"")</f>
        <v/>
      </c>
      <c r="B61" s="243" t="str">
        <f t="shared" si="29"/>
        <v/>
      </c>
      <c r="C61" s="96" t="str">
        <f t="shared" si="30"/>
        <v/>
      </c>
      <c r="D61" s="238"/>
      <c r="E61" s="239"/>
      <c r="F61" s="239"/>
      <c r="G61" s="240"/>
      <c r="H61" s="241"/>
      <c r="I61" s="231"/>
      <c r="J61" s="231"/>
      <c r="K61" s="232"/>
      <c r="L61" s="232"/>
      <c r="M61" s="233"/>
      <c r="N61" s="233"/>
      <c r="O61" s="234"/>
      <c r="P61" s="234"/>
      <c r="Q61" s="235"/>
      <c r="R61" s="235"/>
      <c r="S61" s="236"/>
      <c r="T61" s="236"/>
      <c r="U61" s="231"/>
      <c r="V61" s="231"/>
      <c r="W61" s="232"/>
      <c r="X61" s="232"/>
      <c r="Y61" s="233"/>
      <c r="Z61" s="233"/>
      <c r="AA61" s="234"/>
      <c r="AB61" s="234"/>
      <c r="AC61" s="235"/>
      <c r="AD61" s="235"/>
      <c r="AE61" s="236"/>
      <c r="AF61" s="236"/>
      <c r="AG61" s="67"/>
      <c r="AH61" s="68"/>
      <c r="AI61" s="69"/>
      <c r="AJ61" s="71"/>
    </row>
    <row r="62" spans="1:36" s="22" customFormat="1" x14ac:dyDescent="0.25">
      <c r="A62" s="28" t="str">
        <f>IF(H62&lt;&gt;"",MAX($A$7:A61)+1,"")</f>
        <v/>
      </c>
      <c r="B62" s="243" t="str">
        <f t="shared" si="29"/>
        <v/>
      </c>
      <c r="C62" s="96" t="str">
        <f t="shared" si="30"/>
        <v/>
      </c>
      <c r="D62" s="238"/>
      <c r="E62" s="239"/>
      <c r="F62" s="239"/>
      <c r="G62" s="240"/>
      <c r="H62" s="241"/>
      <c r="I62" s="231"/>
      <c r="J62" s="231"/>
      <c r="K62" s="232"/>
      <c r="L62" s="232"/>
      <c r="M62" s="233"/>
      <c r="N62" s="233"/>
      <c r="O62" s="234"/>
      <c r="P62" s="234"/>
      <c r="Q62" s="235"/>
      <c r="R62" s="235"/>
      <c r="S62" s="236"/>
      <c r="T62" s="236"/>
      <c r="U62" s="231"/>
      <c r="V62" s="231"/>
      <c r="W62" s="232"/>
      <c r="X62" s="232"/>
      <c r="Y62" s="233"/>
      <c r="Z62" s="233"/>
      <c r="AA62" s="234"/>
      <c r="AB62" s="234"/>
      <c r="AC62" s="235"/>
      <c r="AD62" s="235"/>
      <c r="AE62" s="236"/>
      <c r="AF62" s="236"/>
      <c r="AG62" s="67"/>
      <c r="AH62" s="68"/>
      <c r="AI62" s="69"/>
      <c r="AJ62" s="71"/>
    </row>
    <row r="63" spans="1:36" s="22" customFormat="1" x14ac:dyDescent="0.25">
      <c r="A63" s="28" t="str">
        <f>IF(H63&lt;&gt;"",MAX($A$7:A62)+1,"")</f>
        <v/>
      </c>
      <c r="B63" s="243" t="str">
        <f t="shared" si="29"/>
        <v/>
      </c>
      <c r="C63" s="96" t="str">
        <f t="shared" si="30"/>
        <v/>
      </c>
      <c r="D63" s="238"/>
      <c r="E63" s="239"/>
      <c r="F63" s="239"/>
      <c r="G63" s="240"/>
      <c r="H63" s="241"/>
      <c r="I63" s="231"/>
      <c r="J63" s="231"/>
      <c r="K63" s="232"/>
      <c r="L63" s="232"/>
      <c r="M63" s="233"/>
      <c r="N63" s="233"/>
      <c r="O63" s="234"/>
      <c r="P63" s="234"/>
      <c r="Q63" s="235"/>
      <c r="R63" s="235"/>
      <c r="S63" s="236"/>
      <c r="T63" s="236"/>
      <c r="U63" s="231"/>
      <c r="V63" s="231"/>
      <c r="W63" s="232"/>
      <c r="X63" s="232"/>
      <c r="Y63" s="233"/>
      <c r="Z63" s="233"/>
      <c r="AA63" s="234"/>
      <c r="AB63" s="234"/>
      <c r="AC63" s="235"/>
      <c r="AD63" s="235"/>
      <c r="AE63" s="236"/>
      <c r="AF63" s="236"/>
      <c r="AG63" s="67"/>
      <c r="AH63" s="68"/>
      <c r="AI63" s="69"/>
      <c r="AJ63" s="71"/>
    </row>
    <row r="64" spans="1:36" s="22" customFormat="1" x14ac:dyDescent="0.25">
      <c r="A64" s="28" t="str">
        <f>IF(H64&lt;&gt;"",MAX($A$7:A63)+1,"")</f>
        <v/>
      </c>
      <c r="B64" s="243" t="str">
        <f t="shared" si="29"/>
        <v/>
      </c>
      <c r="C64" s="96" t="str">
        <f t="shared" si="30"/>
        <v/>
      </c>
      <c r="D64" s="238"/>
      <c r="E64" s="239"/>
      <c r="F64" s="239"/>
      <c r="G64" s="240"/>
      <c r="H64" s="241"/>
      <c r="I64" s="231"/>
      <c r="J64" s="231"/>
      <c r="K64" s="232"/>
      <c r="L64" s="232"/>
      <c r="M64" s="233"/>
      <c r="N64" s="233"/>
      <c r="O64" s="234"/>
      <c r="P64" s="234"/>
      <c r="Q64" s="235"/>
      <c r="R64" s="235"/>
      <c r="S64" s="236"/>
      <c r="T64" s="236"/>
      <c r="U64" s="231"/>
      <c r="V64" s="231"/>
      <c r="W64" s="232"/>
      <c r="X64" s="232"/>
      <c r="Y64" s="233"/>
      <c r="Z64" s="233"/>
      <c r="AA64" s="234"/>
      <c r="AB64" s="234"/>
      <c r="AC64" s="235"/>
      <c r="AD64" s="235"/>
      <c r="AE64" s="236"/>
      <c r="AF64" s="236"/>
      <c r="AG64" s="67"/>
      <c r="AH64" s="68"/>
      <c r="AI64" s="69"/>
      <c r="AJ64" s="71"/>
    </row>
    <row r="65" spans="1:36" s="22" customFormat="1" x14ac:dyDescent="0.25">
      <c r="A65" s="28" t="str">
        <f>IF(H65&lt;&gt;"",MAX($A$7:A64)+1,"")</f>
        <v/>
      </c>
      <c r="B65" s="243" t="str">
        <f t="shared" si="29"/>
        <v/>
      </c>
      <c r="C65" s="96" t="str">
        <f t="shared" si="30"/>
        <v/>
      </c>
      <c r="D65" s="238"/>
      <c r="E65" s="239"/>
      <c r="F65" s="239"/>
      <c r="G65" s="240"/>
      <c r="H65" s="241"/>
      <c r="I65" s="231"/>
      <c r="J65" s="231"/>
      <c r="K65" s="232"/>
      <c r="L65" s="232"/>
      <c r="M65" s="233"/>
      <c r="N65" s="233"/>
      <c r="O65" s="234"/>
      <c r="P65" s="234"/>
      <c r="Q65" s="235"/>
      <c r="R65" s="235"/>
      <c r="S65" s="236"/>
      <c r="T65" s="236"/>
      <c r="U65" s="231"/>
      <c r="V65" s="231"/>
      <c r="W65" s="232"/>
      <c r="X65" s="232"/>
      <c r="Y65" s="233"/>
      <c r="Z65" s="233"/>
      <c r="AA65" s="234"/>
      <c r="AB65" s="234"/>
      <c r="AC65" s="235"/>
      <c r="AD65" s="235"/>
      <c r="AE65" s="236"/>
      <c r="AF65" s="236"/>
      <c r="AG65" s="67"/>
      <c r="AH65" s="68"/>
      <c r="AI65" s="69"/>
      <c r="AJ65" s="71"/>
    </row>
    <row r="66" spans="1:36" s="22" customFormat="1" x14ac:dyDescent="0.25">
      <c r="A66" s="28" t="str">
        <f>IF(H66&lt;&gt;"",MAX($A$7:A65)+1,"")</f>
        <v/>
      </c>
      <c r="B66" s="243" t="str">
        <f t="shared" si="29"/>
        <v/>
      </c>
      <c r="C66" s="96" t="str">
        <f t="shared" si="30"/>
        <v/>
      </c>
      <c r="D66" s="238"/>
      <c r="E66" s="239"/>
      <c r="F66" s="239"/>
      <c r="G66" s="240"/>
      <c r="H66" s="241"/>
      <c r="I66" s="231"/>
      <c r="J66" s="231"/>
      <c r="K66" s="232"/>
      <c r="L66" s="232"/>
      <c r="M66" s="233"/>
      <c r="N66" s="233"/>
      <c r="O66" s="234"/>
      <c r="P66" s="234"/>
      <c r="Q66" s="235"/>
      <c r="R66" s="235"/>
      <c r="S66" s="236"/>
      <c r="T66" s="236"/>
      <c r="U66" s="231"/>
      <c r="V66" s="231"/>
      <c r="W66" s="232"/>
      <c r="X66" s="232"/>
      <c r="Y66" s="233"/>
      <c r="Z66" s="233"/>
      <c r="AA66" s="234"/>
      <c r="AB66" s="234"/>
      <c r="AC66" s="235"/>
      <c r="AD66" s="235"/>
      <c r="AE66" s="236"/>
      <c r="AF66" s="236"/>
      <c r="AG66" s="67"/>
      <c r="AH66" s="68"/>
      <c r="AI66" s="69"/>
      <c r="AJ66" s="71"/>
    </row>
    <row r="67" spans="1:36" s="22" customFormat="1" x14ac:dyDescent="0.25">
      <c r="A67" s="28" t="str">
        <f>IF(H67&lt;&gt;"",MAX($A$7:A66)+1,"")</f>
        <v/>
      </c>
      <c r="B67" s="243" t="str">
        <f t="shared" si="29"/>
        <v/>
      </c>
      <c r="C67" s="96" t="str">
        <f t="shared" si="30"/>
        <v/>
      </c>
      <c r="D67" s="238"/>
      <c r="E67" s="239"/>
      <c r="F67" s="239"/>
      <c r="G67" s="240"/>
      <c r="H67" s="241"/>
      <c r="I67" s="231"/>
      <c r="J67" s="231"/>
      <c r="K67" s="232"/>
      <c r="L67" s="232"/>
      <c r="M67" s="233"/>
      <c r="N67" s="233"/>
      <c r="O67" s="234"/>
      <c r="P67" s="234"/>
      <c r="Q67" s="235"/>
      <c r="R67" s="235"/>
      <c r="S67" s="236"/>
      <c r="T67" s="236"/>
      <c r="U67" s="231"/>
      <c r="V67" s="231"/>
      <c r="W67" s="232"/>
      <c r="X67" s="232"/>
      <c r="Y67" s="233"/>
      <c r="Z67" s="233"/>
      <c r="AA67" s="234"/>
      <c r="AB67" s="234"/>
      <c r="AC67" s="235"/>
      <c r="AD67" s="235"/>
      <c r="AE67" s="236"/>
      <c r="AF67" s="236"/>
      <c r="AG67" s="67"/>
      <c r="AH67" s="68"/>
      <c r="AI67" s="69"/>
      <c r="AJ67" s="71"/>
    </row>
    <row r="68" spans="1:36" s="22" customFormat="1" x14ac:dyDescent="0.25">
      <c r="A68" s="28" t="str">
        <f>IF(H68&lt;&gt;"",MAX($A$7:A67)+1,"")</f>
        <v/>
      </c>
      <c r="B68" s="243" t="str">
        <f t="shared" si="29"/>
        <v/>
      </c>
      <c r="C68" s="96" t="str">
        <f t="shared" si="30"/>
        <v/>
      </c>
      <c r="D68" s="238"/>
      <c r="E68" s="239"/>
      <c r="F68" s="239"/>
      <c r="G68" s="240"/>
      <c r="H68" s="241"/>
      <c r="I68" s="231"/>
      <c r="J68" s="231"/>
      <c r="K68" s="232"/>
      <c r="L68" s="232"/>
      <c r="M68" s="233"/>
      <c r="N68" s="233"/>
      <c r="O68" s="234"/>
      <c r="P68" s="234"/>
      <c r="Q68" s="235"/>
      <c r="R68" s="235"/>
      <c r="S68" s="236"/>
      <c r="T68" s="236"/>
      <c r="U68" s="231"/>
      <c r="V68" s="231"/>
      <c r="W68" s="232"/>
      <c r="X68" s="232"/>
      <c r="Y68" s="233"/>
      <c r="Z68" s="233"/>
      <c r="AA68" s="234"/>
      <c r="AB68" s="234"/>
      <c r="AC68" s="235"/>
      <c r="AD68" s="235"/>
      <c r="AE68" s="236"/>
      <c r="AF68" s="236"/>
      <c r="AG68" s="67"/>
      <c r="AH68" s="68"/>
      <c r="AI68" s="69"/>
      <c r="AJ68" s="71"/>
    </row>
    <row r="69" spans="1:36" s="22" customFormat="1" x14ac:dyDescent="0.25">
      <c r="A69" s="28" t="str">
        <f>IF(H69&lt;&gt;"",MAX($A$7:A68)+1,"")</f>
        <v/>
      </c>
      <c r="B69" s="243" t="str">
        <f t="shared" si="29"/>
        <v/>
      </c>
      <c r="C69" s="96" t="str">
        <f t="shared" si="30"/>
        <v/>
      </c>
      <c r="D69" s="238"/>
      <c r="E69" s="239"/>
      <c r="F69" s="239"/>
      <c r="G69" s="240"/>
      <c r="H69" s="241"/>
      <c r="I69" s="231"/>
      <c r="J69" s="231"/>
      <c r="K69" s="232"/>
      <c r="L69" s="232"/>
      <c r="M69" s="233"/>
      <c r="N69" s="233"/>
      <c r="O69" s="234"/>
      <c r="P69" s="234"/>
      <c r="Q69" s="235"/>
      <c r="R69" s="235"/>
      <c r="S69" s="236"/>
      <c r="T69" s="236"/>
      <c r="U69" s="231"/>
      <c r="V69" s="231"/>
      <c r="W69" s="232"/>
      <c r="X69" s="232"/>
      <c r="Y69" s="233"/>
      <c r="Z69" s="233"/>
      <c r="AA69" s="234"/>
      <c r="AB69" s="234"/>
      <c r="AC69" s="235"/>
      <c r="AD69" s="235"/>
      <c r="AE69" s="236"/>
      <c r="AF69" s="236"/>
      <c r="AG69" s="67"/>
      <c r="AH69" s="68"/>
      <c r="AI69" s="69"/>
      <c r="AJ69" s="71"/>
    </row>
    <row r="70" spans="1:36" s="22" customFormat="1" x14ac:dyDescent="0.25">
      <c r="A70" s="28" t="str">
        <f>IF(H70&lt;&gt;"",MAX($A$7:A69)+1,"")</f>
        <v/>
      </c>
      <c r="B70" s="243" t="str">
        <f t="shared" si="29"/>
        <v/>
      </c>
      <c r="C70" s="96" t="str">
        <f t="shared" si="30"/>
        <v/>
      </c>
      <c r="D70" s="238"/>
      <c r="E70" s="239"/>
      <c r="F70" s="239"/>
      <c r="G70" s="240"/>
      <c r="H70" s="241"/>
      <c r="I70" s="231"/>
      <c r="J70" s="231"/>
      <c r="K70" s="232"/>
      <c r="L70" s="232"/>
      <c r="M70" s="233"/>
      <c r="N70" s="233"/>
      <c r="O70" s="234"/>
      <c r="P70" s="234"/>
      <c r="Q70" s="235"/>
      <c r="R70" s="235"/>
      <c r="S70" s="236"/>
      <c r="T70" s="236"/>
      <c r="U70" s="231"/>
      <c r="V70" s="231"/>
      <c r="W70" s="232"/>
      <c r="X70" s="232"/>
      <c r="Y70" s="233"/>
      <c r="Z70" s="233"/>
      <c r="AA70" s="234"/>
      <c r="AB70" s="234"/>
      <c r="AC70" s="235"/>
      <c r="AD70" s="235"/>
      <c r="AE70" s="236"/>
      <c r="AF70" s="236"/>
      <c r="AG70" s="67"/>
      <c r="AH70" s="68"/>
      <c r="AI70" s="69"/>
      <c r="AJ70" s="71"/>
    </row>
    <row r="71" spans="1:36" s="22" customFormat="1" x14ac:dyDescent="0.25">
      <c r="A71" s="28" t="str">
        <f>IF(H71&lt;&gt;"",MAX($A$7:A70)+1,"")</f>
        <v/>
      </c>
      <c r="B71" s="243" t="str">
        <f t="shared" ref="B71:B134" si="31">IF(A71="","",PREF_PREGUNTA&amp;" - "&amp;IF(MAX(A:A)&gt;99,IF(A71&lt;100,"0",""),"")&amp;IF(A71&lt;10,"0","")&amp;A71&amp;IF(G71&lt;&gt;""," "&amp;G71,""))</f>
        <v/>
      </c>
      <c r="C71" s="96" t="str">
        <f t="shared" ref="C71:C134" si="32">IF(COUNTA(I71:N71)-D71=0,"",COUNTA(I71:N71)-D71)</f>
        <v/>
      </c>
      <c r="D71" s="238"/>
      <c r="E71" s="239"/>
      <c r="F71" s="239"/>
      <c r="G71" s="240"/>
      <c r="H71" s="241"/>
      <c r="I71" s="231"/>
      <c r="J71" s="231"/>
      <c r="K71" s="232"/>
      <c r="L71" s="232"/>
      <c r="M71" s="233"/>
      <c r="N71" s="233"/>
      <c r="O71" s="234"/>
      <c r="P71" s="234"/>
      <c r="Q71" s="235"/>
      <c r="R71" s="235"/>
      <c r="S71" s="236"/>
      <c r="T71" s="236"/>
      <c r="U71" s="231"/>
      <c r="V71" s="231"/>
      <c r="W71" s="232"/>
      <c r="X71" s="232"/>
      <c r="Y71" s="233"/>
      <c r="Z71" s="233"/>
      <c r="AA71" s="234"/>
      <c r="AB71" s="234"/>
      <c r="AC71" s="235"/>
      <c r="AD71" s="235"/>
      <c r="AE71" s="236"/>
      <c r="AF71" s="236"/>
      <c r="AG71" s="67"/>
      <c r="AH71" s="68"/>
      <c r="AI71" s="69"/>
      <c r="AJ71" s="71"/>
    </row>
    <row r="72" spans="1:36" s="22" customFormat="1" x14ac:dyDescent="0.25">
      <c r="A72" s="28" t="str">
        <f>IF(H72&lt;&gt;"",MAX($A$7:A71)+1,"")</f>
        <v/>
      </c>
      <c r="B72" s="243" t="str">
        <f t="shared" si="31"/>
        <v/>
      </c>
      <c r="C72" s="96" t="str">
        <f t="shared" si="32"/>
        <v/>
      </c>
      <c r="D72" s="238"/>
      <c r="E72" s="239"/>
      <c r="F72" s="239"/>
      <c r="G72" s="240"/>
      <c r="H72" s="241"/>
      <c r="I72" s="231"/>
      <c r="J72" s="231"/>
      <c r="K72" s="232"/>
      <c r="L72" s="232"/>
      <c r="M72" s="233"/>
      <c r="N72" s="233"/>
      <c r="O72" s="234"/>
      <c r="P72" s="234"/>
      <c r="Q72" s="235"/>
      <c r="R72" s="235"/>
      <c r="S72" s="236"/>
      <c r="T72" s="236"/>
      <c r="U72" s="231"/>
      <c r="V72" s="231"/>
      <c r="W72" s="232"/>
      <c r="X72" s="232"/>
      <c r="Y72" s="233"/>
      <c r="Z72" s="233"/>
      <c r="AA72" s="234"/>
      <c r="AB72" s="234"/>
      <c r="AC72" s="235"/>
      <c r="AD72" s="235"/>
      <c r="AE72" s="236"/>
      <c r="AF72" s="236"/>
      <c r="AG72" s="67"/>
      <c r="AH72" s="68"/>
      <c r="AI72" s="69"/>
      <c r="AJ72" s="71"/>
    </row>
    <row r="73" spans="1:36" s="22" customFormat="1" x14ac:dyDescent="0.25">
      <c r="A73" s="28" t="str">
        <f>IF(H73&lt;&gt;"",MAX($A$7:A72)+1,"")</f>
        <v/>
      </c>
      <c r="B73" s="243" t="str">
        <f t="shared" si="31"/>
        <v/>
      </c>
      <c r="C73" s="96" t="str">
        <f t="shared" si="32"/>
        <v/>
      </c>
      <c r="D73" s="238"/>
      <c r="E73" s="239"/>
      <c r="F73" s="239"/>
      <c r="G73" s="240"/>
      <c r="H73" s="241"/>
      <c r="I73" s="231"/>
      <c r="J73" s="231"/>
      <c r="K73" s="232"/>
      <c r="L73" s="232"/>
      <c r="M73" s="233"/>
      <c r="N73" s="233"/>
      <c r="O73" s="234"/>
      <c r="P73" s="234"/>
      <c r="Q73" s="235"/>
      <c r="R73" s="235"/>
      <c r="S73" s="236"/>
      <c r="T73" s="236"/>
      <c r="U73" s="231"/>
      <c r="V73" s="231"/>
      <c r="W73" s="232"/>
      <c r="X73" s="232"/>
      <c r="Y73" s="233"/>
      <c r="Z73" s="233"/>
      <c r="AA73" s="234"/>
      <c r="AB73" s="234"/>
      <c r="AC73" s="235"/>
      <c r="AD73" s="235"/>
      <c r="AE73" s="236"/>
      <c r="AF73" s="236"/>
      <c r="AG73" s="67"/>
      <c r="AH73" s="68"/>
      <c r="AI73" s="69"/>
      <c r="AJ73" s="71"/>
    </row>
    <row r="74" spans="1:36" s="22" customFormat="1" x14ac:dyDescent="0.25">
      <c r="A74" s="28" t="str">
        <f>IF(H74&lt;&gt;"",MAX($A$7:A73)+1,"")</f>
        <v/>
      </c>
      <c r="B74" s="243" t="str">
        <f t="shared" si="31"/>
        <v/>
      </c>
      <c r="C74" s="96" t="str">
        <f t="shared" si="32"/>
        <v/>
      </c>
      <c r="D74" s="238"/>
      <c r="E74" s="239"/>
      <c r="F74" s="239"/>
      <c r="G74" s="240"/>
      <c r="H74" s="241"/>
      <c r="I74" s="231"/>
      <c r="J74" s="231"/>
      <c r="K74" s="232"/>
      <c r="L74" s="232"/>
      <c r="M74" s="233"/>
      <c r="N74" s="233"/>
      <c r="O74" s="234"/>
      <c r="P74" s="234"/>
      <c r="Q74" s="235"/>
      <c r="R74" s="235"/>
      <c r="S74" s="236"/>
      <c r="T74" s="236"/>
      <c r="U74" s="231"/>
      <c r="V74" s="231"/>
      <c r="W74" s="232"/>
      <c r="X74" s="232"/>
      <c r="Y74" s="233"/>
      <c r="Z74" s="233"/>
      <c r="AA74" s="234"/>
      <c r="AB74" s="234"/>
      <c r="AC74" s="235"/>
      <c r="AD74" s="235"/>
      <c r="AE74" s="236"/>
      <c r="AF74" s="236"/>
      <c r="AG74" s="67"/>
      <c r="AH74" s="68"/>
      <c r="AI74" s="69"/>
      <c r="AJ74" s="71"/>
    </row>
    <row r="75" spans="1:36" s="22" customFormat="1" x14ac:dyDescent="0.25">
      <c r="A75" s="28" t="str">
        <f>IF(H75&lt;&gt;"",MAX($A$7:A74)+1,"")</f>
        <v/>
      </c>
      <c r="B75" s="243" t="str">
        <f t="shared" si="31"/>
        <v/>
      </c>
      <c r="C75" s="96" t="str">
        <f t="shared" si="32"/>
        <v/>
      </c>
      <c r="D75" s="238"/>
      <c r="E75" s="239"/>
      <c r="F75" s="239"/>
      <c r="G75" s="240"/>
      <c r="H75" s="241"/>
      <c r="I75" s="231"/>
      <c r="J75" s="231"/>
      <c r="K75" s="232"/>
      <c r="L75" s="232"/>
      <c r="M75" s="233"/>
      <c r="N75" s="233"/>
      <c r="O75" s="234"/>
      <c r="P75" s="234"/>
      <c r="Q75" s="235"/>
      <c r="R75" s="235"/>
      <c r="S75" s="236"/>
      <c r="T75" s="236"/>
      <c r="U75" s="231"/>
      <c r="V75" s="231"/>
      <c r="W75" s="232"/>
      <c r="X75" s="232"/>
      <c r="Y75" s="233"/>
      <c r="Z75" s="233"/>
      <c r="AA75" s="234"/>
      <c r="AB75" s="234"/>
      <c r="AC75" s="235"/>
      <c r="AD75" s="235"/>
      <c r="AE75" s="236"/>
      <c r="AF75" s="236"/>
      <c r="AG75" s="67"/>
      <c r="AH75" s="68"/>
      <c r="AI75" s="69"/>
      <c r="AJ75" s="71"/>
    </row>
    <row r="76" spans="1:36" s="22" customFormat="1" x14ac:dyDescent="0.25">
      <c r="A76" s="28" t="str">
        <f>IF(H76&lt;&gt;"",MAX($A$7:A75)+1,"")</f>
        <v/>
      </c>
      <c r="B76" s="243" t="str">
        <f t="shared" si="31"/>
        <v/>
      </c>
      <c r="C76" s="96" t="str">
        <f t="shared" si="32"/>
        <v/>
      </c>
      <c r="D76" s="238"/>
      <c r="E76" s="239"/>
      <c r="F76" s="239"/>
      <c r="G76" s="240"/>
      <c r="H76" s="241"/>
      <c r="I76" s="231"/>
      <c r="J76" s="231"/>
      <c r="K76" s="232"/>
      <c r="L76" s="232"/>
      <c r="M76" s="233"/>
      <c r="N76" s="233"/>
      <c r="O76" s="234"/>
      <c r="P76" s="234"/>
      <c r="Q76" s="235"/>
      <c r="R76" s="235"/>
      <c r="S76" s="236"/>
      <c r="T76" s="236"/>
      <c r="U76" s="231"/>
      <c r="V76" s="231"/>
      <c r="W76" s="232"/>
      <c r="X76" s="232"/>
      <c r="Y76" s="233"/>
      <c r="Z76" s="233"/>
      <c r="AA76" s="234"/>
      <c r="AB76" s="234"/>
      <c r="AC76" s="235"/>
      <c r="AD76" s="235"/>
      <c r="AE76" s="236"/>
      <c r="AF76" s="236"/>
      <c r="AG76" s="67"/>
      <c r="AH76" s="68"/>
      <c r="AI76" s="69"/>
      <c r="AJ76" s="71"/>
    </row>
    <row r="77" spans="1:36" s="22" customFormat="1" x14ac:dyDescent="0.25">
      <c r="A77" s="28" t="str">
        <f>IF(H77&lt;&gt;"",MAX($A$7:A76)+1,"")</f>
        <v/>
      </c>
      <c r="B77" s="243" t="str">
        <f t="shared" si="31"/>
        <v/>
      </c>
      <c r="C77" s="96" t="str">
        <f t="shared" si="32"/>
        <v/>
      </c>
      <c r="D77" s="238"/>
      <c r="E77" s="239"/>
      <c r="F77" s="239"/>
      <c r="G77" s="240"/>
      <c r="H77" s="241"/>
      <c r="I77" s="231"/>
      <c r="J77" s="231"/>
      <c r="K77" s="232"/>
      <c r="L77" s="232"/>
      <c r="M77" s="233"/>
      <c r="N77" s="233"/>
      <c r="O77" s="234"/>
      <c r="P77" s="234"/>
      <c r="Q77" s="235"/>
      <c r="R77" s="235"/>
      <c r="S77" s="236"/>
      <c r="T77" s="236"/>
      <c r="U77" s="231"/>
      <c r="V77" s="231"/>
      <c r="W77" s="232"/>
      <c r="X77" s="232"/>
      <c r="Y77" s="233"/>
      <c r="Z77" s="233"/>
      <c r="AA77" s="234"/>
      <c r="AB77" s="234"/>
      <c r="AC77" s="235"/>
      <c r="AD77" s="235"/>
      <c r="AE77" s="236"/>
      <c r="AF77" s="236"/>
      <c r="AG77" s="67"/>
      <c r="AH77" s="68"/>
      <c r="AI77" s="69"/>
      <c r="AJ77" s="71"/>
    </row>
    <row r="78" spans="1:36" s="22" customFormat="1" x14ac:dyDescent="0.25">
      <c r="A78" s="28" t="str">
        <f>IF(H78&lt;&gt;"",MAX($A$7:A77)+1,"")</f>
        <v/>
      </c>
      <c r="B78" s="243" t="str">
        <f t="shared" si="31"/>
        <v/>
      </c>
      <c r="C78" s="96" t="str">
        <f t="shared" si="32"/>
        <v/>
      </c>
      <c r="D78" s="238"/>
      <c r="E78" s="239"/>
      <c r="F78" s="239"/>
      <c r="G78" s="240"/>
      <c r="H78" s="241"/>
      <c r="I78" s="231"/>
      <c r="J78" s="231"/>
      <c r="K78" s="232"/>
      <c r="L78" s="232"/>
      <c r="M78" s="233"/>
      <c r="N78" s="233"/>
      <c r="O78" s="234"/>
      <c r="P78" s="234"/>
      <c r="Q78" s="235"/>
      <c r="R78" s="235"/>
      <c r="S78" s="236"/>
      <c r="T78" s="236"/>
      <c r="U78" s="231"/>
      <c r="V78" s="231"/>
      <c r="W78" s="232"/>
      <c r="X78" s="232"/>
      <c r="Y78" s="233"/>
      <c r="Z78" s="233"/>
      <c r="AA78" s="234"/>
      <c r="AB78" s="234"/>
      <c r="AC78" s="235"/>
      <c r="AD78" s="235"/>
      <c r="AE78" s="236"/>
      <c r="AF78" s="236"/>
      <c r="AG78" s="67"/>
      <c r="AH78" s="68"/>
      <c r="AI78" s="69"/>
      <c r="AJ78" s="71"/>
    </row>
    <row r="79" spans="1:36" s="22" customFormat="1" x14ac:dyDescent="0.25">
      <c r="A79" s="28" t="str">
        <f>IF(H79&lt;&gt;"",MAX($A$7:A78)+1,"")</f>
        <v/>
      </c>
      <c r="B79" s="243" t="str">
        <f t="shared" si="31"/>
        <v/>
      </c>
      <c r="C79" s="96" t="str">
        <f t="shared" si="32"/>
        <v/>
      </c>
      <c r="D79" s="238"/>
      <c r="E79" s="239"/>
      <c r="F79" s="239"/>
      <c r="G79" s="240"/>
      <c r="H79" s="241"/>
      <c r="I79" s="231"/>
      <c r="J79" s="231"/>
      <c r="K79" s="232"/>
      <c r="L79" s="232"/>
      <c r="M79" s="233"/>
      <c r="N79" s="233"/>
      <c r="O79" s="234"/>
      <c r="P79" s="234"/>
      <c r="Q79" s="235"/>
      <c r="R79" s="235"/>
      <c r="S79" s="236"/>
      <c r="T79" s="236"/>
      <c r="U79" s="231"/>
      <c r="V79" s="231"/>
      <c r="W79" s="232"/>
      <c r="X79" s="232"/>
      <c r="Y79" s="233"/>
      <c r="Z79" s="233"/>
      <c r="AA79" s="234"/>
      <c r="AB79" s="234"/>
      <c r="AC79" s="235"/>
      <c r="AD79" s="235"/>
      <c r="AE79" s="236"/>
      <c r="AF79" s="236"/>
      <c r="AG79" s="67"/>
      <c r="AH79" s="68"/>
      <c r="AI79" s="69"/>
      <c r="AJ79" s="71"/>
    </row>
    <row r="80" spans="1:36" s="22" customFormat="1" x14ac:dyDescent="0.25">
      <c r="A80" s="28" t="str">
        <f>IF(H80&lt;&gt;"",MAX($A$7:A79)+1,"")</f>
        <v/>
      </c>
      <c r="B80" s="243" t="str">
        <f t="shared" si="31"/>
        <v/>
      </c>
      <c r="C80" s="96" t="str">
        <f t="shared" si="32"/>
        <v/>
      </c>
      <c r="D80" s="238"/>
      <c r="E80" s="239"/>
      <c r="F80" s="239"/>
      <c r="G80" s="240"/>
      <c r="H80" s="241"/>
      <c r="I80" s="231"/>
      <c r="J80" s="231"/>
      <c r="K80" s="232"/>
      <c r="L80" s="232"/>
      <c r="M80" s="233"/>
      <c r="N80" s="233"/>
      <c r="O80" s="234"/>
      <c r="P80" s="234"/>
      <c r="Q80" s="235"/>
      <c r="R80" s="235"/>
      <c r="S80" s="236"/>
      <c r="T80" s="236"/>
      <c r="U80" s="231"/>
      <c r="V80" s="231"/>
      <c r="W80" s="232"/>
      <c r="X80" s="232"/>
      <c r="Y80" s="233"/>
      <c r="Z80" s="233"/>
      <c r="AA80" s="234"/>
      <c r="AB80" s="234"/>
      <c r="AC80" s="235"/>
      <c r="AD80" s="235"/>
      <c r="AE80" s="236"/>
      <c r="AF80" s="236"/>
      <c r="AG80" s="67"/>
      <c r="AH80" s="68"/>
      <c r="AI80" s="69"/>
      <c r="AJ80" s="71"/>
    </row>
    <row r="81" spans="1:36" s="22" customFormat="1" x14ac:dyDescent="0.25">
      <c r="A81" s="28" t="str">
        <f>IF(H81&lt;&gt;"",MAX($A$7:A80)+1,"")</f>
        <v/>
      </c>
      <c r="B81" s="243" t="str">
        <f t="shared" si="31"/>
        <v/>
      </c>
      <c r="C81" s="96" t="str">
        <f t="shared" si="32"/>
        <v/>
      </c>
      <c r="D81" s="238"/>
      <c r="E81" s="239"/>
      <c r="F81" s="239"/>
      <c r="G81" s="240"/>
      <c r="H81" s="241"/>
      <c r="I81" s="231"/>
      <c r="J81" s="231"/>
      <c r="K81" s="232"/>
      <c r="L81" s="232"/>
      <c r="M81" s="233"/>
      <c r="N81" s="233"/>
      <c r="O81" s="234"/>
      <c r="P81" s="234"/>
      <c r="Q81" s="235"/>
      <c r="R81" s="235"/>
      <c r="S81" s="236"/>
      <c r="T81" s="236"/>
      <c r="U81" s="231"/>
      <c r="V81" s="231"/>
      <c r="W81" s="232"/>
      <c r="X81" s="232"/>
      <c r="Y81" s="233"/>
      <c r="Z81" s="233"/>
      <c r="AA81" s="234"/>
      <c r="AB81" s="234"/>
      <c r="AC81" s="235"/>
      <c r="AD81" s="235"/>
      <c r="AE81" s="236"/>
      <c r="AF81" s="236"/>
      <c r="AG81" s="67"/>
      <c r="AH81" s="68"/>
      <c r="AI81" s="69"/>
      <c r="AJ81" s="71"/>
    </row>
    <row r="82" spans="1:36" s="22" customFormat="1" x14ac:dyDescent="0.25">
      <c r="A82" s="28" t="str">
        <f>IF(H82&lt;&gt;"",MAX($A$7:A81)+1,"")</f>
        <v/>
      </c>
      <c r="B82" s="243" t="str">
        <f t="shared" si="31"/>
        <v/>
      </c>
      <c r="C82" s="96" t="str">
        <f t="shared" si="32"/>
        <v/>
      </c>
      <c r="D82" s="238"/>
      <c r="E82" s="239"/>
      <c r="F82" s="239"/>
      <c r="G82" s="240"/>
      <c r="H82" s="241"/>
      <c r="I82" s="231"/>
      <c r="J82" s="231"/>
      <c r="K82" s="232"/>
      <c r="L82" s="232"/>
      <c r="M82" s="233"/>
      <c r="N82" s="233"/>
      <c r="O82" s="234"/>
      <c r="P82" s="234"/>
      <c r="Q82" s="235"/>
      <c r="R82" s="235"/>
      <c r="S82" s="236"/>
      <c r="T82" s="236"/>
      <c r="U82" s="231"/>
      <c r="V82" s="231"/>
      <c r="W82" s="232"/>
      <c r="X82" s="232"/>
      <c r="Y82" s="233"/>
      <c r="Z82" s="233"/>
      <c r="AA82" s="234"/>
      <c r="AB82" s="234"/>
      <c r="AC82" s="235"/>
      <c r="AD82" s="235"/>
      <c r="AE82" s="236"/>
      <c r="AF82" s="236"/>
      <c r="AG82" s="67"/>
      <c r="AH82" s="68"/>
      <c r="AI82" s="69"/>
      <c r="AJ82" s="71"/>
    </row>
    <row r="83" spans="1:36" s="22" customFormat="1" x14ac:dyDescent="0.25">
      <c r="A83" s="28" t="str">
        <f>IF(H83&lt;&gt;"",MAX($A$7:A82)+1,"")</f>
        <v/>
      </c>
      <c r="B83" s="243" t="str">
        <f t="shared" si="31"/>
        <v/>
      </c>
      <c r="C83" s="96" t="str">
        <f t="shared" si="32"/>
        <v/>
      </c>
      <c r="D83" s="238"/>
      <c r="E83" s="239"/>
      <c r="F83" s="239"/>
      <c r="G83" s="240"/>
      <c r="H83" s="241"/>
      <c r="I83" s="231"/>
      <c r="J83" s="231"/>
      <c r="K83" s="232"/>
      <c r="L83" s="232"/>
      <c r="M83" s="233"/>
      <c r="N83" s="233"/>
      <c r="O83" s="234"/>
      <c r="P83" s="234"/>
      <c r="Q83" s="235"/>
      <c r="R83" s="235"/>
      <c r="S83" s="236"/>
      <c r="T83" s="236"/>
      <c r="U83" s="231"/>
      <c r="V83" s="231"/>
      <c r="W83" s="232"/>
      <c r="X83" s="232"/>
      <c r="Y83" s="233"/>
      <c r="Z83" s="233"/>
      <c r="AA83" s="234"/>
      <c r="AB83" s="234"/>
      <c r="AC83" s="235"/>
      <c r="AD83" s="235"/>
      <c r="AE83" s="236"/>
      <c r="AF83" s="236"/>
      <c r="AG83" s="67"/>
      <c r="AH83" s="68"/>
      <c r="AI83" s="69"/>
      <c r="AJ83" s="71"/>
    </row>
    <row r="84" spans="1:36" s="22" customFormat="1" x14ac:dyDescent="0.25">
      <c r="A84" s="28" t="str">
        <f>IF(H84&lt;&gt;"",MAX($A$7:A83)+1,"")</f>
        <v/>
      </c>
      <c r="B84" s="243" t="str">
        <f t="shared" si="31"/>
        <v/>
      </c>
      <c r="C84" s="96" t="str">
        <f t="shared" si="32"/>
        <v/>
      </c>
      <c r="D84" s="238"/>
      <c r="E84" s="239"/>
      <c r="F84" s="239"/>
      <c r="G84" s="240"/>
      <c r="H84" s="241"/>
      <c r="I84" s="231"/>
      <c r="J84" s="231"/>
      <c r="K84" s="232"/>
      <c r="L84" s="232"/>
      <c r="M84" s="233"/>
      <c r="N84" s="233"/>
      <c r="O84" s="234"/>
      <c r="P84" s="234"/>
      <c r="Q84" s="235"/>
      <c r="R84" s="235"/>
      <c r="S84" s="236"/>
      <c r="T84" s="236"/>
      <c r="U84" s="231"/>
      <c r="V84" s="231"/>
      <c r="W84" s="232"/>
      <c r="X84" s="232"/>
      <c r="Y84" s="233"/>
      <c r="Z84" s="233"/>
      <c r="AA84" s="234"/>
      <c r="AB84" s="234"/>
      <c r="AC84" s="235"/>
      <c r="AD84" s="235"/>
      <c r="AE84" s="236"/>
      <c r="AF84" s="236"/>
      <c r="AG84" s="67"/>
      <c r="AH84" s="68"/>
      <c r="AI84" s="69"/>
      <c r="AJ84" s="71"/>
    </row>
    <row r="85" spans="1:36" s="22" customFormat="1" x14ac:dyDescent="0.25">
      <c r="A85" s="28" t="str">
        <f>IF(H85&lt;&gt;"",MAX($A$7:A84)+1,"")</f>
        <v/>
      </c>
      <c r="B85" s="243" t="str">
        <f t="shared" si="31"/>
        <v/>
      </c>
      <c r="C85" s="96" t="str">
        <f t="shared" si="32"/>
        <v/>
      </c>
      <c r="D85" s="238"/>
      <c r="E85" s="239"/>
      <c r="F85" s="239"/>
      <c r="G85" s="240"/>
      <c r="H85" s="241"/>
      <c r="I85" s="231"/>
      <c r="J85" s="231"/>
      <c r="K85" s="232"/>
      <c r="L85" s="232"/>
      <c r="M85" s="233"/>
      <c r="N85" s="233"/>
      <c r="O85" s="234"/>
      <c r="P85" s="234"/>
      <c r="Q85" s="235"/>
      <c r="R85" s="235"/>
      <c r="S85" s="236"/>
      <c r="T85" s="236"/>
      <c r="U85" s="231"/>
      <c r="V85" s="231"/>
      <c r="W85" s="232"/>
      <c r="X85" s="232"/>
      <c r="Y85" s="233"/>
      <c r="Z85" s="233"/>
      <c r="AA85" s="234"/>
      <c r="AB85" s="234"/>
      <c r="AC85" s="235"/>
      <c r="AD85" s="235"/>
      <c r="AE85" s="236"/>
      <c r="AF85" s="236"/>
      <c r="AG85" s="67"/>
      <c r="AH85" s="68"/>
      <c r="AI85" s="69"/>
      <c r="AJ85" s="71"/>
    </row>
    <row r="86" spans="1:36" s="22" customFormat="1" x14ac:dyDescent="0.25">
      <c r="A86" s="28" t="str">
        <f>IF(H86&lt;&gt;"",MAX($A$7:A85)+1,"")</f>
        <v/>
      </c>
      <c r="B86" s="243" t="str">
        <f t="shared" si="31"/>
        <v/>
      </c>
      <c r="C86" s="96" t="str">
        <f t="shared" si="32"/>
        <v/>
      </c>
      <c r="D86" s="238"/>
      <c r="E86" s="239"/>
      <c r="F86" s="239"/>
      <c r="G86" s="240"/>
      <c r="H86" s="241"/>
      <c r="I86" s="231"/>
      <c r="J86" s="231"/>
      <c r="K86" s="232"/>
      <c r="L86" s="232"/>
      <c r="M86" s="233"/>
      <c r="N86" s="233"/>
      <c r="O86" s="234"/>
      <c r="P86" s="234"/>
      <c r="Q86" s="235"/>
      <c r="R86" s="235"/>
      <c r="S86" s="236"/>
      <c r="T86" s="236"/>
      <c r="U86" s="231"/>
      <c r="V86" s="231"/>
      <c r="W86" s="232"/>
      <c r="X86" s="232"/>
      <c r="Y86" s="233"/>
      <c r="Z86" s="233"/>
      <c r="AA86" s="234"/>
      <c r="AB86" s="234"/>
      <c r="AC86" s="235"/>
      <c r="AD86" s="235"/>
      <c r="AE86" s="236"/>
      <c r="AF86" s="236"/>
      <c r="AG86" s="67"/>
      <c r="AH86" s="68"/>
      <c r="AI86" s="69"/>
      <c r="AJ86" s="71"/>
    </row>
    <row r="87" spans="1:36" s="22" customFormat="1" x14ac:dyDescent="0.25">
      <c r="A87" s="28" t="str">
        <f>IF(H87&lt;&gt;"",MAX($A$7:A86)+1,"")</f>
        <v/>
      </c>
      <c r="B87" s="243" t="str">
        <f t="shared" si="31"/>
        <v/>
      </c>
      <c r="C87" s="96" t="str">
        <f t="shared" si="32"/>
        <v/>
      </c>
      <c r="D87" s="238"/>
      <c r="E87" s="239"/>
      <c r="F87" s="239"/>
      <c r="G87" s="240"/>
      <c r="H87" s="241"/>
      <c r="I87" s="231"/>
      <c r="J87" s="231"/>
      <c r="K87" s="232"/>
      <c r="L87" s="232"/>
      <c r="M87" s="233"/>
      <c r="N87" s="233"/>
      <c r="O87" s="234"/>
      <c r="P87" s="234"/>
      <c r="Q87" s="235"/>
      <c r="R87" s="235"/>
      <c r="S87" s="236"/>
      <c r="T87" s="236"/>
      <c r="U87" s="231"/>
      <c r="V87" s="231"/>
      <c r="W87" s="232"/>
      <c r="X87" s="232"/>
      <c r="Y87" s="233"/>
      <c r="Z87" s="233"/>
      <c r="AA87" s="234"/>
      <c r="AB87" s="234"/>
      <c r="AC87" s="235"/>
      <c r="AD87" s="235"/>
      <c r="AE87" s="236"/>
      <c r="AF87" s="236"/>
      <c r="AG87" s="67"/>
      <c r="AH87" s="68"/>
      <c r="AI87" s="69"/>
      <c r="AJ87" s="71"/>
    </row>
    <row r="88" spans="1:36" s="22" customFormat="1" x14ac:dyDescent="0.25">
      <c r="A88" s="28" t="str">
        <f>IF(H88&lt;&gt;"",MAX($A$7:A87)+1,"")</f>
        <v/>
      </c>
      <c r="B88" s="243" t="str">
        <f t="shared" si="31"/>
        <v/>
      </c>
      <c r="C88" s="96" t="str">
        <f t="shared" si="32"/>
        <v/>
      </c>
      <c r="D88" s="238"/>
      <c r="E88" s="239"/>
      <c r="F88" s="239"/>
      <c r="G88" s="240"/>
      <c r="H88" s="241"/>
      <c r="I88" s="231"/>
      <c r="J88" s="231"/>
      <c r="K88" s="232"/>
      <c r="L88" s="232"/>
      <c r="M88" s="233"/>
      <c r="N88" s="233"/>
      <c r="O88" s="234"/>
      <c r="P88" s="234"/>
      <c r="Q88" s="235"/>
      <c r="R88" s="235"/>
      <c r="S88" s="236"/>
      <c r="T88" s="236"/>
      <c r="U88" s="231"/>
      <c r="V88" s="231"/>
      <c r="W88" s="232"/>
      <c r="X88" s="232"/>
      <c r="Y88" s="233"/>
      <c r="Z88" s="233"/>
      <c r="AA88" s="234"/>
      <c r="AB88" s="234"/>
      <c r="AC88" s="235"/>
      <c r="AD88" s="235"/>
      <c r="AE88" s="236"/>
      <c r="AF88" s="236"/>
      <c r="AG88" s="67"/>
      <c r="AH88" s="68"/>
      <c r="AI88" s="69"/>
      <c r="AJ88" s="71"/>
    </row>
    <row r="89" spans="1:36" s="22" customFormat="1" x14ac:dyDescent="0.25">
      <c r="A89" s="28" t="str">
        <f>IF(H89&lt;&gt;"",MAX($A$7:A88)+1,"")</f>
        <v/>
      </c>
      <c r="B89" s="243" t="str">
        <f t="shared" si="31"/>
        <v/>
      </c>
      <c r="C89" s="96" t="str">
        <f t="shared" si="32"/>
        <v/>
      </c>
      <c r="D89" s="238"/>
      <c r="E89" s="239"/>
      <c r="F89" s="239"/>
      <c r="G89" s="240"/>
      <c r="H89" s="241"/>
      <c r="I89" s="231"/>
      <c r="J89" s="231"/>
      <c r="K89" s="232"/>
      <c r="L89" s="232"/>
      <c r="M89" s="233"/>
      <c r="N89" s="233"/>
      <c r="O89" s="234"/>
      <c r="P89" s="234"/>
      <c r="Q89" s="235"/>
      <c r="R89" s="235"/>
      <c r="S89" s="236"/>
      <c r="T89" s="236"/>
      <c r="U89" s="231"/>
      <c r="V89" s="231"/>
      <c r="W89" s="232"/>
      <c r="X89" s="232"/>
      <c r="Y89" s="233"/>
      <c r="Z89" s="233"/>
      <c r="AA89" s="234"/>
      <c r="AB89" s="234"/>
      <c r="AC89" s="235"/>
      <c r="AD89" s="235"/>
      <c r="AE89" s="236"/>
      <c r="AF89" s="236"/>
      <c r="AG89" s="67"/>
      <c r="AH89" s="68"/>
      <c r="AI89" s="69"/>
      <c r="AJ89" s="71"/>
    </row>
    <row r="90" spans="1:36" s="22" customFormat="1" x14ac:dyDescent="0.25">
      <c r="A90" s="28" t="str">
        <f>IF(H90&lt;&gt;"",MAX($A$7:A89)+1,"")</f>
        <v/>
      </c>
      <c r="B90" s="243" t="str">
        <f t="shared" si="31"/>
        <v/>
      </c>
      <c r="C90" s="96" t="str">
        <f t="shared" si="32"/>
        <v/>
      </c>
      <c r="D90" s="238"/>
      <c r="E90" s="239"/>
      <c r="F90" s="239"/>
      <c r="G90" s="240"/>
      <c r="H90" s="241"/>
      <c r="I90" s="231"/>
      <c r="J90" s="231"/>
      <c r="K90" s="232"/>
      <c r="L90" s="232"/>
      <c r="M90" s="233"/>
      <c r="N90" s="233"/>
      <c r="O90" s="234"/>
      <c r="P90" s="234"/>
      <c r="Q90" s="235"/>
      <c r="R90" s="235"/>
      <c r="S90" s="236"/>
      <c r="T90" s="236"/>
      <c r="U90" s="231"/>
      <c r="V90" s="231"/>
      <c r="W90" s="232"/>
      <c r="X90" s="232"/>
      <c r="Y90" s="233"/>
      <c r="Z90" s="233"/>
      <c r="AA90" s="234"/>
      <c r="AB90" s="234"/>
      <c r="AC90" s="235"/>
      <c r="AD90" s="235"/>
      <c r="AE90" s="236"/>
      <c r="AF90" s="236"/>
      <c r="AG90" s="67"/>
      <c r="AH90" s="68"/>
      <c r="AI90" s="69"/>
      <c r="AJ90" s="71"/>
    </row>
    <row r="91" spans="1:36" s="22" customFormat="1" x14ac:dyDescent="0.25">
      <c r="A91" s="28" t="str">
        <f>IF(H91&lt;&gt;"",MAX($A$7:A90)+1,"")</f>
        <v/>
      </c>
      <c r="B91" s="243" t="str">
        <f t="shared" si="31"/>
        <v/>
      </c>
      <c r="C91" s="96" t="str">
        <f t="shared" si="32"/>
        <v/>
      </c>
      <c r="D91" s="238"/>
      <c r="E91" s="239"/>
      <c r="F91" s="239"/>
      <c r="G91" s="240"/>
      <c r="H91" s="241"/>
      <c r="I91" s="231"/>
      <c r="J91" s="231"/>
      <c r="K91" s="232"/>
      <c r="L91" s="232"/>
      <c r="M91" s="233"/>
      <c r="N91" s="233"/>
      <c r="O91" s="234"/>
      <c r="P91" s="234"/>
      <c r="Q91" s="235"/>
      <c r="R91" s="235"/>
      <c r="S91" s="236"/>
      <c r="T91" s="236"/>
      <c r="U91" s="231"/>
      <c r="V91" s="231"/>
      <c r="W91" s="232"/>
      <c r="X91" s="232"/>
      <c r="Y91" s="233"/>
      <c r="Z91" s="233"/>
      <c r="AA91" s="234"/>
      <c r="AB91" s="234"/>
      <c r="AC91" s="235"/>
      <c r="AD91" s="235"/>
      <c r="AE91" s="236"/>
      <c r="AF91" s="236"/>
      <c r="AG91" s="67"/>
      <c r="AH91" s="68"/>
      <c r="AI91" s="69"/>
      <c r="AJ91" s="71"/>
    </row>
    <row r="92" spans="1:36" s="22" customFormat="1" x14ac:dyDescent="0.25">
      <c r="A92" s="28" t="str">
        <f>IF(H92&lt;&gt;"",MAX($A$7:A91)+1,"")</f>
        <v/>
      </c>
      <c r="B92" s="243" t="str">
        <f t="shared" si="31"/>
        <v/>
      </c>
      <c r="C92" s="96" t="str">
        <f t="shared" si="32"/>
        <v/>
      </c>
      <c r="D92" s="238"/>
      <c r="E92" s="239"/>
      <c r="F92" s="239"/>
      <c r="G92" s="240"/>
      <c r="H92" s="241"/>
      <c r="I92" s="231"/>
      <c r="J92" s="231"/>
      <c r="K92" s="232"/>
      <c r="L92" s="232"/>
      <c r="M92" s="233"/>
      <c r="N92" s="233"/>
      <c r="O92" s="234"/>
      <c r="P92" s="234"/>
      <c r="Q92" s="235"/>
      <c r="R92" s="235"/>
      <c r="S92" s="236"/>
      <c r="T92" s="236"/>
      <c r="U92" s="231"/>
      <c r="V92" s="231"/>
      <c r="W92" s="232"/>
      <c r="X92" s="232"/>
      <c r="Y92" s="233"/>
      <c r="Z92" s="233"/>
      <c r="AA92" s="234"/>
      <c r="AB92" s="234"/>
      <c r="AC92" s="235"/>
      <c r="AD92" s="235"/>
      <c r="AE92" s="236"/>
      <c r="AF92" s="236"/>
      <c r="AG92" s="67"/>
      <c r="AH92" s="68"/>
      <c r="AI92" s="69"/>
      <c r="AJ92" s="71"/>
    </row>
    <row r="93" spans="1:36" s="22" customFormat="1" x14ac:dyDescent="0.25">
      <c r="A93" s="28" t="str">
        <f>IF(H93&lt;&gt;"",MAX($A$7:A92)+1,"")</f>
        <v/>
      </c>
      <c r="B93" s="243" t="str">
        <f t="shared" si="31"/>
        <v/>
      </c>
      <c r="C93" s="96" t="str">
        <f t="shared" si="32"/>
        <v/>
      </c>
      <c r="D93" s="238"/>
      <c r="E93" s="239"/>
      <c r="F93" s="239"/>
      <c r="G93" s="240"/>
      <c r="H93" s="241"/>
      <c r="I93" s="231"/>
      <c r="J93" s="231"/>
      <c r="K93" s="232"/>
      <c r="L93" s="232"/>
      <c r="M93" s="233"/>
      <c r="N93" s="233"/>
      <c r="O93" s="234"/>
      <c r="P93" s="234"/>
      <c r="Q93" s="235"/>
      <c r="R93" s="235"/>
      <c r="S93" s="236"/>
      <c r="T93" s="236"/>
      <c r="U93" s="231"/>
      <c r="V93" s="231"/>
      <c r="W93" s="232"/>
      <c r="X93" s="232"/>
      <c r="Y93" s="233"/>
      <c r="Z93" s="233"/>
      <c r="AA93" s="234"/>
      <c r="AB93" s="234"/>
      <c r="AC93" s="235"/>
      <c r="AD93" s="235"/>
      <c r="AE93" s="236"/>
      <c r="AF93" s="236"/>
      <c r="AG93" s="67"/>
      <c r="AH93" s="68"/>
      <c r="AI93" s="69"/>
      <c r="AJ93" s="71"/>
    </row>
    <row r="94" spans="1:36" s="22" customFormat="1" x14ac:dyDescent="0.25">
      <c r="A94" s="28" t="str">
        <f>IF(H94&lt;&gt;"",MAX($A$7:A93)+1,"")</f>
        <v/>
      </c>
      <c r="B94" s="243" t="str">
        <f t="shared" si="31"/>
        <v/>
      </c>
      <c r="C94" s="96" t="str">
        <f t="shared" si="32"/>
        <v/>
      </c>
      <c r="D94" s="238"/>
      <c r="E94" s="239"/>
      <c r="F94" s="239"/>
      <c r="G94" s="240"/>
      <c r="H94" s="241"/>
      <c r="I94" s="231"/>
      <c r="J94" s="231"/>
      <c r="K94" s="232"/>
      <c r="L94" s="232"/>
      <c r="M94" s="233"/>
      <c r="N94" s="233"/>
      <c r="O94" s="234"/>
      <c r="P94" s="234"/>
      <c r="Q94" s="235"/>
      <c r="R94" s="235"/>
      <c r="S94" s="236"/>
      <c r="T94" s="236"/>
      <c r="U94" s="231"/>
      <c r="V94" s="231"/>
      <c r="W94" s="232"/>
      <c r="X94" s="232"/>
      <c r="Y94" s="233"/>
      <c r="Z94" s="233"/>
      <c r="AA94" s="234"/>
      <c r="AB94" s="234"/>
      <c r="AC94" s="235"/>
      <c r="AD94" s="235"/>
      <c r="AE94" s="236"/>
      <c r="AF94" s="236"/>
      <c r="AG94" s="67"/>
      <c r="AH94" s="68"/>
      <c r="AI94" s="69"/>
      <c r="AJ94" s="71"/>
    </row>
    <row r="95" spans="1:36" s="22" customFormat="1" x14ac:dyDescent="0.25">
      <c r="A95" s="28" t="str">
        <f>IF(H95&lt;&gt;"",MAX($A$7:A94)+1,"")</f>
        <v/>
      </c>
      <c r="B95" s="243" t="str">
        <f t="shared" si="31"/>
        <v/>
      </c>
      <c r="C95" s="96" t="str">
        <f t="shared" si="32"/>
        <v/>
      </c>
      <c r="D95" s="238"/>
      <c r="E95" s="239"/>
      <c r="F95" s="239"/>
      <c r="G95" s="240"/>
      <c r="H95" s="241"/>
      <c r="I95" s="231"/>
      <c r="J95" s="231"/>
      <c r="K95" s="232"/>
      <c r="L95" s="232"/>
      <c r="M95" s="233"/>
      <c r="N95" s="233"/>
      <c r="O95" s="234"/>
      <c r="P95" s="234"/>
      <c r="Q95" s="235"/>
      <c r="R95" s="235"/>
      <c r="S95" s="236"/>
      <c r="T95" s="236"/>
      <c r="U95" s="231"/>
      <c r="V95" s="231"/>
      <c r="W95" s="232"/>
      <c r="X95" s="232"/>
      <c r="Y95" s="233"/>
      <c r="Z95" s="233"/>
      <c r="AA95" s="234"/>
      <c r="AB95" s="234"/>
      <c r="AC95" s="235"/>
      <c r="AD95" s="235"/>
      <c r="AE95" s="236"/>
      <c r="AF95" s="236"/>
      <c r="AG95" s="67"/>
      <c r="AH95" s="68"/>
      <c r="AI95" s="69"/>
      <c r="AJ95" s="71"/>
    </row>
    <row r="96" spans="1:36" s="22" customFormat="1" x14ac:dyDescent="0.25">
      <c r="A96" s="28" t="str">
        <f>IF(H96&lt;&gt;"",MAX($A$7:A95)+1,"")</f>
        <v/>
      </c>
      <c r="B96" s="243" t="str">
        <f t="shared" si="31"/>
        <v/>
      </c>
      <c r="C96" s="96" t="str">
        <f t="shared" si="32"/>
        <v/>
      </c>
      <c r="D96" s="238"/>
      <c r="E96" s="239"/>
      <c r="F96" s="239"/>
      <c r="G96" s="240"/>
      <c r="H96" s="241"/>
      <c r="I96" s="231"/>
      <c r="J96" s="231"/>
      <c r="K96" s="232"/>
      <c r="L96" s="232"/>
      <c r="M96" s="233"/>
      <c r="N96" s="233"/>
      <c r="O96" s="234"/>
      <c r="P96" s="234"/>
      <c r="Q96" s="235"/>
      <c r="R96" s="235"/>
      <c r="S96" s="236"/>
      <c r="T96" s="236"/>
      <c r="U96" s="231"/>
      <c r="V96" s="231"/>
      <c r="W96" s="232"/>
      <c r="X96" s="232"/>
      <c r="Y96" s="233"/>
      <c r="Z96" s="233"/>
      <c r="AA96" s="234"/>
      <c r="AB96" s="234"/>
      <c r="AC96" s="235"/>
      <c r="AD96" s="235"/>
      <c r="AE96" s="236"/>
      <c r="AF96" s="236"/>
      <c r="AG96" s="67"/>
      <c r="AH96" s="68"/>
      <c r="AI96" s="69"/>
      <c r="AJ96" s="71"/>
    </row>
    <row r="97" spans="1:36" s="22" customFormat="1" x14ac:dyDescent="0.25">
      <c r="A97" s="28" t="str">
        <f>IF(H97&lt;&gt;"",MAX($A$7:A96)+1,"")</f>
        <v/>
      </c>
      <c r="B97" s="243" t="str">
        <f t="shared" si="31"/>
        <v/>
      </c>
      <c r="C97" s="96" t="str">
        <f t="shared" si="32"/>
        <v/>
      </c>
      <c r="D97" s="238"/>
      <c r="E97" s="239"/>
      <c r="F97" s="239"/>
      <c r="G97" s="240"/>
      <c r="H97" s="241"/>
      <c r="I97" s="231"/>
      <c r="J97" s="231"/>
      <c r="K97" s="232"/>
      <c r="L97" s="232"/>
      <c r="M97" s="233"/>
      <c r="N97" s="233"/>
      <c r="O97" s="234"/>
      <c r="P97" s="234"/>
      <c r="Q97" s="235"/>
      <c r="R97" s="235"/>
      <c r="S97" s="236"/>
      <c r="T97" s="236"/>
      <c r="U97" s="231"/>
      <c r="V97" s="231"/>
      <c r="W97" s="232"/>
      <c r="X97" s="232"/>
      <c r="Y97" s="233"/>
      <c r="Z97" s="233"/>
      <c r="AA97" s="234"/>
      <c r="AB97" s="234"/>
      <c r="AC97" s="235"/>
      <c r="AD97" s="235"/>
      <c r="AE97" s="236"/>
      <c r="AF97" s="236"/>
      <c r="AG97" s="67"/>
      <c r="AH97" s="68"/>
      <c r="AI97" s="69"/>
      <c r="AJ97" s="71"/>
    </row>
    <row r="98" spans="1:36" s="22" customFormat="1" x14ac:dyDescent="0.25">
      <c r="A98" s="28" t="str">
        <f>IF(H98&lt;&gt;"",MAX($A$7:A97)+1,"")</f>
        <v/>
      </c>
      <c r="B98" s="243" t="str">
        <f t="shared" si="31"/>
        <v/>
      </c>
      <c r="C98" s="96" t="str">
        <f t="shared" si="32"/>
        <v/>
      </c>
      <c r="D98" s="238"/>
      <c r="E98" s="239"/>
      <c r="F98" s="239"/>
      <c r="G98" s="240"/>
      <c r="H98" s="241"/>
      <c r="I98" s="231"/>
      <c r="J98" s="231"/>
      <c r="K98" s="232"/>
      <c r="L98" s="232"/>
      <c r="M98" s="233"/>
      <c r="N98" s="233"/>
      <c r="O98" s="234"/>
      <c r="P98" s="234"/>
      <c r="Q98" s="235"/>
      <c r="R98" s="235"/>
      <c r="S98" s="236"/>
      <c r="T98" s="236"/>
      <c r="U98" s="231"/>
      <c r="V98" s="231"/>
      <c r="W98" s="232"/>
      <c r="X98" s="232"/>
      <c r="Y98" s="233"/>
      <c r="Z98" s="233"/>
      <c r="AA98" s="234"/>
      <c r="AB98" s="234"/>
      <c r="AC98" s="235"/>
      <c r="AD98" s="235"/>
      <c r="AE98" s="236"/>
      <c r="AF98" s="236"/>
      <c r="AG98" s="67"/>
      <c r="AH98" s="68"/>
      <c r="AI98" s="69"/>
      <c r="AJ98" s="71"/>
    </row>
    <row r="99" spans="1:36" s="22" customFormat="1" x14ac:dyDescent="0.25">
      <c r="A99" s="28" t="str">
        <f>IF(H99&lt;&gt;"",MAX($A$7:A98)+1,"")</f>
        <v/>
      </c>
      <c r="B99" s="243" t="str">
        <f t="shared" si="31"/>
        <v/>
      </c>
      <c r="C99" s="96" t="str">
        <f t="shared" si="32"/>
        <v/>
      </c>
      <c r="D99" s="238"/>
      <c r="E99" s="239"/>
      <c r="F99" s="239"/>
      <c r="G99" s="240"/>
      <c r="H99" s="241"/>
      <c r="I99" s="231"/>
      <c r="J99" s="231"/>
      <c r="K99" s="232"/>
      <c r="L99" s="232"/>
      <c r="M99" s="233"/>
      <c r="N99" s="233"/>
      <c r="O99" s="234"/>
      <c r="P99" s="234"/>
      <c r="Q99" s="235"/>
      <c r="R99" s="235"/>
      <c r="S99" s="236"/>
      <c r="T99" s="236"/>
      <c r="U99" s="231"/>
      <c r="V99" s="231"/>
      <c r="W99" s="232"/>
      <c r="X99" s="232"/>
      <c r="Y99" s="233"/>
      <c r="Z99" s="233"/>
      <c r="AA99" s="234"/>
      <c r="AB99" s="234"/>
      <c r="AC99" s="235"/>
      <c r="AD99" s="235"/>
      <c r="AE99" s="236"/>
      <c r="AF99" s="236"/>
      <c r="AG99" s="67"/>
      <c r="AH99" s="68"/>
      <c r="AI99" s="69"/>
      <c r="AJ99" s="71"/>
    </row>
    <row r="100" spans="1:36" s="22" customFormat="1" x14ac:dyDescent="0.25">
      <c r="A100" s="28" t="str">
        <f>IF(H100&lt;&gt;"",MAX($A$7:A99)+1,"")</f>
        <v/>
      </c>
      <c r="B100" s="243" t="str">
        <f t="shared" si="31"/>
        <v/>
      </c>
      <c r="C100" s="96" t="str">
        <f t="shared" si="32"/>
        <v/>
      </c>
      <c r="D100" s="238"/>
      <c r="E100" s="239"/>
      <c r="F100" s="239"/>
      <c r="G100" s="240"/>
      <c r="H100" s="241"/>
      <c r="I100" s="231"/>
      <c r="J100" s="231"/>
      <c r="K100" s="232"/>
      <c r="L100" s="232"/>
      <c r="M100" s="233"/>
      <c r="N100" s="233"/>
      <c r="O100" s="234"/>
      <c r="P100" s="234"/>
      <c r="Q100" s="235"/>
      <c r="R100" s="235"/>
      <c r="S100" s="236"/>
      <c r="T100" s="236"/>
      <c r="U100" s="231"/>
      <c r="V100" s="231"/>
      <c r="W100" s="232"/>
      <c r="X100" s="232"/>
      <c r="Y100" s="233"/>
      <c r="Z100" s="233"/>
      <c r="AA100" s="234"/>
      <c r="AB100" s="234"/>
      <c r="AC100" s="235"/>
      <c r="AD100" s="235"/>
      <c r="AE100" s="236"/>
      <c r="AF100" s="236"/>
      <c r="AG100" s="67"/>
      <c r="AH100" s="68"/>
      <c r="AI100" s="69"/>
      <c r="AJ100" s="71"/>
    </row>
    <row r="101" spans="1:36" s="22" customFormat="1" x14ac:dyDescent="0.25">
      <c r="A101" s="28" t="str">
        <f>IF(H101&lt;&gt;"",MAX($A$7:A100)+1,"")</f>
        <v/>
      </c>
      <c r="B101" s="243" t="str">
        <f t="shared" si="31"/>
        <v/>
      </c>
      <c r="C101" s="96" t="str">
        <f t="shared" si="32"/>
        <v/>
      </c>
      <c r="D101" s="238"/>
      <c r="E101" s="239"/>
      <c r="F101" s="239"/>
      <c r="G101" s="240"/>
      <c r="H101" s="241"/>
      <c r="I101" s="231"/>
      <c r="J101" s="231"/>
      <c r="K101" s="232"/>
      <c r="L101" s="232"/>
      <c r="M101" s="233"/>
      <c r="N101" s="233"/>
      <c r="O101" s="234"/>
      <c r="P101" s="234"/>
      <c r="Q101" s="235"/>
      <c r="R101" s="235"/>
      <c r="S101" s="236"/>
      <c r="T101" s="236"/>
      <c r="U101" s="231"/>
      <c r="V101" s="231"/>
      <c r="W101" s="232"/>
      <c r="X101" s="232"/>
      <c r="Y101" s="233"/>
      <c r="Z101" s="233"/>
      <c r="AA101" s="234"/>
      <c r="AB101" s="234"/>
      <c r="AC101" s="235"/>
      <c r="AD101" s="235"/>
      <c r="AE101" s="236"/>
      <c r="AF101" s="236"/>
      <c r="AG101" s="67"/>
      <c r="AH101" s="68"/>
      <c r="AI101" s="69"/>
      <c r="AJ101" s="71"/>
    </row>
    <row r="102" spans="1:36" s="22" customFormat="1" x14ac:dyDescent="0.25">
      <c r="A102" s="28" t="str">
        <f>IF(H102&lt;&gt;"",MAX($A$7:A101)+1,"")</f>
        <v/>
      </c>
      <c r="B102" s="243" t="str">
        <f t="shared" si="31"/>
        <v/>
      </c>
      <c r="C102" s="96" t="str">
        <f t="shared" si="32"/>
        <v/>
      </c>
      <c r="D102" s="238"/>
      <c r="E102" s="239"/>
      <c r="F102" s="239"/>
      <c r="G102" s="240"/>
      <c r="H102" s="241"/>
      <c r="I102" s="231"/>
      <c r="J102" s="231"/>
      <c r="K102" s="232"/>
      <c r="L102" s="232"/>
      <c r="M102" s="233"/>
      <c r="N102" s="233"/>
      <c r="O102" s="234"/>
      <c r="P102" s="234"/>
      <c r="Q102" s="235"/>
      <c r="R102" s="235"/>
      <c r="S102" s="236"/>
      <c r="T102" s="236"/>
      <c r="U102" s="231"/>
      <c r="V102" s="231"/>
      <c r="W102" s="232"/>
      <c r="X102" s="232"/>
      <c r="Y102" s="233"/>
      <c r="Z102" s="233"/>
      <c r="AA102" s="234"/>
      <c r="AB102" s="234"/>
      <c r="AC102" s="235"/>
      <c r="AD102" s="235"/>
      <c r="AE102" s="236"/>
      <c r="AF102" s="236"/>
      <c r="AG102" s="67"/>
      <c r="AH102" s="68"/>
      <c r="AI102" s="69"/>
      <c r="AJ102" s="71"/>
    </row>
    <row r="103" spans="1:36" s="22" customFormat="1" x14ac:dyDescent="0.25">
      <c r="A103" s="28" t="str">
        <f>IF(H103&lt;&gt;"",MAX($A$7:A102)+1,"")</f>
        <v/>
      </c>
      <c r="B103" s="243" t="str">
        <f t="shared" si="31"/>
        <v/>
      </c>
      <c r="C103" s="96" t="str">
        <f t="shared" si="32"/>
        <v/>
      </c>
      <c r="D103" s="238"/>
      <c r="E103" s="239"/>
      <c r="F103" s="239"/>
      <c r="G103" s="240"/>
      <c r="H103" s="241"/>
      <c r="I103" s="231"/>
      <c r="J103" s="231"/>
      <c r="K103" s="232"/>
      <c r="L103" s="232"/>
      <c r="M103" s="233"/>
      <c r="N103" s="233"/>
      <c r="O103" s="234"/>
      <c r="P103" s="234"/>
      <c r="Q103" s="235"/>
      <c r="R103" s="235"/>
      <c r="S103" s="236"/>
      <c r="T103" s="236"/>
      <c r="U103" s="231"/>
      <c r="V103" s="231"/>
      <c r="W103" s="232"/>
      <c r="X103" s="232"/>
      <c r="Y103" s="233"/>
      <c r="Z103" s="233"/>
      <c r="AA103" s="234"/>
      <c r="AB103" s="234"/>
      <c r="AC103" s="235"/>
      <c r="AD103" s="235"/>
      <c r="AE103" s="236"/>
      <c r="AF103" s="236"/>
      <c r="AG103" s="67"/>
      <c r="AH103" s="68"/>
      <c r="AI103" s="69"/>
      <c r="AJ103" s="71"/>
    </row>
    <row r="104" spans="1:36" s="22" customFormat="1" x14ac:dyDescent="0.25">
      <c r="A104" s="28" t="str">
        <f>IF(H104&lt;&gt;"",MAX($A$7:A103)+1,"")</f>
        <v/>
      </c>
      <c r="B104" s="243" t="str">
        <f t="shared" si="31"/>
        <v/>
      </c>
      <c r="C104" s="96" t="str">
        <f t="shared" si="32"/>
        <v/>
      </c>
      <c r="D104" s="238"/>
      <c r="E104" s="239"/>
      <c r="F104" s="239"/>
      <c r="G104" s="240"/>
      <c r="H104" s="241"/>
      <c r="I104" s="231"/>
      <c r="J104" s="231"/>
      <c r="K104" s="232"/>
      <c r="L104" s="232"/>
      <c r="M104" s="233"/>
      <c r="N104" s="233"/>
      <c r="O104" s="234"/>
      <c r="P104" s="234"/>
      <c r="Q104" s="235"/>
      <c r="R104" s="235"/>
      <c r="S104" s="236"/>
      <c r="T104" s="236"/>
      <c r="U104" s="231"/>
      <c r="V104" s="231"/>
      <c r="W104" s="232"/>
      <c r="X104" s="232"/>
      <c r="Y104" s="233"/>
      <c r="Z104" s="233"/>
      <c r="AA104" s="234"/>
      <c r="AB104" s="234"/>
      <c r="AC104" s="235"/>
      <c r="AD104" s="235"/>
      <c r="AE104" s="236"/>
      <c r="AF104" s="236"/>
      <c r="AG104" s="67"/>
      <c r="AH104" s="68"/>
      <c r="AI104" s="69"/>
      <c r="AJ104" s="71"/>
    </row>
    <row r="105" spans="1:36" s="22" customFormat="1" x14ac:dyDescent="0.25">
      <c r="A105" s="28" t="str">
        <f>IF(H105&lt;&gt;"",MAX($A$7:A104)+1,"")</f>
        <v/>
      </c>
      <c r="B105" s="243" t="str">
        <f t="shared" si="31"/>
        <v/>
      </c>
      <c r="C105" s="96" t="str">
        <f t="shared" si="32"/>
        <v/>
      </c>
      <c r="D105" s="238"/>
      <c r="E105" s="239"/>
      <c r="F105" s="239"/>
      <c r="G105" s="240"/>
      <c r="H105" s="241"/>
      <c r="I105" s="231"/>
      <c r="J105" s="231"/>
      <c r="K105" s="232"/>
      <c r="L105" s="232"/>
      <c r="M105" s="233"/>
      <c r="N105" s="233"/>
      <c r="O105" s="234"/>
      <c r="P105" s="234"/>
      <c r="Q105" s="235"/>
      <c r="R105" s="235"/>
      <c r="S105" s="236"/>
      <c r="T105" s="236"/>
      <c r="U105" s="231"/>
      <c r="V105" s="231"/>
      <c r="W105" s="232"/>
      <c r="X105" s="232"/>
      <c r="Y105" s="233"/>
      <c r="Z105" s="233"/>
      <c r="AA105" s="234"/>
      <c r="AB105" s="234"/>
      <c r="AC105" s="235"/>
      <c r="AD105" s="235"/>
      <c r="AE105" s="236"/>
      <c r="AF105" s="236"/>
      <c r="AG105" s="67"/>
      <c r="AH105" s="68"/>
      <c r="AI105" s="69"/>
      <c r="AJ105" s="71"/>
    </row>
    <row r="106" spans="1:36" s="22" customFormat="1" x14ac:dyDescent="0.25">
      <c r="A106" s="28" t="str">
        <f>IF(H106&lt;&gt;"",MAX($A$7:A105)+1,"")</f>
        <v/>
      </c>
      <c r="B106" s="243" t="str">
        <f t="shared" si="31"/>
        <v/>
      </c>
      <c r="C106" s="96" t="str">
        <f t="shared" si="32"/>
        <v/>
      </c>
      <c r="D106" s="238"/>
      <c r="E106" s="239"/>
      <c r="F106" s="239"/>
      <c r="G106" s="240"/>
      <c r="H106" s="241"/>
      <c r="I106" s="231"/>
      <c r="J106" s="231"/>
      <c r="K106" s="232"/>
      <c r="L106" s="232"/>
      <c r="M106" s="233"/>
      <c r="N106" s="233"/>
      <c r="O106" s="234"/>
      <c r="P106" s="234"/>
      <c r="Q106" s="235"/>
      <c r="R106" s="235"/>
      <c r="S106" s="236"/>
      <c r="T106" s="236"/>
      <c r="U106" s="231"/>
      <c r="V106" s="231"/>
      <c r="W106" s="232"/>
      <c r="X106" s="232"/>
      <c r="Y106" s="233"/>
      <c r="Z106" s="233"/>
      <c r="AA106" s="234"/>
      <c r="AB106" s="234"/>
      <c r="AC106" s="235"/>
      <c r="AD106" s="235"/>
      <c r="AE106" s="236"/>
      <c r="AF106" s="236"/>
      <c r="AG106" s="67"/>
      <c r="AH106" s="68"/>
      <c r="AI106" s="69"/>
      <c r="AJ106" s="71"/>
    </row>
    <row r="107" spans="1:36" s="22" customFormat="1" x14ac:dyDescent="0.25">
      <c r="A107" s="28" t="str">
        <f>IF(H107&lt;&gt;"",MAX($A$7:A106)+1,"")</f>
        <v/>
      </c>
      <c r="B107" s="243" t="str">
        <f t="shared" si="31"/>
        <v/>
      </c>
      <c r="C107" s="96" t="str">
        <f t="shared" si="32"/>
        <v/>
      </c>
      <c r="D107" s="238"/>
      <c r="E107" s="239"/>
      <c r="F107" s="239"/>
      <c r="G107" s="240"/>
      <c r="H107" s="241"/>
      <c r="I107" s="231"/>
      <c r="J107" s="231"/>
      <c r="K107" s="232"/>
      <c r="L107" s="232"/>
      <c r="M107" s="233"/>
      <c r="N107" s="233"/>
      <c r="O107" s="234"/>
      <c r="P107" s="234"/>
      <c r="Q107" s="235"/>
      <c r="R107" s="235"/>
      <c r="S107" s="236"/>
      <c r="T107" s="236"/>
      <c r="U107" s="231"/>
      <c r="V107" s="231"/>
      <c r="W107" s="232"/>
      <c r="X107" s="232"/>
      <c r="Y107" s="233"/>
      <c r="Z107" s="233"/>
      <c r="AA107" s="234"/>
      <c r="AB107" s="234"/>
      <c r="AC107" s="235"/>
      <c r="AD107" s="235"/>
      <c r="AE107" s="236"/>
      <c r="AF107" s="236"/>
      <c r="AG107" s="67"/>
      <c r="AH107" s="68"/>
      <c r="AI107" s="69"/>
      <c r="AJ107" s="71"/>
    </row>
    <row r="108" spans="1:36" s="22" customFormat="1" x14ac:dyDescent="0.25">
      <c r="A108" s="28" t="str">
        <f>IF(H108&lt;&gt;"",MAX($A$7:A107)+1,"")</f>
        <v/>
      </c>
      <c r="B108" s="243" t="str">
        <f t="shared" si="31"/>
        <v/>
      </c>
      <c r="C108" s="96" t="str">
        <f t="shared" si="32"/>
        <v/>
      </c>
      <c r="D108" s="238"/>
      <c r="E108" s="239"/>
      <c r="F108" s="239"/>
      <c r="G108" s="240"/>
      <c r="H108" s="241"/>
      <c r="I108" s="231"/>
      <c r="J108" s="231"/>
      <c r="K108" s="232"/>
      <c r="L108" s="232"/>
      <c r="M108" s="233"/>
      <c r="N108" s="233"/>
      <c r="O108" s="234"/>
      <c r="P108" s="234"/>
      <c r="Q108" s="235"/>
      <c r="R108" s="235"/>
      <c r="S108" s="236"/>
      <c r="T108" s="236"/>
      <c r="U108" s="231"/>
      <c r="V108" s="231"/>
      <c r="W108" s="232"/>
      <c r="X108" s="232"/>
      <c r="Y108" s="233"/>
      <c r="Z108" s="233"/>
      <c r="AA108" s="234"/>
      <c r="AB108" s="234"/>
      <c r="AC108" s="235"/>
      <c r="AD108" s="235"/>
      <c r="AE108" s="236"/>
      <c r="AF108" s="236"/>
      <c r="AG108" s="67"/>
      <c r="AH108" s="68"/>
      <c r="AI108" s="69"/>
      <c r="AJ108" s="71"/>
    </row>
    <row r="109" spans="1:36" s="22" customFormat="1" x14ac:dyDescent="0.25">
      <c r="A109" s="28" t="str">
        <f>IF(H109&lt;&gt;"",MAX($A$7:A108)+1,"")</f>
        <v/>
      </c>
      <c r="B109" s="243" t="str">
        <f t="shared" si="31"/>
        <v/>
      </c>
      <c r="C109" s="96" t="str">
        <f t="shared" si="32"/>
        <v/>
      </c>
      <c r="D109" s="238"/>
      <c r="E109" s="239"/>
      <c r="F109" s="239"/>
      <c r="G109" s="240"/>
      <c r="H109" s="241"/>
      <c r="I109" s="231"/>
      <c r="J109" s="231"/>
      <c r="K109" s="232"/>
      <c r="L109" s="232"/>
      <c r="M109" s="233"/>
      <c r="N109" s="233"/>
      <c r="O109" s="234"/>
      <c r="P109" s="234"/>
      <c r="Q109" s="235"/>
      <c r="R109" s="235"/>
      <c r="S109" s="236"/>
      <c r="T109" s="236"/>
      <c r="U109" s="231"/>
      <c r="V109" s="231"/>
      <c r="W109" s="232"/>
      <c r="X109" s="232"/>
      <c r="Y109" s="233"/>
      <c r="Z109" s="233"/>
      <c r="AA109" s="234"/>
      <c r="AB109" s="234"/>
      <c r="AC109" s="235"/>
      <c r="AD109" s="235"/>
      <c r="AE109" s="236"/>
      <c r="AF109" s="236"/>
      <c r="AG109" s="67"/>
      <c r="AH109" s="68"/>
      <c r="AI109" s="69"/>
      <c r="AJ109" s="71"/>
    </row>
    <row r="110" spans="1:36" s="22" customFormat="1" x14ac:dyDescent="0.25">
      <c r="A110" s="28" t="str">
        <f>IF(H110&lt;&gt;"",MAX($A$7:A109)+1,"")</f>
        <v/>
      </c>
      <c r="B110" s="243" t="str">
        <f t="shared" si="31"/>
        <v/>
      </c>
      <c r="C110" s="96" t="str">
        <f t="shared" si="32"/>
        <v/>
      </c>
      <c r="D110" s="238"/>
      <c r="E110" s="239"/>
      <c r="F110" s="239"/>
      <c r="G110" s="240"/>
      <c r="H110" s="241"/>
      <c r="I110" s="231"/>
      <c r="J110" s="231"/>
      <c r="K110" s="232"/>
      <c r="L110" s="232"/>
      <c r="M110" s="233"/>
      <c r="N110" s="233"/>
      <c r="O110" s="234"/>
      <c r="P110" s="234"/>
      <c r="Q110" s="235"/>
      <c r="R110" s="235"/>
      <c r="S110" s="236"/>
      <c r="T110" s="236"/>
      <c r="U110" s="231"/>
      <c r="V110" s="231"/>
      <c r="W110" s="232"/>
      <c r="X110" s="232"/>
      <c r="Y110" s="233"/>
      <c r="Z110" s="233"/>
      <c r="AA110" s="234"/>
      <c r="AB110" s="234"/>
      <c r="AC110" s="235"/>
      <c r="AD110" s="235"/>
      <c r="AE110" s="236"/>
      <c r="AF110" s="236"/>
      <c r="AG110" s="67"/>
      <c r="AH110" s="68"/>
      <c r="AI110" s="69"/>
      <c r="AJ110" s="71"/>
    </row>
    <row r="111" spans="1:36" s="22" customFormat="1" x14ac:dyDescent="0.25">
      <c r="A111" s="28" t="str">
        <f>IF(H111&lt;&gt;"",MAX($A$7:A110)+1,"")</f>
        <v/>
      </c>
      <c r="B111" s="243" t="str">
        <f t="shared" si="31"/>
        <v/>
      </c>
      <c r="C111" s="96" t="str">
        <f t="shared" si="32"/>
        <v/>
      </c>
      <c r="D111" s="238"/>
      <c r="E111" s="239"/>
      <c r="F111" s="239"/>
      <c r="G111" s="240"/>
      <c r="H111" s="241"/>
      <c r="I111" s="231"/>
      <c r="J111" s="231"/>
      <c r="K111" s="232"/>
      <c r="L111" s="232"/>
      <c r="M111" s="233"/>
      <c r="N111" s="233"/>
      <c r="O111" s="234"/>
      <c r="P111" s="234"/>
      <c r="Q111" s="235"/>
      <c r="R111" s="235"/>
      <c r="S111" s="236"/>
      <c r="T111" s="236"/>
      <c r="U111" s="231"/>
      <c r="V111" s="231"/>
      <c r="W111" s="232"/>
      <c r="X111" s="232"/>
      <c r="Y111" s="233"/>
      <c r="Z111" s="233"/>
      <c r="AA111" s="234"/>
      <c r="AB111" s="234"/>
      <c r="AC111" s="235"/>
      <c r="AD111" s="235"/>
      <c r="AE111" s="236"/>
      <c r="AF111" s="236"/>
      <c r="AG111" s="67"/>
      <c r="AH111" s="68"/>
      <c r="AI111" s="69"/>
      <c r="AJ111" s="71"/>
    </row>
    <row r="112" spans="1:36" s="22" customFormat="1" x14ac:dyDescent="0.25">
      <c r="A112" s="28" t="str">
        <f>IF(H112&lt;&gt;"",MAX($A$7:A111)+1,"")</f>
        <v/>
      </c>
      <c r="B112" s="243" t="str">
        <f t="shared" si="31"/>
        <v/>
      </c>
      <c r="C112" s="96" t="str">
        <f t="shared" si="32"/>
        <v/>
      </c>
      <c r="D112" s="238"/>
      <c r="E112" s="239"/>
      <c r="F112" s="239"/>
      <c r="G112" s="240"/>
      <c r="H112" s="241"/>
      <c r="I112" s="231"/>
      <c r="J112" s="231"/>
      <c r="K112" s="232"/>
      <c r="L112" s="232"/>
      <c r="M112" s="233"/>
      <c r="N112" s="233"/>
      <c r="O112" s="234"/>
      <c r="P112" s="234"/>
      <c r="Q112" s="235"/>
      <c r="R112" s="235"/>
      <c r="S112" s="236"/>
      <c r="T112" s="236"/>
      <c r="U112" s="231"/>
      <c r="V112" s="231"/>
      <c r="W112" s="232"/>
      <c r="X112" s="232"/>
      <c r="Y112" s="233"/>
      <c r="Z112" s="233"/>
      <c r="AA112" s="234"/>
      <c r="AB112" s="234"/>
      <c r="AC112" s="235"/>
      <c r="AD112" s="235"/>
      <c r="AE112" s="236"/>
      <c r="AF112" s="236"/>
      <c r="AG112" s="67"/>
      <c r="AH112" s="68"/>
      <c r="AI112" s="69"/>
      <c r="AJ112" s="71"/>
    </row>
    <row r="113" spans="1:36" s="22" customFormat="1" x14ac:dyDescent="0.25">
      <c r="A113" s="28" t="str">
        <f>IF(H113&lt;&gt;"",MAX($A$7:A112)+1,"")</f>
        <v/>
      </c>
      <c r="B113" s="243" t="str">
        <f t="shared" si="31"/>
        <v/>
      </c>
      <c r="C113" s="96" t="str">
        <f t="shared" si="32"/>
        <v/>
      </c>
      <c r="D113" s="238"/>
      <c r="E113" s="239"/>
      <c r="F113" s="239"/>
      <c r="G113" s="240"/>
      <c r="H113" s="241"/>
      <c r="I113" s="231"/>
      <c r="J113" s="231"/>
      <c r="K113" s="232"/>
      <c r="L113" s="232"/>
      <c r="M113" s="233"/>
      <c r="N113" s="233"/>
      <c r="O113" s="234"/>
      <c r="P113" s="234"/>
      <c r="Q113" s="235"/>
      <c r="R113" s="235"/>
      <c r="S113" s="236"/>
      <c r="T113" s="236"/>
      <c r="U113" s="231"/>
      <c r="V113" s="231"/>
      <c r="W113" s="232"/>
      <c r="X113" s="232"/>
      <c r="Y113" s="233"/>
      <c r="Z113" s="233"/>
      <c r="AA113" s="234"/>
      <c r="AB113" s="234"/>
      <c r="AC113" s="235"/>
      <c r="AD113" s="235"/>
      <c r="AE113" s="236"/>
      <c r="AF113" s="236"/>
      <c r="AG113" s="67"/>
      <c r="AH113" s="68"/>
      <c r="AI113" s="69"/>
      <c r="AJ113" s="71"/>
    </row>
    <row r="114" spans="1:36" s="22" customFormat="1" x14ac:dyDescent="0.25">
      <c r="A114" s="28" t="str">
        <f>IF(H114&lt;&gt;"",MAX($A$7:A113)+1,"")</f>
        <v/>
      </c>
      <c r="B114" s="243" t="str">
        <f t="shared" si="31"/>
        <v/>
      </c>
      <c r="C114" s="96" t="str">
        <f t="shared" si="32"/>
        <v/>
      </c>
      <c r="D114" s="238"/>
      <c r="E114" s="239"/>
      <c r="F114" s="239"/>
      <c r="G114" s="240"/>
      <c r="H114" s="241"/>
      <c r="I114" s="231"/>
      <c r="J114" s="231"/>
      <c r="K114" s="232"/>
      <c r="L114" s="232"/>
      <c r="M114" s="233"/>
      <c r="N114" s="233"/>
      <c r="O114" s="234"/>
      <c r="P114" s="234"/>
      <c r="Q114" s="235"/>
      <c r="R114" s="235"/>
      <c r="S114" s="236"/>
      <c r="T114" s="236"/>
      <c r="U114" s="231"/>
      <c r="V114" s="231"/>
      <c r="W114" s="232"/>
      <c r="X114" s="232"/>
      <c r="Y114" s="233"/>
      <c r="Z114" s="233"/>
      <c r="AA114" s="234"/>
      <c r="AB114" s="234"/>
      <c r="AC114" s="235"/>
      <c r="AD114" s="235"/>
      <c r="AE114" s="236"/>
      <c r="AF114" s="236"/>
      <c r="AG114" s="67"/>
      <c r="AH114" s="68"/>
      <c r="AI114" s="69"/>
      <c r="AJ114" s="71"/>
    </row>
    <row r="115" spans="1:36" s="22" customFormat="1" x14ac:dyDescent="0.25">
      <c r="A115" s="28" t="str">
        <f>IF(H115&lt;&gt;"",MAX($A$7:A114)+1,"")</f>
        <v/>
      </c>
      <c r="B115" s="243" t="str">
        <f t="shared" si="31"/>
        <v/>
      </c>
      <c r="C115" s="96" t="str">
        <f t="shared" si="32"/>
        <v/>
      </c>
      <c r="D115" s="238"/>
      <c r="E115" s="239"/>
      <c r="F115" s="239"/>
      <c r="G115" s="240"/>
      <c r="H115" s="241"/>
      <c r="I115" s="231"/>
      <c r="J115" s="231"/>
      <c r="K115" s="232"/>
      <c r="L115" s="232"/>
      <c r="M115" s="233"/>
      <c r="N115" s="233"/>
      <c r="O115" s="234"/>
      <c r="P115" s="234"/>
      <c r="Q115" s="235"/>
      <c r="R115" s="235"/>
      <c r="S115" s="236"/>
      <c r="T115" s="236"/>
      <c r="U115" s="231"/>
      <c r="V115" s="231"/>
      <c r="W115" s="232"/>
      <c r="X115" s="232"/>
      <c r="Y115" s="233"/>
      <c r="Z115" s="233"/>
      <c r="AA115" s="234"/>
      <c r="AB115" s="234"/>
      <c r="AC115" s="235"/>
      <c r="AD115" s="235"/>
      <c r="AE115" s="236"/>
      <c r="AF115" s="236"/>
      <c r="AG115" s="67"/>
      <c r="AH115" s="68"/>
      <c r="AI115" s="69"/>
      <c r="AJ115" s="71"/>
    </row>
    <row r="116" spans="1:36" s="22" customFormat="1" x14ac:dyDescent="0.25">
      <c r="A116" s="28" t="str">
        <f>IF(H116&lt;&gt;"",MAX($A$7:A115)+1,"")</f>
        <v/>
      </c>
      <c r="B116" s="243" t="str">
        <f t="shared" si="31"/>
        <v/>
      </c>
      <c r="C116" s="96" t="str">
        <f t="shared" si="32"/>
        <v/>
      </c>
      <c r="D116" s="238"/>
      <c r="E116" s="239"/>
      <c r="F116" s="239"/>
      <c r="G116" s="240"/>
      <c r="H116" s="241"/>
      <c r="I116" s="231"/>
      <c r="J116" s="231"/>
      <c r="K116" s="232"/>
      <c r="L116" s="232"/>
      <c r="M116" s="233"/>
      <c r="N116" s="233"/>
      <c r="O116" s="234"/>
      <c r="P116" s="234"/>
      <c r="Q116" s="235"/>
      <c r="R116" s="235"/>
      <c r="S116" s="236"/>
      <c r="T116" s="236"/>
      <c r="U116" s="231"/>
      <c r="V116" s="231"/>
      <c r="W116" s="232"/>
      <c r="X116" s="232"/>
      <c r="Y116" s="233"/>
      <c r="Z116" s="233"/>
      <c r="AA116" s="234"/>
      <c r="AB116" s="234"/>
      <c r="AC116" s="235"/>
      <c r="AD116" s="235"/>
      <c r="AE116" s="236"/>
      <c r="AF116" s="236"/>
      <c r="AG116" s="67"/>
      <c r="AH116" s="68"/>
      <c r="AI116" s="69"/>
      <c r="AJ116" s="71"/>
    </row>
    <row r="117" spans="1:36" s="22" customFormat="1" x14ac:dyDescent="0.25">
      <c r="A117" s="28" t="str">
        <f>IF(H117&lt;&gt;"",MAX($A$7:A116)+1,"")</f>
        <v/>
      </c>
      <c r="B117" s="243" t="str">
        <f t="shared" si="31"/>
        <v/>
      </c>
      <c r="C117" s="96" t="str">
        <f t="shared" si="32"/>
        <v/>
      </c>
      <c r="D117" s="238"/>
      <c r="E117" s="239"/>
      <c r="F117" s="239"/>
      <c r="G117" s="240"/>
      <c r="H117" s="241"/>
      <c r="I117" s="231"/>
      <c r="J117" s="231"/>
      <c r="K117" s="232"/>
      <c r="L117" s="232"/>
      <c r="M117" s="233"/>
      <c r="N117" s="233"/>
      <c r="O117" s="234"/>
      <c r="P117" s="234"/>
      <c r="Q117" s="235"/>
      <c r="R117" s="235"/>
      <c r="S117" s="236"/>
      <c r="T117" s="236"/>
      <c r="U117" s="231"/>
      <c r="V117" s="231"/>
      <c r="W117" s="232"/>
      <c r="X117" s="232"/>
      <c r="Y117" s="233"/>
      <c r="Z117" s="233"/>
      <c r="AA117" s="234"/>
      <c r="AB117" s="234"/>
      <c r="AC117" s="235"/>
      <c r="AD117" s="235"/>
      <c r="AE117" s="236"/>
      <c r="AF117" s="236"/>
      <c r="AG117" s="67"/>
      <c r="AH117" s="68"/>
      <c r="AI117" s="69"/>
      <c r="AJ117" s="71"/>
    </row>
    <row r="118" spans="1:36" s="22" customFormat="1" x14ac:dyDescent="0.25">
      <c r="A118" s="28" t="str">
        <f>IF(H118&lt;&gt;"",MAX($A$7:A117)+1,"")</f>
        <v/>
      </c>
      <c r="B118" s="243" t="str">
        <f t="shared" si="31"/>
        <v/>
      </c>
      <c r="C118" s="96" t="str">
        <f t="shared" si="32"/>
        <v/>
      </c>
      <c r="D118" s="238"/>
      <c r="E118" s="239"/>
      <c r="F118" s="239"/>
      <c r="G118" s="240"/>
      <c r="H118" s="241"/>
      <c r="I118" s="231"/>
      <c r="J118" s="231"/>
      <c r="K118" s="232"/>
      <c r="L118" s="232"/>
      <c r="M118" s="233"/>
      <c r="N118" s="233"/>
      <c r="O118" s="234"/>
      <c r="P118" s="234"/>
      <c r="Q118" s="235"/>
      <c r="R118" s="235"/>
      <c r="S118" s="236"/>
      <c r="T118" s="236"/>
      <c r="U118" s="231"/>
      <c r="V118" s="231"/>
      <c r="W118" s="232"/>
      <c r="X118" s="232"/>
      <c r="Y118" s="233"/>
      <c r="Z118" s="233"/>
      <c r="AA118" s="234"/>
      <c r="AB118" s="234"/>
      <c r="AC118" s="235"/>
      <c r="AD118" s="235"/>
      <c r="AE118" s="236"/>
      <c r="AF118" s="236"/>
      <c r="AG118" s="67"/>
      <c r="AH118" s="68"/>
      <c r="AI118" s="69"/>
      <c r="AJ118" s="71"/>
    </row>
    <row r="119" spans="1:36" s="22" customFormat="1" x14ac:dyDescent="0.25">
      <c r="A119" s="28" t="str">
        <f>IF(H119&lt;&gt;"",MAX($A$7:A118)+1,"")</f>
        <v/>
      </c>
      <c r="B119" s="243" t="str">
        <f t="shared" si="31"/>
        <v/>
      </c>
      <c r="C119" s="96" t="str">
        <f t="shared" si="32"/>
        <v/>
      </c>
      <c r="D119" s="238"/>
      <c r="E119" s="239"/>
      <c r="F119" s="239"/>
      <c r="G119" s="240"/>
      <c r="H119" s="241"/>
      <c r="I119" s="231"/>
      <c r="J119" s="231"/>
      <c r="K119" s="232"/>
      <c r="L119" s="232"/>
      <c r="M119" s="233"/>
      <c r="N119" s="233"/>
      <c r="O119" s="234"/>
      <c r="P119" s="234"/>
      <c r="Q119" s="235"/>
      <c r="R119" s="235"/>
      <c r="S119" s="236"/>
      <c r="T119" s="236"/>
      <c r="U119" s="231"/>
      <c r="V119" s="231"/>
      <c r="W119" s="232"/>
      <c r="X119" s="232"/>
      <c r="Y119" s="233"/>
      <c r="Z119" s="233"/>
      <c r="AA119" s="234"/>
      <c r="AB119" s="234"/>
      <c r="AC119" s="235"/>
      <c r="AD119" s="235"/>
      <c r="AE119" s="236"/>
      <c r="AF119" s="236"/>
      <c r="AG119" s="67"/>
      <c r="AH119" s="68"/>
      <c r="AI119" s="69"/>
      <c r="AJ119" s="71"/>
    </row>
    <row r="120" spans="1:36" s="22" customFormat="1" x14ac:dyDescent="0.25">
      <c r="A120" s="28" t="str">
        <f>IF(H120&lt;&gt;"",MAX($A$7:A119)+1,"")</f>
        <v/>
      </c>
      <c r="B120" s="243" t="str">
        <f t="shared" si="31"/>
        <v/>
      </c>
      <c r="C120" s="96" t="str">
        <f t="shared" si="32"/>
        <v/>
      </c>
      <c r="D120" s="238"/>
      <c r="E120" s="239"/>
      <c r="F120" s="239"/>
      <c r="G120" s="240"/>
      <c r="H120" s="241"/>
      <c r="I120" s="231"/>
      <c r="J120" s="231"/>
      <c r="K120" s="232"/>
      <c r="L120" s="232"/>
      <c r="M120" s="233"/>
      <c r="N120" s="233"/>
      <c r="O120" s="234"/>
      <c r="P120" s="234"/>
      <c r="Q120" s="235"/>
      <c r="R120" s="235"/>
      <c r="S120" s="236"/>
      <c r="T120" s="236"/>
      <c r="U120" s="231"/>
      <c r="V120" s="231"/>
      <c r="W120" s="232"/>
      <c r="X120" s="232"/>
      <c r="Y120" s="233"/>
      <c r="Z120" s="233"/>
      <c r="AA120" s="234"/>
      <c r="AB120" s="234"/>
      <c r="AC120" s="235"/>
      <c r="AD120" s="235"/>
      <c r="AE120" s="236"/>
      <c r="AF120" s="236"/>
      <c r="AG120" s="67"/>
      <c r="AH120" s="68"/>
      <c r="AI120" s="69"/>
      <c r="AJ120" s="71"/>
    </row>
    <row r="121" spans="1:36" s="22" customFormat="1" x14ac:dyDescent="0.25">
      <c r="A121" s="28" t="str">
        <f>IF(H121&lt;&gt;"",MAX($A$7:A120)+1,"")</f>
        <v/>
      </c>
      <c r="B121" s="243" t="str">
        <f t="shared" si="31"/>
        <v/>
      </c>
      <c r="C121" s="96" t="str">
        <f t="shared" si="32"/>
        <v/>
      </c>
      <c r="D121" s="238"/>
      <c r="E121" s="239"/>
      <c r="F121" s="239"/>
      <c r="G121" s="240"/>
      <c r="H121" s="241"/>
      <c r="I121" s="231"/>
      <c r="J121" s="231"/>
      <c r="K121" s="232"/>
      <c r="L121" s="232"/>
      <c r="M121" s="233"/>
      <c r="N121" s="233"/>
      <c r="O121" s="234"/>
      <c r="P121" s="234"/>
      <c r="Q121" s="235"/>
      <c r="R121" s="235"/>
      <c r="S121" s="236"/>
      <c r="T121" s="236"/>
      <c r="U121" s="231"/>
      <c r="V121" s="231"/>
      <c r="W121" s="232"/>
      <c r="X121" s="232"/>
      <c r="Y121" s="233"/>
      <c r="Z121" s="233"/>
      <c r="AA121" s="234"/>
      <c r="AB121" s="234"/>
      <c r="AC121" s="235"/>
      <c r="AD121" s="235"/>
      <c r="AE121" s="236"/>
      <c r="AF121" s="236"/>
      <c r="AG121" s="67"/>
      <c r="AH121" s="68"/>
      <c r="AI121" s="69"/>
      <c r="AJ121" s="71"/>
    </row>
    <row r="122" spans="1:36" s="22" customFormat="1" x14ac:dyDescent="0.25">
      <c r="A122" s="28" t="str">
        <f>IF(H122&lt;&gt;"",MAX($A$7:A121)+1,"")</f>
        <v/>
      </c>
      <c r="B122" s="243" t="str">
        <f t="shared" si="31"/>
        <v/>
      </c>
      <c r="C122" s="96" t="str">
        <f t="shared" si="32"/>
        <v/>
      </c>
      <c r="D122" s="238"/>
      <c r="E122" s="239"/>
      <c r="F122" s="239"/>
      <c r="G122" s="240"/>
      <c r="H122" s="241"/>
      <c r="I122" s="231"/>
      <c r="J122" s="231"/>
      <c r="K122" s="232"/>
      <c r="L122" s="232"/>
      <c r="M122" s="233"/>
      <c r="N122" s="233"/>
      <c r="O122" s="234"/>
      <c r="P122" s="234"/>
      <c r="Q122" s="235"/>
      <c r="R122" s="235"/>
      <c r="S122" s="236"/>
      <c r="T122" s="236"/>
      <c r="U122" s="231"/>
      <c r="V122" s="231"/>
      <c r="W122" s="232"/>
      <c r="X122" s="232"/>
      <c r="Y122" s="233"/>
      <c r="Z122" s="233"/>
      <c r="AA122" s="234"/>
      <c r="AB122" s="234"/>
      <c r="AC122" s="235"/>
      <c r="AD122" s="235"/>
      <c r="AE122" s="236"/>
      <c r="AF122" s="236"/>
      <c r="AG122" s="67"/>
      <c r="AH122" s="68"/>
      <c r="AI122" s="69"/>
      <c r="AJ122" s="71"/>
    </row>
    <row r="123" spans="1:36" s="22" customFormat="1" x14ac:dyDescent="0.25">
      <c r="A123" s="28" t="str">
        <f>IF(H123&lt;&gt;"",MAX($A$7:A122)+1,"")</f>
        <v/>
      </c>
      <c r="B123" s="243" t="str">
        <f t="shared" si="31"/>
        <v/>
      </c>
      <c r="C123" s="96" t="str">
        <f t="shared" si="32"/>
        <v/>
      </c>
      <c r="D123" s="238"/>
      <c r="E123" s="239"/>
      <c r="F123" s="239"/>
      <c r="G123" s="240"/>
      <c r="H123" s="241"/>
      <c r="I123" s="231"/>
      <c r="J123" s="231"/>
      <c r="K123" s="232"/>
      <c r="L123" s="232"/>
      <c r="M123" s="233"/>
      <c r="N123" s="233"/>
      <c r="O123" s="234"/>
      <c r="P123" s="234"/>
      <c r="Q123" s="235"/>
      <c r="R123" s="235"/>
      <c r="S123" s="236"/>
      <c r="T123" s="236"/>
      <c r="U123" s="231"/>
      <c r="V123" s="231"/>
      <c r="W123" s="232"/>
      <c r="X123" s="232"/>
      <c r="Y123" s="233"/>
      <c r="Z123" s="233"/>
      <c r="AA123" s="234"/>
      <c r="AB123" s="234"/>
      <c r="AC123" s="235"/>
      <c r="AD123" s="235"/>
      <c r="AE123" s="236"/>
      <c r="AF123" s="236"/>
      <c r="AG123" s="67"/>
      <c r="AH123" s="68"/>
      <c r="AI123" s="69"/>
      <c r="AJ123" s="71"/>
    </row>
    <row r="124" spans="1:36" s="22" customFormat="1" x14ac:dyDescent="0.25">
      <c r="A124" s="28" t="str">
        <f>IF(H124&lt;&gt;"",MAX($A$7:A123)+1,"")</f>
        <v/>
      </c>
      <c r="B124" s="243" t="str">
        <f t="shared" si="31"/>
        <v/>
      </c>
      <c r="C124" s="96" t="str">
        <f t="shared" si="32"/>
        <v/>
      </c>
      <c r="D124" s="238"/>
      <c r="E124" s="239"/>
      <c r="F124" s="239"/>
      <c r="G124" s="240"/>
      <c r="H124" s="241"/>
      <c r="I124" s="231"/>
      <c r="J124" s="231"/>
      <c r="K124" s="232"/>
      <c r="L124" s="232"/>
      <c r="M124" s="233"/>
      <c r="N124" s="233"/>
      <c r="O124" s="234"/>
      <c r="P124" s="234"/>
      <c r="Q124" s="235"/>
      <c r="R124" s="235"/>
      <c r="S124" s="236"/>
      <c r="T124" s="236"/>
      <c r="U124" s="231"/>
      <c r="V124" s="231"/>
      <c r="W124" s="232"/>
      <c r="X124" s="232"/>
      <c r="Y124" s="233"/>
      <c r="Z124" s="233"/>
      <c r="AA124" s="234"/>
      <c r="AB124" s="234"/>
      <c r="AC124" s="235"/>
      <c r="AD124" s="235"/>
      <c r="AE124" s="236"/>
      <c r="AF124" s="236"/>
      <c r="AG124" s="67"/>
      <c r="AH124" s="68"/>
      <c r="AI124" s="69"/>
      <c r="AJ124" s="71"/>
    </row>
    <row r="125" spans="1:36" s="22" customFormat="1" x14ac:dyDescent="0.25">
      <c r="A125" s="28" t="str">
        <f>IF(H125&lt;&gt;"",MAX($A$7:A124)+1,"")</f>
        <v/>
      </c>
      <c r="B125" s="243" t="str">
        <f t="shared" si="31"/>
        <v/>
      </c>
      <c r="C125" s="96" t="str">
        <f t="shared" si="32"/>
        <v/>
      </c>
      <c r="D125" s="238"/>
      <c r="E125" s="239"/>
      <c r="F125" s="239"/>
      <c r="G125" s="240"/>
      <c r="H125" s="241"/>
      <c r="I125" s="231"/>
      <c r="J125" s="231"/>
      <c r="K125" s="232"/>
      <c r="L125" s="232"/>
      <c r="M125" s="233"/>
      <c r="N125" s="233"/>
      <c r="O125" s="234"/>
      <c r="P125" s="234"/>
      <c r="Q125" s="235"/>
      <c r="R125" s="235"/>
      <c r="S125" s="236"/>
      <c r="T125" s="236"/>
      <c r="U125" s="231"/>
      <c r="V125" s="231"/>
      <c r="W125" s="232"/>
      <c r="X125" s="232"/>
      <c r="Y125" s="233"/>
      <c r="Z125" s="233"/>
      <c r="AA125" s="234"/>
      <c r="AB125" s="234"/>
      <c r="AC125" s="235"/>
      <c r="AD125" s="235"/>
      <c r="AE125" s="236"/>
      <c r="AF125" s="236"/>
      <c r="AG125" s="67"/>
      <c r="AH125" s="68"/>
      <c r="AI125" s="69"/>
      <c r="AJ125" s="71"/>
    </row>
    <row r="126" spans="1:36" s="22" customFormat="1" x14ac:dyDescent="0.25">
      <c r="A126" s="28" t="str">
        <f>IF(H126&lt;&gt;"",MAX($A$7:A125)+1,"")</f>
        <v/>
      </c>
      <c r="B126" s="243" t="str">
        <f t="shared" si="31"/>
        <v/>
      </c>
      <c r="C126" s="96" t="str">
        <f t="shared" si="32"/>
        <v/>
      </c>
      <c r="D126" s="238"/>
      <c r="E126" s="239"/>
      <c r="F126" s="239"/>
      <c r="G126" s="240"/>
      <c r="H126" s="241"/>
      <c r="I126" s="231"/>
      <c r="J126" s="231"/>
      <c r="K126" s="232"/>
      <c r="L126" s="232"/>
      <c r="M126" s="233"/>
      <c r="N126" s="233"/>
      <c r="O126" s="234"/>
      <c r="P126" s="234"/>
      <c r="Q126" s="235"/>
      <c r="R126" s="235"/>
      <c r="S126" s="236"/>
      <c r="T126" s="236"/>
      <c r="U126" s="231"/>
      <c r="V126" s="231"/>
      <c r="W126" s="232"/>
      <c r="X126" s="232"/>
      <c r="Y126" s="233"/>
      <c r="Z126" s="233"/>
      <c r="AA126" s="234"/>
      <c r="AB126" s="234"/>
      <c r="AC126" s="235"/>
      <c r="AD126" s="235"/>
      <c r="AE126" s="236"/>
      <c r="AF126" s="236"/>
      <c r="AG126" s="67"/>
      <c r="AH126" s="68"/>
      <c r="AI126" s="69"/>
      <c r="AJ126" s="71"/>
    </row>
    <row r="127" spans="1:36" s="22" customFormat="1" x14ac:dyDescent="0.25">
      <c r="A127" s="28" t="str">
        <f>IF(H127&lt;&gt;"",MAX($A$7:A126)+1,"")</f>
        <v/>
      </c>
      <c r="B127" s="243" t="str">
        <f t="shared" si="31"/>
        <v/>
      </c>
      <c r="C127" s="96" t="str">
        <f t="shared" si="32"/>
        <v/>
      </c>
      <c r="D127" s="238"/>
      <c r="E127" s="239"/>
      <c r="F127" s="239"/>
      <c r="G127" s="240"/>
      <c r="H127" s="241"/>
      <c r="I127" s="231"/>
      <c r="J127" s="231"/>
      <c r="K127" s="232"/>
      <c r="L127" s="232"/>
      <c r="M127" s="233"/>
      <c r="N127" s="233"/>
      <c r="O127" s="234"/>
      <c r="P127" s="234"/>
      <c r="Q127" s="235"/>
      <c r="R127" s="235"/>
      <c r="S127" s="236"/>
      <c r="T127" s="236"/>
      <c r="U127" s="231"/>
      <c r="V127" s="231"/>
      <c r="W127" s="232"/>
      <c r="X127" s="232"/>
      <c r="Y127" s="233"/>
      <c r="Z127" s="233"/>
      <c r="AA127" s="234"/>
      <c r="AB127" s="234"/>
      <c r="AC127" s="235"/>
      <c r="AD127" s="235"/>
      <c r="AE127" s="236"/>
      <c r="AF127" s="236"/>
      <c r="AG127" s="67"/>
      <c r="AH127" s="68"/>
      <c r="AI127" s="69"/>
      <c r="AJ127" s="71"/>
    </row>
    <row r="128" spans="1:36" s="22" customFormat="1" x14ac:dyDescent="0.25">
      <c r="A128" s="28" t="str">
        <f>IF(H128&lt;&gt;"",MAX($A$7:A127)+1,"")</f>
        <v/>
      </c>
      <c r="B128" s="243" t="str">
        <f t="shared" si="31"/>
        <v/>
      </c>
      <c r="C128" s="96" t="str">
        <f t="shared" si="32"/>
        <v/>
      </c>
      <c r="D128" s="238"/>
      <c r="E128" s="239"/>
      <c r="F128" s="239"/>
      <c r="G128" s="240"/>
      <c r="H128" s="241"/>
      <c r="I128" s="231"/>
      <c r="J128" s="231"/>
      <c r="K128" s="232"/>
      <c r="L128" s="232"/>
      <c r="M128" s="233"/>
      <c r="N128" s="233"/>
      <c r="O128" s="234"/>
      <c r="P128" s="234"/>
      <c r="Q128" s="235"/>
      <c r="R128" s="235"/>
      <c r="S128" s="236"/>
      <c r="T128" s="236"/>
      <c r="U128" s="231"/>
      <c r="V128" s="231"/>
      <c r="W128" s="232"/>
      <c r="X128" s="232"/>
      <c r="Y128" s="233"/>
      <c r="Z128" s="233"/>
      <c r="AA128" s="234"/>
      <c r="AB128" s="234"/>
      <c r="AC128" s="235"/>
      <c r="AD128" s="235"/>
      <c r="AE128" s="236"/>
      <c r="AF128" s="236"/>
      <c r="AG128" s="67"/>
      <c r="AH128" s="68"/>
      <c r="AI128" s="69"/>
      <c r="AJ128" s="71"/>
    </row>
    <row r="129" spans="1:36" s="22" customFormat="1" x14ac:dyDescent="0.25">
      <c r="A129" s="28" t="str">
        <f>IF(H129&lt;&gt;"",MAX($A$7:A128)+1,"")</f>
        <v/>
      </c>
      <c r="B129" s="243" t="str">
        <f t="shared" si="31"/>
        <v/>
      </c>
      <c r="C129" s="96" t="str">
        <f t="shared" si="32"/>
        <v/>
      </c>
      <c r="D129" s="238"/>
      <c r="E129" s="239"/>
      <c r="F129" s="239"/>
      <c r="G129" s="240"/>
      <c r="H129" s="241"/>
      <c r="I129" s="231"/>
      <c r="J129" s="231"/>
      <c r="K129" s="232"/>
      <c r="L129" s="232"/>
      <c r="M129" s="233"/>
      <c r="N129" s="233"/>
      <c r="O129" s="234"/>
      <c r="P129" s="234"/>
      <c r="Q129" s="235"/>
      <c r="R129" s="235"/>
      <c r="S129" s="236"/>
      <c r="T129" s="236"/>
      <c r="U129" s="231"/>
      <c r="V129" s="231"/>
      <c r="W129" s="232"/>
      <c r="X129" s="232"/>
      <c r="Y129" s="233"/>
      <c r="Z129" s="233"/>
      <c r="AA129" s="234"/>
      <c r="AB129" s="234"/>
      <c r="AC129" s="235"/>
      <c r="AD129" s="235"/>
      <c r="AE129" s="236"/>
      <c r="AF129" s="236"/>
      <c r="AG129" s="67"/>
      <c r="AH129" s="68"/>
      <c r="AI129" s="69"/>
      <c r="AJ129" s="71"/>
    </row>
    <row r="130" spans="1:36" s="22" customFormat="1" x14ac:dyDescent="0.25">
      <c r="A130" s="28" t="str">
        <f>IF(H130&lt;&gt;"",MAX($A$7:A129)+1,"")</f>
        <v/>
      </c>
      <c r="B130" s="243" t="str">
        <f t="shared" si="31"/>
        <v/>
      </c>
      <c r="C130" s="96" t="str">
        <f t="shared" si="32"/>
        <v/>
      </c>
      <c r="D130" s="238"/>
      <c r="E130" s="239"/>
      <c r="F130" s="239"/>
      <c r="G130" s="240"/>
      <c r="H130" s="241"/>
      <c r="I130" s="231"/>
      <c r="J130" s="231"/>
      <c r="K130" s="232"/>
      <c r="L130" s="232"/>
      <c r="M130" s="233"/>
      <c r="N130" s="233"/>
      <c r="O130" s="234"/>
      <c r="P130" s="234"/>
      <c r="Q130" s="235"/>
      <c r="R130" s="235"/>
      <c r="S130" s="236"/>
      <c r="T130" s="236"/>
      <c r="U130" s="231"/>
      <c r="V130" s="231"/>
      <c r="W130" s="232"/>
      <c r="X130" s="232"/>
      <c r="Y130" s="233"/>
      <c r="Z130" s="233"/>
      <c r="AA130" s="234"/>
      <c r="AB130" s="234"/>
      <c r="AC130" s="235"/>
      <c r="AD130" s="235"/>
      <c r="AE130" s="236"/>
      <c r="AF130" s="236"/>
      <c r="AG130" s="67"/>
      <c r="AH130" s="68"/>
      <c r="AI130" s="69"/>
      <c r="AJ130" s="71"/>
    </row>
    <row r="131" spans="1:36" s="22" customFormat="1" x14ac:dyDescent="0.25">
      <c r="A131" s="28" t="str">
        <f>IF(H131&lt;&gt;"",MAX($A$7:A130)+1,"")</f>
        <v/>
      </c>
      <c r="B131" s="243" t="str">
        <f t="shared" si="31"/>
        <v/>
      </c>
      <c r="C131" s="96" t="str">
        <f t="shared" si="32"/>
        <v/>
      </c>
      <c r="D131" s="238"/>
      <c r="E131" s="239"/>
      <c r="F131" s="239"/>
      <c r="G131" s="240"/>
      <c r="H131" s="241"/>
      <c r="I131" s="231"/>
      <c r="J131" s="231"/>
      <c r="K131" s="232"/>
      <c r="L131" s="232"/>
      <c r="M131" s="233"/>
      <c r="N131" s="233"/>
      <c r="O131" s="234"/>
      <c r="P131" s="234"/>
      <c r="Q131" s="235"/>
      <c r="R131" s="235"/>
      <c r="S131" s="236"/>
      <c r="T131" s="236"/>
      <c r="U131" s="231"/>
      <c r="V131" s="231"/>
      <c r="W131" s="232"/>
      <c r="X131" s="232"/>
      <c r="Y131" s="233"/>
      <c r="Z131" s="233"/>
      <c r="AA131" s="234"/>
      <c r="AB131" s="234"/>
      <c r="AC131" s="235"/>
      <c r="AD131" s="235"/>
      <c r="AE131" s="236"/>
      <c r="AF131" s="236"/>
      <c r="AG131" s="67"/>
      <c r="AH131" s="68"/>
      <c r="AI131" s="69"/>
      <c r="AJ131" s="71"/>
    </row>
    <row r="132" spans="1:36" s="22" customFormat="1" x14ac:dyDescent="0.25">
      <c r="A132" s="28" t="str">
        <f>IF(H132&lt;&gt;"",MAX($A$7:A131)+1,"")</f>
        <v/>
      </c>
      <c r="B132" s="243" t="str">
        <f t="shared" si="31"/>
        <v/>
      </c>
      <c r="C132" s="96" t="str">
        <f t="shared" si="32"/>
        <v/>
      </c>
      <c r="D132" s="238"/>
      <c r="E132" s="239"/>
      <c r="F132" s="239"/>
      <c r="G132" s="240"/>
      <c r="H132" s="241"/>
      <c r="I132" s="231"/>
      <c r="J132" s="231"/>
      <c r="K132" s="232"/>
      <c r="L132" s="232"/>
      <c r="M132" s="233"/>
      <c r="N132" s="233"/>
      <c r="O132" s="234"/>
      <c r="P132" s="234"/>
      <c r="Q132" s="235"/>
      <c r="R132" s="235"/>
      <c r="S132" s="236"/>
      <c r="T132" s="236"/>
      <c r="U132" s="231"/>
      <c r="V132" s="231"/>
      <c r="W132" s="232"/>
      <c r="X132" s="232"/>
      <c r="Y132" s="233"/>
      <c r="Z132" s="233"/>
      <c r="AA132" s="234"/>
      <c r="AB132" s="234"/>
      <c r="AC132" s="235"/>
      <c r="AD132" s="235"/>
      <c r="AE132" s="236"/>
      <c r="AF132" s="236"/>
      <c r="AG132" s="67"/>
      <c r="AH132" s="68"/>
      <c r="AI132" s="69"/>
      <c r="AJ132" s="71"/>
    </row>
    <row r="133" spans="1:36" s="22" customFormat="1" x14ac:dyDescent="0.25">
      <c r="A133" s="28" t="str">
        <f>IF(H133&lt;&gt;"",MAX($A$7:A132)+1,"")</f>
        <v/>
      </c>
      <c r="B133" s="243" t="str">
        <f t="shared" si="31"/>
        <v/>
      </c>
      <c r="C133" s="96" t="str">
        <f t="shared" si="32"/>
        <v/>
      </c>
      <c r="D133" s="238"/>
      <c r="E133" s="239"/>
      <c r="F133" s="239"/>
      <c r="G133" s="240"/>
      <c r="H133" s="241"/>
      <c r="I133" s="231"/>
      <c r="J133" s="231"/>
      <c r="K133" s="232"/>
      <c r="L133" s="232"/>
      <c r="M133" s="233"/>
      <c r="N133" s="233"/>
      <c r="O133" s="234"/>
      <c r="P133" s="234"/>
      <c r="Q133" s="235"/>
      <c r="R133" s="235"/>
      <c r="S133" s="236"/>
      <c r="T133" s="236"/>
      <c r="U133" s="231"/>
      <c r="V133" s="231"/>
      <c r="W133" s="232"/>
      <c r="X133" s="232"/>
      <c r="Y133" s="233"/>
      <c r="Z133" s="233"/>
      <c r="AA133" s="234"/>
      <c r="AB133" s="234"/>
      <c r="AC133" s="235"/>
      <c r="AD133" s="235"/>
      <c r="AE133" s="236"/>
      <c r="AF133" s="236"/>
      <c r="AG133" s="67"/>
      <c r="AH133" s="68"/>
      <c r="AI133" s="69"/>
      <c r="AJ133" s="71"/>
    </row>
    <row r="134" spans="1:36" s="22" customFormat="1" x14ac:dyDescent="0.25">
      <c r="A134" s="28" t="str">
        <f>IF(H134&lt;&gt;"",MAX($A$7:A133)+1,"")</f>
        <v/>
      </c>
      <c r="B134" s="243" t="str">
        <f t="shared" si="31"/>
        <v/>
      </c>
      <c r="C134" s="96" t="str">
        <f t="shared" si="32"/>
        <v/>
      </c>
      <c r="D134" s="238"/>
      <c r="E134" s="239"/>
      <c r="F134" s="239"/>
      <c r="G134" s="240"/>
      <c r="H134" s="241"/>
      <c r="I134" s="231"/>
      <c r="J134" s="231"/>
      <c r="K134" s="232"/>
      <c r="L134" s="232"/>
      <c r="M134" s="233"/>
      <c r="N134" s="233"/>
      <c r="O134" s="234"/>
      <c r="P134" s="234"/>
      <c r="Q134" s="235"/>
      <c r="R134" s="235"/>
      <c r="S134" s="236"/>
      <c r="T134" s="236"/>
      <c r="U134" s="231"/>
      <c r="V134" s="231"/>
      <c r="W134" s="232"/>
      <c r="X134" s="232"/>
      <c r="Y134" s="233"/>
      <c r="Z134" s="233"/>
      <c r="AA134" s="234"/>
      <c r="AB134" s="234"/>
      <c r="AC134" s="235"/>
      <c r="AD134" s="235"/>
      <c r="AE134" s="236"/>
      <c r="AF134" s="236"/>
      <c r="AG134" s="67"/>
      <c r="AH134" s="68"/>
      <c r="AI134" s="69"/>
      <c r="AJ134" s="71"/>
    </row>
    <row r="135" spans="1:36" s="22" customFormat="1" x14ac:dyDescent="0.25">
      <c r="A135" s="28" t="str">
        <f>IF(H135&lt;&gt;"",MAX($A$7:A134)+1,"")</f>
        <v/>
      </c>
      <c r="B135" s="243" t="str">
        <f t="shared" ref="B135:B198" si="33">IF(A135="","",PREF_PREGUNTA&amp;" - "&amp;IF(MAX(A:A)&gt;99,IF(A135&lt;100,"0",""),"")&amp;IF(A135&lt;10,"0","")&amp;A135&amp;IF(G135&lt;&gt;""," "&amp;G135,""))</f>
        <v/>
      </c>
      <c r="C135" s="96" t="str">
        <f t="shared" ref="C135:C198" si="34">IF(COUNTA(I135:N135)-D135=0,"",COUNTA(I135:N135)-D135)</f>
        <v/>
      </c>
      <c r="D135" s="238"/>
      <c r="E135" s="239"/>
      <c r="F135" s="239"/>
      <c r="G135" s="240"/>
      <c r="H135" s="241"/>
      <c r="I135" s="231"/>
      <c r="J135" s="231"/>
      <c r="K135" s="232"/>
      <c r="L135" s="232"/>
      <c r="M135" s="233"/>
      <c r="N135" s="233"/>
      <c r="O135" s="234"/>
      <c r="P135" s="234"/>
      <c r="Q135" s="235"/>
      <c r="R135" s="235"/>
      <c r="S135" s="236"/>
      <c r="T135" s="236"/>
      <c r="U135" s="231"/>
      <c r="V135" s="231"/>
      <c r="W135" s="232"/>
      <c r="X135" s="232"/>
      <c r="Y135" s="233"/>
      <c r="Z135" s="233"/>
      <c r="AA135" s="234"/>
      <c r="AB135" s="234"/>
      <c r="AC135" s="235"/>
      <c r="AD135" s="235"/>
      <c r="AE135" s="236"/>
      <c r="AF135" s="236"/>
      <c r="AG135" s="67"/>
      <c r="AH135" s="68"/>
      <c r="AI135" s="69"/>
      <c r="AJ135" s="71"/>
    </row>
    <row r="136" spans="1:36" s="22" customFormat="1" x14ac:dyDescent="0.25">
      <c r="A136" s="28" t="str">
        <f>IF(H136&lt;&gt;"",MAX($A$7:A135)+1,"")</f>
        <v/>
      </c>
      <c r="B136" s="243" t="str">
        <f t="shared" si="33"/>
        <v/>
      </c>
      <c r="C136" s="96" t="str">
        <f t="shared" si="34"/>
        <v/>
      </c>
      <c r="D136" s="238"/>
      <c r="E136" s="239"/>
      <c r="F136" s="239"/>
      <c r="G136" s="240"/>
      <c r="H136" s="241"/>
      <c r="I136" s="231"/>
      <c r="J136" s="231"/>
      <c r="K136" s="232"/>
      <c r="L136" s="232"/>
      <c r="M136" s="233"/>
      <c r="N136" s="233"/>
      <c r="O136" s="234"/>
      <c r="P136" s="234"/>
      <c r="Q136" s="235"/>
      <c r="R136" s="235"/>
      <c r="S136" s="236"/>
      <c r="T136" s="236"/>
      <c r="U136" s="231"/>
      <c r="V136" s="231"/>
      <c r="W136" s="232"/>
      <c r="X136" s="232"/>
      <c r="Y136" s="233"/>
      <c r="Z136" s="233"/>
      <c r="AA136" s="234"/>
      <c r="AB136" s="234"/>
      <c r="AC136" s="235"/>
      <c r="AD136" s="235"/>
      <c r="AE136" s="236"/>
      <c r="AF136" s="236"/>
      <c r="AG136" s="67"/>
      <c r="AH136" s="68"/>
      <c r="AI136" s="69"/>
      <c r="AJ136" s="71"/>
    </row>
    <row r="137" spans="1:36" s="22" customFormat="1" x14ac:dyDescent="0.25">
      <c r="A137" s="28" t="str">
        <f>IF(H137&lt;&gt;"",MAX($A$7:A136)+1,"")</f>
        <v/>
      </c>
      <c r="B137" s="243" t="str">
        <f t="shared" si="33"/>
        <v/>
      </c>
      <c r="C137" s="96" t="str">
        <f t="shared" si="34"/>
        <v/>
      </c>
      <c r="D137" s="238"/>
      <c r="E137" s="239"/>
      <c r="F137" s="239"/>
      <c r="G137" s="240"/>
      <c r="H137" s="241"/>
      <c r="I137" s="231"/>
      <c r="J137" s="231"/>
      <c r="K137" s="232"/>
      <c r="L137" s="232"/>
      <c r="M137" s="233"/>
      <c r="N137" s="233"/>
      <c r="O137" s="234"/>
      <c r="P137" s="234"/>
      <c r="Q137" s="235"/>
      <c r="R137" s="235"/>
      <c r="S137" s="236"/>
      <c r="T137" s="236"/>
      <c r="U137" s="231"/>
      <c r="V137" s="231"/>
      <c r="W137" s="232"/>
      <c r="X137" s="232"/>
      <c r="Y137" s="233"/>
      <c r="Z137" s="233"/>
      <c r="AA137" s="234"/>
      <c r="AB137" s="234"/>
      <c r="AC137" s="235"/>
      <c r="AD137" s="235"/>
      <c r="AE137" s="236"/>
      <c r="AF137" s="236"/>
      <c r="AG137" s="67"/>
      <c r="AH137" s="68"/>
      <c r="AI137" s="69"/>
      <c r="AJ137" s="71"/>
    </row>
    <row r="138" spans="1:36" s="22" customFormat="1" x14ac:dyDescent="0.25">
      <c r="A138" s="28" t="str">
        <f>IF(H138&lt;&gt;"",MAX($A$7:A137)+1,"")</f>
        <v/>
      </c>
      <c r="B138" s="243" t="str">
        <f t="shared" si="33"/>
        <v/>
      </c>
      <c r="C138" s="96" t="str">
        <f t="shared" si="34"/>
        <v/>
      </c>
      <c r="D138" s="238"/>
      <c r="E138" s="239"/>
      <c r="F138" s="239"/>
      <c r="G138" s="240"/>
      <c r="H138" s="241"/>
      <c r="I138" s="231"/>
      <c r="J138" s="231"/>
      <c r="K138" s="232"/>
      <c r="L138" s="232"/>
      <c r="M138" s="233"/>
      <c r="N138" s="233"/>
      <c r="O138" s="234"/>
      <c r="P138" s="234"/>
      <c r="Q138" s="235"/>
      <c r="R138" s="235"/>
      <c r="S138" s="236"/>
      <c r="T138" s="236"/>
      <c r="U138" s="231"/>
      <c r="V138" s="231"/>
      <c r="W138" s="232"/>
      <c r="X138" s="232"/>
      <c r="Y138" s="233"/>
      <c r="Z138" s="233"/>
      <c r="AA138" s="234"/>
      <c r="AB138" s="234"/>
      <c r="AC138" s="235"/>
      <c r="AD138" s="235"/>
      <c r="AE138" s="236"/>
      <c r="AF138" s="236"/>
      <c r="AG138" s="67"/>
      <c r="AH138" s="68"/>
      <c r="AI138" s="69"/>
      <c r="AJ138" s="71"/>
    </row>
    <row r="139" spans="1:36" s="22" customFormat="1" x14ac:dyDescent="0.25">
      <c r="A139" s="28" t="str">
        <f>IF(H139&lt;&gt;"",MAX($A$7:A138)+1,"")</f>
        <v/>
      </c>
      <c r="B139" s="243" t="str">
        <f t="shared" si="33"/>
        <v/>
      </c>
      <c r="C139" s="96" t="str">
        <f t="shared" si="34"/>
        <v/>
      </c>
      <c r="D139" s="238"/>
      <c r="E139" s="239"/>
      <c r="F139" s="239"/>
      <c r="G139" s="240"/>
      <c r="H139" s="241"/>
      <c r="I139" s="231"/>
      <c r="J139" s="231"/>
      <c r="K139" s="232"/>
      <c r="L139" s="232"/>
      <c r="M139" s="233"/>
      <c r="N139" s="233"/>
      <c r="O139" s="234"/>
      <c r="P139" s="234"/>
      <c r="Q139" s="235"/>
      <c r="R139" s="235"/>
      <c r="S139" s="236"/>
      <c r="T139" s="236"/>
      <c r="U139" s="231"/>
      <c r="V139" s="231"/>
      <c r="W139" s="232"/>
      <c r="X139" s="232"/>
      <c r="Y139" s="233"/>
      <c r="Z139" s="233"/>
      <c r="AA139" s="234"/>
      <c r="AB139" s="234"/>
      <c r="AC139" s="235"/>
      <c r="AD139" s="235"/>
      <c r="AE139" s="236"/>
      <c r="AF139" s="236"/>
      <c r="AG139" s="67"/>
      <c r="AH139" s="68"/>
      <c r="AI139" s="69"/>
      <c r="AJ139" s="71"/>
    </row>
    <row r="140" spans="1:36" s="22" customFormat="1" x14ac:dyDescent="0.25">
      <c r="A140" s="28" t="str">
        <f>IF(H140&lt;&gt;"",MAX($A$7:A139)+1,"")</f>
        <v/>
      </c>
      <c r="B140" s="243" t="str">
        <f t="shared" si="33"/>
        <v/>
      </c>
      <c r="C140" s="96" t="str">
        <f t="shared" si="34"/>
        <v/>
      </c>
      <c r="D140" s="238"/>
      <c r="E140" s="239"/>
      <c r="F140" s="239"/>
      <c r="G140" s="240"/>
      <c r="H140" s="241"/>
      <c r="I140" s="231"/>
      <c r="J140" s="231"/>
      <c r="K140" s="232"/>
      <c r="L140" s="232"/>
      <c r="M140" s="233"/>
      <c r="N140" s="233"/>
      <c r="O140" s="234"/>
      <c r="P140" s="234"/>
      <c r="Q140" s="235"/>
      <c r="R140" s="235"/>
      <c r="S140" s="236"/>
      <c r="T140" s="236"/>
      <c r="U140" s="231"/>
      <c r="V140" s="231"/>
      <c r="W140" s="232"/>
      <c r="X140" s="232"/>
      <c r="Y140" s="233"/>
      <c r="Z140" s="233"/>
      <c r="AA140" s="234"/>
      <c r="AB140" s="234"/>
      <c r="AC140" s="235"/>
      <c r="AD140" s="235"/>
      <c r="AE140" s="236"/>
      <c r="AF140" s="236"/>
      <c r="AG140" s="67"/>
      <c r="AH140" s="68"/>
      <c r="AI140" s="69"/>
      <c r="AJ140" s="71"/>
    </row>
    <row r="141" spans="1:36" s="22" customFormat="1" x14ac:dyDescent="0.25">
      <c r="A141" s="28" t="str">
        <f>IF(H141&lt;&gt;"",MAX($A$7:A140)+1,"")</f>
        <v/>
      </c>
      <c r="B141" s="243" t="str">
        <f t="shared" si="33"/>
        <v/>
      </c>
      <c r="C141" s="96" t="str">
        <f t="shared" si="34"/>
        <v/>
      </c>
      <c r="D141" s="238"/>
      <c r="E141" s="239"/>
      <c r="F141" s="239"/>
      <c r="G141" s="240"/>
      <c r="H141" s="241"/>
      <c r="I141" s="231"/>
      <c r="J141" s="231"/>
      <c r="K141" s="232"/>
      <c r="L141" s="232"/>
      <c r="M141" s="233"/>
      <c r="N141" s="233"/>
      <c r="O141" s="234"/>
      <c r="P141" s="234"/>
      <c r="Q141" s="235"/>
      <c r="R141" s="235"/>
      <c r="S141" s="236"/>
      <c r="T141" s="236"/>
      <c r="U141" s="231"/>
      <c r="V141" s="231"/>
      <c r="W141" s="232"/>
      <c r="X141" s="232"/>
      <c r="Y141" s="233"/>
      <c r="Z141" s="233"/>
      <c r="AA141" s="234"/>
      <c r="AB141" s="234"/>
      <c r="AC141" s="235"/>
      <c r="AD141" s="235"/>
      <c r="AE141" s="236"/>
      <c r="AF141" s="236"/>
      <c r="AG141" s="67"/>
      <c r="AH141" s="68"/>
      <c r="AI141" s="69"/>
      <c r="AJ141" s="71"/>
    </row>
    <row r="142" spans="1:36" s="22" customFormat="1" x14ac:dyDescent="0.25">
      <c r="A142" s="28" t="str">
        <f>IF(H142&lt;&gt;"",MAX($A$7:A141)+1,"")</f>
        <v/>
      </c>
      <c r="B142" s="243" t="str">
        <f t="shared" si="33"/>
        <v/>
      </c>
      <c r="C142" s="96" t="str">
        <f t="shared" si="34"/>
        <v/>
      </c>
      <c r="D142" s="238"/>
      <c r="E142" s="239"/>
      <c r="F142" s="239"/>
      <c r="G142" s="240"/>
      <c r="H142" s="241"/>
      <c r="I142" s="231"/>
      <c r="J142" s="231"/>
      <c r="K142" s="232"/>
      <c r="L142" s="232"/>
      <c r="M142" s="233"/>
      <c r="N142" s="233"/>
      <c r="O142" s="234"/>
      <c r="P142" s="234"/>
      <c r="Q142" s="235"/>
      <c r="R142" s="235"/>
      <c r="S142" s="236"/>
      <c r="T142" s="236"/>
      <c r="U142" s="231"/>
      <c r="V142" s="231"/>
      <c r="W142" s="232"/>
      <c r="X142" s="232"/>
      <c r="Y142" s="233"/>
      <c r="Z142" s="233"/>
      <c r="AA142" s="234"/>
      <c r="AB142" s="234"/>
      <c r="AC142" s="235"/>
      <c r="AD142" s="235"/>
      <c r="AE142" s="236"/>
      <c r="AF142" s="236"/>
      <c r="AG142" s="67"/>
      <c r="AH142" s="68"/>
      <c r="AI142" s="69"/>
      <c r="AJ142" s="71"/>
    </row>
    <row r="143" spans="1:36" s="22" customFormat="1" x14ac:dyDescent="0.25">
      <c r="A143" s="28" t="str">
        <f>IF(H143&lt;&gt;"",MAX($A$7:A142)+1,"")</f>
        <v/>
      </c>
      <c r="B143" s="243" t="str">
        <f t="shared" si="33"/>
        <v/>
      </c>
      <c r="C143" s="96" t="str">
        <f t="shared" si="34"/>
        <v/>
      </c>
      <c r="D143" s="238"/>
      <c r="E143" s="239"/>
      <c r="F143" s="239"/>
      <c r="G143" s="240"/>
      <c r="H143" s="241"/>
      <c r="I143" s="231"/>
      <c r="J143" s="231"/>
      <c r="K143" s="232"/>
      <c r="L143" s="232"/>
      <c r="M143" s="233"/>
      <c r="N143" s="233"/>
      <c r="O143" s="234"/>
      <c r="P143" s="234"/>
      <c r="Q143" s="235"/>
      <c r="R143" s="235"/>
      <c r="S143" s="236"/>
      <c r="T143" s="236"/>
      <c r="U143" s="231"/>
      <c r="V143" s="231"/>
      <c r="W143" s="232"/>
      <c r="X143" s="232"/>
      <c r="Y143" s="233"/>
      <c r="Z143" s="233"/>
      <c r="AA143" s="234"/>
      <c r="AB143" s="234"/>
      <c r="AC143" s="235"/>
      <c r="AD143" s="235"/>
      <c r="AE143" s="236"/>
      <c r="AF143" s="236"/>
      <c r="AG143" s="67"/>
      <c r="AH143" s="68"/>
      <c r="AI143" s="69"/>
      <c r="AJ143" s="71"/>
    </row>
    <row r="144" spans="1:36" s="22" customFormat="1" x14ac:dyDescent="0.25">
      <c r="A144" s="28" t="str">
        <f>IF(H144&lt;&gt;"",MAX($A$7:A143)+1,"")</f>
        <v/>
      </c>
      <c r="B144" s="243" t="str">
        <f t="shared" si="33"/>
        <v/>
      </c>
      <c r="C144" s="96" t="str">
        <f t="shared" si="34"/>
        <v/>
      </c>
      <c r="D144" s="238"/>
      <c r="E144" s="239"/>
      <c r="F144" s="239"/>
      <c r="G144" s="240"/>
      <c r="H144" s="241"/>
      <c r="I144" s="231"/>
      <c r="J144" s="231"/>
      <c r="K144" s="232"/>
      <c r="L144" s="232"/>
      <c r="M144" s="233"/>
      <c r="N144" s="233"/>
      <c r="O144" s="234"/>
      <c r="P144" s="234"/>
      <c r="Q144" s="235"/>
      <c r="R144" s="235"/>
      <c r="S144" s="236"/>
      <c r="T144" s="236"/>
      <c r="U144" s="231"/>
      <c r="V144" s="231"/>
      <c r="W144" s="232"/>
      <c r="X144" s="232"/>
      <c r="Y144" s="233"/>
      <c r="Z144" s="233"/>
      <c r="AA144" s="234"/>
      <c r="AB144" s="234"/>
      <c r="AC144" s="235"/>
      <c r="AD144" s="235"/>
      <c r="AE144" s="236"/>
      <c r="AF144" s="236"/>
      <c r="AG144" s="67"/>
      <c r="AH144" s="68"/>
      <c r="AI144" s="69"/>
      <c r="AJ144" s="71"/>
    </row>
    <row r="145" spans="1:36" s="22" customFormat="1" x14ac:dyDescent="0.25">
      <c r="A145" s="28" t="str">
        <f>IF(H145&lt;&gt;"",MAX($A$7:A144)+1,"")</f>
        <v/>
      </c>
      <c r="B145" s="243" t="str">
        <f t="shared" si="33"/>
        <v/>
      </c>
      <c r="C145" s="96" t="str">
        <f t="shared" si="34"/>
        <v/>
      </c>
      <c r="D145" s="238"/>
      <c r="E145" s="239"/>
      <c r="F145" s="239"/>
      <c r="G145" s="240"/>
      <c r="H145" s="241"/>
      <c r="I145" s="231"/>
      <c r="J145" s="231"/>
      <c r="K145" s="232"/>
      <c r="L145" s="232"/>
      <c r="M145" s="233"/>
      <c r="N145" s="233"/>
      <c r="O145" s="234"/>
      <c r="P145" s="234"/>
      <c r="Q145" s="235"/>
      <c r="R145" s="235"/>
      <c r="S145" s="236"/>
      <c r="T145" s="236"/>
      <c r="U145" s="231"/>
      <c r="V145" s="231"/>
      <c r="W145" s="232"/>
      <c r="X145" s="232"/>
      <c r="Y145" s="233"/>
      <c r="Z145" s="233"/>
      <c r="AA145" s="234"/>
      <c r="AB145" s="234"/>
      <c r="AC145" s="235"/>
      <c r="AD145" s="235"/>
      <c r="AE145" s="236"/>
      <c r="AF145" s="236"/>
      <c r="AG145" s="67"/>
      <c r="AH145" s="68"/>
      <c r="AI145" s="69"/>
      <c r="AJ145" s="71"/>
    </row>
    <row r="146" spans="1:36" s="22" customFormat="1" x14ac:dyDescent="0.25">
      <c r="A146" s="28" t="str">
        <f>IF(H146&lt;&gt;"",MAX($A$7:A145)+1,"")</f>
        <v/>
      </c>
      <c r="B146" s="243" t="str">
        <f t="shared" si="33"/>
        <v/>
      </c>
      <c r="C146" s="96" t="str">
        <f t="shared" si="34"/>
        <v/>
      </c>
      <c r="D146" s="238"/>
      <c r="E146" s="239"/>
      <c r="F146" s="239"/>
      <c r="G146" s="240"/>
      <c r="H146" s="241"/>
      <c r="I146" s="231"/>
      <c r="J146" s="231"/>
      <c r="K146" s="232"/>
      <c r="L146" s="232"/>
      <c r="M146" s="233"/>
      <c r="N146" s="233"/>
      <c r="O146" s="234"/>
      <c r="P146" s="234"/>
      <c r="Q146" s="235"/>
      <c r="R146" s="235"/>
      <c r="S146" s="236"/>
      <c r="T146" s="236"/>
      <c r="U146" s="231"/>
      <c r="V146" s="231"/>
      <c r="W146" s="232"/>
      <c r="X146" s="232"/>
      <c r="Y146" s="233"/>
      <c r="Z146" s="233"/>
      <c r="AA146" s="234"/>
      <c r="AB146" s="234"/>
      <c r="AC146" s="235"/>
      <c r="AD146" s="235"/>
      <c r="AE146" s="236"/>
      <c r="AF146" s="236"/>
      <c r="AG146" s="67"/>
      <c r="AH146" s="68"/>
      <c r="AI146" s="69"/>
      <c r="AJ146" s="71"/>
    </row>
    <row r="147" spans="1:36" s="22" customFormat="1" x14ac:dyDescent="0.25">
      <c r="A147" s="28" t="str">
        <f>IF(H147&lt;&gt;"",MAX($A$7:A146)+1,"")</f>
        <v/>
      </c>
      <c r="B147" s="243" t="str">
        <f t="shared" si="33"/>
        <v/>
      </c>
      <c r="C147" s="96" t="str">
        <f t="shared" si="34"/>
        <v/>
      </c>
      <c r="D147" s="238"/>
      <c r="E147" s="239"/>
      <c r="F147" s="239"/>
      <c r="G147" s="240"/>
      <c r="H147" s="241"/>
      <c r="I147" s="231"/>
      <c r="J147" s="231"/>
      <c r="K147" s="232"/>
      <c r="L147" s="232"/>
      <c r="M147" s="233"/>
      <c r="N147" s="233"/>
      <c r="O147" s="234"/>
      <c r="P147" s="234"/>
      <c r="Q147" s="235"/>
      <c r="R147" s="235"/>
      <c r="S147" s="236"/>
      <c r="T147" s="236"/>
      <c r="U147" s="231"/>
      <c r="V147" s="231"/>
      <c r="W147" s="232"/>
      <c r="X147" s="232"/>
      <c r="Y147" s="233"/>
      <c r="Z147" s="233"/>
      <c r="AA147" s="234"/>
      <c r="AB147" s="234"/>
      <c r="AC147" s="235"/>
      <c r="AD147" s="235"/>
      <c r="AE147" s="236"/>
      <c r="AF147" s="236"/>
      <c r="AG147" s="67"/>
      <c r="AH147" s="68"/>
      <c r="AI147" s="69"/>
      <c r="AJ147" s="71"/>
    </row>
    <row r="148" spans="1:36" s="22" customFormat="1" x14ac:dyDescent="0.25">
      <c r="A148" s="28" t="str">
        <f>IF(H148&lt;&gt;"",MAX($A$7:A147)+1,"")</f>
        <v/>
      </c>
      <c r="B148" s="243" t="str">
        <f t="shared" si="33"/>
        <v/>
      </c>
      <c r="C148" s="96" t="str">
        <f t="shared" si="34"/>
        <v/>
      </c>
      <c r="D148" s="238"/>
      <c r="E148" s="239"/>
      <c r="F148" s="239"/>
      <c r="G148" s="240"/>
      <c r="H148" s="241"/>
      <c r="I148" s="231"/>
      <c r="J148" s="231"/>
      <c r="K148" s="232"/>
      <c r="L148" s="232"/>
      <c r="M148" s="233"/>
      <c r="N148" s="233"/>
      <c r="O148" s="234"/>
      <c r="P148" s="234"/>
      <c r="Q148" s="235"/>
      <c r="R148" s="235"/>
      <c r="S148" s="236"/>
      <c r="T148" s="236"/>
      <c r="U148" s="231"/>
      <c r="V148" s="231"/>
      <c r="W148" s="232"/>
      <c r="X148" s="232"/>
      <c r="Y148" s="233"/>
      <c r="Z148" s="233"/>
      <c r="AA148" s="234"/>
      <c r="AB148" s="234"/>
      <c r="AC148" s="235"/>
      <c r="AD148" s="235"/>
      <c r="AE148" s="236"/>
      <c r="AF148" s="236"/>
      <c r="AG148" s="67"/>
      <c r="AH148" s="68"/>
      <c r="AI148" s="69"/>
      <c r="AJ148" s="71"/>
    </row>
    <row r="149" spans="1:36" s="22" customFormat="1" x14ac:dyDescent="0.25">
      <c r="A149" s="28" t="str">
        <f>IF(H149&lt;&gt;"",MAX($A$7:A148)+1,"")</f>
        <v/>
      </c>
      <c r="B149" s="243" t="str">
        <f t="shared" si="33"/>
        <v/>
      </c>
      <c r="C149" s="96" t="str">
        <f t="shared" si="34"/>
        <v/>
      </c>
      <c r="D149" s="238"/>
      <c r="E149" s="239"/>
      <c r="F149" s="239"/>
      <c r="G149" s="240"/>
      <c r="H149" s="241"/>
      <c r="I149" s="231"/>
      <c r="J149" s="231"/>
      <c r="K149" s="232"/>
      <c r="L149" s="232"/>
      <c r="M149" s="233"/>
      <c r="N149" s="233"/>
      <c r="O149" s="234"/>
      <c r="P149" s="234"/>
      <c r="Q149" s="235"/>
      <c r="R149" s="235"/>
      <c r="S149" s="236"/>
      <c r="T149" s="236"/>
      <c r="U149" s="231"/>
      <c r="V149" s="231"/>
      <c r="W149" s="232"/>
      <c r="X149" s="232"/>
      <c r="Y149" s="233"/>
      <c r="Z149" s="233"/>
      <c r="AA149" s="234"/>
      <c r="AB149" s="234"/>
      <c r="AC149" s="235"/>
      <c r="AD149" s="235"/>
      <c r="AE149" s="236"/>
      <c r="AF149" s="236"/>
      <c r="AG149" s="67"/>
      <c r="AH149" s="68"/>
      <c r="AI149" s="69"/>
      <c r="AJ149" s="71"/>
    </row>
    <row r="150" spans="1:36" s="22" customFormat="1" x14ac:dyDescent="0.25">
      <c r="A150" s="28" t="str">
        <f>IF(H150&lt;&gt;"",MAX($A$7:A149)+1,"")</f>
        <v/>
      </c>
      <c r="B150" s="243" t="str">
        <f t="shared" si="33"/>
        <v/>
      </c>
      <c r="C150" s="96" t="str">
        <f t="shared" si="34"/>
        <v/>
      </c>
      <c r="D150" s="238"/>
      <c r="E150" s="239"/>
      <c r="F150" s="239"/>
      <c r="G150" s="240"/>
      <c r="H150" s="241"/>
      <c r="I150" s="231"/>
      <c r="J150" s="231"/>
      <c r="K150" s="232"/>
      <c r="L150" s="232"/>
      <c r="M150" s="233"/>
      <c r="N150" s="233"/>
      <c r="O150" s="234"/>
      <c r="P150" s="234"/>
      <c r="Q150" s="235"/>
      <c r="R150" s="235"/>
      <c r="S150" s="236"/>
      <c r="T150" s="236"/>
      <c r="U150" s="231"/>
      <c r="V150" s="231"/>
      <c r="W150" s="232"/>
      <c r="X150" s="232"/>
      <c r="Y150" s="233"/>
      <c r="Z150" s="233"/>
      <c r="AA150" s="234"/>
      <c r="AB150" s="234"/>
      <c r="AC150" s="235"/>
      <c r="AD150" s="235"/>
      <c r="AE150" s="236"/>
      <c r="AF150" s="236"/>
      <c r="AG150" s="67"/>
      <c r="AH150" s="68"/>
      <c r="AI150" s="69"/>
      <c r="AJ150" s="71"/>
    </row>
    <row r="151" spans="1:36" s="22" customFormat="1" x14ac:dyDescent="0.25">
      <c r="A151" s="28" t="str">
        <f>IF(H151&lt;&gt;"",MAX($A$7:A150)+1,"")</f>
        <v/>
      </c>
      <c r="B151" s="243" t="str">
        <f t="shared" si="33"/>
        <v/>
      </c>
      <c r="C151" s="96" t="str">
        <f t="shared" si="34"/>
        <v/>
      </c>
      <c r="D151" s="238"/>
      <c r="E151" s="239"/>
      <c r="F151" s="239"/>
      <c r="G151" s="240"/>
      <c r="H151" s="241"/>
      <c r="I151" s="231"/>
      <c r="J151" s="231"/>
      <c r="K151" s="232"/>
      <c r="L151" s="232"/>
      <c r="M151" s="233"/>
      <c r="N151" s="233"/>
      <c r="O151" s="234"/>
      <c r="P151" s="234"/>
      <c r="Q151" s="235"/>
      <c r="R151" s="235"/>
      <c r="S151" s="236"/>
      <c r="T151" s="236"/>
      <c r="U151" s="231"/>
      <c r="V151" s="231"/>
      <c r="W151" s="232"/>
      <c r="X151" s="232"/>
      <c r="Y151" s="233"/>
      <c r="Z151" s="233"/>
      <c r="AA151" s="234"/>
      <c r="AB151" s="234"/>
      <c r="AC151" s="235"/>
      <c r="AD151" s="235"/>
      <c r="AE151" s="236"/>
      <c r="AF151" s="236"/>
      <c r="AG151" s="67"/>
      <c r="AH151" s="68"/>
      <c r="AI151" s="69"/>
      <c r="AJ151" s="71"/>
    </row>
    <row r="152" spans="1:36" s="22" customFormat="1" x14ac:dyDescent="0.25">
      <c r="A152" s="28" t="str">
        <f>IF(H152&lt;&gt;"",MAX($A$7:A151)+1,"")</f>
        <v/>
      </c>
      <c r="B152" s="243" t="str">
        <f t="shared" si="33"/>
        <v/>
      </c>
      <c r="C152" s="96" t="str">
        <f t="shared" si="34"/>
        <v/>
      </c>
      <c r="D152" s="238"/>
      <c r="E152" s="239"/>
      <c r="F152" s="239"/>
      <c r="G152" s="240"/>
      <c r="H152" s="241"/>
      <c r="I152" s="231"/>
      <c r="J152" s="231"/>
      <c r="K152" s="232"/>
      <c r="L152" s="232"/>
      <c r="M152" s="233"/>
      <c r="N152" s="233"/>
      <c r="O152" s="234"/>
      <c r="P152" s="234"/>
      <c r="Q152" s="235"/>
      <c r="R152" s="235"/>
      <c r="S152" s="236"/>
      <c r="T152" s="236"/>
      <c r="U152" s="231"/>
      <c r="V152" s="231"/>
      <c r="W152" s="232"/>
      <c r="X152" s="232"/>
      <c r="Y152" s="233"/>
      <c r="Z152" s="233"/>
      <c r="AA152" s="234"/>
      <c r="AB152" s="234"/>
      <c r="AC152" s="235"/>
      <c r="AD152" s="235"/>
      <c r="AE152" s="236"/>
      <c r="AF152" s="236"/>
      <c r="AG152" s="67"/>
      <c r="AH152" s="68"/>
      <c r="AI152" s="69"/>
      <c r="AJ152" s="71"/>
    </row>
    <row r="153" spans="1:36" s="22" customFormat="1" x14ac:dyDescent="0.25">
      <c r="A153" s="28" t="str">
        <f>IF(H153&lt;&gt;"",MAX($A$7:A152)+1,"")</f>
        <v/>
      </c>
      <c r="B153" s="243" t="str">
        <f t="shared" si="33"/>
        <v/>
      </c>
      <c r="C153" s="96" t="str">
        <f t="shared" si="34"/>
        <v/>
      </c>
      <c r="D153" s="238"/>
      <c r="E153" s="239"/>
      <c r="F153" s="239"/>
      <c r="G153" s="240"/>
      <c r="H153" s="241"/>
      <c r="I153" s="231"/>
      <c r="J153" s="231"/>
      <c r="K153" s="232"/>
      <c r="L153" s="232"/>
      <c r="M153" s="233"/>
      <c r="N153" s="233"/>
      <c r="O153" s="234"/>
      <c r="P153" s="234"/>
      <c r="Q153" s="235"/>
      <c r="R153" s="235"/>
      <c r="S153" s="236"/>
      <c r="T153" s="236"/>
      <c r="U153" s="231"/>
      <c r="V153" s="231"/>
      <c r="W153" s="232"/>
      <c r="X153" s="232"/>
      <c r="Y153" s="233"/>
      <c r="Z153" s="233"/>
      <c r="AA153" s="234"/>
      <c r="AB153" s="234"/>
      <c r="AC153" s="235"/>
      <c r="AD153" s="235"/>
      <c r="AE153" s="236"/>
      <c r="AF153" s="236"/>
      <c r="AG153" s="67"/>
      <c r="AH153" s="68"/>
      <c r="AI153" s="69"/>
      <c r="AJ153" s="71"/>
    </row>
    <row r="154" spans="1:36" s="22" customFormat="1" x14ac:dyDescent="0.25">
      <c r="A154" s="28" t="str">
        <f>IF(H154&lt;&gt;"",MAX($A$7:A153)+1,"")</f>
        <v/>
      </c>
      <c r="B154" s="243" t="str">
        <f t="shared" si="33"/>
        <v/>
      </c>
      <c r="C154" s="96" t="str">
        <f t="shared" si="34"/>
        <v/>
      </c>
      <c r="D154" s="238"/>
      <c r="E154" s="239"/>
      <c r="F154" s="239"/>
      <c r="G154" s="240"/>
      <c r="H154" s="241"/>
      <c r="I154" s="231"/>
      <c r="J154" s="231"/>
      <c r="K154" s="232"/>
      <c r="L154" s="232"/>
      <c r="M154" s="233"/>
      <c r="N154" s="233"/>
      <c r="O154" s="234"/>
      <c r="P154" s="234"/>
      <c r="Q154" s="235"/>
      <c r="R154" s="235"/>
      <c r="S154" s="236"/>
      <c r="T154" s="236"/>
      <c r="U154" s="231"/>
      <c r="V154" s="231"/>
      <c r="W154" s="232"/>
      <c r="X154" s="232"/>
      <c r="Y154" s="233"/>
      <c r="Z154" s="233"/>
      <c r="AA154" s="234"/>
      <c r="AB154" s="234"/>
      <c r="AC154" s="235"/>
      <c r="AD154" s="235"/>
      <c r="AE154" s="236"/>
      <c r="AF154" s="236"/>
      <c r="AG154" s="67"/>
      <c r="AH154" s="68"/>
      <c r="AI154" s="69"/>
      <c r="AJ154" s="71"/>
    </row>
    <row r="155" spans="1:36" s="22" customFormat="1" x14ac:dyDescent="0.25">
      <c r="A155" s="28" t="str">
        <f>IF(H155&lt;&gt;"",MAX($A$7:A154)+1,"")</f>
        <v/>
      </c>
      <c r="B155" s="243" t="str">
        <f t="shared" si="33"/>
        <v/>
      </c>
      <c r="C155" s="96" t="str">
        <f t="shared" si="34"/>
        <v/>
      </c>
      <c r="D155" s="238"/>
      <c r="E155" s="239"/>
      <c r="F155" s="239"/>
      <c r="G155" s="240"/>
      <c r="H155" s="241"/>
      <c r="I155" s="231"/>
      <c r="J155" s="231"/>
      <c r="K155" s="232"/>
      <c r="L155" s="232"/>
      <c r="M155" s="233"/>
      <c r="N155" s="233"/>
      <c r="O155" s="234"/>
      <c r="P155" s="234"/>
      <c r="Q155" s="235"/>
      <c r="R155" s="235"/>
      <c r="S155" s="236"/>
      <c r="T155" s="236"/>
      <c r="U155" s="231"/>
      <c r="V155" s="231"/>
      <c r="W155" s="232"/>
      <c r="X155" s="232"/>
      <c r="Y155" s="233"/>
      <c r="Z155" s="233"/>
      <c r="AA155" s="234"/>
      <c r="AB155" s="234"/>
      <c r="AC155" s="235"/>
      <c r="AD155" s="235"/>
      <c r="AE155" s="236"/>
      <c r="AF155" s="236"/>
      <c r="AG155" s="67"/>
      <c r="AH155" s="68"/>
      <c r="AI155" s="69"/>
      <c r="AJ155" s="71"/>
    </row>
    <row r="156" spans="1:36" s="22" customFormat="1" x14ac:dyDescent="0.25">
      <c r="A156" s="28" t="str">
        <f>IF(H156&lt;&gt;"",MAX($A$7:A155)+1,"")</f>
        <v/>
      </c>
      <c r="B156" s="243" t="str">
        <f t="shared" si="33"/>
        <v/>
      </c>
      <c r="C156" s="96" t="str">
        <f t="shared" si="34"/>
        <v/>
      </c>
      <c r="D156" s="238"/>
      <c r="E156" s="239"/>
      <c r="F156" s="239"/>
      <c r="G156" s="240"/>
      <c r="H156" s="241"/>
      <c r="I156" s="231"/>
      <c r="J156" s="231"/>
      <c r="K156" s="232"/>
      <c r="L156" s="232"/>
      <c r="M156" s="233"/>
      <c r="N156" s="233"/>
      <c r="O156" s="234"/>
      <c r="P156" s="234"/>
      <c r="Q156" s="235"/>
      <c r="R156" s="235"/>
      <c r="S156" s="236"/>
      <c r="T156" s="236"/>
      <c r="U156" s="231"/>
      <c r="V156" s="231"/>
      <c r="W156" s="232"/>
      <c r="X156" s="232"/>
      <c r="Y156" s="233"/>
      <c r="Z156" s="233"/>
      <c r="AA156" s="234"/>
      <c r="AB156" s="234"/>
      <c r="AC156" s="235"/>
      <c r="AD156" s="235"/>
      <c r="AE156" s="236"/>
      <c r="AF156" s="236"/>
      <c r="AG156" s="67"/>
      <c r="AH156" s="68"/>
      <c r="AI156" s="69"/>
      <c r="AJ156" s="71"/>
    </row>
    <row r="157" spans="1:36" s="22" customFormat="1" x14ac:dyDescent="0.25">
      <c r="A157" s="28" t="str">
        <f>IF(H157&lt;&gt;"",MAX($A$7:A156)+1,"")</f>
        <v/>
      </c>
      <c r="B157" s="243" t="str">
        <f t="shared" si="33"/>
        <v/>
      </c>
      <c r="C157" s="96" t="str">
        <f t="shared" si="34"/>
        <v/>
      </c>
      <c r="D157" s="238"/>
      <c r="E157" s="239"/>
      <c r="F157" s="239"/>
      <c r="G157" s="240"/>
      <c r="H157" s="241"/>
      <c r="I157" s="231"/>
      <c r="J157" s="231"/>
      <c r="K157" s="232"/>
      <c r="L157" s="232"/>
      <c r="M157" s="233"/>
      <c r="N157" s="233"/>
      <c r="O157" s="234"/>
      <c r="P157" s="234"/>
      <c r="Q157" s="235"/>
      <c r="R157" s="235"/>
      <c r="S157" s="236"/>
      <c r="T157" s="236"/>
      <c r="U157" s="231"/>
      <c r="V157" s="231"/>
      <c r="W157" s="232"/>
      <c r="X157" s="232"/>
      <c r="Y157" s="233"/>
      <c r="Z157" s="233"/>
      <c r="AA157" s="234"/>
      <c r="AB157" s="234"/>
      <c r="AC157" s="235"/>
      <c r="AD157" s="235"/>
      <c r="AE157" s="236"/>
      <c r="AF157" s="236"/>
      <c r="AG157" s="67"/>
      <c r="AH157" s="68"/>
      <c r="AI157" s="69"/>
      <c r="AJ157" s="71"/>
    </row>
    <row r="158" spans="1:36" s="22" customFormat="1" x14ac:dyDescent="0.25">
      <c r="A158" s="28" t="str">
        <f>IF(H158&lt;&gt;"",MAX($A$7:A157)+1,"")</f>
        <v/>
      </c>
      <c r="B158" s="243" t="str">
        <f t="shared" si="33"/>
        <v/>
      </c>
      <c r="C158" s="96" t="str">
        <f t="shared" si="34"/>
        <v/>
      </c>
      <c r="D158" s="238"/>
      <c r="E158" s="239"/>
      <c r="F158" s="239"/>
      <c r="G158" s="240"/>
      <c r="H158" s="241"/>
      <c r="I158" s="231"/>
      <c r="J158" s="231"/>
      <c r="K158" s="232"/>
      <c r="L158" s="232"/>
      <c r="M158" s="233"/>
      <c r="N158" s="233"/>
      <c r="O158" s="234"/>
      <c r="P158" s="234"/>
      <c r="Q158" s="235"/>
      <c r="R158" s="235"/>
      <c r="S158" s="236"/>
      <c r="T158" s="236"/>
      <c r="U158" s="231"/>
      <c r="V158" s="231"/>
      <c r="W158" s="232"/>
      <c r="X158" s="232"/>
      <c r="Y158" s="233"/>
      <c r="Z158" s="233"/>
      <c r="AA158" s="234"/>
      <c r="AB158" s="234"/>
      <c r="AC158" s="235"/>
      <c r="AD158" s="235"/>
      <c r="AE158" s="236"/>
      <c r="AF158" s="236"/>
      <c r="AG158" s="67"/>
      <c r="AH158" s="68"/>
      <c r="AI158" s="69"/>
      <c r="AJ158" s="71"/>
    </row>
    <row r="159" spans="1:36" s="22" customFormat="1" x14ac:dyDescent="0.25">
      <c r="A159" s="28" t="str">
        <f>IF(H159&lt;&gt;"",MAX($A$7:A158)+1,"")</f>
        <v/>
      </c>
      <c r="B159" s="243" t="str">
        <f t="shared" si="33"/>
        <v/>
      </c>
      <c r="C159" s="96" t="str">
        <f t="shared" si="34"/>
        <v/>
      </c>
      <c r="D159" s="238"/>
      <c r="E159" s="239"/>
      <c r="F159" s="239"/>
      <c r="G159" s="240"/>
      <c r="H159" s="241"/>
      <c r="I159" s="231"/>
      <c r="J159" s="231"/>
      <c r="K159" s="232"/>
      <c r="L159" s="232"/>
      <c r="M159" s="233"/>
      <c r="N159" s="233"/>
      <c r="O159" s="234"/>
      <c r="P159" s="234"/>
      <c r="Q159" s="235"/>
      <c r="R159" s="235"/>
      <c r="S159" s="236"/>
      <c r="T159" s="236"/>
      <c r="U159" s="231"/>
      <c r="V159" s="231"/>
      <c r="W159" s="232"/>
      <c r="X159" s="232"/>
      <c r="Y159" s="233"/>
      <c r="Z159" s="233"/>
      <c r="AA159" s="234"/>
      <c r="AB159" s="234"/>
      <c r="AC159" s="235"/>
      <c r="AD159" s="235"/>
      <c r="AE159" s="236"/>
      <c r="AF159" s="236"/>
      <c r="AG159" s="67"/>
      <c r="AH159" s="68"/>
      <c r="AI159" s="69"/>
      <c r="AJ159" s="71"/>
    </row>
    <row r="160" spans="1:36" s="22" customFormat="1" x14ac:dyDescent="0.25">
      <c r="A160" s="28" t="str">
        <f>IF(H160&lt;&gt;"",MAX($A$7:A159)+1,"")</f>
        <v/>
      </c>
      <c r="B160" s="243" t="str">
        <f t="shared" si="33"/>
        <v/>
      </c>
      <c r="C160" s="96" t="str">
        <f t="shared" si="34"/>
        <v/>
      </c>
      <c r="D160" s="238"/>
      <c r="E160" s="239"/>
      <c r="F160" s="239"/>
      <c r="G160" s="240"/>
      <c r="H160" s="241"/>
      <c r="I160" s="231"/>
      <c r="J160" s="231"/>
      <c r="K160" s="232"/>
      <c r="L160" s="232"/>
      <c r="M160" s="233"/>
      <c r="N160" s="233"/>
      <c r="O160" s="234"/>
      <c r="P160" s="234"/>
      <c r="Q160" s="235"/>
      <c r="R160" s="235"/>
      <c r="S160" s="236"/>
      <c r="T160" s="236"/>
      <c r="U160" s="231"/>
      <c r="V160" s="231"/>
      <c r="W160" s="232"/>
      <c r="X160" s="232"/>
      <c r="Y160" s="233"/>
      <c r="Z160" s="233"/>
      <c r="AA160" s="234"/>
      <c r="AB160" s="234"/>
      <c r="AC160" s="235"/>
      <c r="AD160" s="235"/>
      <c r="AE160" s="236"/>
      <c r="AF160" s="236"/>
      <c r="AG160" s="67"/>
      <c r="AH160" s="68"/>
      <c r="AI160" s="69"/>
      <c r="AJ160" s="71"/>
    </row>
    <row r="161" spans="1:36" s="22" customFormat="1" x14ac:dyDescent="0.25">
      <c r="A161" s="28" t="str">
        <f>IF(H161&lt;&gt;"",MAX($A$7:A160)+1,"")</f>
        <v/>
      </c>
      <c r="B161" s="243" t="str">
        <f t="shared" si="33"/>
        <v/>
      </c>
      <c r="C161" s="96" t="str">
        <f t="shared" si="34"/>
        <v/>
      </c>
      <c r="D161" s="238"/>
      <c r="E161" s="239"/>
      <c r="F161" s="239"/>
      <c r="G161" s="240"/>
      <c r="H161" s="241"/>
      <c r="I161" s="231"/>
      <c r="J161" s="231"/>
      <c r="K161" s="232"/>
      <c r="L161" s="232"/>
      <c r="M161" s="233"/>
      <c r="N161" s="233"/>
      <c r="O161" s="234"/>
      <c r="P161" s="234"/>
      <c r="Q161" s="235"/>
      <c r="R161" s="235"/>
      <c r="S161" s="236"/>
      <c r="T161" s="236"/>
      <c r="U161" s="231"/>
      <c r="V161" s="231"/>
      <c r="W161" s="232"/>
      <c r="X161" s="232"/>
      <c r="Y161" s="233"/>
      <c r="Z161" s="233"/>
      <c r="AA161" s="234"/>
      <c r="AB161" s="234"/>
      <c r="AC161" s="235"/>
      <c r="AD161" s="235"/>
      <c r="AE161" s="236"/>
      <c r="AF161" s="236"/>
      <c r="AG161" s="67"/>
      <c r="AH161" s="68"/>
      <c r="AI161" s="69"/>
      <c r="AJ161" s="71"/>
    </row>
    <row r="162" spans="1:36" s="22" customFormat="1" x14ac:dyDescent="0.25">
      <c r="A162" s="28" t="str">
        <f>IF(H162&lt;&gt;"",MAX($A$7:A161)+1,"")</f>
        <v/>
      </c>
      <c r="B162" s="243" t="str">
        <f t="shared" si="33"/>
        <v/>
      </c>
      <c r="C162" s="96" t="str">
        <f t="shared" si="34"/>
        <v/>
      </c>
      <c r="D162" s="238"/>
      <c r="E162" s="239"/>
      <c r="F162" s="239"/>
      <c r="G162" s="240"/>
      <c r="H162" s="241"/>
      <c r="I162" s="231"/>
      <c r="J162" s="231"/>
      <c r="K162" s="232"/>
      <c r="L162" s="232"/>
      <c r="M162" s="233"/>
      <c r="N162" s="233"/>
      <c r="O162" s="234"/>
      <c r="P162" s="234"/>
      <c r="Q162" s="235"/>
      <c r="R162" s="235"/>
      <c r="S162" s="236"/>
      <c r="T162" s="236"/>
      <c r="U162" s="231"/>
      <c r="V162" s="231"/>
      <c r="W162" s="232"/>
      <c r="X162" s="232"/>
      <c r="Y162" s="233"/>
      <c r="Z162" s="233"/>
      <c r="AA162" s="234"/>
      <c r="AB162" s="234"/>
      <c r="AC162" s="235"/>
      <c r="AD162" s="235"/>
      <c r="AE162" s="236"/>
      <c r="AF162" s="236"/>
      <c r="AG162" s="67"/>
      <c r="AH162" s="68"/>
      <c r="AI162" s="69"/>
      <c r="AJ162" s="71"/>
    </row>
    <row r="163" spans="1:36" s="22" customFormat="1" x14ac:dyDescent="0.25">
      <c r="A163" s="28" t="str">
        <f>IF(H163&lt;&gt;"",MAX($A$7:A162)+1,"")</f>
        <v/>
      </c>
      <c r="B163" s="243" t="str">
        <f t="shared" si="33"/>
        <v/>
      </c>
      <c r="C163" s="96" t="str">
        <f t="shared" si="34"/>
        <v/>
      </c>
      <c r="D163" s="238"/>
      <c r="E163" s="239"/>
      <c r="F163" s="239"/>
      <c r="G163" s="240"/>
      <c r="H163" s="241"/>
      <c r="I163" s="231"/>
      <c r="J163" s="231"/>
      <c r="K163" s="232"/>
      <c r="L163" s="232"/>
      <c r="M163" s="233"/>
      <c r="N163" s="233"/>
      <c r="O163" s="234"/>
      <c r="P163" s="234"/>
      <c r="Q163" s="235"/>
      <c r="R163" s="235"/>
      <c r="S163" s="236"/>
      <c r="T163" s="236"/>
      <c r="U163" s="231"/>
      <c r="V163" s="231"/>
      <c r="W163" s="232"/>
      <c r="X163" s="232"/>
      <c r="Y163" s="233"/>
      <c r="Z163" s="233"/>
      <c r="AA163" s="234"/>
      <c r="AB163" s="234"/>
      <c r="AC163" s="235"/>
      <c r="AD163" s="235"/>
      <c r="AE163" s="236"/>
      <c r="AF163" s="236"/>
      <c r="AG163" s="67"/>
      <c r="AH163" s="68"/>
      <c r="AI163" s="69"/>
      <c r="AJ163" s="71"/>
    </row>
    <row r="164" spans="1:36" s="22" customFormat="1" x14ac:dyDescent="0.25">
      <c r="A164" s="28" t="str">
        <f>IF(H164&lt;&gt;"",MAX($A$7:A163)+1,"")</f>
        <v/>
      </c>
      <c r="B164" s="243" t="str">
        <f t="shared" si="33"/>
        <v/>
      </c>
      <c r="C164" s="96" t="str">
        <f t="shared" si="34"/>
        <v/>
      </c>
      <c r="D164" s="238"/>
      <c r="E164" s="239"/>
      <c r="F164" s="239"/>
      <c r="G164" s="240"/>
      <c r="H164" s="241"/>
      <c r="I164" s="231"/>
      <c r="J164" s="231"/>
      <c r="K164" s="232"/>
      <c r="L164" s="232"/>
      <c r="M164" s="233"/>
      <c r="N164" s="233"/>
      <c r="O164" s="234"/>
      <c r="P164" s="234"/>
      <c r="Q164" s="235"/>
      <c r="R164" s="235"/>
      <c r="S164" s="236"/>
      <c r="T164" s="236"/>
      <c r="U164" s="231"/>
      <c r="V164" s="231"/>
      <c r="W164" s="232"/>
      <c r="X164" s="232"/>
      <c r="Y164" s="233"/>
      <c r="Z164" s="233"/>
      <c r="AA164" s="234"/>
      <c r="AB164" s="234"/>
      <c r="AC164" s="235"/>
      <c r="AD164" s="235"/>
      <c r="AE164" s="236"/>
      <c r="AF164" s="236"/>
      <c r="AG164" s="67"/>
      <c r="AH164" s="68"/>
      <c r="AI164" s="69"/>
      <c r="AJ164" s="71"/>
    </row>
    <row r="165" spans="1:36" s="22" customFormat="1" x14ac:dyDescent="0.25">
      <c r="A165" s="28" t="str">
        <f>IF(H165&lt;&gt;"",MAX($A$7:A164)+1,"")</f>
        <v/>
      </c>
      <c r="B165" s="243" t="str">
        <f t="shared" si="33"/>
        <v/>
      </c>
      <c r="C165" s="96" t="str">
        <f t="shared" si="34"/>
        <v/>
      </c>
      <c r="D165" s="238"/>
      <c r="E165" s="239"/>
      <c r="F165" s="239"/>
      <c r="G165" s="240"/>
      <c r="H165" s="241"/>
      <c r="I165" s="231"/>
      <c r="J165" s="231"/>
      <c r="K165" s="232"/>
      <c r="L165" s="232"/>
      <c r="M165" s="233"/>
      <c r="N165" s="233"/>
      <c r="O165" s="234"/>
      <c r="P165" s="234"/>
      <c r="Q165" s="235"/>
      <c r="R165" s="235"/>
      <c r="S165" s="236"/>
      <c r="T165" s="236"/>
      <c r="U165" s="231"/>
      <c r="V165" s="231"/>
      <c r="W165" s="232"/>
      <c r="X165" s="232"/>
      <c r="Y165" s="233"/>
      <c r="Z165" s="233"/>
      <c r="AA165" s="234"/>
      <c r="AB165" s="234"/>
      <c r="AC165" s="235"/>
      <c r="AD165" s="235"/>
      <c r="AE165" s="236"/>
      <c r="AF165" s="236"/>
      <c r="AG165" s="67"/>
      <c r="AH165" s="68"/>
      <c r="AI165" s="69"/>
      <c r="AJ165" s="71"/>
    </row>
    <row r="166" spans="1:36" s="22" customFormat="1" x14ac:dyDescent="0.25">
      <c r="A166" s="28" t="str">
        <f>IF(H166&lt;&gt;"",MAX($A$7:A165)+1,"")</f>
        <v/>
      </c>
      <c r="B166" s="243" t="str">
        <f t="shared" si="33"/>
        <v/>
      </c>
      <c r="C166" s="96" t="str">
        <f t="shared" si="34"/>
        <v/>
      </c>
      <c r="D166" s="238"/>
      <c r="E166" s="239"/>
      <c r="F166" s="239"/>
      <c r="G166" s="240"/>
      <c r="H166" s="241"/>
      <c r="I166" s="231"/>
      <c r="J166" s="231"/>
      <c r="K166" s="232"/>
      <c r="L166" s="232"/>
      <c r="M166" s="233"/>
      <c r="N166" s="233"/>
      <c r="O166" s="234"/>
      <c r="P166" s="234"/>
      <c r="Q166" s="235"/>
      <c r="R166" s="235"/>
      <c r="S166" s="236"/>
      <c r="T166" s="236"/>
      <c r="U166" s="231"/>
      <c r="V166" s="231"/>
      <c r="W166" s="232"/>
      <c r="X166" s="232"/>
      <c r="Y166" s="233"/>
      <c r="Z166" s="233"/>
      <c r="AA166" s="234"/>
      <c r="AB166" s="234"/>
      <c r="AC166" s="235"/>
      <c r="AD166" s="235"/>
      <c r="AE166" s="236"/>
      <c r="AF166" s="236"/>
      <c r="AG166" s="67"/>
      <c r="AH166" s="68"/>
      <c r="AI166" s="69"/>
      <c r="AJ166" s="71"/>
    </row>
    <row r="167" spans="1:36" s="22" customFormat="1" x14ac:dyDescent="0.25">
      <c r="A167" s="28" t="str">
        <f>IF(H167&lt;&gt;"",MAX($A$7:A166)+1,"")</f>
        <v/>
      </c>
      <c r="B167" s="243" t="str">
        <f t="shared" si="33"/>
        <v/>
      </c>
      <c r="C167" s="96" t="str">
        <f t="shared" si="34"/>
        <v/>
      </c>
      <c r="D167" s="238"/>
      <c r="E167" s="239"/>
      <c r="F167" s="239"/>
      <c r="G167" s="240"/>
      <c r="H167" s="241"/>
      <c r="I167" s="231"/>
      <c r="J167" s="231"/>
      <c r="K167" s="232"/>
      <c r="L167" s="232"/>
      <c r="M167" s="233"/>
      <c r="N167" s="233"/>
      <c r="O167" s="234"/>
      <c r="P167" s="234"/>
      <c r="Q167" s="235"/>
      <c r="R167" s="235"/>
      <c r="S167" s="236"/>
      <c r="T167" s="236"/>
      <c r="U167" s="231"/>
      <c r="V167" s="231"/>
      <c r="W167" s="232"/>
      <c r="X167" s="232"/>
      <c r="Y167" s="233"/>
      <c r="Z167" s="233"/>
      <c r="AA167" s="234"/>
      <c r="AB167" s="234"/>
      <c r="AC167" s="235"/>
      <c r="AD167" s="235"/>
      <c r="AE167" s="236"/>
      <c r="AF167" s="236"/>
      <c r="AG167" s="67"/>
      <c r="AH167" s="68"/>
      <c r="AI167" s="69"/>
      <c r="AJ167" s="71"/>
    </row>
    <row r="168" spans="1:36" s="22" customFormat="1" x14ac:dyDescent="0.25">
      <c r="A168" s="28" t="str">
        <f>IF(H168&lt;&gt;"",MAX($A$7:A167)+1,"")</f>
        <v/>
      </c>
      <c r="B168" s="243" t="str">
        <f t="shared" si="33"/>
        <v/>
      </c>
      <c r="C168" s="96" t="str">
        <f t="shared" si="34"/>
        <v/>
      </c>
      <c r="D168" s="238"/>
      <c r="E168" s="239"/>
      <c r="F168" s="239"/>
      <c r="G168" s="240"/>
      <c r="H168" s="241"/>
      <c r="I168" s="231"/>
      <c r="J168" s="231"/>
      <c r="K168" s="232"/>
      <c r="L168" s="232"/>
      <c r="M168" s="233"/>
      <c r="N168" s="233"/>
      <c r="O168" s="234"/>
      <c r="P168" s="234"/>
      <c r="Q168" s="235"/>
      <c r="R168" s="235"/>
      <c r="S168" s="236"/>
      <c r="T168" s="236"/>
      <c r="U168" s="231"/>
      <c r="V168" s="231"/>
      <c r="W168" s="232"/>
      <c r="X168" s="232"/>
      <c r="Y168" s="233"/>
      <c r="Z168" s="233"/>
      <c r="AA168" s="234"/>
      <c r="AB168" s="234"/>
      <c r="AC168" s="235"/>
      <c r="AD168" s="235"/>
      <c r="AE168" s="236"/>
      <c r="AF168" s="236"/>
      <c r="AG168" s="67"/>
      <c r="AH168" s="68"/>
      <c r="AI168" s="69"/>
      <c r="AJ168" s="71"/>
    </row>
    <row r="169" spans="1:36" s="22" customFormat="1" x14ac:dyDescent="0.25">
      <c r="A169" s="28" t="str">
        <f>IF(H169&lt;&gt;"",MAX($A$7:A168)+1,"")</f>
        <v/>
      </c>
      <c r="B169" s="243" t="str">
        <f t="shared" si="33"/>
        <v/>
      </c>
      <c r="C169" s="96" t="str">
        <f t="shared" si="34"/>
        <v/>
      </c>
      <c r="D169" s="238"/>
      <c r="E169" s="239"/>
      <c r="F169" s="239"/>
      <c r="G169" s="240"/>
      <c r="H169" s="241"/>
      <c r="I169" s="231"/>
      <c r="J169" s="231"/>
      <c r="K169" s="232"/>
      <c r="L169" s="232"/>
      <c r="M169" s="233"/>
      <c r="N169" s="233"/>
      <c r="O169" s="234"/>
      <c r="P169" s="234"/>
      <c r="Q169" s="235"/>
      <c r="R169" s="235"/>
      <c r="S169" s="236"/>
      <c r="T169" s="236"/>
      <c r="U169" s="231"/>
      <c r="V169" s="231"/>
      <c r="W169" s="232"/>
      <c r="X169" s="232"/>
      <c r="Y169" s="233"/>
      <c r="Z169" s="233"/>
      <c r="AA169" s="234"/>
      <c r="AB169" s="234"/>
      <c r="AC169" s="235"/>
      <c r="AD169" s="235"/>
      <c r="AE169" s="236"/>
      <c r="AF169" s="236"/>
      <c r="AG169" s="67"/>
      <c r="AH169" s="68"/>
      <c r="AI169" s="69"/>
      <c r="AJ169" s="71"/>
    </row>
    <row r="170" spans="1:36" s="22" customFormat="1" x14ac:dyDescent="0.25">
      <c r="A170" s="28" t="str">
        <f>IF(H170&lt;&gt;"",MAX($A$7:A169)+1,"")</f>
        <v/>
      </c>
      <c r="B170" s="243" t="str">
        <f t="shared" si="33"/>
        <v/>
      </c>
      <c r="C170" s="96" t="str">
        <f t="shared" si="34"/>
        <v/>
      </c>
      <c r="D170" s="238"/>
      <c r="E170" s="239"/>
      <c r="F170" s="239"/>
      <c r="G170" s="240"/>
      <c r="H170" s="241"/>
      <c r="I170" s="231"/>
      <c r="J170" s="231"/>
      <c r="K170" s="232"/>
      <c r="L170" s="232"/>
      <c r="M170" s="233"/>
      <c r="N170" s="233"/>
      <c r="O170" s="234"/>
      <c r="P170" s="234"/>
      <c r="Q170" s="235"/>
      <c r="R170" s="235"/>
      <c r="S170" s="236"/>
      <c r="T170" s="236"/>
      <c r="U170" s="231"/>
      <c r="V170" s="231"/>
      <c r="W170" s="232"/>
      <c r="X170" s="232"/>
      <c r="Y170" s="233"/>
      <c r="Z170" s="233"/>
      <c r="AA170" s="234"/>
      <c r="AB170" s="234"/>
      <c r="AC170" s="235"/>
      <c r="AD170" s="235"/>
      <c r="AE170" s="236"/>
      <c r="AF170" s="236"/>
      <c r="AG170" s="67"/>
      <c r="AH170" s="68"/>
      <c r="AI170" s="69"/>
      <c r="AJ170" s="71"/>
    </row>
    <row r="171" spans="1:36" s="22" customFormat="1" x14ac:dyDescent="0.25">
      <c r="A171" s="28" t="str">
        <f>IF(H171&lt;&gt;"",MAX($A$7:A170)+1,"")</f>
        <v/>
      </c>
      <c r="B171" s="243" t="str">
        <f t="shared" si="33"/>
        <v/>
      </c>
      <c r="C171" s="96" t="str">
        <f t="shared" si="34"/>
        <v/>
      </c>
      <c r="D171" s="238"/>
      <c r="E171" s="239"/>
      <c r="F171" s="239"/>
      <c r="G171" s="240"/>
      <c r="H171" s="241"/>
      <c r="I171" s="231"/>
      <c r="J171" s="231"/>
      <c r="K171" s="232"/>
      <c r="L171" s="232"/>
      <c r="M171" s="233"/>
      <c r="N171" s="233"/>
      <c r="O171" s="234"/>
      <c r="P171" s="234"/>
      <c r="Q171" s="235"/>
      <c r="R171" s="235"/>
      <c r="S171" s="236"/>
      <c r="T171" s="236"/>
      <c r="U171" s="231"/>
      <c r="V171" s="231"/>
      <c r="W171" s="232"/>
      <c r="X171" s="232"/>
      <c r="Y171" s="233"/>
      <c r="Z171" s="233"/>
      <c r="AA171" s="234"/>
      <c r="AB171" s="234"/>
      <c r="AC171" s="235"/>
      <c r="AD171" s="235"/>
      <c r="AE171" s="236"/>
      <c r="AF171" s="236"/>
      <c r="AG171" s="67"/>
      <c r="AH171" s="68"/>
      <c r="AI171" s="69"/>
      <c r="AJ171" s="71"/>
    </row>
    <row r="172" spans="1:36" s="22" customFormat="1" x14ac:dyDescent="0.25">
      <c r="A172" s="28" t="str">
        <f>IF(H172&lt;&gt;"",MAX($A$7:A171)+1,"")</f>
        <v/>
      </c>
      <c r="B172" s="243" t="str">
        <f t="shared" si="33"/>
        <v/>
      </c>
      <c r="C172" s="96" t="str">
        <f t="shared" si="34"/>
        <v/>
      </c>
      <c r="D172" s="238"/>
      <c r="E172" s="239"/>
      <c r="F172" s="239"/>
      <c r="G172" s="240"/>
      <c r="H172" s="241"/>
      <c r="I172" s="231"/>
      <c r="J172" s="231"/>
      <c r="K172" s="232"/>
      <c r="L172" s="232"/>
      <c r="M172" s="233"/>
      <c r="N172" s="233"/>
      <c r="O172" s="234"/>
      <c r="P172" s="234"/>
      <c r="Q172" s="235"/>
      <c r="R172" s="235"/>
      <c r="S172" s="236"/>
      <c r="T172" s="236"/>
      <c r="U172" s="231"/>
      <c r="V172" s="231"/>
      <c r="W172" s="232"/>
      <c r="X172" s="232"/>
      <c r="Y172" s="233"/>
      <c r="Z172" s="233"/>
      <c r="AA172" s="234"/>
      <c r="AB172" s="234"/>
      <c r="AC172" s="235"/>
      <c r="AD172" s="235"/>
      <c r="AE172" s="236"/>
      <c r="AF172" s="236"/>
      <c r="AG172" s="67"/>
      <c r="AH172" s="68"/>
      <c r="AI172" s="69"/>
      <c r="AJ172" s="71"/>
    </row>
    <row r="173" spans="1:36" s="22" customFormat="1" x14ac:dyDescent="0.25">
      <c r="A173" s="28" t="str">
        <f>IF(H173&lt;&gt;"",MAX($A$7:A172)+1,"")</f>
        <v/>
      </c>
      <c r="B173" s="243" t="str">
        <f t="shared" si="33"/>
        <v/>
      </c>
      <c r="C173" s="96" t="str">
        <f t="shared" si="34"/>
        <v/>
      </c>
      <c r="D173" s="238"/>
      <c r="E173" s="239"/>
      <c r="F173" s="239"/>
      <c r="G173" s="240"/>
      <c r="H173" s="241"/>
      <c r="I173" s="231"/>
      <c r="J173" s="231"/>
      <c r="K173" s="232"/>
      <c r="L173" s="232"/>
      <c r="M173" s="233"/>
      <c r="N173" s="233"/>
      <c r="O173" s="234"/>
      <c r="P173" s="234"/>
      <c r="Q173" s="235"/>
      <c r="R173" s="235"/>
      <c r="S173" s="236"/>
      <c r="T173" s="236"/>
      <c r="U173" s="231"/>
      <c r="V173" s="231"/>
      <c r="W173" s="232"/>
      <c r="X173" s="232"/>
      <c r="Y173" s="233"/>
      <c r="Z173" s="233"/>
      <c r="AA173" s="234"/>
      <c r="AB173" s="234"/>
      <c r="AC173" s="235"/>
      <c r="AD173" s="235"/>
      <c r="AE173" s="236"/>
      <c r="AF173" s="236"/>
      <c r="AG173" s="67"/>
      <c r="AH173" s="68"/>
      <c r="AI173" s="69"/>
      <c r="AJ173" s="71"/>
    </row>
    <row r="174" spans="1:36" s="22" customFormat="1" x14ac:dyDescent="0.25">
      <c r="A174" s="28" t="str">
        <f>IF(H174&lt;&gt;"",MAX($A$7:A173)+1,"")</f>
        <v/>
      </c>
      <c r="B174" s="243" t="str">
        <f t="shared" si="33"/>
        <v/>
      </c>
      <c r="C174" s="96" t="str">
        <f t="shared" si="34"/>
        <v/>
      </c>
      <c r="D174" s="238"/>
      <c r="E174" s="239"/>
      <c r="F174" s="239"/>
      <c r="G174" s="240"/>
      <c r="H174" s="241"/>
      <c r="I174" s="231"/>
      <c r="J174" s="231"/>
      <c r="K174" s="232"/>
      <c r="L174" s="232"/>
      <c r="M174" s="233"/>
      <c r="N174" s="233"/>
      <c r="O174" s="234"/>
      <c r="P174" s="234"/>
      <c r="Q174" s="235"/>
      <c r="R174" s="235"/>
      <c r="S174" s="236"/>
      <c r="T174" s="236"/>
      <c r="U174" s="231"/>
      <c r="V174" s="231"/>
      <c r="W174" s="232"/>
      <c r="X174" s="232"/>
      <c r="Y174" s="233"/>
      <c r="Z174" s="233"/>
      <c r="AA174" s="234"/>
      <c r="AB174" s="234"/>
      <c r="AC174" s="235"/>
      <c r="AD174" s="235"/>
      <c r="AE174" s="236"/>
      <c r="AF174" s="236"/>
      <c r="AG174" s="67"/>
      <c r="AH174" s="68"/>
      <c r="AI174" s="69"/>
      <c r="AJ174" s="71"/>
    </row>
    <row r="175" spans="1:36" s="22" customFormat="1" x14ac:dyDescent="0.25">
      <c r="A175" s="28" t="str">
        <f>IF(H175&lt;&gt;"",MAX($A$7:A174)+1,"")</f>
        <v/>
      </c>
      <c r="B175" s="243" t="str">
        <f t="shared" si="33"/>
        <v/>
      </c>
      <c r="C175" s="96" t="str">
        <f t="shared" si="34"/>
        <v/>
      </c>
      <c r="D175" s="238"/>
      <c r="E175" s="239"/>
      <c r="F175" s="239"/>
      <c r="G175" s="240"/>
      <c r="H175" s="241"/>
      <c r="I175" s="231"/>
      <c r="J175" s="231"/>
      <c r="K175" s="232"/>
      <c r="L175" s="232"/>
      <c r="M175" s="233"/>
      <c r="N175" s="233"/>
      <c r="O175" s="234"/>
      <c r="P175" s="234"/>
      <c r="Q175" s="235"/>
      <c r="R175" s="235"/>
      <c r="S175" s="236"/>
      <c r="T175" s="236"/>
      <c r="U175" s="231"/>
      <c r="V175" s="231"/>
      <c r="W175" s="232"/>
      <c r="X175" s="232"/>
      <c r="Y175" s="233"/>
      <c r="Z175" s="233"/>
      <c r="AA175" s="234"/>
      <c r="AB175" s="234"/>
      <c r="AC175" s="235"/>
      <c r="AD175" s="235"/>
      <c r="AE175" s="236"/>
      <c r="AF175" s="236"/>
      <c r="AG175" s="67"/>
      <c r="AH175" s="68"/>
      <c r="AI175" s="69"/>
      <c r="AJ175" s="71"/>
    </row>
    <row r="176" spans="1:36" s="22" customFormat="1" x14ac:dyDescent="0.25">
      <c r="A176" s="28" t="str">
        <f>IF(H176&lt;&gt;"",MAX($A$7:A175)+1,"")</f>
        <v/>
      </c>
      <c r="B176" s="243" t="str">
        <f t="shared" si="33"/>
        <v/>
      </c>
      <c r="C176" s="96" t="str">
        <f t="shared" si="34"/>
        <v/>
      </c>
      <c r="D176" s="238"/>
      <c r="E176" s="239"/>
      <c r="F176" s="239"/>
      <c r="G176" s="240"/>
      <c r="H176" s="241"/>
      <c r="I176" s="231"/>
      <c r="J176" s="231"/>
      <c r="K176" s="232"/>
      <c r="L176" s="232"/>
      <c r="M176" s="233"/>
      <c r="N176" s="233"/>
      <c r="O176" s="234"/>
      <c r="P176" s="234"/>
      <c r="Q176" s="235"/>
      <c r="R176" s="235"/>
      <c r="S176" s="236"/>
      <c r="T176" s="236"/>
      <c r="U176" s="231"/>
      <c r="V176" s="231"/>
      <c r="W176" s="232"/>
      <c r="X176" s="232"/>
      <c r="Y176" s="233"/>
      <c r="Z176" s="233"/>
      <c r="AA176" s="234"/>
      <c r="AB176" s="234"/>
      <c r="AC176" s="235"/>
      <c r="AD176" s="235"/>
      <c r="AE176" s="236"/>
      <c r="AF176" s="236"/>
      <c r="AG176" s="67"/>
      <c r="AH176" s="68"/>
      <c r="AI176" s="69"/>
      <c r="AJ176" s="71"/>
    </row>
    <row r="177" spans="1:36" s="22" customFormat="1" x14ac:dyDescent="0.25">
      <c r="A177" s="28" t="str">
        <f>IF(H177&lt;&gt;"",MAX($A$7:A176)+1,"")</f>
        <v/>
      </c>
      <c r="B177" s="243" t="str">
        <f t="shared" si="33"/>
        <v/>
      </c>
      <c r="C177" s="96" t="str">
        <f t="shared" si="34"/>
        <v/>
      </c>
      <c r="D177" s="238"/>
      <c r="E177" s="239"/>
      <c r="F177" s="239"/>
      <c r="G177" s="240"/>
      <c r="H177" s="241"/>
      <c r="I177" s="231"/>
      <c r="J177" s="231"/>
      <c r="K177" s="232"/>
      <c r="L177" s="232"/>
      <c r="M177" s="233"/>
      <c r="N177" s="233"/>
      <c r="O177" s="234"/>
      <c r="P177" s="234"/>
      <c r="Q177" s="235"/>
      <c r="R177" s="235"/>
      <c r="S177" s="236"/>
      <c r="T177" s="236"/>
      <c r="U177" s="231"/>
      <c r="V177" s="231"/>
      <c r="W177" s="232"/>
      <c r="X177" s="232"/>
      <c r="Y177" s="233"/>
      <c r="Z177" s="233"/>
      <c r="AA177" s="234"/>
      <c r="AB177" s="234"/>
      <c r="AC177" s="235"/>
      <c r="AD177" s="235"/>
      <c r="AE177" s="236"/>
      <c r="AF177" s="236"/>
      <c r="AG177" s="67"/>
      <c r="AH177" s="68"/>
      <c r="AI177" s="69"/>
      <c r="AJ177" s="71"/>
    </row>
    <row r="178" spans="1:36" s="22" customFormat="1" x14ac:dyDescent="0.25">
      <c r="A178" s="28" t="str">
        <f>IF(H178&lt;&gt;"",MAX($A$7:A177)+1,"")</f>
        <v/>
      </c>
      <c r="B178" s="243" t="str">
        <f t="shared" si="33"/>
        <v/>
      </c>
      <c r="C178" s="96" t="str">
        <f t="shared" si="34"/>
        <v/>
      </c>
      <c r="D178" s="238"/>
      <c r="E178" s="239"/>
      <c r="F178" s="239"/>
      <c r="G178" s="240"/>
      <c r="H178" s="241"/>
      <c r="I178" s="231"/>
      <c r="J178" s="231"/>
      <c r="K178" s="232"/>
      <c r="L178" s="232"/>
      <c r="M178" s="233"/>
      <c r="N178" s="233"/>
      <c r="O178" s="234"/>
      <c r="P178" s="234"/>
      <c r="Q178" s="235"/>
      <c r="R178" s="235"/>
      <c r="S178" s="236"/>
      <c r="T178" s="236"/>
      <c r="U178" s="231"/>
      <c r="V178" s="231"/>
      <c r="W178" s="232"/>
      <c r="X178" s="232"/>
      <c r="Y178" s="233"/>
      <c r="Z178" s="233"/>
      <c r="AA178" s="234"/>
      <c r="AB178" s="234"/>
      <c r="AC178" s="235"/>
      <c r="AD178" s="235"/>
      <c r="AE178" s="236"/>
      <c r="AF178" s="236"/>
      <c r="AG178" s="67"/>
      <c r="AH178" s="68"/>
      <c r="AI178" s="69"/>
      <c r="AJ178" s="71"/>
    </row>
    <row r="179" spans="1:36" s="22" customFormat="1" x14ac:dyDescent="0.25">
      <c r="A179" s="28" t="str">
        <f>IF(H179&lt;&gt;"",MAX($A$7:A178)+1,"")</f>
        <v/>
      </c>
      <c r="B179" s="243" t="str">
        <f t="shared" si="33"/>
        <v/>
      </c>
      <c r="C179" s="96" t="str">
        <f t="shared" si="34"/>
        <v/>
      </c>
      <c r="D179" s="238"/>
      <c r="E179" s="239"/>
      <c r="F179" s="239"/>
      <c r="G179" s="240"/>
      <c r="H179" s="241"/>
      <c r="I179" s="231"/>
      <c r="J179" s="231"/>
      <c r="K179" s="232"/>
      <c r="L179" s="232"/>
      <c r="M179" s="233"/>
      <c r="N179" s="233"/>
      <c r="O179" s="234"/>
      <c r="P179" s="234"/>
      <c r="Q179" s="235"/>
      <c r="R179" s="235"/>
      <c r="S179" s="236"/>
      <c r="T179" s="236"/>
      <c r="U179" s="231"/>
      <c r="V179" s="231"/>
      <c r="W179" s="232"/>
      <c r="X179" s="232"/>
      <c r="Y179" s="233"/>
      <c r="Z179" s="233"/>
      <c r="AA179" s="234"/>
      <c r="AB179" s="234"/>
      <c r="AC179" s="235"/>
      <c r="AD179" s="235"/>
      <c r="AE179" s="236"/>
      <c r="AF179" s="236"/>
      <c r="AG179" s="67"/>
      <c r="AH179" s="68"/>
      <c r="AI179" s="69"/>
      <c r="AJ179" s="71"/>
    </row>
    <row r="180" spans="1:36" s="22" customFormat="1" x14ac:dyDescent="0.25">
      <c r="A180" s="28" t="str">
        <f>IF(H180&lt;&gt;"",MAX($A$7:A179)+1,"")</f>
        <v/>
      </c>
      <c r="B180" s="243" t="str">
        <f t="shared" si="33"/>
        <v/>
      </c>
      <c r="C180" s="96" t="str">
        <f t="shared" si="34"/>
        <v/>
      </c>
      <c r="D180" s="238"/>
      <c r="E180" s="239"/>
      <c r="F180" s="239"/>
      <c r="G180" s="240"/>
      <c r="H180" s="241"/>
      <c r="I180" s="231"/>
      <c r="J180" s="231"/>
      <c r="K180" s="232"/>
      <c r="L180" s="232"/>
      <c r="M180" s="233"/>
      <c r="N180" s="233"/>
      <c r="O180" s="234"/>
      <c r="P180" s="234"/>
      <c r="Q180" s="235"/>
      <c r="R180" s="235"/>
      <c r="S180" s="236"/>
      <c r="T180" s="236"/>
      <c r="U180" s="231"/>
      <c r="V180" s="231"/>
      <c r="W180" s="232"/>
      <c r="X180" s="232"/>
      <c r="Y180" s="233"/>
      <c r="Z180" s="233"/>
      <c r="AA180" s="234"/>
      <c r="AB180" s="234"/>
      <c r="AC180" s="235"/>
      <c r="AD180" s="235"/>
      <c r="AE180" s="236"/>
      <c r="AF180" s="236"/>
      <c r="AG180" s="67"/>
      <c r="AH180" s="68"/>
      <c r="AI180" s="69"/>
      <c r="AJ180" s="71"/>
    </row>
    <row r="181" spans="1:36" s="22" customFormat="1" x14ac:dyDescent="0.25">
      <c r="A181" s="28" t="str">
        <f>IF(H181&lt;&gt;"",MAX($A$7:A180)+1,"")</f>
        <v/>
      </c>
      <c r="B181" s="243" t="str">
        <f t="shared" si="33"/>
        <v/>
      </c>
      <c r="C181" s="96" t="str">
        <f t="shared" si="34"/>
        <v/>
      </c>
      <c r="D181" s="238"/>
      <c r="E181" s="239"/>
      <c r="F181" s="239"/>
      <c r="G181" s="240"/>
      <c r="H181" s="241"/>
      <c r="I181" s="231"/>
      <c r="J181" s="231"/>
      <c r="K181" s="232"/>
      <c r="L181" s="232"/>
      <c r="M181" s="233"/>
      <c r="N181" s="233"/>
      <c r="O181" s="234"/>
      <c r="P181" s="234"/>
      <c r="Q181" s="235"/>
      <c r="R181" s="235"/>
      <c r="S181" s="236"/>
      <c r="T181" s="236"/>
      <c r="U181" s="231"/>
      <c r="V181" s="231"/>
      <c r="W181" s="232"/>
      <c r="X181" s="232"/>
      <c r="Y181" s="233"/>
      <c r="Z181" s="233"/>
      <c r="AA181" s="234"/>
      <c r="AB181" s="234"/>
      <c r="AC181" s="235"/>
      <c r="AD181" s="235"/>
      <c r="AE181" s="236"/>
      <c r="AF181" s="236"/>
      <c r="AG181" s="67"/>
      <c r="AH181" s="68"/>
      <c r="AI181" s="69"/>
      <c r="AJ181" s="71"/>
    </row>
    <row r="182" spans="1:36" s="22" customFormat="1" x14ac:dyDescent="0.25">
      <c r="A182" s="28" t="str">
        <f>IF(H182&lt;&gt;"",MAX($A$7:A181)+1,"")</f>
        <v/>
      </c>
      <c r="B182" s="243" t="str">
        <f t="shared" si="33"/>
        <v/>
      </c>
      <c r="C182" s="96" t="str">
        <f t="shared" si="34"/>
        <v/>
      </c>
      <c r="D182" s="238"/>
      <c r="E182" s="239"/>
      <c r="F182" s="239"/>
      <c r="G182" s="240"/>
      <c r="H182" s="241"/>
      <c r="I182" s="231"/>
      <c r="J182" s="231"/>
      <c r="K182" s="232"/>
      <c r="L182" s="232"/>
      <c r="M182" s="233"/>
      <c r="N182" s="233"/>
      <c r="O182" s="234"/>
      <c r="P182" s="234"/>
      <c r="Q182" s="235"/>
      <c r="R182" s="235"/>
      <c r="S182" s="236"/>
      <c r="T182" s="236"/>
      <c r="U182" s="231"/>
      <c r="V182" s="231"/>
      <c r="W182" s="232"/>
      <c r="X182" s="232"/>
      <c r="Y182" s="233"/>
      <c r="Z182" s="233"/>
      <c r="AA182" s="234"/>
      <c r="AB182" s="234"/>
      <c r="AC182" s="235"/>
      <c r="AD182" s="235"/>
      <c r="AE182" s="236"/>
      <c r="AF182" s="236"/>
      <c r="AG182" s="67"/>
      <c r="AH182" s="68"/>
      <c r="AI182" s="69"/>
      <c r="AJ182" s="71"/>
    </row>
    <row r="183" spans="1:36" s="22" customFormat="1" x14ac:dyDescent="0.25">
      <c r="A183" s="28" t="str">
        <f>IF(H183&lt;&gt;"",MAX($A$7:A182)+1,"")</f>
        <v/>
      </c>
      <c r="B183" s="243" t="str">
        <f t="shared" si="33"/>
        <v/>
      </c>
      <c r="C183" s="96" t="str">
        <f t="shared" si="34"/>
        <v/>
      </c>
      <c r="D183" s="238"/>
      <c r="E183" s="239"/>
      <c r="F183" s="239"/>
      <c r="G183" s="240"/>
      <c r="H183" s="241"/>
      <c r="I183" s="231"/>
      <c r="J183" s="231"/>
      <c r="K183" s="232"/>
      <c r="L183" s="232"/>
      <c r="M183" s="233"/>
      <c r="N183" s="233"/>
      <c r="O183" s="234"/>
      <c r="P183" s="234"/>
      <c r="Q183" s="235"/>
      <c r="R183" s="235"/>
      <c r="S183" s="236"/>
      <c r="T183" s="236"/>
      <c r="U183" s="231"/>
      <c r="V183" s="231"/>
      <c r="W183" s="232"/>
      <c r="X183" s="232"/>
      <c r="Y183" s="233"/>
      <c r="Z183" s="233"/>
      <c r="AA183" s="234"/>
      <c r="AB183" s="234"/>
      <c r="AC183" s="235"/>
      <c r="AD183" s="235"/>
      <c r="AE183" s="236"/>
      <c r="AF183" s="236"/>
      <c r="AG183" s="67"/>
      <c r="AH183" s="68"/>
      <c r="AI183" s="69"/>
      <c r="AJ183" s="71"/>
    </row>
    <row r="184" spans="1:36" s="22" customFormat="1" x14ac:dyDescent="0.25">
      <c r="A184" s="28" t="str">
        <f>IF(H184&lt;&gt;"",MAX($A$7:A183)+1,"")</f>
        <v/>
      </c>
      <c r="B184" s="243" t="str">
        <f t="shared" si="33"/>
        <v/>
      </c>
      <c r="C184" s="96" t="str">
        <f t="shared" si="34"/>
        <v/>
      </c>
      <c r="D184" s="238"/>
      <c r="E184" s="239"/>
      <c r="F184" s="239"/>
      <c r="G184" s="240"/>
      <c r="H184" s="241"/>
      <c r="I184" s="231"/>
      <c r="J184" s="231"/>
      <c r="K184" s="232"/>
      <c r="L184" s="232"/>
      <c r="M184" s="233"/>
      <c r="N184" s="233"/>
      <c r="O184" s="234"/>
      <c r="P184" s="234"/>
      <c r="Q184" s="235"/>
      <c r="R184" s="235"/>
      <c r="S184" s="236"/>
      <c r="T184" s="236"/>
      <c r="U184" s="231"/>
      <c r="V184" s="231"/>
      <c r="W184" s="232"/>
      <c r="X184" s="232"/>
      <c r="Y184" s="233"/>
      <c r="Z184" s="233"/>
      <c r="AA184" s="234"/>
      <c r="AB184" s="234"/>
      <c r="AC184" s="235"/>
      <c r="AD184" s="235"/>
      <c r="AE184" s="236"/>
      <c r="AF184" s="236"/>
      <c r="AG184" s="67"/>
      <c r="AH184" s="68"/>
      <c r="AI184" s="69"/>
      <c r="AJ184" s="71"/>
    </row>
    <row r="185" spans="1:36" s="22" customFormat="1" x14ac:dyDescent="0.25">
      <c r="A185" s="28" t="str">
        <f>IF(H185&lt;&gt;"",MAX($A$7:A184)+1,"")</f>
        <v/>
      </c>
      <c r="B185" s="243" t="str">
        <f t="shared" si="33"/>
        <v/>
      </c>
      <c r="C185" s="96" t="str">
        <f t="shared" si="34"/>
        <v/>
      </c>
      <c r="D185" s="238"/>
      <c r="E185" s="239"/>
      <c r="F185" s="239"/>
      <c r="G185" s="240"/>
      <c r="H185" s="241"/>
      <c r="I185" s="231"/>
      <c r="J185" s="231"/>
      <c r="K185" s="232"/>
      <c r="L185" s="232"/>
      <c r="M185" s="233"/>
      <c r="N185" s="233"/>
      <c r="O185" s="234"/>
      <c r="P185" s="234"/>
      <c r="Q185" s="235"/>
      <c r="R185" s="235"/>
      <c r="S185" s="236"/>
      <c r="T185" s="236"/>
      <c r="U185" s="231"/>
      <c r="V185" s="231"/>
      <c r="W185" s="232"/>
      <c r="X185" s="232"/>
      <c r="Y185" s="233"/>
      <c r="Z185" s="233"/>
      <c r="AA185" s="234"/>
      <c r="AB185" s="234"/>
      <c r="AC185" s="235"/>
      <c r="AD185" s="235"/>
      <c r="AE185" s="236"/>
      <c r="AF185" s="236"/>
      <c r="AG185" s="67"/>
      <c r="AH185" s="68"/>
      <c r="AI185" s="69"/>
      <c r="AJ185" s="71"/>
    </row>
    <row r="186" spans="1:36" s="22" customFormat="1" x14ac:dyDescent="0.25">
      <c r="A186" s="28" t="str">
        <f>IF(H186&lt;&gt;"",MAX($A$7:A185)+1,"")</f>
        <v/>
      </c>
      <c r="B186" s="243" t="str">
        <f t="shared" si="33"/>
        <v/>
      </c>
      <c r="C186" s="96" t="str">
        <f t="shared" si="34"/>
        <v/>
      </c>
      <c r="D186" s="238"/>
      <c r="E186" s="239"/>
      <c r="F186" s="239"/>
      <c r="G186" s="240"/>
      <c r="H186" s="241"/>
      <c r="I186" s="231"/>
      <c r="J186" s="231"/>
      <c r="K186" s="232"/>
      <c r="L186" s="232"/>
      <c r="M186" s="233"/>
      <c r="N186" s="233"/>
      <c r="O186" s="234"/>
      <c r="P186" s="234"/>
      <c r="Q186" s="235"/>
      <c r="R186" s="235"/>
      <c r="S186" s="236"/>
      <c r="T186" s="236"/>
      <c r="U186" s="231"/>
      <c r="V186" s="231"/>
      <c r="W186" s="232"/>
      <c r="X186" s="232"/>
      <c r="Y186" s="233"/>
      <c r="Z186" s="233"/>
      <c r="AA186" s="234"/>
      <c r="AB186" s="234"/>
      <c r="AC186" s="235"/>
      <c r="AD186" s="235"/>
      <c r="AE186" s="236"/>
      <c r="AF186" s="236"/>
      <c r="AG186" s="67"/>
      <c r="AH186" s="68"/>
      <c r="AI186" s="69"/>
      <c r="AJ186" s="71"/>
    </row>
    <row r="187" spans="1:36" s="22" customFormat="1" x14ac:dyDescent="0.25">
      <c r="A187" s="28" t="str">
        <f>IF(H187&lt;&gt;"",MAX($A$7:A186)+1,"")</f>
        <v/>
      </c>
      <c r="B187" s="243" t="str">
        <f t="shared" si="33"/>
        <v/>
      </c>
      <c r="C187" s="96" t="str">
        <f t="shared" si="34"/>
        <v/>
      </c>
      <c r="D187" s="238"/>
      <c r="E187" s="239"/>
      <c r="F187" s="239"/>
      <c r="G187" s="240"/>
      <c r="H187" s="241"/>
      <c r="I187" s="231"/>
      <c r="J187" s="231"/>
      <c r="K187" s="232"/>
      <c r="L187" s="232"/>
      <c r="M187" s="233"/>
      <c r="N187" s="233"/>
      <c r="O187" s="234"/>
      <c r="P187" s="234"/>
      <c r="Q187" s="235"/>
      <c r="R187" s="235"/>
      <c r="S187" s="236"/>
      <c r="T187" s="236"/>
      <c r="U187" s="231"/>
      <c r="V187" s="231"/>
      <c r="W187" s="232"/>
      <c r="X187" s="232"/>
      <c r="Y187" s="233"/>
      <c r="Z187" s="233"/>
      <c r="AA187" s="234"/>
      <c r="AB187" s="234"/>
      <c r="AC187" s="235"/>
      <c r="AD187" s="235"/>
      <c r="AE187" s="236"/>
      <c r="AF187" s="236"/>
      <c r="AG187" s="67"/>
      <c r="AH187" s="68"/>
      <c r="AI187" s="69"/>
      <c r="AJ187" s="71"/>
    </row>
    <row r="188" spans="1:36" s="22" customFormat="1" x14ac:dyDescent="0.25">
      <c r="A188" s="28" t="str">
        <f>IF(H188&lt;&gt;"",MAX($A$7:A187)+1,"")</f>
        <v/>
      </c>
      <c r="B188" s="243" t="str">
        <f t="shared" si="33"/>
        <v/>
      </c>
      <c r="C188" s="96" t="str">
        <f t="shared" si="34"/>
        <v/>
      </c>
      <c r="D188" s="238"/>
      <c r="E188" s="239"/>
      <c r="F188" s="239"/>
      <c r="G188" s="240"/>
      <c r="H188" s="241"/>
      <c r="I188" s="231"/>
      <c r="J188" s="231"/>
      <c r="K188" s="232"/>
      <c r="L188" s="232"/>
      <c r="M188" s="233"/>
      <c r="N188" s="233"/>
      <c r="O188" s="234"/>
      <c r="P188" s="234"/>
      <c r="Q188" s="235"/>
      <c r="R188" s="235"/>
      <c r="S188" s="236"/>
      <c r="T188" s="236"/>
      <c r="U188" s="231"/>
      <c r="V188" s="231"/>
      <c r="W188" s="232"/>
      <c r="X188" s="232"/>
      <c r="Y188" s="233"/>
      <c r="Z188" s="233"/>
      <c r="AA188" s="234"/>
      <c r="AB188" s="234"/>
      <c r="AC188" s="235"/>
      <c r="AD188" s="235"/>
      <c r="AE188" s="236"/>
      <c r="AF188" s="236"/>
      <c r="AG188" s="67"/>
      <c r="AH188" s="68"/>
      <c r="AI188" s="69"/>
      <c r="AJ188" s="71"/>
    </row>
    <row r="189" spans="1:36" s="22" customFormat="1" x14ac:dyDescent="0.25">
      <c r="A189" s="28" t="str">
        <f>IF(H189&lt;&gt;"",MAX($A$7:A188)+1,"")</f>
        <v/>
      </c>
      <c r="B189" s="243" t="str">
        <f t="shared" si="33"/>
        <v/>
      </c>
      <c r="C189" s="96" t="str">
        <f t="shared" si="34"/>
        <v/>
      </c>
      <c r="D189" s="238"/>
      <c r="E189" s="239"/>
      <c r="F189" s="239"/>
      <c r="G189" s="240"/>
      <c r="H189" s="241"/>
      <c r="I189" s="231"/>
      <c r="J189" s="231"/>
      <c r="K189" s="232"/>
      <c r="L189" s="232"/>
      <c r="M189" s="233"/>
      <c r="N189" s="233"/>
      <c r="O189" s="234"/>
      <c r="P189" s="234"/>
      <c r="Q189" s="235"/>
      <c r="R189" s="235"/>
      <c r="S189" s="236"/>
      <c r="T189" s="236"/>
      <c r="U189" s="231"/>
      <c r="V189" s="231"/>
      <c r="W189" s="232"/>
      <c r="X189" s="232"/>
      <c r="Y189" s="233"/>
      <c r="Z189" s="233"/>
      <c r="AA189" s="234"/>
      <c r="AB189" s="234"/>
      <c r="AC189" s="235"/>
      <c r="AD189" s="235"/>
      <c r="AE189" s="236"/>
      <c r="AF189" s="236"/>
      <c r="AG189" s="67"/>
      <c r="AH189" s="68"/>
      <c r="AI189" s="69"/>
      <c r="AJ189" s="71"/>
    </row>
    <row r="190" spans="1:36" s="22" customFormat="1" x14ac:dyDescent="0.25">
      <c r="A190" s="28" t="str">
        <f>IF(H190&lt;&gt;"",MAX($A$7:A189)+1,"")</f>
        <v/>
      </c>
      <c r="B190" s="243" t="str">
        <f t="shared" si="33"/>
        <v/>
      </c>
      <c r="C190" s="96" t="str">
        <f t="shared" si="34"/>
        <v/>
      </c>
      <c r="D190" s="238"/>
      <c r="E190" s="239"/>
      <c r="F190" s="239"/>
      <c r="G190" s="240"/>
      <c r="H190" s="241"/>
      <c r="I190" s="231"/>
      <c r="J190" s="231"/>
      <c r="K190" s="232"/>
      <c r="L190" s="232"/>
      <c r="M190" s="233"/>
      <c r="N190" s="233"/>
      <c r="O190" s="234"/>
      <c r="P190" s="234"/>
      <c r="Q190" s="235"/>
      <c r="R190" s="235"/>
      <c r="S190" s="236"/>
      <c r="T190" s="236"/>
      <c r="U190" s="231"/>
      <c r="V190" s="231"/>
      <c r="W190" s="232"/>
      <c r="X190" s="232"/>
      <c r="Y190" s="233"/>
      <c r="Z190" s="233"/>
      <c r="AA190" s="234"/>
      <c r="AB190" s="234"/>
      <c r="AC190" s="235"/>
      <c r="AD190" s="235"/>
      <c r="AE190" s="236"/>
      <c r="AF190" s="236"/>
      <c r="AG190" s="67"/>
      <c r="AH190" s="68"/>
      <c r="AI190" s="69"/>
      <c r="AJ190" s="71"/>
    </row>
    <row r="191" spans="1:36" s="22" customFormat="1" x14ac:dyDescent="0.25">
      <c r="A191" s="28" t="str">
        <f>IF(H191&lt;&gt;"",MAX($A$7:A190)+1,"")</f>
        <v/>
      </c>
      <c r="B191" s="243" t="str">
        <f t="shared" si="33"/>
        <v/>
      </c>
      <c r="C191" s="96" t="str">
        <f t="shared" si="34"/>
        <v/>
      </c>
      <c r="D191" s="238"/>
      <c r="E191" s="239"/>
      <c r="F191" s="239"/>
      <c r="G191" s="240"/>
      <c r="H191" s="241"/>
      <c r="I191" s="231"/>
      <c r="J191" s="231"/>
      <c r="K191" s="232"/>
      <c r="L191" s="232"/>
      <c r="M191" s="233"/>
      <c r="N191" s="233"/>
      <c r="O191" s="234"/>
      <c r="P191" s="234"/>
      <c r="Q191" s="235"/>
      <c r="R191" s="235"/>
      <c r="S191" s="236"/>
      <c r="T191" s="236"/>
      <c r="U191" s="231"/>
      <c r="V191" s="231"/>
      <c r="W191" s="232"/>
      <c r="X191" s="232"/>
      <c r="Y191" s="233"/>
      <c r="Z191" s="233"/>
      <c r="AA191" s="234"/>
      <c r="AB191" s="234"/>
      <c r="AC191" s="235"/>
      <c r="AD191" s="235"/>
      <c r="AE191" s="236"/>
      <c r="AF191" s="236"/>
      <c r="AG191" s="67"/>
      <c r="AH191" s="68"/>
      <c r="AI191" s="69"/>
      <c r="AJ191" s="71"/>
    </row>
    <row r="192" spans="1:36" s="22" customFormat="1" x14ac:dyDescent="0.25">
      <c r="A192" s="28" t="str">
        <f>IF(H192&lt;&gt;"",MAX($A$7:A191)+1,"")</f>
        <v/>
      </c>
      <c r="B192" s="243" t="str">
        <f t="shared" si="33"/>
        <v/>
      </c>
      <c r="C192" s="96" t="str">
        <f t="shared" si="34"/>
        <v/>
      </c>
      <c r="D192" s="238"/>
      <c r="E192" s="239"/>
      <c r="F192" s="239"/>
      <c r="G192" s="240"/>
      <c r="H192" s="241"/>
      <c r="I192" s="231"/>
      <c r="J192" s="231"/>
      <c r="K192" s="232"/>
      <c r="L192" s="232"/>
      <c r="M192" s="233"/>
      <c r="N192" s="233"/>
      <c r="O192" s="234"/>
      <c r="P192" s="234"/>
      <c r="Q192" s="235"/>
      <c r="R192" s="235"/>
      <c r="S192" s="236"/>
      <c r="T192" s="236"/>
      <c r="U192" s="231"/>
      <c r="V192" s="231"/>
      <c r="W192" s="232"/>
      <c r="X192" s="232"/>
      <c r="Y192" s="233"/>
      <c r="Z192" s="233"/>
      <c r="AA192" s="234"/>
      <c r="AB192" s="234"/>
      <c r="AC192" s="235"/>
      <c r="AD192" s="235"/>
      <c r="AE192" s="236"/>
      <c r="AF192" s="236"/>
      <c r="AG192" s="67"/>
      <c r="AH192" s="68"/>
      <c r="AI192" s="69"/>
      <c r="AJ192" s="71"/>
    </row>
    <row r="193" spans="1:36" s="22" customFormat="1" x14ac:dyDescent="0.25">
      <c r="A193" s="28" t="str">
        <f>IF(H193&lt;&gt;"",MAX($A$7:A192)+1,"")</f>
        <v/>
      </c>
      <c r="B193" s="243" t="str">
        <f t="shared" si="33"/>
        <v/>
      </c>
      <c r="C193" s="96" t="str">
        <f t="shared" si="34"/>
        <v/>
      </c>
      <c r="D193" s="238"/>
      <c r="E193" s="239"/>
      <c r="F193" s="239"/>
      <c r="G193" s="240"/>
      <c r="H193" s="241"/>
      <c r="I193" s="231"/>
      <c r="J193" s="231"/>
      <c r="K193" s="232"/>
      <c r="L193" s="232"/>
      <c r="M193" s="233"/>
      <c r="N193" s="233"/>
      <c r="O193" s="234"/>
      <c r="P193" s="234"/>
      <c r="Q193" s="235"/>
      <c r="R193" s="235"/>
      <c r="S193" s="236"/>
      <c r="T193" s="236"/>
      <c r="U193" s="231"/>
      <c r="V193" s="231"/>
      <c r="W193" s="232"/>
      <c r="X193" s="232"/>
      <c r="Y193" s="233"/>
      <c r="Z193" s="233"/>
      <c r="AA193" s="234"/>
      <c r="AB193" s="234"/>
      <c r="AC193" s="235"/>
      <c r="AD193" s="235"/>
      <c r="AE193" s="236"/>
      <c r="AF193" s="236"/>
      <c r="AG193" s="67"/>
      <c r="AH193" s="68"/>
      <c r="AI193" s="69"/>
      <c r="AJ193" s="71"/>
    </row>
    <row r="194" spans="1:36" s="22" customFormat="1" x14ac:dyDescent="0.25">
      <c r="A194" s="28" t="str">
        <f>IF(H194&lt;&gt;"",MAX($A$7:A193)+1,"")</f>
        <v/>
      </c>
      <c r="B194" s="243" t="str">
        <f t="shared" si="33"/>
        <v/>
      </c>
      <c r="C194" s="96" t="str">
        <f t="shared" si="34"/>
        <v/>
      </c>
      <c r="D194" s="238"/>
      <c r="E194" s="239"/>
      <c r="F194" s="239"/>
      <c r="G194" s="240"/>
      <c r="H194" s="241"/>
      <c r="I194" s="231"/>
      <c r="J194" s="231"/>
      <c r="K194" s="232"/>
      <c r="L194" s="232"/>
      <c r="M194" s="233"/>
      <c r="N194" s="233"/>
      <c r="O194" s="234"/>
      <c r="P194" s="234"/>
      <c r="Q194" s="235"/>
      <c r="R194" s="235"/>
      <c r="S194" s="236"/>
      <c r="T194" s="236"/>
      <c r="U194" s="231"/>
      <c r="V194" s="231"/>
      <c r="W194" s="232"/>
      <c r="X194" s="232"/>
      <c r="Y194" s="233"/>
      <c r="Z194" s="233"/>
      <c r="AA194" s="234"/>
      <c r="AB194" s="234"/>
      <c r="AC194" s="235"/>
      <c r="AD194" s="235"/>
      <c r="AE194" s="236"/>
      <c r="AF194" s="236"/>
      <c r="AG194" s="67"/>
      <c r="AH194" s="68"/>
      <c r="AI194" s="69"/>
      <c r="AJ194" s="71"/>
    </row>
    <row r="195" spans="1:36" s="22" customFormat="1" x14ac:dyDescent="0.25">
      <c r="A195" s="28" t="str">
        <f>IF(H195&lt;&gt;"",MAX($A$7:A194)+1,"")</f>
        <v/>
      </c>
      <c r="B195" s="243" t="str">
        <f t="shared" si="33"/>
        <v/>
      </c>
      <c r="C195" s="96" t="str">
        <f t="shared" si="34"/>
        <v/>
      </c>
      <c r="D195" s="238"/>
      <c r="E195" s="239"/>
      <c r="F195" s="239"/>
      <c r="G195" s="240"/>
      <c r="H195" s="241"/>
      <c r="I195" s="231"/>
      <c r="J195" s="231"/>
      <c r="K195" s="232"/>
      <c r="L195" s="232"/>
      <c r="M195" s="233"/>
      <c r="N195" s="233"/>
      <c r="O195" s="234"/>
      <c r="P195" s="234"/>
      <c r="Q195" s="235"/>
      <c r="R195" s="235"/>
      <c r="S195" s="236"/>
      <c r="T195" s="236"/>
      <c r="U195" s="231"/>
      <c r="V195" s="231"/>
      <c r="W195" s="232"/>
      <c r="X195" s="232"/>
      <c r="Y195" s="233"/>
      <c r="Z195" s="233"/>
      <c r="AA195" s="234"/>
      <c r="AB195" s="234"/>
      <c r="AC195" s="235"/>
      <c r="AD195" s="235"/>
      <c r="AE195" s="236"/>
      <c r="AF195" s="236"/>
      <c r="AG195" s="67"/>
      <c r="AH195" s="68"/>
      <c r="AI195" s="69"/>
      <c r="AJ195" s="71"/>
    </row>
    <row r="196" spans="1:36" s="22" customFormat="1" x14ac:dyDescent="0.25">
      <c r="A196" s="28" t="str">
        <f>IF(H196&lt;&gt;"",MAX($A$7:A195)+1,"")</f>
        <v/>
      </c>
      <c r="B196" s="243" t="str">
        <f t="shared" si="33"/>
        <v/>
      </c>
      <c r="C196" s="96" t="str">
        <f t="shared" si="34"/>
        <v/>
      </c>
      <c r="D196" s="238"/>
      <c r="E196" s="239"/>
      <c r="F196" s="239"/>
      <c r="G196" s="240"/>
      <c r="H196" s="241"/>
      <c r="I196" s="231"/>
      <c r="J196" s="231"/>
      <c r="K196" s="232"/>
      <c r="L196" s="232"/>
      <c r="M196" s="233"/>
      <c r="N196" s="233"/>
      <c r="O196" s="234"/>
      <c r="P196" s="234"/>
      <c r="Q196" s="235"/>
      <c r="R196" s="235"/>
      <c r="S196" s="236"/>
      <c r="T196" s="236"/>
      <c r="U196" s="231"/>
      <c r="V196" s="231"/>
      <c r="W196" s="232"/>
      <c r="X196" s="232"/>
      <c r="Y196" s="233"/>
      <c r="Z196" s="233"/>
      <c r="AA196" s="234"/>
      <c r="AB196" s="234"/>
      <c r="AC196" s="235"/>
      <c r="AD196" s="235"/>
      <c r="AE196" s="236"/>
      <c r="AF196" s="236"/>
      <c r="AG196" s="67"/>
      <c r="AH196" s="68"/>
      <c r="AI196" s="69"/>
      <c r="AJ196" s="71"/>
    </row>
    <row r="197" spans="1:36" s="22" customFormat="1" x14ac:dyDescent="0.25">
      <c r="A197" s="28" t="str">
        <f>IF(H197&lt;&gt;"",MAX($A$7:A196)+1,"")</f>
        <v/>
      </c>
      <c r="B197" s="243" t="str">
        <f t="shared" si="33"/>
        <v/>
      </c>
      <c r="C197" s="96" t="str">
        <f t="shared" si="34"/>
        <v/>
      </c>
      <c r="D197" s="238"/>
      <c r="E197" s="239"/>
      <c r="F197" s="239"/>
      <c r="G197" s="240"/>
      <c r="H197" s="241"/>
      <c r="I197" s="231"/>
      <c r="J197" s="231"/>
      <c r="K197" s="232"/>
      <c r="L197" s="232"/>
      <c r="M197" s="233"/>
      <c r="N197" s="233"/>
      <c r="O197" s="234"/>
      <c r="P197" s="234"/>
      <c r="Q197" s="235"/>
      <c r="R197" s="235"/>
      <c r="S197" s="236"/>
      <c r="T197" s="236"/>
      <c r="U197" s="231"/>
      <c r="V197" s="231"/>
      <c r="W197" s="232"/>
      <c r="X197" s="232"/>
      <c r="Y197" s="233"/>
      <c r="Z197" s="233"/>
      <c r="AA197" s="234"/>
      <c r="AB197" s="234"/>
      <c r="AC197" s="235"/>
      <c r="AD197" s="235"/>
      <c r="AE197" s="236"/>
      <c r="AF197" s="236"/>
      <c r="AG197" s="67"/>
      <c r="AH197" s="68"/>
      <c r="AI197" s="69"/>
      <c r="AJ197" s="71"/>
    </row>
    <row r="198" spans="1:36" s="22" customFormat="1" x14ac:dyDescent="0.25">
      <c r="A198" s="28" t="str">
        <f>IF(H198&lt;&gt;"",MAX($A$7:A197)+1,"")</f>
        <v/>
      </c>
      <c r="B198" s="243" t="str">
        <f t="shared" si="33"/>
        <v/>
      </c>
      <c r="C198" s="96" t="str">
        <f t="shared" si="34"/>
        <v/>
      </c>
      <c r="D198" s="238"/>
      <c r="E198" s="239"/>
      <c r="F198" s="239"/>
      <c r="G198" s="240"/>
      <c r="H198" s="241"/>
      <c r="I198" s="231"/>
      <c r="J198" s="231"/>
      <c r="K198" s="232"/>
      <c r="L198" s="232"/>
      <c r="M198" s="233"/>
      <c r="N198" s="233"/>
      <c r="O198" s="234"/>
      <c r="P198" s="234"/>
      <c r="Q198" s="235"/>
      <c r="R198" s="235"/>
      <c r="S198" s="236"/>
      <c r="T198" s="236"/>
      <c r="U198" s="231"/>
      <c r="V198" s="231"/>
      <c r="W198" s="232"/>
      <c r="X198" s="232"/>
      <c r="Y198" s="233"/>
      <c r="Z198" s="233"/>
      <c r="AA198" s="234"/>
      <c r="AB198" s="234"/>
      <c r="AC198" s="235"/>
      <c r="AD198" s="235"/>
      <c r="AE198" s="236"/>
      <c r="AF198" s="236"/>
      <c r="AG198" s="67"/>
      <c r="AH198" s="68"/>
      <c r="AI198" s="69"/>
      <c r="AJ198" s="71"/>
    </row>
    <row r="199" spans="1:36" s="22" customFormat="1" x14ac:dyDescent="0.25">
      <c r="A199" s="28" t="str">
        <f>IF(H199&lt;&gt;"",MAX($A$7:A198)+1,"")</f>
        <v/>
      </c>
      <c r="B199" s="243" t="str">
        <f t="shared" ref="B199:B262" si="35">IF(A199="","",PREF_PREGUNTA&amp;" - "&amp;IF(MAX(A:A)&gt;99,IF(A199&lt;100,"0",""),"")&amp;IF(A199&lt;10,"0","")&amp;A199&amp;IF(G199&lt;&gt;""," "&amp;G199,""))</f>
        <v/>
      </c>
      <c r="C199" s="96" t="str">
        <f t="shared" ref="C199:C262" si="36">IF(COUNTA(I199:N199)-D199=0,"",COUNTA(I199:N199)-D199)</f>
        <v/>
      </c>
      <c r="D199" s="238"/>
      <c r="E199" s="239"/>
      <c r="F199" s="239"/>
      <c r="G199" s="240"/>
      <c r="H199" s="241"/>
      <c r="I199" s="231"/>
      <c r="J199" s="231"/>
      <c r="K199" s="232"/>
      <c r="L199" s="232"/>
      <c r="M199" s="233"/>
      <c r="N199" s="233"/>
      <c r="O199" s="234"/>
      <c r="P199" s="234"/>
      <c r="Q199" s="235"/>
      <c r="R199" s="235"/>
      <c r="S199" s="236"/>
      <c r="T199" s="236"/>
      <c r="U199" s="231"/>
      <c r="V199" s="231"/>
      <c r="W199" s="232"/>
      <c r="X199" s="232"/>
      <c r="Y199" s="233"/>
      <c r="Z199" s="233"/>
      <c r="AA199" s="234"/>
      <c r="AB199" s="234"/>
      <c r="AC199" s="235"/>
      <c r="AD199" s="235"/>
      <c r="AE199" s="236"/>
      <c r="AF199" s="236"/>
      <c r="AG199" s="67"/>
      <c r="AH199" s="68"/>
      <c r="AI199" s="69"/>
      <c r="AJ199" s="71"/>
    </row>
    <row r="200" spans="1:36" s="22" customFormat="1" x14ac:dyDescent="0.25">
      <c r="A200" s="28" t="str">
        <f>IF(H200&lt;&gt;"",MAX($A$7:A199)+1,"")</f>
        <v/>
      </c>
      <c r="B200" s="243" t="str">
        <f t="shared" si="35"/>
        <v/>
      </c>
      <c r="C200" s="96" t="str">
        <f t="shared" si="36"/>
        <v/>
      </c>
      <c r="D200" s="238"/>
      <c r="E200" s="239"/>
      <c r="F200" s="239"/>
      <c r="G200" s="240"/>
      <c r="H200" s="241"/>
      <c r="I200" s="231"/>
      <c r="J200" s="231"/>
      <c r="K200" s="232"/>
      <c r="L200" s="232"/>
      <c r="M200" s="233"/>
      <c r="N200" s="233"/>
      <c r="O200" s="234"/>
      <c r="P200" s="234"/>
      <c r="Q200" s="235"/>
      <c r="R200" s="235"/>
      <c r="S200" s="236"/>
      <c r="T200" s="236"/>
      <c r="U200" s="231"/>
      <c r="V200" s="231"/>
      <c r="W200" s="232"/>
      <c r="X200" s="232"/>
      <c r="Y200" s="233"/>
      <c r="Z200" s="233"/>
      <c r="AA200" s="234"/>
      <c r="AB200" s="234"/>
      <c r="AC200" s="235"/>
      <c r="AD200" s="235"/>
      <c r="AE200" s="236"/>
      <c r="AF200" s="236"/>
      <c r="AG200" s="67"/>
      <c r="AH200" s="68"/>
      <c r="AI200" s="69"/>
      <c r="AJ200" s="71"/>
    </row>
    <row r="201" spans="1:36" s="22" customFormat="1" x14ac:dyDescent="0.25">
      <c r="A201" s="28" t="str">
        <f>IF(H201&lt;&gt;"",MAX($A$7:A200)+1,"")</f>
        <v/>
      </c>
      <c r="B201" s="243" t="str">
        <f t="shared" si="35"/>
        <v/>
      </c>
      <c r="C201" s="96" t="str">
        <f t="shared" si="36"/>
        <v/>
      </c>
      <c r="D201" s="238"/>
      <c r="E201" s="239"/>
      <c r="F201" s="239"/>
      <c r="G201" s="240"/>
      <c r="H201" s="241"/>
      <c r="I201" s="231"/>
      <c r="J201" s="231"/>
      <c r="K201" s="232"/>
      <c r="L201" s="232"/>
      <c r="M201" s="233"/>
      <c r="N201" s="233"/>
      <c r="O201" s="234"/>
      <c r="P201" s="234"/>
      <c r="Q201" s="235"/>
      <c r="R201" s="235"/>
      <c r="S201" s="236"/>
      <c r="T201" s="236"/>
      <c r="U201" s="231"/>
      <c r="V201" s="231"/>
      <c r="W201" s="232"/>
      <c r="X201" s="232"/>
      <c r="Y201" s="233"/>
      <c r="Z201" s="233"/>
      <c r="AA201" s="234"/>
      <c r="AB201" s="234"/>
      <c r="AC201" s="235"/>
      <c r="AD201" s="235"/>
      <c r="AE201" s="236"/>
      <c r="AF201" s="236"/>
      <c r="AG201" s="67"/>
      <c r="AH201" s="68"/>
      <c r="AI201" s="69"/>
      <c r="AJ201" s="71"/>
    </row>
    <row r="202" spans="1:36" s="22" customFormat="1" x14ac:dyDescent="0.25">
      <c r="A202" s="28" t="str">
        <f>IF(H202&lt;&gt;"",MAX($A$7:A201)+1,"")</f>
        <v/>
      </c>
      <c r="B202" s="243" t="str">
        <f t="shared" si="35"/>
        <v/>
      </c>
      <c r="C202" s="96" t="str">
        <f t="shared" si="36"/>
        <v/>
      </c>
      <c r="D202" s="238"/>
      <c r="E202" s="239"/>
      <c r="F202" s="239"/>
      <c r="G202" s="240"/>
      <c r="H202" s="241"/>
      <c r="I202" s="231"/>
      <c r="J202" s="231"/>
      <c r="K202" s="232"/>
      <c r="L202" s="232"/>
      <c r="M202" s="233"/>
      <c r="N202" s="233"/>
      <c r="O202" s="234"/>
      <c r="P202" s="234"/>
      <c r="Q202" s="235"/>
      <c r="R202" s="235"/>
      <c r="S202" s="236"/>
      <c r="T202" s="236"/>
      <c r="U202" s="231"/>
      <c r="V202" s="231"/>
      <c r="W202" s="232"/>
      <c r="X202" s="232"/>
      <c r="Y202" s="233"/>
      <c r="Z202" s="233"/>
      <c r="AA202" s="234"/>
      <c r="AB202" s="234"/>
      <c r="AC202" s="235"/>
      <c r="AD202" s="235"/>
      <c r="AE202" s="236"/>
      <c r="AF202" s="236"/>
      <c r="AG202" s="67"/>
      <c r="AH202" s="68"/>
      <c r="AI202" s="69"/>
      <c r="AJ202" s="71"/>
    </row>
    <row r="203" spans="1:36" s="22" customFormat="1" x14ac:dyDescent="0.25">
      <c r="A203" s="28" t="str">
        <f>IF(H203&lt;&gt;"",MAX($A$7:A202)+1,"")</f>
        <v/>
      </c>
      <c r="B203" s="243" t="str">
        <f t="shared" si="35"/>
        <v/>
      </c>
      <c r="C203" s="96" t="str">
        <f t="shared" si="36"/>
        <v/>
      </c>
      <c r="D203" s="238"/>
      <c r="E203" s="239"/>
      <c r="F203" s="239"/>
      <c r="G203" s="240"/>
      <c r="H203" s="241"/>
      <c r="I203" s="231"/>
      <c r="J203" s="231"/>
      <c r="K203" s="232"/>
      <c r="L203" s="232"/>
      <c r="M203" s="233"/>
      <c r="N203" s="233"/>
      <c r="O203" s="234"/>
      <c r="P203" s="234"/>
      <c r="Q203" s="235"/>
      <c r="R203" s="235"/>
      <c r="S203" s="236"/>
      <c r="T203" s="236"/>
      <c r="U203" s="231"/>
      <c r="V203" s="231"/>
      <c r="W203" s="232"/>
      <c r="X203" s="232"/>
      <c r="Y203" s="233"/>
      <c r="Z203" s="233"/>
      <c r="AA203" s="234"/>
      <c r="AB203" s="234"/>
      <c r="AC203" s="235"/>
      <c r="AD203" s="235"/>
      <c r="AE203" s="236"/>
      <c r="AF203" s="236"/>
      <c r="AG203" s="67"/>
      <c r="AH203" s="68"/>
      <c r="AI203" s="69"/>
      <c r="AJ203" s="71"/>
    </row>
    <row r="204" spans="1:36" s="22" customFormat="1" x14ac:dyDescent="0.25">
      <c r="A204" s="28" t="str">
        <f>IF(H204&lt;&gt;"",MAX($A$7:A203)+1,"")</f>
        <v/>
      </c>
      <c r="B204" s="243" t="str">
        <f t="shared" si="35"/>
        <v/>
      </c>
      <c r="C204" s="96" t="str">
        <f t="shared" si="36"/>
        <v/>
      </c>
      <c r="D204" s="238"/>
      <c r="E204" s="239"/>
      <c r="F204" s="239"/>
      <c r="G204" s="240"/>
      <c r="H204" s="241"/>
      <c r="I204" s="231"/>
      <c r="J204" s="231"/>
      <c r="K204" s="232"/>
      <c r="L204" s="232"/>
      <c r="M204" s="233"/>
      <c r="N204" s="233"/>
      <c r="O204" s="234"/>
      <c r="P204" s="234"/>
      <c r="Q204" s="235"/>
      <c r="R204" s="235"/>
      <c r="S204" s="236"/>
      <c r="T204" s="236"/>
      <c r="U204" s="231"/>
      <c r="V204" s="231"/>
      <c r="W204" s="232"/>
      <c r="X204" s="232"/>
      <c r="Y204" s="233"/>
      <c r="Z204" s="233"/>
      <c r="AA204" s="234"/>
      <c r="AB204" s="234"/>
      <c r="AC204" s="235"/>
      <c r="AD204" s="235"/>
      <c r="AE204" s="236"/>
      <c r="AF204" s="236"/>
      <c r="AG204" s="67"/>
      <c r="AH204" s="68"/>
      <c r="AI204" s="69"/>
      <c r="AJ204" s="71"/>
    </row>
    <row r="205" spans="1:36" s="22" customFormat="1" x14ac:dyDescent="0.25">
      <c r="A205" s="28" t="str">
        <f>IF(H205&lt;&gt;"",MAX($A$7:A204)+1,"")</f>
        <v/>
      </c>
      <c r="B205" s="243" t="str">
        <f t="shared" si="35"/>
        <v/>
      </c>
      <c r="C205" s="96" t="str">
        <f t="shared" si="36"/>
        <v/>
      </c>
      <c r="D205" s="238"/>
      <c r="E205" s="239"/>
      <c r="F205" s="239"/>
      <c r="G205" s="240"/>
      <c r="H205" s="241"/>
      <c r="I205" s="231"/>
      <c r="J205" s="231"/>
      <c r="K205" s="232"/>
      <c r="L205" s="232"/>
      <c r="M205" s="233"/>
      <c r="N205" s="233"/>
      <c r="O205" s="234"/>
      <c r="P205" s="234"/>
      <c r="Q205" s="235"/>
      <c r="R205" s="235"/>
      <c r="S205" s="236"/>
      <c r="T205" s="236"/>
      <c r="U205" s="231"/>
      <c r="V205" s="231"/>
      <c r="W205" s="232"/>
      <c r="X205" s="232"/>
      <c r="Y205" s="233"/>
      <c r="Z205" s="233"/>
      <c r="AA205" s="234"/>
      <c r="AB205" s="234"/>
      <c r="AC205" s="235"/>
      <c r="AD205" s="235"/>
      <c r="AE205" s="236"/>
      <c r="AF205" s="236"/>
      <c r="AG205" s="67"/>
      <c r="AH205" s="68"/>
      <c r="AI205" s="69"/>
      <c r="AJ205" s="71"/>
    </row>
    <row r="206" spans="1:36" s="22" customFormat="1" x14ac:dyDescent="0.25">
      <c r="A206" s="28" t="str">
        <f>IF(H206&lt;&gt;"",MAX($A$7:A205)+1,"")</f>
        <v/>
      </c>
      <c r="B206" s="243" t="str">
        <f t="shared" si="35"/>
        <v/>
      </c>
      <c r="C206" s="96" t="str">
        <f t="shared" si="36"/>
        <v/>
      </c>
      <c r="D206" s="238"/>
      <c r="E206" s="239"/>
      <c r="F206" s="239"/>
      <c r="G206" s="240"/>
      <c r="H206" s="241"/>
      <c r="I206" s="231"/>
      <c r="J206" s="231"/>
      <c r="K206" s="232"/>
      <c r="L206" s="232"/>
      <c r="M206" s="233"/>
      <c r="N206" s="233"/>
      <c r="O206" s="234"/>
      <c r="P206" s="234"/>
      <c r="Q206" s="235"/>
      <c r="R206" s="235"/>
      <c r="S206" s="236"/>
      <c r="T206" s="236"/>
      <c r="U206" s="231"/>
      <c r="V206" s="231"/>
      <c r="W206" s="232"/>
      <c r="X206" s="232"/>
      <c r="Y206" s="233"/>
      <c r="Z206" s="233"/>
      <c r="AA206" s="234"/>
      <c r="AB206" s="234"/>
      <c r="AC206" s="235"/>
      <c r="AD206" s="235"/>
      <c r="AE206" s="236"/>
      <c r="AF206" s="236"/>
      <c r="AG206" s="67"/>
      <c r="AH206" s="68"/>
      <c r="AI206" s="69"/>
      <c r="AJ206" s="71"/>
    </row>
    <row r="207" spans="1:36" s="22" customFormat="1" x14ac:dyDescent="0.25">
      <c r="A207" s="28" t="str">
        <f>IF(H207&lt;&gt;"",MAX($A$7:A206)+1,"")</f>
        <v/>
      </c>
      <c r="B207" s="243" t="str">
        <f t="shared" si="35"/>
        <v/>
      </c>
      <c r="C207" s="96" t="str">
        <f t="shared" si="36"/>
        <v/>
      </c>
      <c r="D207" s="238"/>
      <c r="E207" s="239"/>
      <c r="F207" s="239"/>
      <c r="G207" s="240"/>
      <c r="H207" s="241"/>
      <c r="I207" s="231"/>
      <c r="J207" s="231"/>
      <c r="K207" s="232"/>
      <c r="L207" s="232"/>
      <c r="M207" s="233"/>
      <c r="N207" s="233"/>
      <c r="O207" s="234"/>
      <c r="P207" s="234"/>
      <c r="Q207" s="235"/>
      <c r="R207" s="235"/>
      <c r="S207" s="236"/>
      <c r="T207" s="236"/>
      <c r="U207" s="231"/>
      <c r="V207" s="231"/>
      <c r="W207" s="232"/>
      <c r="X207" s="232"/>
      <c r="Y207" s="233"/>
      <c r="Z207" s="233"/>
      <c r="AA207" s="234"/>
      <c r="AB207" s="234"/>
      <c r="AC207" s="235"/>
      <c r="AD207" s="235"/>
      <c r="AE207" s="236"/>
      <c r="AF207" s="236"/>
      <c r="AG207" s="67"/>
      <c r="AH207" s="68"/>
      <c r="AI207" s="69"/>
      <c r="AJ207" s="71"/>
    </row>
    <row r="208" spans="1:36" s="22" customFormat="1" x14ac:dyDescent="0.25">
      <c r="A208" s="28" t="str">
        <f>IF(H208&lt;&gt;"",MAX($A$7:A207)+1,"")</f>
        <v/>
      </c>
      <c r="B208" s="243" t="str">
        <f t="shared" si="35"/>
        <v/>
      </c>
      <c r="C208" s="96" t="str">
        <f t="shared" si="36"/>
        <v/>
      </c>
      <c r="D208" s="238"/>
      <c r="E208" s="239"/>
      <c r="F208" s="239"/>
      <c r="G208" s="240"/>
      <c r="H208" s="241"/>
      <c r="I208" s="231"/>
      <c r="J208" s="231"/>
      <c r="K208" s="232"/>
      <c r="L208" s="232"/>
      <c r="M208" s="233"/>
      <c r="N208" s="233"/>
      <c r="O208" s="234"/>
      <c r="P208" s="234"/>
      <c r="Q208" s="235"/>
      <c r="R208" s="235"/>
      <c r="S208" s="236"/>
      <c r="T208" s="236"/>
      <c r="U208" s="231"/>
      <c r="V208" s="231"/>
      <c r="W208" s="232"/>
      <c r="X208" s="232"/>
      <c r="Y208" s="233"/>
      <c r="Z208" s="233"/>
      <c r="AA208" s="234"/>
      <c r="AB208" s="234"/>
      <c r="AC208" s="235"/>
      <c r="AD208" s="235"/>
      <c r="AE208" s="236"/>
      <c r="AF208" s="236"/>
      <c r="AG208" s="67"/>
      <c r="AH208" s="68"/>
      <c r="AI208" s="69"/>
      <c r="AJ208" s="71"/>
    </row>
    <row r="209" spans="1:36" s="22" customFormat="1" x14ac:dyDescent="0.25">
      <c r="A209" s="28" t="str">
        <f>IF(H209&lt;&gt;"",MAX($A$7:A208)+1,"")</f>
        <v/>
      </c>
      <c r="B209" s="243" t="str">
        <f t="shared" si="35"/>
        <v/>
      </c>
      <c r="C209" s="96" t="str">
        <f t="shared" si="36"/>
        <v/>
      </c>
      <c r="D209" s="238"/>
      <c r="E209" s="239"/>
      <c r="F209" s="239"/>
      <c r="G209" s="240"/>
      <c r="H209" s="241"/>
      <c r="I209" s="231"/>
      <c r="J209" s="231"/>
      <c r="K209" s="232"/>
      <c r="L209" s="232"/>
      <c r="M209" s="233"/>
      <c r="N209" s="233"/>
      <c r="O209" s="234"/>
      <c r="P209" s="234"/>
      <c r="Q209" s="235"/>
      <c r="R209" s="235"/>
      <c r="S209" s="236"/>
      <c r="T209" s="236"/>
      <c r="U209" s="231"/>
      <c r="V209" s="231"/>
      <c r="W209" s="232"/>
      <c r="X209" s="232"/>
      <c r="Y209" s="233"/>
      <c r="Z209" s="233"/>
      <c r="AA209" s="234"/>
      <c r="AB209" s="234"/>
      <c r="AC209" s="235"/>
      <c r="AD209" s="235"/>
      <c r="AE209" s="236"/>
      <c r="AF209" s="236"/>
      <c r="AG209" s="67"/>
      <c r="AH209" s="68"/>
      <c r="AI209" s="69"/>
      <c r="AJ209" s="71"/>
    </row>
    <row r="210" spans="1:36" s="22" customFormat="1" x14ac:dyDescent="0.25">
      <c r="A210" s="28" t="str">
        <f>IF(H210&lt;&gt;"",MAX($A$7:A209)+1,"")</f>
        <v/>
      </c>
      <c r="B210" s="243" t="str">
        <f t="shared" si="35"/>
        <v/>
      </c>
      <c r="C210" s="96" t="str">
        <f t="shared" si="36"/>
        <v/>
      </c>
      <c r="D210" s="238"/>
      <c r="E210" s="239"/>
      <c r="F210" s="239"/>
      <c r="G210" s="240"/>
      <c r="H210" s="241"/>
      <c r="I210" s="231"/>
      <c r="J210" s="231"/>
      <c r="K210" s="232"/>
      <c r="L210" s="232"/>
      <c r="M210" s="233"/>
      <c r="N210" s="233"/>
      <c r="O210" s="234"/>
      <c r="P210" s="234"/>
      <c r="Q210" s="235"/>
      <c r="R210" s="235"/>
      <c r="S210" s="236"/>
      <c r="T210" s="236"/>
      <c r="U210" s="231"/>
      <c r="V210" s="231"/>
      <c r="W210" s="232"/>
      <c r="X210" s="232"/>
      <c r="Y210" s="233"/>
      <c r="Z210" s="233"/>
      <c r="AA210" s="234"/>
      <c r="AB210" s="234"/>
      <c r="AC210" s="235"/>
      <c r="AD210" s="235"/>
      <c r="AE210" s="236"/>
      <c r="AF210" s="236"/>
      <c r="AG210" s="67"/>
      <c r="AH210" s="68"/>
      <c r="AI210" s="69"/>
      <c r="AJ210" s="71"/>
    </row>
    <row r="211" spans="1:36" s="22" customFormat="1" x14ac:dyDescent="0.25">
      <c r="A211" s="28" t="str">
        <f>IF(H211&lt;&gt;"",MAX($A$7:A210)+1,"")</f>
        <v/>
      </c>
      <c r="B211" s="243" t="str">
        <f t="shared" si="35"/>
        <v/>
      </c>
      <c r="C211" s="96" t="str">
        <f t="shared" si="36"/>
        <v/>
      </c>
      <c r="D211" s="238"/>
      <c r="E211" s="239"/>
      <c r="F211" s="239"/>
      <c r="G211" s="240"/>
      <c r="H211" s="241"/>
      <c r="I211" s="231"/>
      <c r="J211" s="231"/>
      <c r="K211" s="232"/>
      <c r="L211" s="232"/>
      <c r="M211" s="233"/>
      <c r="N211" s="233"/>
      <c r="O211" s="234"/>
      <c r="P211" s="234"/>
      <c r="Q211" s="235"/>
      <c r="R211" s="235"/>
      <c r="S211" s="236"/>
      <c r="T211" s="236"/>
      <c r="U211" s="231"/>
      <c r="V211" s="231"/>
      <c r="W211" s="232"/>
      <c r="X211" s="232"/>
      <c r="Y211" s="233"/>
      <c r="Z211" s="233"/>
      <c r="AA211" s="234"/>
      <c r="AB211" s="234"/>
      <c r="AC211" s="235"/>
      <c r="AD211" s="235"/>
      <c r="AE211" s="236"/>
      <c r="AF211" s="236"/>
      <c r="AG211" s="67"/>
      <c r="AH211" s="68"/>
      <c r="AI211" s="69"/>
      <c r="AJ211" s="71"/>
    </row>
    <row r="212" spans="1:36" s="22" customFormat="1" x14ac:dyDescent="0.25">
      <c r="A212" s="28" t="str">
        <f>IF(H212&lt;&gt;"",MAX($A$7:A211)+1,"")</f>
        <v/>
      </c>
      <c r="B212" s="243" t="str">
        <f t="shared" si="35"/>
        <v/>
      </c>
      <c r="C212" s="96" t="str">
        <f t="shared" si="36"/>
        <v/>
      </c>
      <c r="D212" s="238"/>
      <c r="E212" s="239"/>
      <c r="F212" s="239"/>
      <c r="G212" s="240"/>
      <c r="H212" s="241"/>
      <c r="I212" s="231"/>
      <c r="J212" s="231"/>
      <c r="K212" s="232"/>
      <c r="L212" s="232"/>
      <c r="M212" s="233"/>
      <c r="N212" s="233"/>
      <c r="O212" s="234"/>
      <c r="P212" s="234"/>
      <c r="Q212" s="235"/>
      <c r="R212" s="235"/>
      <c r="S212" s="236"/>
      <c r="T212" s="236"/>
      <c r="U212" s="231"/>
      <c r="V212" s="231"/>
      <c r="W212" s="232"/>
      <c r="X212" s="232"/>
      <c r="Y212" s="233"/>
      <c r="Z212" s="233"/>
      <c r="AA212" s="234"/>
      <c r="AB212" s="234"/>
      <c r="AC212" s="235"/>
      <c r="AD212" s="235"/>
      <c r="AE212" s="236"/>
      <c r="AF212" s="236"/>
      <c r="AG212" s="67"/>
      <c r="AH212" s="68"/>
      <c r="AI212" s="69"/>
      <c r="AJ212" s="71"/>
    </row>
    <row r="213" spans="1:36" s="22" customFormat="1" x14ac:dyDescent="0.25">
      <c r="A213" s="28" t="str">
        <f>IF(H213&lt;&gt;"",MAX($A$7:A212)+1,"")</f>
        <v/>
      </c>
      <c r="B213" s="243" t="str">
        <f t="shared" si="35"/>
        <v/>
      </c>
      <c r="C213" s="96" t="str">
        <f t="shared" si="36"/>
        <v/>
      </c>
      <c r="D213" s="238"/>
      <c r="E213" s="239"/>
      <c r="F213" s="239"/>
      <c r="G213" s="240"/>
      <c r="H213" s="241"/>
      <c r="I213" s="231"/>
      <c r="J213" s="231"/>
      <c r="K213" s="232"/>
      <c r="L213" s="232"/>
      <c r="M213" s="233"/>
      <c r="N213" s="233"/>
      <c r="O213" s="234"/>
      <c r="P213" s="234"/>
      <c r="Q213" s="235"/>
      <c r="R213" s="235"/>
      <c r="S213" s="236"/>
      <c r="T213" s="236"/>
      <c r="U213" s="231"/>
      <c r="V213" s="231"/>
      <c r="W213" s="232"/>
      <c r="X213" s="232"/>
      <c r="Y213" s="233"/>
      <c r="Z213" s="233"/>
      <c r="AA213" s="234"/>
      <c r="AB213" s="234"/>
      <c r="AC213" s="235"/>
      <c r="AD213" s="235"/>
      <c r="AE213" s="236"/>
      <c r="AF213" s="236"/>
      <c r="AG213" s="67"/>
      <c r="AH213" s="68"/>
      <c r="AI213" s="69"/>
      <c r="AJ213" s="71"/>
    </row>
    <row r="214" spans="1:36" s="22" customFormat="1" x14ac:dyDescent="0.25">
      <c r="A214" s="28" t="str">
        <f>IF(H214&lt;&gt;"",MAX($A$7:A213)+1,"")</f>
        <v/>
      </c>
      <c r="B214" s="243" t="str">
        <f t="shared" si="35"/>
        <v/>
      </c>
      <c r="C214" s="96" t="str">
        <f t="shared" si="36"/>
        <v/>
      </c>
      <c r="D214" s="238"/>
      <c r="E214" s="239"/>
      <c r="F214" s="239"/>
      <c r="G214" s="240"/>
      <c r="H214" s="241"/>
      <c r="I214" s="231"/>
      <c r="J214" s="231"/>
      <c r="K214" s="232"/>
      <c r="L214" s="232"/>
      <c r="M214" s="233"/>
      <c r="N214" s="233"/>
      <c r="O214" s="234"/>
      <c r="P214" s="234"/>
      <c r="Q214" s="235"/>
      <c r="R214" s="235"/>
      <c r="S214" s="236"/>
      <c r="T214" s="236"/>
      <c r="U214" s="231"/>
      <c r="V214" s="231"/>
      <c r="W214" s="232"/>
      <c r="X214" s="232"/>
      <c r="Y214" s="233"/>
      <c r="Z214" s="233"/>
      <c r="AA214" s="234"/>
      <c r="AB214" s="234"/>
      <c r="AC214" s="235"/>
      <c r="AD214" s="235"/>
      <c r="AE214" s="236"/>
      <c r="AF214" s="236"/>
      <c r="AG214" s="67"/>
      <c r="AH214" s="68"/>
      <c r="AI214" s="69"/>
      <c r="AJ214" s="71"/>
    </row>
    <row r="215" spans="1:36" s="22" customFormat="1" x14ac:dyDescent="0.25">
      <c r="A215" s="28" t="str">
        <f>IF(H215&lt;&gt;"",MAX($A$7:A214)+1,"")</f>
        <v/>
      </c>
      <c r="B215" s="243" t="str">
        <f t="shared" si="35"/>
        <v/>
      </c>
      <c r="C215" s="96" t="str">
        <f t="shared" si="36"/>
        <v/>
      </c>
      <c r="D215" s="238"/>
      <c r="E215" s="239"/>
      <c r="F215" s="239"/>
      <c r="G215" s="240"/>
      <c r="H215" s="241"/>
      <c r="I215" s="231"/>
      <c r="J215" s="231"/>
      <c r="K215" s="232"/>
      <c r="L215" s="232"/>
      <c r="M215" s="233"/>
      <c r="N215" s="233"/>
      <c r="O215" s="234"/>
      <c r="P215" s="234"/>
      <c r="Q215" s="235"/>
      <c r="R215" s="235"/>
      <c r="S215" s="236"/>
      <c r="T215" s="236"/>
      <c r="U215" s="231"/>
      <c r="V215" s="231"/>
      <c r="W215" s="232"/>
      <c r="X215" s="232"/>
      <c r="Y215" s="233"/>
      <c r="Z215" s="233"/>
      <c r="AA215" s="234"/>
      <c r="AB215" s="234"/>
      <c r="AC215" s="235"/>
      <c r="AD215" s="235"/>
      <c r="AE215" s="236"/>
      <c r="AF215" s="236"/>
      <c r="AG215" s="67"/>
      <c r="AH215" s="68"/>
      <c r="AI215" s="69"/>
      <c r="AJ215" s="71"/>
    </row>
    <row r="216" spans="1:36" s="22" customFormat="1" x14ac:dyDescent="0.25">
      <c r="A216" s="28" t="str">
        <f>IF(H216&lt;&gt;"",MAX($A$7:A215)+1,"")</f>
        <v/>
      </c>
      <c r="B216" s="243" t="str">
        <f t="shared" si="35"/>
        <v/>
      </c>
      <c r="C216" s="96" t="str">
        <f t="shared" si="36"/>
        <v/>
      </c>
      <c r="D216" s="238"/>
      <c r="E216" s="239"/>
      <c r="F216" s="239"/>
      <c r="G216" s="240"/>
      <c r="H216" s="241"/>
      <c r="I216" s="231"/>
      <c r="J216" s="231"/>
      <c r="K216" s="232"/>
      <c r="L216" s="232"/>
      <c r="M216" s="233"/>
      <c r="N216" s="233"/>
      <c r="O216" s="234"/>
      <c r="P216" s="234"/>
      <c r="Q216" s="235"/>
      <c r="R216" s="235"/>
      <c r="S216" s="236"/>
      <c r="T216" s="236"/>
      <c r="U216" s="231"/>
      <c r="V216" s="231"/>
      <c r="W216" s="232"/>
      <c r="X216" s="232"/>
      <c r="Y216" s="233"/>
      <c r="Z216" s="233"/>
      <c r="AA216" s="234"/>
      <c r="AB216" s="234"/>
      <c r="AC216" s="235"/>
      <c r="AD216" s="235"/>
      <c r="AE216" s="236"/>
      <c r="AF216" s="236"/>
      <c r="AG216" s="67"/>
      <c r="AH216" s="68"/>
      <c r="AI216" s="69"/>
      <c r="AJ216" s="71"/>
    </row>
    <row r="217" spans="1:36" s="22" customFormat="1" x14ac:dyDescent="0.25">
      <c r="A217" s="28" t="str">
        <f>IF(H217&lt;&gt;"",MAX($A$7:A216)+1,"")</f>
        <v/>
      </c>
      <c r="B217" s="243" t="str">
        <f t="shared" si="35"/>
        <v/>
      </c>
      <c r="C217" s="96" t="str">
        <f t="shared" si="36"/>
        <v/>
      </c>
      <c r="D217" s="238"/>
      <c r="E217" s="239"/>
      <c r="F217" s="239"/>
      <c r="G217" s="240"/>
      <c r="H217" s="241"/>
      <c r="I217" s="231"/>
      <c r="J217" s="231"/>
      <c r="K217" s="232"/>
      <c r="L217" s="232"/>
      <c r="M217" s="233"/>
      <c r="N217" s="233"/>
      <c r="O217" s="234"/>
      <c r="P217" s="234"/>
      <c r="Q217" s="235"/>
      <c r="R217" s="235"/>
      <c r="S217" s="236"/>
      <c r="T217" s="236"/>
      <c r="U217" s="231"/>
      <c r="V217" s="231"/>
      <c r="W217" s="232"/>
      <c r="X217" s="232"/>
      <c r="Y217" s="233"/>
      <c r="Z217" s="233"/>
      <c r="AA217" s="234"/>
      <c r="AB217" s="234"/>
      <c r="AC217" s="235"/>
      <c r="AD217" s="235"/>
      <c r="AE217" s="236"/>
      <c r="AF217" s="236"/>
      <c r="AG217" s="67"/>
      <c r="AH217" s="68"/>
      <c r="AI217" s="69"/>
      <c r="AJ217" s="71"/>
    </row>
    <row r="218" spans="1:36" s="22" customFormat="1" x14ac:dyDescent="0.25">
      <c r="A218" s="28" t="str">
        <f>IF(H218&lt;&gt;"",MAX($A$7:A217)+1,"")</f>
        <v/>
      </c>
      <c r="B218" s="243" t="str">
        <f t="shared" si="35"/>
        <v/>
      </c>
      <c r="C218" s="96" t="str">
        <f t="shared" si="36"/>
        <v/>
      </c>
      <c r="D218" s="238"/>
      <c r="E218" s="239"/>
      <c r="F218" s="239"/>
      <c r="G218" s="240"/>
      <c r="H218" s="241"/>
      <c r="I218" s="231"/>
      <c r="J218" s="231"/>
      <c r="K218" s="232"/>
      <c r="L218" s="232"/>
      <c r="M218" s="233"/>
      <c r="N218" s="233"/>
      <c r="O218" s="234"/>
      <c r="P218" s="234"/>
      <c r="Q218" s="235"/>
      <c r="R218" s="235"/>
      <c r="S218" s="236"/>
      <c r="T218" s="236"/>
      <c r="U218" s="231"/>
      <c r="V218" s="231"/>
      <c r="W218" s="232"/>
      <c r="X218" s="232"/>
      <c r="Y218" s="233"/>
      <c r="Z218" s="233"/>
      <c r="AA218" s="234"/>
      <c r="AB218" s="234"/>
      <c r="AC218" s="235"/>
      <c r="AD218" s="235"/>
      <c r="AE218" s="236"/>
      <c r="AF218" s="236"/>
      <c r="AG218" s="67"/>
      <c r="AH218" s="68"/>
      <c r="AI218" s="69"/>
      <c r="AJ218" s="71"/>
    </row>
    <row r="219" spans="1:36" s="22" customFormat="1" x14ac:dyDescent="0.25">
      <c r="A219" s="28" t="str">
        <f>IF(H219&lt;&gt;"",MAX($A$7:A218)+1,"")</f>
        <v/>
      </c>
      <c r="B219" s="243" t="str">
        <f t="shared" si="35"/>
        <v/>
      </c>
      <c r="C219" s="96" t="str">
        <f t="shared" si="36"/>
        <v/>
      </c>
      <c r="D219" s="238"/>
      <c r="E219" s="239"/>
      <c r="F219" s="239"/>
      <c r="G219" s="240"/>
      <c r="H219" s="241"/>
      <c r="I219" s="231"/>
      <c r="J219" s="231"/>
      <c r="K219" s="232"/>
      <c r="L219" s="232"/>
      <c r="M219" s="233"/>
      <c r="N219" s="233"/>
      <c r="O219" s="234"/>
      <c r="P219" s="234"/>
      <c r="Q219" s="235"/>
      <c r="R219" s="235"/>
      <c r="S219" s="236"/>
      <c r="T219" s="236"/>
      <c r="U219" s="231"/>
      <c r="V219" s="231"/>
      <c r="W219" s="232"/>
      <c r="X219" s="232"/>
      <c r="Y219" s="233"/>
      <c r="Z219" s="233"/>
      <c r="AA219" s="234"/>
      <c r="AB219" s="234"/>
      <c r="AC219" s="235"/>
      <c r="AD219" s="235"/>
      <c r="AE219" s="236"/>
      <c r="AF219" s="236"/>
      <c r="AG219" s="67"/>
      <c r="AH219" s="68"/>
      <c r="AI219" s="69"/>
      <c r="AJ219" s="71"/>
    </row>
    <row r="220" spans="1:36" s="22" customFormat="1" x14ac:dyDescent="0.25">
      <c r="A220" s="28" t="str">
        <f>IF(H220&lt;&gt;"",MAX($A$7:A219)+1,"")</f>
        <v/>
      </c>
      <c r="B220" s="243" t="str">
        <f t="shared" si="35"/>
        <v/>
      </c>
      <c r="C220" s="96" t="str">
        <f t="shared" si="36"/>
        <v/>
      </c>
      <c r="D220" s="238"/>
      <c r="E220" s="239"/>
      <c r="F220" s="239"/>
      <c r="G220" s="240"/>
      <c r="H220" s="241"/>
      <c r="I220" s="231"/>
      <c r="J220" s="231"/>
      <c r="K220" s="232"/>
      <c r="L220" s="232"/>
      <c r="M220" s="233"/>
      <c r="N220" s="233"/>
      <c r="O220" s="234"/>
      <c r="P220" s="234"/>
      <c r="Q220" s="235"/>
      <c r="R220" s="235"/>
      <c r="S220" s="236"/>
      <c r="T220" s="236"/>
      <c r="U220" s="231"/>
      <c r="V220" s="231"/>
      <c r="W220" s="232"/>
      <c r="X220" s="232"/>
      <c r="Y220" s="233"/>
      <c r="Z220" s="233"/>
      <c r="AA220" s="234"/>
      <c r="AB220" s="234"/>
      <c r="AC220" s="235"/>
      <c r="AD220" s="235"/>
      <c r="AE220" s="236"/>
      <c r="AF220" s="236"/>
      <c r="AG220" s="67"/>
      <c r="AH220" s="68"/>
      <c r="AI220" s="69"/>
      <c r="AJ220" s="71"/>
    </row>
    <row r="221" spans="1:36" s="22" customFormat="1" x14ac:dyDescent="0.25">
      <c r="A221" s="28" t="str">
        <f>IF(H221&lt;&gt;"",MAX($A$7:A220)+1,"")</f>
        <v/>
      </c>
      <c r="B221" s="243" t="str">
        <f t="shared" si="35"/>
        <v/>
      </c>
      <c r="C221" s="96" t="str">
        <f t="shared" si="36"/>
        <v/>
      </c>
      <c r="D221" s="238"/>
      <c r="E221" s="239"/>
      <c r="F221" s="239"/>
      <c r="G221" s="240"/>
      <c r="H221" s="241"/>
      <c r="I221" s="231"/>
      <c r="J221" s="231"/>
      <c r="K221" s="232"/>
      <c r="L221" s="232"/>
      <c r="M221" s="233"/>
      <c r="N221" s="233"/>
      <c r="O221" s="234"/>
      <c r="P221" s="234"/>
      <c r="Q221" s="235"/>
      <c r="R221" s="235"/>
      <c r="S221" s="236"/>
      <c r="T221" s="236"/>
      <c r="U221" s="231"/>
      <c r="V221" s="231"/>
      <c r="W221" s="232"/>
      <c r="X221" s="232"/>
      <c r="Y221" s="233"/>
      <c r="Z221" s="233"/>
      <c r="AA221" s="234"/>
      <c r="AB221" s="234"/>
      <c r="AC221" s="235"/>
      <c r="AD221" s="235"/>
      <c r="AE221" s="236"/>
      <c r="AF221" s="236"/>
      <c r="AG221" s="67"/>
      <c r="AH221" s="68"/>
      <c r="AI221" s="69"/>
      <c r="AJ221" s="71"/>
    </row>
    <row r="222" spans="1:36" s="22" customFormat="1" x14ac:dyDescent="0.25">
      <c r="A222" s="28" t="str">
        <f>IF(H222&lt;&gt;"",MAX($A$7:A221)+1,"")</f>
        <v/>
      </c>
      <c r="B222" s="243" t="str">
        <f t="shared" si="35"/>
        <v/>
      </c>
      <c r="C222" s="96" t="str">
        <f t="shared" si="36"/>
        <v/>
      </c>
      <c r="D222" s="238"/>
      <c r="E222" s="239"/>
      <c r="F222" s="239"/>
      <c r="G222" s="240"/>
      <c r="H222" s="241"/>
      <c r="I222" s="231"/>
      <c r="J222" s="231"/>
      <c r="K222" s="232"/>
      <c r="L222" s="232"/>
      <c r="M222" s="233"/>
      <c r="N222" s="233"/>
      <c r="O222" s="234"/>
      <c r="P222" s="234"/>
      <c r="Q222" s="235"/>
      <c r="R222" s="235"/>
      <c r="S222" s="236"/>
      <c r="T222" s="236"/>
      <c r="U222" s="231"/>
      <c r="V222" s="231"/>
      <c r="W222" s="232"/>
      <c r="X222" s="232"/>
      <c r="Y222" s="233"/>
      <c r="Z222" s="233"/>
      <c r="AA222" s="234"/>
      <c r="AB222" s="234"/>
      <c r="AC222" s="235"/>
      <c r="AD222" s="235"/>
      <c r="AE222" s="236"/>
      <c r="AF222" s="236"/>
      <c r="AG222" s="67"/>
      <c r="AH222" s="68"/>
      <c r="AI222" s="69"/>
      <c r="AJ222" s="71"/>
    </row>
    <row r="223" spans="1:36" s="22" customFormat="1" x14ac:dyDescent="0.25">
      <c r="A223" s="28" t="str">
        <f>IF(H223&lt;&gt;"",MAX($A$7:A222)+1,"")</f>
        <v/>
      </c>
      <c r="B223" s="243" t="str">
        <f t="shared" si="35"/>
        <v/>
      </c>
      <c r="C223" s="96" t="str">
        <f t="shared" si="36"/>
        <v/>
      </c>
      <c r="D223" s="238"/>
      <c r="E223" s="239"/>
      <c r="F223" s="239"/>
      <c r="G223" s="240"/>
      <c r="H223" s="241"/>
      <c r="I223" s="231"/>
      <c r="J223" s="231"/>
      <c r="K223" s="232"/>
      <c r="L223" s="232"/>
      <c r="M223" s="233"/>
      <c r="N223" s="233"/>
      <c r="O223" s="234"/>
      <c r="P223" s="234"/>
      <c r="Q223" s="235"/>
      <c r="R223" s="235"/>
      <c r="S223" s="236"/>
      <c r="T223" s="236"/>
      <c r="U223" s="231"/>
      <c r="V223" s="231"/>
      <c r="W223" s="232"/>
      <c r="X223" s="232"/>
      <c r="Y223" s="233"/>
      <c r="Z223" s="233"/>
      <c r="AA223" s="234"/>
      <c r="AB223" s="234"/>
      <c r="AC223" s="235"/>
      <c r="AD223" s="235"/>
      <c r="AE223" s="236"/>
      <c r="AF223" s="236"/>
      <c r="AG223" s="67"/>
      <c r="AH223" s="68"/>
      <c r="AI223" s="69"/>
      <c r="AJ223" s="71"/>
    </row>
    <row r="224" spans="1:36" s="22" customFormat="1" x14ac:dyDescent="0.25">
      <c r="A224" s="28" t="str">
        <f>IF(H224&lt;&gt;"",MAX($A$7:A223)+1,"")</f>
        <v/>
      </c>
      <c r="B224" s="243" t="str">
        <f t="shared" si="35"/>
        <v/>
      </c>
      <c r="C224" s="96" t="str">
        <f t="shared" si="36"/>
        <v/>
      </c>
      <c r="D224" s="238"/>
      <c r="E224" s="239"/>
      <c r="F224" s="239"/>
      <c r="G224" s="240"/>
      <c r="H224" s="241"/>
      <c r="I224" s="231"/>
      <c r="J224" s="231"/>
      <c r="K224" s="232"/>
      <c r="L224" s="232"/>
      <c r="M224" s="233"/>
      <c r="N224" s="233"/>
      <c r="O224" s="234"/>
      <c r="P224" s="234"/>
      <c r="Q224" s="235"/>
      <c r="R224" s="235"/>
      <c r="S224" s="236"/>
      <c r="T224" s="236"/>
      <c r="U224" s="231"/>
      <c r="V224" s="231"/>
      <c r="W224" s="232"/>
      <c r="X224" s="232"/>
      <c r="Y224" s="233"/>
      <c r="Z224" s="233"/>
      <c r="AA224" s="234"/>
      <c r="AB224" s="234"/>
      <c r="AC224" s="235"/>
      <c r="AD224" s="235"/>
      <c r="AE224" s="236"/>
      <c r="AF224" s="236"/>
      <c r="AG224" s="67"/>
      <c r="AH224" s="68"/>
      <c r="AI224" s="69"/>
      <c r="AJ224" s="71"/>
    </row>
    <row r="225" spans="1:36" s="22" customFormat="1" x14ac:dyDescent="0.25">
      <c r="A225" s="28" t="str">
        <f>IF(H225&lt;&gt;"",MAX($A$7:A224)+1,"")</f>
        <v/>
      </c>
      <c r="B225" s="243" t="str">
        <f t="shared" si="35"/>
        <v/>
      </c>
      <c r="C225" s="96" t="str">
        <f t="shared" si="36"/>
        <v/>
      </c>
      <c r="D225" s="238"/>
      <c r="E225" s="239"/>
      <c r="F225" s="239"/>
      <c r="G225" s="240"/>
      <c r="H225" s="241"/>
      <c r="I225" s="231"/>
      <c r="J225" s="231"/>
      <c r="K225" s="232"/>
      <c r="L225" s="232"/>
      <c r="M225" s="233"/>
      <c r="N225" s="233"/>
      <c r="O225" s="234"/>
      <c r="P225" s="234"/>
      <c r="Q225" s="235"/>
      <c r="R225" s="235"/>
      <c r="S225" s="236"/>
      <c r="T225" s="236"/>
      <c r="U225" s="231"/>
      <c r="V225" s="231"/>
      <c r="W225" s="232"/>
      <c r="X225" s="232"/>
      <c r="Y225" s="233"/>
      <c r="Z225" s="233"/>
      <c r="AA225" s="234"/>
      <c r="AB225" s="234"/>
      <c r="AC225" s="235"/>
      <c r="AD225" s="235"/>
      <c r="AE225" s="236"/>
      <c r="AF225" s="236"/>
      <c r="AG225" s="67"/>
      <c r="AH225" s="68"/>
      <c r="AI225" s="69"/>
      <c r="AJ225" s="71"/>
    </row>
    <row r="226" spans="1:36" s="22" customFormat="1" x14ac:dyDescent="0.25">
      <c r="A226" s="28" t="str">
        <f>IF(H226&lt;&gt;"",MAX($A$7:A225)+1,"")</f>
        <v/>
      </c>
      <c r="B226" s="243" t="str">
        <f t="shared" si="35"/>
        <v/>
      </c>
      <c r="C226" s="96" t="str">
        <f t="shared" si="36"/>
        <v/>
      </c>
      <c r="D226" s="238"/>
      <c r="E226" s="239"/>
      <c r="F226" s="239"/>
      <c r="G226" s="240"/>
      <c r="H226" s="241"/>
      <c r="I226" s="231"/>
      <c r="J226" s="231"/>
      <c r="K226" s="232"/>
      <c r="L226" s="232"/>
      <c r="M226" s="233"/>
      <c r="N226" s="233"/>
      <c r="O226" s="234"/>
      <c r="P226" s="234"/>
      <c r="Q226" s="235"/>
      <c r="R226" s="235"/>
      <c r="S226" s="236"/>
      <c r="T226" s="236"/>
      <c r="U226" s="231"/>
      <c r="V226" s="231"/>
      <c r="W226" s="232"/>
      <c r="X226" s="232"/>
      <c r="Y226" s="233"/>
      <c r="Z226" s="233"/>
      <c r="AA226" s="234"/>
      <c r="AB226" s="234"/>
      <c r="AC226" s="235"/>
      <c r="AD226" s="235"/>
      <c r="AE226" s="236"/>
      <c r="AF226" s="236"/>
      <c r="AG226" s="67"/>
      <c r="AH226" s="68"/>
      <c r="AI226" s="69"/>
      <c r="AJ226" s="71"/>
    </row>
    <row r="227" spans="1:36" s="22" customFormat="1" x14ac:dyDescent="0.25">
      <c r="A227" s="28" t="str">
        <f>IF(H227&lt;&gt;"",MAX($A$7:A226)+1,"")</f>
        <v/>
      </c>
      <c r="B227" s="243" t="str">
        <f t="shared" si="35"/>
        <v/>
      </c>
      <c r="C227" s="96" t="str">
        <f t="shared" si="36"/>
        <v/>
      </c>
      <c r="D227" s="238"/>
      <c r="E227" s="239"/>
      <c r="F227" s="239"/>
      <c r="G227" s="240"/>
      <c r="H227" s="241"/>
      <c r="I227" s="231"/>
      <c r="J227" s="231"/>
      <c r="K227" s="232"/>
      <c r="L227" s="232"/>
      <c r="M227" s="233"/>
      <c r="N227" s="233"/>
      <c r="O227" s="234"/>
      <c r="P227" s="234"/>
      <c r="Q227" s="235"/>
      <c r="R227" s="235"/>
      <c r="S227" s="236"/>
      <c r="T227" s="236"/>
      <c r="U227" s="231"/>
      <c r="V227" s="231"/>
      <c r="W227" s="232"/>
      <c r="X227" s="232"/>
      <c r="Y227" s="233"/>
      <c r="Z227" s="233"/>
      <c r="AA227" s="234"/>
      <c r="AB227" s="234"/>
      <c r="AC227" s="235"/>
      <c r="AD227" s="235"/>
      <c r="AE227" s="236"/>
      <c r="AF227" s="236"/>
      <c r="AG227" s="67"/>
      <c r="AH227" s="68"/>
      <c r="AI227" s="69"/>
      <c r="AJ227" s="71"/>
    </row>
    <row r="228" spans="1:36" s="22" customFormat="1" x14ac:dyDescent="0.25">
      <c r="A228" s="28" t="str">
        <f>IF(H228&lt;&gt;"",MAX($A$7:A227)+1,"")</f>
        <v/>
      </c>
      <c r="B228" s="243" t="str">
        <f t="shared" si="35"/>
        <v/>
      </c>
      <c r="C228" s="96" t="str">
        <f t="shared" si="36"/>
        <v/>
      </c>
      <c r="D228" s="238"/>
      <c r="E228" s="239"/>
      <c r="F228" s="239"/>
      <c r="G228" s="240"/>
      <c r="H228" s="241"/>
      <c r="I228" s="231"/>
      <c r="J228" s="231"/>
      <c r="K228" s="232"/>
      <c r="L228" s="232"/>
      <c r="M228" s="233"/>
      <c r="N228" s="233"/>
      <c r="O228" s="234"/>
      <c r="P228" s="234"/>
      <c r="Q228" s="235"/>
      <c r="R228" s="235"/>
      <c r="S228" s="236"/>
      <c r="T228" s="236"/>
      <c r="U228" s="231"/>
      <c r="V228" s="231"/>
      <c r="W228" s="232"/>
      <c r="X228" s="232"/>
      <c r="Y228" s="233"/>
      <c r="Z228" s="233"/>
      <c r="AA228" s="234"/>
      <c r="AB228" s="234"/>
      <c r="AC228" s="235"/>
      <c r="AD228" s="235"/>
      <c r="AE228" s="236"/>
      <c r="AF228" s="236"/>
      <c r="AG228" s="67"/>
      <c r="AH228" s="68"/>
      <c r="AI228" s="69"/>
      <c r="AJ228" s="71"/>
    </row>
    <row r="229" spans="1:36" s="22" customFormat="1" x14ac:dyDescent="0.25">
      <c r="A229" s="28" t="str">
        <f>IF(H229&lt;&gt;"",MAX($A$7:A228)+1,"")</f>
        <v/>
      </c>
      <c r="B229" s="243" t="str">
        <f t="shared" si="35"/>
        <v/>
      </c>
      <c r="C229" s="96" t="str">
        <f t="shared" si="36"/>
        <v/>
      </c>
      <c r="D229" s="238"/>
      <c r="E229" s="239"/>
      <c r="F229" s="239"/>
      <c r="G229" s="240"/>
      <c r="H229" s="241"/>
      <c r="I229" s="231"/>
      <c r="J229" s="231"/>
      <c r="K229" s="232"/>
      <c r="L229" s="232"/>
      <c r="M229" s="233"/>
      <c r="N229" s="233"/>
      <c r="O229" s="234"/>
      <c r="P229" s="234"/>
      <c r="Q229" s="235"/>
      <c r="R229" s="235"/>
      <c r="S229" s="236"/>
      <c r="T229" s="236"/>
      <c r="U229" s="231"/>
      <c r="V229" s="231"/>
      <c r="W229" s="232"/>
      <c r="X229" s="232"/>
      <c r="Y229" s="233"/>
      <c r="Z229" s="233"/>
      <c r="AA229" s="234"/>
      <c r="AB229" s="234"/>
      <c r="AC229" s="235"/>
      <c r="AD229" s="235"/>
      <c r="AE229" s="236"/>
      <c r="AF229" s="236"/>
      <c r="AG229" s="67"/>
      <c r="AH229" s="68"/>
      <c r="AI229" s="69"/>
      <c r="AJ229" s="71"/>
    </row>
    <row r="230" spans="1:36" s="22" customFormat="1" x14ac:dyDescent="0.25">
      <c r="A230" s="28" t="str">
        <f>IF(H230&lt;&gt;"",MAX($A$7:A229)+1,"")</f>
        <v/>
      </c>
      <c r="B230" s="243" t="str">
        <f t="shared" si="35"/>
        <v/>
      </c>
      <c r="C230" s="96" t="str">
        <f t="shared" si="36"/>
        <v/>
      </c>
      <c r="D230" s="238"/>
      <c r="E230" s="239"/>
      <c r="F230" s="239"/>
      <c r="G230" s="240"/>
      <c r="H230" s="241"/>
      <c r="I230" s="231"/>
      <c r="J230" s="231"/>
      <c r="K230" s="232"/>
      <c r="L230" s="232"/>
      <c r="M230" s="233"/>
      <c r="N230" s="233"/>
      <c r="O230" s="234"/>
      <c r="P230" s="234"/>
      <c r="Q230" s="235"/>
      <c r="R230" s="235"/>
      <c r="S230" s="236"/>
      <c r="T230" s="236"/>
      <c r="U230" s="231"/>
      <c r="V230" s="231"/>
      <c r="W230" s="232"/>
      <c r="X230" s="232"/>
      <c r="Y230" s="233"/>
      <c r="Z230" s="233"/>
      <c r="AA230" s="234"/>
      <c r="AB230" s="234"/>
      <c r="AC230" s="235"/>
      <c r="AD230" s="235"/>
      <c r="AE230" s="236"/>
      <c r="AF230" s="236"/>
      <c r="AG230" s="67"/>
      <c r="AH230" s="68"/>
      <c r="AI230" s="69"/>
      <c r="AJ230" s="71"/>
    </row>
    <row r="231" spans="1:36" s="22" customFormat="1" x14ac:dyDescent="0.25">
      <c r="A231" s="28" t="str">
        <f>IF(H231&lt;&gt;"",MAX($A$7:A230)+1,"")</f>
        <v/>
      </c>
      <c r="B231" s="243" t="str">
        <f t="shared" si="35"/>
        <v/>
      </c>
      <c r="C231" s="96" t="str">
        <f t="shared" si="36"/>
        <v/>
      </c>
      <c r="D231" s="238"/>
      <c r="E231" s="239"/>
      <c r="F231" s="239"/>
      <c r="G231" s="240"/>
      <c r="H231" s="241"/>
      <c r="I231" s="231"/>
      <c r="J231" s="231"/>
      <c r="K231" s="232"/>
      <c r="L231" s="232"/>
      <c r="M231" s="233"/>
      <c r="N231" s="233"/>
      <c r="O231" s="234"/>
      <c r="P231" s="234"/>
      <c r="Q231" s="235"/>
      <c r="R231" s="235"/>
      <c r="S231" s="236"/>
      <c r="T231" s="236"/>
      <c r="U231" s="231"/>
      <c r="V231" s="231"/>
      <c r="W231" s="232"/>
      <c r="X231" s="232"/>
      <c r="Y231" s="233"/>
      <c r="Z231" s="233"/>
      <c r="AA231" s="234"/>
      <c r="AB231" s="234"/>
      <c r="AC231" s="235"/>
      <c r="AD231" s="235"/>
      <c r="AE231" s="236"/>
      <c r="AF231" s="236"/>
      <c r="AG231" s="67"/>
      <c r="AH231" s="68"/>
      <c r="AI231" s="69"/>
      <c r="AJ231" s="71"/>
    </row>
    <row r="232" spans="1:36" s="22" customFormat="1" x14ac:dyDescent="0.25">
      <c r="A232" s="28" t="str">
        <f>IF(H232&lt;&gt;"",MAX($A$7:A231)+1,"")</f>
        <v/>
      </c>
      <c r="B232" s="243" t="str">
        <f t="shared" si="35"/>
        <v/>
      </c>
      <c r="C232" s="96" t="str">
        <f t="shared" si="36"/>
        <v/>
      </c>
      <c r="D232" s="238"/>
      <c r="E232" s="239"/>
      <c r="F232" s="239"/>
      <c r="G232" s="240"/>
      <c r="H232" s="241"/>
      <c r="I232" s="231"/>
      <c r="J232" s="231"/>
      <c r="K232" s="232"/>
      <c r="L232" s="232"/>
      <c r="M232" s="233"/>
      <c r="N232" s="233"/>
      <c r="O232" s="234"/>
      <c r="P232" s="234"/>
      <c r="Q232" s="235"/>
      <c r="R232" s="235"/>
      <c r="S232" s="236"/>
      <c r="T232" s="236"/>
      <c r="U232" s="231"/>
      <c r="V232" s="231"/>
      <c r="W232" s="232"/>
      <c r="X232" s="232"/>
      <c r="Y232" s="233"/>
      <c r="Z232" s="233"/>
      <c r="AA232" s="234"/>
      <c r="AB232" s="234"/>
      <c r="AC232" s="235"/>
      <c r="AD232" s="235"/>
      <c r="AE232" s="236"/>
      <c r="AF232" s="236"/>
      <c r="AG232" s="67"/>
      <c r="AH232" s="68"/>
      <c r="AI232" s="69"/>
      <c r="AJ232" s="71"/>
    </row>
    <row r="233" spans="1:36" s="22" customFormat="1" x14ac:dyDescent="0.25">
      <c r="A233" s="28" t="str">
        <f>IF(H233&lt;&gt;"",MAX($A$7:A232)+1,"")</f>
        <v/>
      </c>
      <c r="B233" s="243" t="str">
        <f t="shared" si="35"/>
        <v/>
      </c>
      <c r="C233" s="96" t="str">
        <f t="shared" si="36"/>
        <v/>
      </c>
      <c r="D233" s="238"/>
      <c r="E233" s="239"/>
      <c r="F233" s="239"/>
      <c r="G233" s="240"/>
      <c r="H233" s="241"/>
      <c r="I233" s="231"/>
      <c r="J233" s="231"/>
      <c r="K233" s="232"/>
      <c r="L233" s="232"/>
      <c r="M233" s="233"/>
      <c r="N233" s="233"/>
      <c r="O233" s="234"/>
      <c r="P233" s="234"/>
      <c r="Q233" s="235"/>
      <c r="R233" s="235"/>
      <c r="S233" s="236"/>
      <c r="T233" s="236"/>
      <c r="U233" s="231"/>
      <c r="V233" s="231"/>
      <c r="W233" s="232"/>
      <c r="X233" s="232"/>
      <c r="Y233" s="233"/>
      <c r="Z233" s="233"/>
      <c r="AA233" s="234"/>
      <c r="AB233" s="234"/>
      <c r="AC233" s="235"/>
      <c r="AD233" s="235"/>
      <c r="AE233" s="236"/>
      <c r="AF233" s="236"/>
      <c r="AG233" s="67"/>
      <c r="AH233" s="68"/>
      <c r="AI233" s="69"/>
      <c r="AJ233" s="71"/>
    </row>
    <row r="234" spans="1:36" s="22" customFormat="1" x14ac:dyDescent="0.25">
      <c r="A234" s="28" t="str">
        <f>IF(H234&lt;&gt;"",MAX($A$7:A233)+1,"")</f>
        <v/>
      </c>
      <c r="B234" s="243" t="str">
        <f t="shared" si="35"/>
        <v/>
      </c>
      <c r="C234" s="96" t="str">
        <f t="shared" si="36"/>
        <v/>
      </c>
      <c r="D234" s="238"/>
      <c r="E234" s="239"/>
      <c r="F234" s="239"/>
      <c r="G234" s="240"/>
      <c r="H234" s="241"/>
      <c r="I234" s="231"/>
      <c r="J234" s="231"/>
      <c r="K234" s="232"/>
      <c r="L234" s="232"/>
      <c r="M234" s="233"/>
      <c r="N234" s="233"/>
      <c r="O234" s="234"/>
      <c r="P234" s="234"/>
      <c r="Q234" s="235"/>
      <c r="R234" s="235"/>
      <c r="S234" s="236"/>
      <c r="T234" s="236"/>
      <c r="U234" s="231"/>
      <c r="V234" s="231"/>
      <c r="W234" s="232"/>
      <c r="X234" s="232"/>
      <c r="Y234" s="233"/>
      <c r="Z234" s="233"/>
      <c r="AA234" s="234"/>
      <c r="AB234" s="234"/>
      <c r="AC234" s="235"/>
      <c r="AD234" s="235"/>
      <c r="AE234" s="236"/>
      <c r="AF234" s="236"/>
      <c r="AG234" s="67"/>
      <c r="AH234" s="68"/>
      <c r="AI234" s="69"/>
      <c r="AJ234" s="71"/>
    </row>
    <row r="235" spans="1:36" s="22" customFormat="1" x14ac:dyDescent="0.25">
      <c r="A235" s="28" t="str">
        <f>IF(H235&lt;&gt;"",MAX($A$7:A234)+1,"")</f>
        <v/>
      </c>
      <c r="B235" s="243" t="str">
        <f t="shared" si="35"/>
        <v/>
      </c>
      <c r="C235" s="96" t="str">
        <f t="shared" si="36"/>
        <v/>
      </c>
      <c r="D235" s="238"/>
      <c r="E235" s="239"/>
      <c r="F235" s="239"/>
      <c r="G235" s="240"/>
      <c r="H235" s="241"/>
      <c r="I235" s="231"/>
      <c r="J235" s="231"/>
      <c r="K235" s="232"/>
      <c r="L235" s="232"/>
      <c r="M235" s="233"/>
      <c r="N235" s="233"/>
      <c r="O235" s="234"/>
      <c r="P235" s="234"/>
      <c r="Q235" s="235"/>
      <c r="R235" s="235"/>
      <c r="S235" s="236"/>
      <c r="T235" s="236"/>
      <c r="U235" s="231"/>
      <c r="V235" s="231"/>
      <c r="W235" s="232"/>
      <c r="X235" s="232"/>
      <c r="Y235" s="233"/>
      <c r="Z235" s="233"/>
      <c r="AA235" s="234"/>
      <c r="AB235" s="234"/>
      <c r="AC235" s="235"/>
      <c r="AD235" s="235"/>
      <c r="AE235" s="236"/>
      <c r="AF235" s="236"/>
      <c r="AG235" s="67"/>
      <c r="AH235" s="68"/>
      <c r="AI235" s="69"/>
      <c r="AJ235" s="71"/>
    </row>
    <row r="236" spans="1:36" s="22" customFormat="1" x14ac:dyDescent="0.25">
      <c r="A236" s="28" t="str">
        <f>IF(H236&lt;&gt;"",MAX($A$7:A235)+1,"")</f>
        <v/>
      </c>
      <c r="B236" s="243" t="str">
        <f t="shared" si="35"/>
        <v/>
      </c>
      <c r="C236" s="96" t="str">
        <f t="shared" si="36"/>
        <v/>
      </c>
      <c r="D236" s="238"/>
      <c r="E236" s="239"/>
      <c r="F236" s="239"/>
      <c r="G236" s="240"/>
      <c r="H236" s="241"/>
      <c r="I236" s="231"/>
      <c r="J236" s="231"/>
      <c r="K236" s="232"/>
      <c r="L236" s="232"/>
      <c r="M236" s="233"/>
      <c r="N236" s="233"/>
      <c r="O236" s="234"/>
      <c r="P236" s="234"/>
      <c r="Q236" s="235"/>
      <c r="R236" s="235"/>
      <c r="S236" s="236"/>
      <c r="T236" s="236"/>
      <c r="U236" s="231"/>
      <c r="V236" s="231"/>
      <c r="W236" s="232"/>
      <c r="X236" s="232"/>
      <c r="Y236" s="233"/>
      <c r="Z236" s="233"/>
      <c r="AA236" s="234"/>
      <c r="AB236" s="234"/>
      <c r="AC236" s="235"/>
      <c r="AD236" s="235"/>
      <c r="AE236" s="236"/>
      <c r="AF236" s="236"/>
      <c r="AG236" s="67"/>
      <c r="AH236" s="68"/>
      <c r="AI236" s="69"/>
      <c r="AJ236" s="71"/>
    </row>
    <row r="237" spans="1:36" s="22" customFormat="1" x14ac:dyDescent="0.25">
      <c r="A237" s="28" t="str">
        <f>IF(H237&lt;&gt;"",MAX($A$7:A236)+1,"")</f>
        <v/>
      </c>
      <c r="B237" s="243" t="str">
        <f t="shared" si="35"/>
        <v/>
      </c>
      <c r="C237" s="96" t="str">
        <f t="shared" si="36"/>
        <v/>
      </c>
      <c r="D237" s="238"/>
      <c r="E237" s="239"/>
      <c r="F237" s="239"/>
      <c r="G237" s="240"/>
      <c r="H237" s="241"/>
      <c r="I237" s="231"/>
      <c r="J237" s="231"/>
      <c r="K237" s="232"/>
      <c r="L237" s="232"/>
      <c r="M237" s="233"/>
      <c r="N237" s="233"/>
      <c r="O237" s="234"/>
      <c r="P237" s="234"/>
      <c r="Q237" s="235"/>
      <c r="R237" s="235"/>
      <c r="S237" s="236"/>
      <c r="T237" s="236"/>
      <c r="U237" s="231"/>
      <c r="V237" s="231"/>
      <c r="W237" s="232"/>
      <c r="X237" s="232"/>
      <c r="Y237" s="233"/>
      <c r="Z237" s="233"/>
      <c r="AA237" s="234"/>
      <c r="AB237" s="234"/>
      <c r="AC237" s="235"/>
      <c r="AD237" s="235"/>
      <c r="AE237" s="236"/>
      <c r="AF237" s="236"/>
      <c r="AG237" s="67"/>
      <c r="AH237" s="68"/>
      <c r="AI237" s="69"/>
      <c r="AJ237" s="71"/>
    </row>
    <row r="238" spans="1:36" s="22" customFormat="1" x14ac:dyDescent="0.25">
      <c r="A238" s="28" t="str">
        <f>IF(H238&lt;&gt;"",MAX($A$7:A237)+1,"")</f>
        <v/>
      </c>
      <c r="B238" s="243" t="str">
        <f t="shared" si="35"/>
        <v/>
      </c>
      <c r="C238" s="96" t="str">
        <f t="shared" si="36"/>
        <v/>
      </c>
      <c r="D238" s="238"/>
      <c r="E238" s="239"/>
      <c r="F238" s="239"/>
      <c r="G238" s="240"/>
      <c r="H238" s="241"/>
      <c r="I238" s="231"/>
      <c r="J238" s="231"/>
      <c r="K238" s="232"/>
      <c r="L238" s="232"/>
      <c r="M238" s="233"/>
      <c r="N238" s="233"/>
      <c r="O238" s="234"/>
      <c r="P238" s="234"/>
      <c r="Q238" s="235"/>
      <c r="R238" s="235"/>
      <c r="S238" s="236"/>
      <c r="T238" s="236"/>
      <c r="U238" s="231"/>
      <c r="V238" s="231"/>
      <c r="W238" s="232"/>
      <c r="X238" s="232"/>
      <c r="Y238" s="233"/>
      <c r="Z238" s="233"/>
      <c r="AA238" s="234"/>
      <c r="AB238" s="234"/>
      <c r="AC238" s="235"/>
      <c r="AD238" s="235"/>
      <c r="AE238" s="236"/>
      <c r="AF238" s="236"/>
      <c r="AG238" s="67"/>
      <c r="AH238" s="68"/>
      <c r="AI238" s="69"/>
      <c r="AJ238" s="71"/>
    </row>
    <row r="239" spans="1:36" s="22" customFormat="1" x14ac:dyDescent="0.25">
      <c r="A239" s="28" t="str">
        <f>IF(H239&lt;&gt;"",MAX($A$7:A238)+1,"")</f>
        <v/>
      </c>
      <c r="B239" s="243" t="str">
        <f t="shared" si="35"/>
        <v/>
      </c>
      <c r="C239" s="96" t="str">
        <f t="shared" si="36"/>
        <v/>
      </c>
      <c r="D239" s="238"/>
      <c r="E239" s="239"/>
      <c r="F239" s="239"/>
      <c r="G239" s="240"/>
      <c r="H239" s="241"/>
      <c r="I239" s="231"/>
      <c r="J239" s="231"/>
      <c r="K239" s="232"/>
      <c r="L239" s="232"/>
      <c r="M239" s="233"/>
      <c r="N239" s="233"/>
      <c r="O239" s="234"/>
      <c r="P239" s="234"/>
      <c r="Q239" s="235"/>
      <c r="R239" s="235"/>
      <c r="S239" s="236"/>
      <c r="T239" s="236"/>
      <c r="U239" s="231"/>
      <c r="V239" s="231"/>
      <c r="W239" s="232"/>
      <c r="X239" s="232"/>
      <c r="Y239" s="233"/>
      <c r="Z239" s="233"/>
      <c r="AA239" s="234"/>
      <c r="AB239" s="234"/>
      <c r="AC239" s="235"/>
      <c r="AD239" s="235"/>
      <c r="AE239" s="236"/>
      <c r="AF239" s="236"/>
      <c r="AG239" s="67"/>
      <c r="AH239" s="68"/>
      <c r="AI239" s="69"/>
      <c r="AJ239" s="71"/>
    </row>
    <row r="240" spans="1:36" s="22" customFormat="1" x14ac:dyDescent="0.25">
      <c r="A240" s="28" t="str">
        <f>IF(H240&lt;&gt;"",MAX($A$7:A239)+1,"")</f>
        <v/>
      </c>
      <c r="B240" s="243" t="str">
        <f t="shared" si="35"/>
        <v/>
      </c>
      <c r="C240" s="96" t="str">
        <f t="shared" si="36"/>
        <v/>
      </c>
      <c r="D240" s="238"/>
      <c r="E240" s="239"/>
      <c r="F240" s="239"/>
      <c r="G240" s="240"/>
      <c r="H240" s="241"/>
      <c r="I240" s="231"/>
      <c r="J240" s="231"/>
      <c r="K240" s="232"/>
      <c r="L240" s="232"/>
      <c r="M240" s="233"/>
      <c r="N240" s="233"/>
      <c r="O240" s="234"/>
      <c r="P240" s="234"/>
      <c r="Q240" s="235"/>
      <c r="R240" s="235"/>
      <c r="S240" s="236"/>
      <c r="T240" s="236"/>
      <c r="U240" s="231"/>
      <c r="V240" s="231"/>
      <c r="W240" s="232"/>
      <c r="X240" s="232"/>
      <c r="Y240" s="233"/>
      <c r="Z240" s="233"/>
      <c r="AA240" s="234"/>
      <c r="AB240" s="234"/>
      <c r="AC240" s="235"/>
      <c r="AD240" s="235"/>
      <c r="AE240" s="236"/>
      <c r="AF240" s="236"/>
      <c r="AG240" s="67"/>
      <c r="AH240" s="68"/>
      <c r="AI240" s="69"/>
      <c r="AJ240" s="71"/>
    </row>
    <row r="241" spans="1:36" s="22" customFormat="1" x14ac:dyDescent="0.25">
      <c r="A241" s="28" t="str">
        <f>IF(H241&lt;&gt;"",MAX($A$7:A240)+1,"")</f>
        <v/>
      </c>
      <c r="B241" s="243" t="str">
        <f t="shared" si="35"/>
        <v/>
      </c>
      <c r="C241" s="96" t="str">
        <f t="shared" si="36"/>
        <v/>
      </c>
      <c r="D241" s="238"/>
      <c r="E241" s="239"/>
      <c r="F241" s="239"/>
      <c r="G241" s="240"/>
      <c r="H241" s="241"/>
      <c r="I241" s="231"/>
      <c r="J241" s="231"/>
      <c r="K241" s="232"/>
      <c r="L241" s="232"/>
      <c r="M241" s="233"/>
      <c r="N241" s="233"/>
      <c r="O241" s="234"/>
      <c r="P241" s="234"/>
      <c r="Q241" s="235"/>
      <c r="R241" s="235"/>
      <c r="S241" s="236"/>
      <c r="T241" s="236"/>
      <c r="U241" s="231"/>
      <c r="V241" s="231"/>
      <c r="W241" s="232"/>
      <c r="X241" s="232"/>
      <c r="Y241" s="233"/>
      <c r="Z241" s="233"/>
      <c r="AA241" s="234"/>
      <c r="AB241" s="234"/>
      <c r="AC241" s="235"/>
      <c r="AD241" s="235"/>
      <c r="AE241" s="236"/>
      <c r="AF241" s="236"/>
      <c r="AG241" s="67"/>
      <c r="AH241" s="68"/>
      <c r="AI241" s="69"/>
      <c r="AJ241" s="71"/>
    </row>
    <row r="242" spans="1:36" s="22" customFormat="1" x14ac:dyDescent="0.25">
      <c r="A242" s="28" t="str">
        <f>IF(H242&lt;&gt;"",MAX($A$7:A241)+1,"")</f>
        <v/>
      </c>
      <c r="B242" s="243" t="str">
        <f t="shared" si="35"/>
        <v/>
      </c>
      <c r="C242" s="96" t="str">
        <f t="shared" si="36"/>
        <v/>
      </c>
      <c r="D242" s="238"/>
      <c r="E242" s="239"/>
      <c r="F242" s="239"/>
      <c r="G242" s="240"/>
      <c r="H242" s="241"/>
      <c r="I242" s="231"/>
      <c r="J242" s="231"/>
      <c r="K242" s="232"/>
      <c r="L242" s="232"/>
      <c r="M242" s="233"/>
      <c r="N242" s="233"/>
      <c r="O242" s="234"/>
      <c r="P242" s="234"/>
      <c r="Q242" s="235"/>
      <c r="R242" s="235"/>
      <c r="S242" s="236"/>
      <c r="T242" s="236"/>
      <c r="U242" s="231"/>
      <c r="V242" s="231"/>
      <c r="W242" s="232"/>
      <c r="X242" s="232"/>
      <c r="Y242" s="233"/>
      <c r="Z242" s="233"/>
      <c r="AA242" s="234"/>
      <c r="AB242" s="234"/>
      <c r="AC242" s="235"/>
      <c r="AD242" s="235"/>
      <c r="AE242" s="236"/>
      <c r="AF242" s="236"/>
      <c r="AG242" s="67"/>
      <c r="AH242" s="68"/>
      <c r="AI242" s="69"/>
      <c r="AJ242" s="71"/>
    </row>
    <row r="243" spans="1:36" s="22" customFormat="1" x14ac:dyDescent="0.25">
      <c r="A243" s="28" t="str">
        <f>IF(H243&lt;&gt;"",MAX($A$7:A242)+1,"")</f>
        <v/>
      </c>
      <c r="B243" s="243" t="str">
        <f t="shared" si="35"/>
        <v/>
      </c>
      <c r="C243" s="96" t="str">
        <f t="shared" si="36"/>
        <v/>
      </c>
      <c r="D243" s="238"/>
      <c r="E243" s="239"/>
      <c r="F243" s="239"/>
      <c r="G243" s="240"/>
      <c r="H243" s="241"/>
      <c r="I243" s="231"/>
      <c r="J243" s="231"/>
      <c r="K243" s="232"/>
      <c r="L243" s="232"/>
      <c r="M243" s="233"/>
      <c r="N243" s="233"/>
      <c r="O243" s="234"/>
      <c r="P243" s="234"/>
      <c r="Q243" s="235"/>
      <c r="R243" s="235"/>
      <c r="S243" s="236"/>
      <c r="T243" s="236"/>
      <c r="U243" s="231"/>
      <c r="V243" s="231"/>
      <c r="W243" s="232"/>
      <c r="X243" s="232"/>
      <c r="Y243" s="233"/>
      <c r="Z243" s="233"/>
      <c r="AA243" s="234"/>
      <c r="AB243" s="234"/>
      <c r="AC243" s="235"/>
      <c r="AD243" s="235"/>
      <c r="AE243" s="236"/>
      <c r="AF243" s="236"/>
      <c r="AG243" s="67"/>
      <c r="AH243" s="68"/>
      <c r="AI243" s="69"/>
      <c r="AJ243" s="71"/>
    </row>
    <row r="244" spans="1:36" s="22" customFormat="1" x14ac:dyDescent="0.25">
      <c r="A244" s="28" t="str">
        <f>IF(H244&lt;&gt;"",MAX($A$7:A243)+1,"")</f>
        <v/>
      </c>
      <c r="B244" s="243" t="str">
        <f t="shared" si="35"/>
        <v/>
      </c>
      <c r="C244" s="96" t="str">
        <f t="shared" si="36"/>
        <v/>
      </c>
      <c r="D244" s="238"/>
      <c r="E244" s="239"/>
      <c r="F244" s="239"/>
      <c r="G244" s="240"/>
      <c r="H244" s="241"/>
      <c r="I244" s="231"/>
      <c r="J244" s="231"/>
      <c r="K244" s="232"/>
      <c r="L244" s="232"/>
      <c r="M244" s="233"/>
      <c r="N244" s="233"/>
      <c r="O244" s="234"/>
      <c r="P244" s="234"/>
      <c r="Q244" s="235"/>
      <c r="R244" s="235"/>
      <c r="S244" s="236"/>
      <c r="T244" s="236"/>
      <c r="U244" s="231"/>
      <c r="V244" s="231"/>
      <c r="W244" s="232"/>
      <c r="X244" s="232"/>
      <c r="Y244" s="233"/>
      <c r="Z244" s="233"/>
      <c r="AA244" s="234"/>
      <c r="AB244" s="234"/>
      <c r="AC244" s="235"/>
      <c r="AD244" s="235"/>
      <c r="AE244" s="236"/>
      <c r="AF244" s="236"/>
      <c r="AG244" s="67"/>
      <c r="AH244" s="68"/>
      <c r="AI244" s="69"/>
      <c r="AJ244" s="71"/>
    </row>
    <row r="245" spans="1:36" s="22" customFormat="1" x14ac:dyDescent="0.25">
      <c r="A245" s="28" t="str">
        <f>IF(H245&lt;&gt;"",MAX($A$7:A244)+1,"")</f>
        <v/>
      </c>
      <c r="B245" s="243" t="str">
        <f t="shared" si="35"/>
        <v/>
      </c>
      <c r="C245" s="96" t="str">
        <f t="shared" si="36"/>
        <v/>
      </c>
      <c r="D245" s="238"/>
      <c r="E245" s="239"/>
      <c r="F245" s="239"/>
      <c r="G245" s="240"/>
      <c r="H245" s="241"/>
      <c r="I245" s="231"/>
      <c r="J245" s="231"/>
      <c r="K245" s="232"/>
      <c r="L245" s="232"/>
      <c r="M245" s="233"/>
      <c r="N245" s="233"/>
      <c r="O245" s="234"/>
      <c r="P245" s="234"/>
      <c r="Q245" s="235"/>
      <c r="R245" s="235"/>
      <c r="S245" s="236"/>
      <c r="T245" s="236"/>
      <c r="U245" s="231"/>
      <c r="V245" s="231"/>
      <c r="W245" s="232"/>
      <c r="X245" s="232"/>
      <c r="Y245" s="233"/>
      <c r="Z245" s="233"/>
      <c r="AA245" s="234"/>
      <c r="AB245" s="234"/>
      <c r="AC245" s="235"/>
      <c r="AD245" s="235"/>
      <c r="AE245" s="236"/>
      <c r="AF245" s="236"/>
      <c r="AG245" s="67"/>
      <c r="AH245" s="68"/>
      <c r="AI245" s="69"/>
      <c r="AJ245" s="71"/>
    </row>
    <row r="246" spans="1:36" s="22" customFormat="1" x14ac:dyDescent="0.25">
      <c r="A246" s="28" t="str">
        <f>IF(H246&lt;&gt;"",MAX($A$7:A245)+1,"")</f>
        <v/>
      </c>
      <c r="B246" s="243" t="str">
        <f t="shared" si="35"/>
        <v/>
      </c>
      <c r="C246" s="96" t="str">
        <f t="shared" si="36"/>
        <v/>
      </c>
      <c r="D246" s="238"/>
      <c r="E246" s="239"/>
      <c r="F246" s="239"/>
      <c r="G246" s="240"/>
      <c r="H246" s="241"/>
      <c r="I246" s="231"/>
      <c r="J246" s="231"/>
      <c r="K246" s="232"/>
      <c r="L246" s="232"/>
      <c r="M246" s="233"/>
      <c r="N246" s="233"/>
      <c r="O246" s="234"/>
      <c r="P246" s="234"/>
      <c r="Q246" s="235"/>
      <c r="R246" s="235"/>
      <c r="S246" s="236"/>
      <c r="T246" s="236"/>
      <c r="U246" s="231"/>
      <c r="V246" s="231"/>
      <c r="W246" s="232"/>
      <c r="X246" s="232"/>
      <c r="Y246" s="233"/>
      <c r="Z246" s="233"/>
      <c r="AA246" s="234"/>
      <c r="AB246" s="234"/>
      <c r="AC246" s="235"/>
      <c r="AD246" s="235"/>
      <c r="AE246" s="236"/>
      <c r="AF246" s="236"/>
      <c r="AG246" s="67"/>
      <c r="AH246" s="68"/>
      <c r="AI246" s="69"/>
      <c r="AJ246" s="71"/>
    </row>
    <row r="247" spans="1:36" s="22" customFormat="1" x14ac:dyDescent="0.25">
      <c r="A247" s="28" t="str">
        <f>IF(H247&lt;&gt;"",MAX($A$7:A246)+1,"")</f>
        <v/>
      </c>
      <c r="B247" s="243" t="str">
        <f t="shared" si="35"/>
        <v/>
      </c>
      <c r="C247" s="96" t="str">
        <f t="shared" si="36"/>
        <v/>
      </c>
      <c r="D247" s="238"/>
      <c r="E247" s="239"/>
      <c r="F247" s="239"/>
      <c r="G247" s="240"/>
      <c r="H247" s="241"/>
      <c r="I247" s="231"/>
      <c r="J247" s="231"/>
      <c r="K247" s="232"/>
      <c r="L247" s="232"/>
      <c r="M247" s="233"/>
      <c r="N247" s="233"/>
      <c r="O247" s="234"/>
      <c r="P247" s="234"/>
      <c r="Q247" s="235"/>
      <c r="R247" s="235"/>
      <c r="S247" s="236"/>
      <c r="T247" s="236"/>
      <c r="U247" s="231"/>
      <c r="V247" s="231"/>
      <c r="W247" s="232"/>
      <c r="X247" s="232"/>
      <c r="Y247" s="233"/>
      <c r="Z247" s="233"/>
      <c r="AA247" s="234"/>
      <c r="AB247" s="234"/>
      <c r="AC247" s="235"/>
      <c r="AD247" s="235"/>
      <c r="AE247" s="236"/>
      <c r="AF247" s="236"/>
      <c r="AG247" s="67"/>
      <c r="AH247" s="68"/>
      <c r="AI247" s="69"/>
      <c r="AJ247" s="71"/>
    </row>
    <row r="248" spans="1:36" s="22" customFormat="1" x14ac:dyDescent="0.25">
      <c r="A248" s="28" t="str">
        <f>IF(H248&lt;&gt;"",MAX($A$7:A247)+1,"")</f>
        <v/>
      </c>
      <c r="B248" s="243" t="str">
        <f t="shared" si="35"/>
        <v/>
      </c>
      <c r="C248" s="96" t="str">
        <f t="shared" si="36"/>
        <v/>
      </c>
      <c r="D248" s="238"/>
      <c r="E248" s="239"/>
      <c r="F248" s="239"/>
      <c r="G248" s="240"/>
      <c r="H248" s="241"/>
      <c r="I248" s="231"/>
      <c r="J248" s="231"/>
      <c r="K248" s="232"/>
      <c r="L248" s="232"/>
      <c r="M248" s="233"/>
      <c r="N248" s="233"/>
      <c r="O248" s="234"/>
      <c r="P248" s="234"/>
      <c r="Q248" s="235"/>
      <c r="R248" s="235"/>
      <c r="S248" s="236"/>
      <c r="T248" s="236"/>
      <c r="U248" s="231"/>
      <c r="V248" s="231"/>
      <c r="W248" s="232"/>
      <c r="X248" s="232"/>
      <c r="Y248" s="233"/>
      <c r="Z248" s="233"/>
      <c r="AA248" s="234"/>
      <c r="AB248" s="234"/>
      <c r="AC248" s="235"/>
      <c r="AD248" s="235"/>
      <c r="AE248" s="236"/>
      <c r="AF248" s="236"/>
      <c r="AG248" s="67"/>
      <c r="AH248" s="68"/>
      <c r="AI248" s="69"/>
      <c r="AJ248" s="71"/>
    </row>
    <row r="249" spans="1:36" s="22" customFormat="1" x14ac:dyDescent="0.25">
      <c r="A249" s="28" t="str">
        <f>IF(H249&lt;&gt;"",MAX($A$7:A248)+1,"")</f>
        <v/>
      </c>
      <c r="B249" s="243" t="str">
        <f t="shared" si="35"/>
        <v/>
      </c>
      <c r="C249" s="96" t="str">
        <f t="shared" si="36"/>
        <v/>
      </c>
      <c r="D249" s="238"/>
      <c r="E249" s="239"/>
      <c r="F249" s="239"/>
      <c r="G249" s="240"/>
      <c r="H249" s="241"/>
      <c r="I249" s="231"/>
      <c r="J249" s="231"/>
      <c r="K249" s="232"/>
      <c r="L249" s="232"/>
      <c r="M249" s="233"/>
      <c r="N249" s="233"/>
      <c r="O249" s="234"/>
      <c r="P249" s="234"/>
      <c r="Q249" s="235"/>
      <c r="R249" s="235"/>
      <c r="S249" s="236"/>
      <c r="T249" s="236"/>
      <c r="U249" s="231"/>
      <c r="V249" s="231"/>
      <c r="W249" s="232"/>
      <c r="X249" s="232"/>
      <c r="Y249" s="233"/>
      <c r="Z249" s="233"/>
      <c r="AA249" s="234"/>
      <c r="AB249" s="234"/>
      <c r="AC249" s="235"/>
      <c r="AD249" s="235"/>
      <c r="AE249" s="236"/>
      <c r="AF249" s="236"/>
      <c r="AG249" s="67"/>
      <c r="AH249" s="68"/>
      <c r="AI249" s="69"/>
      <c r="AJ249" s="71"/>
    </row>
    <row r="250" spans="1:36" s="22" customFormat="1" x14ac:dyDescent="0.25">
      <c r="A250" s="28" t="str">
        <f>IF(H250&lt;&gt;"",MAX($A$7:A249)+1,"")</f>
        <v/>
      </c>
      <c r="B250" s="243" t="str">
        <f t="shared" si="35"/>
        <v/>
      </c>
      <c r="C250" s="96" t="str">
        <f t="shared" si="36"/>
        <v/>
      </c>
      <c r="D250" s="238"/>
      <c r="E250" s="239"/>
      <c r="F250" s="239"/>
      <c r="G250" s="240"/>
      <c r="H250" s="241"/>
      <c r="I250" s="231"/>
      <c r="J250" s="231"/>
      <c r="K250" s="232"/>
      <c r="L250" s="232"/>
      <c r="M250" s="233"/>
      <c r="N250" s="233"/>
      <c r="O250" s="234"/>
      <c r="P250" s="234"/>
      <c r="Q250" s="235"/>
      <c r="R250" s="235"/>
      <c r="S250" s="236"/>
      <c r="T250" s="236"/>
      <c r="U250" s="231"/>
      <c r="V250" s="231"/>
      <c r="W250" s="232"/>
      <c r="X250" s="232"/>
      <c r="Y250" s="233"/>
      <c r="Z250" s="233"/>
      <c r="AA250" s="234"/>
      <c r="AB250" s="234"/>
      <c r="AC250" s="235"/>
      <c r="AD250" s="235"/>
      <c r="AE250" s="236"/>
      <c r="AF250" s="236"/>
      <c r="AG250" s="67"/>
      <c r="AH250" s="68"/>
      <c r="AI250" s="69"/>
      <c r="AJ250" s="71"/>
    </row>
    <row r="251" spans="1:36" s="22" customFormat="1" x14ac:dyDescent="0.25">
      <c r="A251" s="28" t="str">
        <f>IF(H251&lt;&gt;"",MAX($A$7:A250)+1,"")</f>
        <v/>
      </c>
      <c r="B251" s="243" t="str">
        <f t="shared" si="35"/>
        <v/>
      </c>
      <c r="C251" s="96" t="str">
        <f t="shared" si="36"/>
        <v/>
      </c>
      <c r="D251" s="238"/>
      <c r="E251" s="239"/>
      <c r="F251" s="239"/>
      <c r="G251" s="240"/>
      <c r="H251" s="241"/>
      <c r="I251" s="231"/>
      <c r="J251" s="231"/>
      <c r="K251" s="232"/>
      <c r="L251" s="232"/>
      <c r="M251" s="233"/>
      <c r="N251" s="233"/>
      <c r="O251" s="234"/>
      <c r="P251" s="234"/>
      <c r="Q251" s="235"/>
      <c r="R251" s="235"/>
      <c r="S251" s="236"/>
      <c r="T251" s="236"/>
      <c r="U251" s="231"/>
      <c r="V251" s="231"/>
      <c r="W251" s="232"/>
      <c r="X251" s="232"/>
      <c r="Y251" s="233"/>
      <c r="Z251" s="233"/>
      <c r="AA251" s="234"/>
      <c r="AB251" s="234"/>
      <c r="AC251" s="235"/>
      <c r="AD251" s="235"/>
      <c r="AE251" s="236"/>
      <c r="AF251" s="236"/>
      <c r="AG251" s="67"/>
      <c r="AH251" s="68"/>
      <c r="AI251" s="69"/>
      <c r="AJ251" s="71"/>
    </row>
    <row r="252" spans="1:36" s="22" customFormat="1" x14ac:dyDescent="0.25">
      <c r="A252" s="28" t="str">
        <f>IF(H252&lt;&gt;"",MAX($A$7:A251)+1,"")</f>
        <v/>
      </c>
      <c r="B252" s="243" t="str">
        <f t="shared" si="35"/>
        <v/>
      </c>
      <c r="C252" s="96" t="str">
        <f t="shared" si="36"/>
        <v/>
      </c>
      <c r="D252" s="238"/>
      <c r="E252" s="239"/>
      <c r="F252" s="239"/>
      <c r="G252" s="240"/>
      <c r="H252" s="241"/>
      <c r="I252" s="231"/>
      <c r="J252" s="231"/>
      <c r="K252" s="232"/>
      <c r="L252" s="232"/>
      <c r="M252" s="233"/>
      <c r="N252" s="233"/>
      <c r="O252" s="234"/>
      <c r="P252" s="234"/>
      <c r="Q252" s="235"/>
      <c r="R252" s="235"/>
      <c r="S252" s="236"/>
      <c r="T252" s="236"/>
      <c r="U252" s="231"/>
      <c r="V252" s="231"/>
      <c r="W252" s="232"/>
      <c r="X252" s="232"/>
      <c r="Y252" s="233"/>
      <c r="Z252" s="233"/>
      <c r="AA252" s="234"/>
      <c r="AB252" s="234"/>
      <c r="AC252" s="235"/>
      <c r="AD252" s="235"/>
      <c r="AE252" s="236"/>
      <c r="AF252" s="236"/>
      <c r="AG252" s="67"/>
      <c r="AH252" s="68"/>
      <c r="AI252" s="69"/>
      <c r="AJ252" s="71"/>
    </row>
    <row r="253" spans="1:36" s="22" customFormat="1" x14ac:dyDescent="0.25">
      <c r="A253" s="28" t="str">
        <f>IF(H253&lt;&gt;"",MAX($A$7:A252)+1,"")</f>
        <v/>
      </c>
      <c r="B253" s="243" t="str">
        <f t="shared" si="35"/>
        <v/>
      </c>
      <c r="C253" s="96" t="str">
        <f t="shared" si="36"/>
        <v/>
      </c>
      <c r="D253" s="238"/>
      <c r="E253" s="239"/>
      <c r="F253" s="239"/>
      <c r="G253" s="240"/>
      <c r="H253" s="241"/>
      <c r="I253" s="231"/>
      <c r="J253" s="231"/>
      <c r="K253" s="232"/>
      <c r="L253" s="232"/>
      <c r="M253" s="233"/>
      <c r="N253" s="233"/>
      <c r="O253" s="234"/>
      <c r="P253" s="234"/>
      <c r="Q253" s="235"/>
      <c r="R253" s="235"/>
      <c r="S253" s="236"/>
      <c r="T253" s="236"/>
      <c r="U253" s="231"/>
      <c r="V253" s="231"/>
      <c r="W253" s="232"/>
      <c r="X253" s="232"/>
      <c r="Y253" s="233"/>
      <c r="Z253" s="233"/>
      <c r="AA253" s="234"/>
      <c r="AB253" s="234"/>
      <c r="AC253" s="235"/>
      <c r="AD253" s="235"/>
      <c r="AE253" s="236"/>
      <c r="AF253" s="236"/>
      <c r="AG253" s="67"/>
      <c r="AH253" s="68"/>
      <c r="AI253" s="69"/>
      <c r="AJ253" s="71"/>
    </row>
    <row r="254" spans="1:36" s="22" customFormat="1" x14ac:dyDescent="0.25">
      <c r="A254" s="28" t="str">
        <f>IF(H254&lt;&gt;"",MAX($A$7:A253)+1,"")</f>
        <v/>
      </c>
      <c r="B254" s="243" t="str">
        <f t="shared" si="35"/>
        <v/>
      </c>
      <c r="C254" s="96" t="str">
        <f t="shared" si="36"/>
        <v/>
      </c>
      <c r="D254" s="238"/>
      <c r="E254" s="239"/>
      <c r="F254" s="239"/>
      <c r="G254" s="240"/>
      <c r="H254" s="241"/>
      <c r="I254" s="231"/>
      <c r="J254" s="231"/>
      <c r="K254" s="232"/>
      <c r="L254" s="232"/>
      <c r="M254" s="233"/>
      <c r="N254" s="233"/>
      <c r="O254" s="234"/>
      <c r="P254" s="234"/>
      <c r="Q254" s="235"/>
      <c r="R254" s="235"/>
      <c r="S254" s="236"/>
      <c r="T254" s="236"/>
      <c r="U254" s="231"/>
      <c r="V254" s="231"/>
      <c r="W254" s="232"/>
      <c r="X254" s="232"/>
      <c r="Y254" s="233"/>
      <c r="Z254" s="233"/>
      <c r="AA254" s="234"/>
      <c r="AB254" s="234"/>
      <c r="AC254" s="235"/>
      <c r="AD254" s="235"/>
      <c r="AE254" s="236"/>
      <c r="AF254" s="236"/>
      <c r="AG254" s="67"/>
      <c r="AH254" s="68"/>
      <c r="AI254" s="69"/>
      <c r="AJ254" s="71"/>
    </row>
    <row r="255" spans="1:36" s="22" customFormat="1" x14ac:dyDescent="0.25">
      <c r="A255" s="28" t="str">
        <f>IF(H255&lt;&gt;"",MAX($A$7:A254)+1,"")</f>
        <v/>
      </c>
      <c r="B255" s="243" t="str">
        <f t="shared" si="35"/>
        <v/>
      </c>
      <c r="C255" s="96" t="str">
        <f t="shared" si="36"/>
        <v/>
      </c>
      <c r="D255" s="238"/>
      <c r="E255" s="239"/>
      <c r="F255" s="239"/>
      <c r="G255" s="240"/>
      <c r="H255" s="241"/>
      <c r="I255" s="231"/>
      <c r="J255" s="231"/>
      <c r="K255" s="232"/>
      <c r="L255" s="232"/>
      <c r="M255" s="233"/>
      <c r="N255" s="233"/>
      <c r="O255" s="234"/>
      <c r="P255" s="234"/>
      <c r="Q255" s="235"/>
      <c r="R255" s="235"/>
      <c r="S255" s="236"/>
      <c r="T255" s="236"/>
      <c r="U255" s="231"/>
      <c r="V255" s="231"/>
      <c r="W255" s="232"/>
      <c r="X255" s="232"/>
      <c r="Y255" s="233"/>
      <c r="Z255" s="233"/>
      <c r="AA255" s="234"/>
      <c r="AB255" s="234"/>
      <c r="AC255" s="235"/>
      <c r="AD255" s="235"/>
      <c r="AE255" s="236"/>
      <c r="AF255" s="236"/>
      <c r="AG255" s="67"/>
      <c r="AH255" s="68"/>
      <c r="AI255" s="69"/>
      <c r="AJ255" s="71"/>
    </row>
    <row r="256" spans="1:36" s="22" customFormat="1" x14ac:dyDescent="0.25">
      <c r="A256" s="28" t="str">
        <f>IF(H256&lt;&gt;"",MAX($A$7:A255)+1,"")</f>
        <v/>
      </c>
      <c r="B256" s="243" t="str">
        <f t="shared" si="35"/>
        <v/>
      </c>
      <c r="C256" s="96" t="str">
        <f t="shared" si="36"/>
        <v/>
      </c>
      <c r="D256" s="238"/>
      <c r="E256" s="239"/>
      <c r="F256" s="239"/>
      <c r="G256" s="240"/>
      <c r="H256" s="241"/>
      <c r="I256" s="231"/>
      <c r="J256" s="231"/>
      <c r="K256" s="232"/>
      <c r="L256" s="232"/>
      <c r="M256" s="233"/>
      <c r="N256" s="233"/>
      <c r="O256" s="234"/>
      <c r="P256" s="234"/>
      <c r="Q256" s="235"/>
      <c r="R256" s="235"/>
      <c r="S256" s="236"/>
      <c r="T256" s="236"/>
      <c r="U256" s="231"/>
      <c r="V256" s="231"/>
      <c r="W256" s="232"/>
      <c r="X256" s="232"/>
      <c r="Y256" s="233"/>
      <c r="Z256" s="233"/>
      <c r="AA256" s="234"/>
      <c r="AB256" s="234"/>
      <c r="AC256" s="235"/>
      <c r="AD256" s="235"/>
      <c r="AE256" s="236"/>
      <c r="AF256" s="236"/>
      <c r="AG256" s="67"/>
      <c r="AH256" s="68"/>
      <c r="AI256" s="69"/>
      <c r="AJ256" s="71"/>
    </row>
    <row r="257" spans="1:36" s="22" customFormat="1" x14ac:dyDescent="0.25">
      <c r="A257" s="28" t="str">
        <f>IF(H257&lt;&gt;"",MAX($A$7:A256)+1,"")</f>
        <v/>
      </c>
      <c r="B257" s="243" t="str">
        <f t="shared" si="35"/>
        <v/>
      </c>
      <c r="C257" s="96" t="str">
        <f t="shared" si="36"/>
        <v/>
      </c>
      <c r="D257" s="238"/>
      <c r="E257" s="239"/>
      <c r="F257" s="239"/>
      <c r="G257" s="240"/>
      <c r="H257" s="241"/>
      <c r="I257" s="231"/>
      <c r="J257" s="231"/>
      <c r="K257" s="232"/>
      <c r="L257" s="232"/>
      <c r="M257" s="233"/>
      <c r="N257" s="233"/>
      <c r="O257" s="234"/>
      <c r="P257" s="234"/>
      <c r="Q257" s="235"/>
      <c r="R257" s="235"/>
      <c r="S257" s="236"/>
      <c r="T257" s="236"/>
      <c r="U257" s="231"/>
      <c r="V257" s="231"/>
      <c r="W257" s="232"/>
      <c r="X257" s="232"/>
      <c r="Y257" s="233"/>
      <c r="Z257" s="233"/>
      <c r="AA257" s="234"/>
      <c r="AB257" s="234"/>
      <c r="AC257" s="235"/>
      <c r="AD257" s="235"/>
      <c r="AE257" s="236"/>
      <c r="AF257" s="236"/>
      <c r="AG257" s="67"/>
      <c r="AH257" s="68"/>
      <c r="AI257" s="69"/>
      <c r="AJ257" s="71"/>
    </row>
    <row r="258" spans="1:36" s="22" customFormat="1" x14ac:dyDescent="0.25">
      <c r="A258" s="28" t="str">
        <f>IF(H258&lt;&gt;"",MAX($A$7:A257)+1,"")</f>
        <v/>
      </c>
      <c r="B258" s="243" t="str">
        <f t="shared" si="35"/>
        <v/>
      </c>
      <c r="C258" s="96" t="str">
        <f t="shared" si="36"/>
        <v/>
      </c>
      <c r="D258" s="238"/>
      <c r="E258" s="239"/>
      <c r="F258" s="239"/>
      <c r="G258" s="240"/>
      <c r="H258" s="241"/>
      <c r="I258" s="231"/>
      <c r="J258" s="231"/>
      <c r="K258" s="232"/>
      <c r="L258" s="232"/>
      <c r="M258" s="233"/>
      <c r="N258" s="233"/>
      <c r="O258" s="234"/>
      <c r="P258" s="234"/>
      <c r="Q258" s="235"/>
      <c r="R258" s="235"/>
      <c r="S258" s="236"/>
      <c r="T258" s="236"/>
      <c r="U258" s="231"/>
      <c r="V258" s="231"/>
      <c r="W258" s="232"/>
      <c r="X258" s="232"/>
      <c r="Y258" s="233"/>
      <c r="Z258" s="233"/>
      <c r="AA258" s="234"/>
      <c r="AB258" s="234"/>
      <c r="AC258" s="235"/>
      <c r="AD258" s="235"/>
      <c r="AE258" s="236"/>
      <c r="AF258" s="236"/>
      <c r="AG258" s="67"/>
      <c r="AH258" s="68"/>
      <c r="AI258" s="69"/>
      <c r="AJ258" s="71"/>
    </row>
    <row r="259" spans="1:36" s="22" customFormat="1" x14ac:dyDescent="0.25">
      <c r="A259" s="28" t="str">
        <f>IF(H259&lt;&gt;"",MAX($A$7:A258)+1,"")</f>
        <v/>
      </c>
      <c r="B259" s="243" t="str">
        <f t="shared" si="35"/>
        <v/>
      </c>
      <c r="C259" s="96" t="str">
        <f t="shared" si="36"/>
        <v/>
      </c>
      <c r="D259" s="238"/>
      <c r="E259" s="239"/>
      <c r="F259" s="239"/>
      <c r="G259" s="240"/>
      <c r="H259" s="241"/>
      <c r="I259" s="231"/>
      <c r="J259" s="231"/>
      <c r="K259" s="232"/>
      <c r="L259" s="232"/>
      <c r="M259" s="233"/>
      <c r="N259" s="233"/>
      <c r="O259" s="234"/>
      <c r="P259" s="234"/>
      <c r="Q259" s="235"/>
      <c r="R259" s="235"/>
      <c r="S259" s="236"/>
      <c r="T259" s="236"/>
      <c r="U259" s="231"/>
      <c r="V259" s="231"/>
      <c r="W259" s="232"/>
      <c r="X259" s="232"/>
      <c r="Y259" s="233"/>
      <c r="Z259" s="233"/>
      <c r="AA259" s="234"/>
      <c r="AB259" s="234"/>
      <c r="AC259" s="235"/>
      <c r="AD259" s="235"/>
      <c r="AE259" s="236"/>
      <c r="AF259" s="236"/>
      <c r="AG259" s="67"/>
      <c r="AH259" s="68"/>
      <c r="AI259" s="69"/>
      <c r="AJ259" s="71"/>
    </row>
    <row r="260" spans="1:36" s="22" customFormat="1" x14ac:dyDescent="0.25">
      <c r="A260" s="28" t="str">
        <f>IF(H260&lt;&gt;"",MAX($A$7:A259)+1,"")</f>
        <v/>
      </c>
      <c r="B260" s="243" t="str">
        <f t="shared" si="35"/>
        <v/>
      </c>
      <c r="C260" s="96" t="str">
        <f t="shared" si="36"/>
        <v/>
      </c>
      <c r="D260" s="238"/>
      <c r="E260" s="239"/>
      <c r="F260" s="239"/>
      <c r="G260" s="240"/>
      <c r="H260" s="241"/>
      <c r="I260" s="231"/>
      <c r="J260" s="231"/>
      <c r="K260" s="232"/>
      <c r="L260" s="232"/>
      <c r="M260" s="233"/>
      <c r="N260" s="233"/>
      <c r="O260" s="234"/>
      <c r="P260" s="234"/>
      <c r="Q260" s="235"/>
      <c r="R260" s="235"/>
      <c r="S260" s="236"/>
      <c r="T260" s="236"/>
      <c r="U260" s="231"/>
      <c r="V260" s="231"/>
      <c r="W260" s="232"/>
      <c r="X260" s="232"/>
      <c r="Y260" s="233"/>
      <c r="Z260" s="233"/>
      <c r="AA260" s="234"/>
      <c r="AB260" s="234"/>
      <c r="AC260" s="235"/>
      <c r="AD260" s="235"/>
      <c r="AE260" s="236"/>
      <c r="AF260" s="236"/>
      <c r="AG260" s="67"/>
      <c r="AH260" s="68"/>
      <c r="AI260" s="69"/>
      <c r="AJ260" s="71"/>
    </row>
    <row r="261" spans="1:36" s="22" customFormat="1" x14ac:dyDescent="0.25">
      <c r="A261" s="28" t="str">
        <f>IF(H261&lt;&gt;"",MAX($A$7:A260)+1,"")</f>
        <v/>
      </c>
      <c r="B261" s="243" t="str">
        <f t="shared" si="35"/>
        <v/>
      </c>
      <c r="C261" s="96" t="str">
        <f t="shared" si="36"/>
        <v/>
      </c>
      <c r="D261" s="238"/>
      <c r="E261" s="239"/>
      <c r="F261" s="239"/>
      <c r="G261" s="240"/>
      <c r="H261" s="241"/>
      <c r="I261" s="231"/>
      <c r="J261" s="231"/>
      <c r="K261" s="232"/>
      <c r="L261" s="232"/>
      <c r="M261" s="233"/>
      <c r="N261" s="233"/>
      <c r="O261" s="234"/>
      <c r="P261" s="234"/>
      <c r="Q261" s="235"/>
      <c r="R261" s="235"/>
      <c r="S261" s="236"/>
      <c r="T261" s="236"/>
      <c r="U261" s="231"/>
      <c r="V261" s="231"/>
      <c r="W261" s="232"/>
      <c r="X261" s="232"/>
      <c r="Y261" s="233"/>
      <c r="Z261" s="233"/>
      <c r="AA261" s="234"/>
      <c r="AB261" s="234"/>
      <c r="AC261" s="235"/>
      <c r="AD261" s="235"/>
      <c r="AE261" s="236"/>
      <c r="AF261" s="236"/>
      <c r="AG261" s="67"/>
      <c r="AH261" s="68"/>
      <c r="AI261" s="69"/>
      <c r="AJ261" s="71"/>
    </row>
    <row r="262" spans="1:36" s="22" customFormat="1" x14ac:dyDescent="0.25">
      <c r="A262" s="28" t="str">
        <f>IF(H262&lt;&gt;"",MAX($A$7:A261)+1,"")</f>
        <v/>
      </c>
      <c r="B262" s="243" t="str">
        <f t="shared" si="35"/>
        <v/>
      </c>
      <c r="C262" s="96" t="str">
        <f t="shared" si="36"/>
        <v/>
      </c>
      <c r="D262" s="238"/>
      <c r="E262" s="239"/>
      <c r="F262" s="239"/>
      <c r="G262" s="240"/>
      <c r="H262" s="241"/>
      <c r="I262" s="231"/>
      <c r="J262" s="231"/>
      <c r="K262" s="232"/>
      <c r="L262" s="232"/>
      <c r="M262" s="233"/>
      <c r="N262" s="233"/>
      <c r="O262" s="234"/>
      <c r="P262" s="234"/>
      <c r="Q262" s="235"/>
      <c r="R262" s="235"/>
      <c r="S262" s="236"/>
      <c r="T262" s="236"/>
      <c r="U262" s="231"/>
      <c r="V262" s="231"/>
      <c r="W262" s="232"/>
      <c r="X262" s="232"/>
      <c r="Y262" s="233"/>
      <c r="Z262" s="233"/>
      <c r="AA262" s="234"/>
      <c r="AB262" s="234"/>
      <c r="AC262" s="235"/>
      <c r="AD262" s="235"/>
      <c r="AE262" s="236"/>
      <c r="AF262" s="236"/>
      <c r="AG262" s="67"/>
      <c r="AH262" s="68"/>
      <c r="AI262" s="69"/>
      <c r="AJ262" s="71"/>
    </row>
    <row r="263" spans="1:36" s="22" customFormat="1" x14ac:dyDescent="0.25">
      <c r="A263" s="28" t="str">
        <f>IF(H263&lt;&gt;"",MAX($A$7:A262)+1,"")</f>
        <v/>
      </c>
      <c r="B263" s="243" t="str">
        <f t="shared" ref="B263:B326" si="37">IF(A263="","",PREF_PREGUNTA&amp;" - "&amp;IF(MAX(A:A)&gt;99,IF(A263&lt;100,"0",""),"")&amp;IF(A263&lt;10,"0","")&amp;A263&amp;IF(G263&lt;&gt;""," "&amp;G263,""))</f>
        <v/>
      </c>
      <c r="C263" s="96" t="str">
        <f t="shared" ref="C263:C326" si="38">IF(COUNTA(I263:N263)-D263=0,"",COUNTA(I263:N263)-D263)</f>
        <v/>
      </c>
      <c r="D263" s="238"/>
      <c r="E263" s="239"/>
      <c r="F263" s="239"/>
      <c r="G263" s="240"/>
      <c r="H263" s="241"/>
      <c r="I263" s="231"/>
      <c r="J263" s="231"/>
      <c r="K263" s="232"/>
      <c r="L263" s="232"/>
      <c r="M263" s="233"/>
      <c r="N263" s="233"/>
      <c r="O263" s="234"/>
      <c r="P263" s="234"/>
      <c r="Q263" s="235"/>
      <c r="R263" s="235"/>
      <c r="S263" s="236"/>
      <c r="T263" s="236"/>
      <c r="U263" s="231"/>
      <c r="V263" s="231"/>
      <c r="W263" s="232"/>
      <c r="X263" s="232"/>
      <c r="Y263" s="233"/>
      <c r="Z263" s="233"/>
      <c r="AA263" s="234"/>
      <c r="AB263" s="234"/>
      <c r="AC263" s="235"/>
      <c r="AD263" s="235"/>
      <c r="AE263" s="236"/>
      <c r="AF263" s="236"/>
      <c r="AG263" s="67"/>
      <c r="AH263" s="68"/>
      <c r="AI263" s="69"/>
      <c r="AJ263" s="71"/>
    </row>
    <row r="264" spans="1:36" s="22" customFormat="1" x14ac:dyDescent="0.25">
      <c r="A264" s="28" t="str">
        <f>IF(H264&lt;&gt;"",MAX($A$7:A263)+1,"")</f>
        <v/>
      </c>
      <c r="B264" s="243" t="str">
        <f t="shared" si="37"/>
        <v/>
      </c>
      <c r="C264" s="96" t="str">
        <f t="shared" si="38"/>
        <v/>
      </c>
      <c r="D264" s="238"/>
      <c r="E264" s="239"/>
      <c r="F264" s="239"/>
      <c r="G264" s="240"/>
      <c r="H264" s="241"/>
      <c r="I264" s="231"/>
      <c r="J264" s="231"/>
      <c r="K264" s="232"/>
      <c r="L264" s="232"/>
      <c r="M264" s="233"/>
      <c r="N264" s="233"/>
      <c r="O264" s="234"/>
      <c r="P264" s="234"/>
      <c r="Q264" s="235"/>
      <c r="R264" s="235"/>
      <c r="S264" s="236"/>
      <c r="T264" s="236"/>
      <c r="U264" s="231"/>
      <c r="V264" s="231"/>
      <c r="W264" s="232"/>
      <c r="X264" s="232"/>
      <c r="Y264" s="233"/>
      <c r="Z264" s="233"/>
      <c r="AA264" s="234"/>
      <c r="AB264" s="234"/>
      <c r="AC264" s="235"/>
      <c r="AD264" s="235"/>
      <c r="AE264" s="236"/>
      <c r="AF264" s="236"/>
      <c r="AG264" s="67"/>
      <c r="AH264" s="68"/>
      <c r="AI264" s="69"/>
      <c r="AJ264" s="71"/>
    </row>
    <row r="265" spans="1:36" s="22" customFormat="1" x14ac:dyDescent="0.25">
      <c r="A265" s="28" t="str">
        <f>IF(H265&lt;&gt;"",MAX($A$7:A264)+1,"")</f>
        <v/>
      </c>
      <c r="B265" s="243" t="str">
        <f t="shared" si="37"/>
        <v/>
      </c>
      <c r="C265" s="96" t="str">
        <f t="shared" si="38"/>
        <v/>
      </c>
      <c r="D265" s="238"/>
      <c r="E265" s="239"/>
      <c r="F265" s="239"/>
      <c r="G265" s="240"/>
      <c r="H265" s="241"/>
      <c r="I265" s="231"/>
      <c r="J265" s="231"/>
      <c r="K265" s="232"/>
      <c r="L265" s="232"/>
      <c r="M265" s="233"/>
      <c r="N265" s="233"/>
      <c r="O265" s="234"/>
      <c r="P265" s="234"/>
      <c r="Q265" s="235"/>
      <c r="R265" s="235"/>
      <c r="S265" s="236"/>
      <c r="T265" s="236"/>
      <c r="U265" s="231"/>
      <c r="V265" s="231"/>
      <c r="W265" s="232"/>
      <c r="X265" s="232"/>
      <c r="Y265" s="233"/>
      <c r="Z265" s="233"/>
      <c r="AA265" s="234"/>
      <c r="AB265" s="234"/>
      <c r="AC265" s="235"/>
      <c r="AD265" s="235"/>
      <c r="AE265" s="236"/>
      <c r="AF265" s="236"/>
      <c r="AG265" s="67"/>
      <c r="AH265" s="68"/>
      <c r="AI265" s="69"/>
      <c r="AJ265" s="71"/>
    </row>
    <row r="266" spans="1:36" s="22" customFormat="1" x14ac:dyDescent="0.25">
      <c r="A266" s="28" t="str">
        <f>IF(H266&lt;&gt;"",MAX($A$7:A265)+1,"")</f>
        <v/>
      </c>
      <c r="B266" s="243" t="str">
        <f t="shared" si="37"/>
        <v/>
      </c>
      <c r="C266" s="96" t="str">
        <f t="shared" si="38"/>
        <v/>
      </c>
      <c r="D266" s="238"/>
      <c r="E266" s="239"/>
      <c r="F266" s="239"/>
      <c r="G266" s="240"/>
      <c r="H266" s="241"/>
      <c r="I266" s="231"/>
      <c r="J266" s="231"/>
      <c r="K266" s="232"/>
      <c r="L266" s="232"/>
      <c r="M266" s="233"/>
      <c r="N266" s="233"/>
      <c r="O266" s="234"/>
      <c r="P266" s="234"/>
      <c r="Q266" s="235"/>
      <c r="R266" s="235"/>
      <c r="S266" s="236"/>
      <c r="T266" s="236"/>
      <c r="U266" s="231"/>
      <c r="V266" s="231"/>
      <c r="W266" s="232"/>
      <c r="X266" s="232"/>
      <c r="Y266" s="233"/>
      <c r="Z266" s="233"/>
      <c r="AA266" s="234"/>
      <c r="AB266" s="234"/>
      <c r="AC266" s="235"/>
      <c r="AD266" s="235"/>
      <c r="AE266" s="236"/>
      <c r="AF266" s="236"/>
      <c r="AG266" s="67"/>
      <c r="AH266" s="68"/>
      <c r="AI266" s="69"/>
      <c r="AJ266" s="71"/>
    </row>
    <row r="267" spans="1:36" s="22" customFormat="1" x14ac:dyDescent="0.25">
      <c r="A267" s="28" t="str">
        <f>IF(H267&lt;&gt;"",MAX($A$7:A266)+1,"")</f>
        <v/>
      </c>
      <c r="B267" s="243" t="str">
        <f t="shared" si="37"/>
        <v/>
      </c>
      <c r="C267" s="96" t="str">
        <f t="shared" si="38"/>
        <v/>
      </c>
      <c r="D267" s="238"/>
      <c r="E267" s="239"/>
      <c r="F267" s="239"/>
      <c r="G267" s="240"/>
      <c r="H267" s="241"/>
      <c r="I267" s="231"/>
      <c r="J267" s="231"/>
      <c r="K267" s="232"/>
      <c r="L267" s="232"/>
      <c r="M267" s="233"/>
      <c r="N267" s="233"/>
      <c r="O267" s="234"/>
      <c r="P267" s="234"/>
      <c r="Q267" s="235"/>
      <c r="R267" s="235"/>
      <c r="S267" s="236"/>
      <c r="T267" s="236"/>
      <c r="U267" s="231"/>
      <c r="V267" s="231"/>
      <c r="W267" s="232"/>
      <c r="X267" s="232"/>
      <c r="Y267" s="233"/>
      <c r="Z267" s="233"/>
      <c r="AA267" s="234"/>
      <c r="AB267" s="234"/>
      <c r="AC267" s="235"/>
      <c r="AD267" s="235"/>
      <c r="AE267" s="236"/>
      <c r="AF267" s="236"/>
      <c r="AG267" s="67"/>
      <c r="AH267" s="68"/>
      <c r="AI267" s="69"/>
      <c r="AJ267" s="71"/>
    </row>
    <row r="268" spans="1:36" s="22" customFormat="1" x14ac:dyDescent="0.25">
      <c r="A268" s="28" t="str">
        <f>IF(H268&lt;&gt;"",MAX($A$7:A267)+1,"")</f>
        <v/>
      </c>
      <c r="B268" s="243" t="str">
        <f t="shared" si="37"/>
        <v/>
      </c>
      <c r="C268" s="96" t="str">
        <f t="shared" si="38"/>
        <v/>
      </c>
      <c r="D268" s="238"/>
      <c r="E268" s="239"/>
      <c r="F268" s="239"/>
      <c r="G268" s="240"/>
      <c r="H268" s="241"/>
      <c r="I268" s="231"/>
      <c r="J268" s="231"/>
      <c r="K268" s="232"/>
      <c r="L268" s="232"/>
      <c r="M268" s="233"/>
      <c r="N268" s="233"/>
      <c r="O268" s="234"/>
      <c r="P268" s="234"/>
      <c r="Q268" s="235"/>
      <c r="R268" s="235"/>
      <c r="S268" s="236"/>
      <c r="T268" s="236"/>
      <c r="U268" s="231"/>
      <c r="V268" s="231"/>
      <c r="W268" s="232"/>
      <c r="X268" s="232"/>
      <c r="Y268" s="233"/>
      <c r="Z268" s="233"/>
      <c r="AA268" s="234"/>
      <c r="AB268" s="234"/>
      <c r="AC268" s="235"/>
      <c r="AD268" s="235"/>
      <c r="AE268" s="236"/>
      <c r="AF268" s="236"/>
      <c r="AG268" s="67"/>
      <c r="AH268" s="68"/>
      <c r="AI268" s="69"/>
      <c r="AJ268" s="71"/>
    </row>
    <row r="269" spans="1:36" s="22" customFormat="1" x14ac:dyDescent="0.25">
      <c r="A269" s="28" t="str">
        <f>IF(H269&lt;&gt;"",MAX($A$7:A268)+1,"")</f>
        <v/>
      </c>
      <c r="B269" s="243" t="str">
        <f t="shared" si="37"/>
        <v/>
      </c>
      <c r="C269" s="96" t="str">
        <f t="shared" si="38"/>
        <v/>
      </c>
      <c r="D269" s="238"/>
      <c r="E269" s="239"/>
      <c r="F269" s="239"/>
      <c r="G269" s="240"/>
      <c r="H269" s="241"/>
      <c r="I269" s="231"/>
      <c r="J269" s="231"/>
      <c r="K269" s="232"/>
      <c r="L269" s="232"/>
      <c r="M269" s="233"/>
      <c r="N269" s="233"/>
      <c r="O269" s="234"/>
      <c r="P269" s="234"/>
      <c r="Q269" s="235"/>
      <c r="R269" s="235"/>
      <c r="S269" s="236"/>
      <c r="T269" s="236"/>
      <c r="U269" s="231"/>
      <c r="V269" s="231"/>
      <c r="W269" s="232"/>
      <c r="X269" s="232"/>
      <c r="Y269" s="233"/>
      <c r="Z269" s="233"/>
      <c r="AA269" s="234"/>
      <c r="AB269" s="234"/>
      <c r="AC269" s="235"/>
      <c r="AD269" s="235"/>
      <c r="AE269" s="236"/>
      <c r="AF269" s="236"/>
      <c r="AG269" s="67"/>
      <c r="AH269" s="68"/>
      <c r="AI269" s="69"/>
      <c r="AJ269" s="71"/>
    </row>
    <row r="270" spans="1:36" s="22" customFormat="1" x14ac:dyDescent="0.25">
      <c r="A270" s="28" t="str">
        <f>IF(H270&lt;&gt;"",MAX($A$7:A269)+1,"")</f>
        <v/>
      </c>
      <c r="B270" s="243" t="str">
        <f t="shared" si="37"/>
        <v/>
      </c>
      <c r="C270" s="96" t="str">
        <f t="shared" si="38"/>
        <v/>
      </c>
      <c r="D270" s="238"/>
      <c r="E270" s="239"/>
      <c r="F270" s="239"/>
      <c r="G270" s="240"/>
      <c r="H270" s="241"/>
      <c r="I270" s="231"/>
      <c r="J270" s="231"/>
      <c r="K270" s="232"/>
      <c r="L270" s="232"/>
      <c r="M270" s="233"/>
      <c r="N270" s="233"/>
      <c r="O270" s="234"/>
      <c r="P270" s="234"/>
      <c r="Q270" s="235"/>
      <c r="R270" s="235"/>
      <c r="S270" s="236"/>
      <c r="T270" s="236"/>
      <c r="U270" s="231"/>
      <c r="V270" s="231"/>
      <c r="W270" s="232"/>
      <c r="X270" s="232"/>
      <c r="Y270" s="233"/>
      <c r="Z270" s="233"/>
      <c r="AA270" s="234"/>
      <c r="AB270" s="234"/>
      <c r="AC270" s="235"/>
      <c r="AD270" s="235"/>
      <c r="AE270" s="236"/>
      <c r="AF270" s="236"/>
      <c r="AG270" s="67"/>
      <c r="AH270" s="68"/>
      <c r="AI270" s="69"/>
      <c r="AJ270" s="71"/>
    </row>
    <row r="271" spans="1:36" s="22" customFormat="1" x14ac:dyDescent="0.25">
      <c r="A271" s="28" t="str">
        <f>IF(H271&lt;&gt;"",MAX($A$7:A270)+1,"")</f>
        <v/>
      </c>
      <c r="B271" s="243" t="str">
        <f t="shared" si="37"/>
        <v/>
      </c>
      <c r="C271" s="96" t="str">
        <f t="shared" si="38"/>
        <v/>
      </c>
      <c r="D271" s="238"/>
      <c r="E271" s="239"/>
      <c r="F271" s="239"/>
      <c r="G271" s="240"/>
      <c r="H271" s="241"/>
      <c r="I271" s="231"/>
      <c r="J271" s="231"/>
      <c r="K271" s="232"/>
      <c r="L271" s="232"/>
      <c r="M271" s="233"/>
      <c r="N271" s="233"/>
      <c r="O271" s="234"/>
      <c r="P271" s="234"/>
      <c r="Q271" s="235"/>
      <c r="R271" s="235"/>
      <c r="S271" s="236"/>
      <c r="T271" s="236"/>
      <c r="U271" s="231"/>
      <c r="V271" s="231"/>
      <c r="W271" s="232"/>
      <c r="X271" s="232"/>
      <c r="Y271" s="233"/>
      <c r="Z271" s="233"/>
      <c r="AA271" s="234"/>
      <c r="AB271" s="234"/>
      <c r="AC271" s="235"/>
      <c r="AD271" s="235"/>
      <c r="AE271" s="236"/>
      <c r="AF271" s="236"/>
      <c r="AG271" s="67"/>
      <c r="AH271" s="68"/>
      <c r="AI271" s="69"/>
      <c r="AJ271" s="71"/>
    </row>
    <row r="272" spans="1:36" s="22" customFormat="1" x14ac:dyDescent="0.25">
      <c r="A272" s="28" t="str">
        <f>IF(H272&lt;&gt;"",MAX($A$7:A271)+1,"")</f>
        <v/>
      </c>
      <c r="B272" s="243" t="str">
        <f t="shared" si="37"/>
        <v/>
      </c>
      <c r="C272" s="96" t="str">
        <f t="shared" si="38"/>
        <v/>
      </c>
      <c r="D272" s="238"/>
      <c r="E272" s="239"/>
      <c r="F272" s="239"/>
      <c r="G272" s="240"/>
      <c r="H272" s="241"/>
      <c r="I272" s="231"/>
      <c r="J272" s="231"/>
      <c r="K272" s="232"/>
      <c r="L272" s="232"/>
      <c r="M272" s="233"/>
      <c r="N272" s="233"/>
      <c r="O272" s="234"/>
      <c r="P272" s="234"/>
      <c r="Q272" s="235"/>
      <c r="R272" s="235"/>
      <c r="S272" s="236"/>
      <c r="T272" s="236"/>
      <c r="U272" s="231"/>
      <c r="V272" s="231"/>
      <c r="W272" s="232"/>
      <c r="X272" s="232"/>
      <c r="Y272" s="233"/>
      <c r="Z272" s="233"/>
      <c r="AA272" s="234"/>
      <c r="AB272" s="234"/>
      <c r="AC272" s="235"/>
      <c r="AD272" s="235"/>
      <c r="AE272" s="236"/>
      <c r="AF272" s="236"/>
      <c r="AG272" s="67"/>
      <c r="AH272" s="68"/>
      <c r="AI272" s="69"/>
      <c r="AJ272" s="71"/>
    </row>
    <row r="273" spans="1:36" s="22" customFormat="1" x14ac:dyDescent="0.25">
      <c r="A273" s="28" t="str">
        <f>IF(H273&lt;&gt;"",MAX($A$7:A272)+1,"")</f>
        <v/>
      </c>
      <c r="B273" s="243" t="str">
        <f t="shared" si="37"/>
        <v/>
      </c>
      <c r="C273" s="96" t="str">
        <f t="shared" si="38"/>
        <v/>
      </c>
      <c r="D273" s="238"/>
      <c r="E273" s="239"/>
      <c r="F273" s="239"/>
      <c r="G273" s="240"/>
      <c r="H273" s="241"/>
      <c r="I273" s="231"/>
      <c r="J273" s="231"/>
      <c r="K273" s="232"/>
      <c r="L273" s="232"/>
      <c r="M273" s="233"/>
      <c r="N273" s="233"/>
      <c r="O273" s="234"/>
      <c r="P273" s="234"/>
      <c r="Q273" s="235"/>
      <c r="R273" s="235"/>
      <c r="S273" s="236"/>
      <c r="T273" s="236"/>
      <c r="U273" s="231"/>
      <c r="V273" s="231"/>
      <c r="W273" s="232"/>
      <c r="X273" s="232"/>
      <c r="Y273" s="233"/>
      <c r="Z273" s="233"/>
      <c r="AA273" s="234"/>
      <c r="AB273" s="234"/>
      <c r="AC273" s="235"/>
      <c r="AD273" s="235"/>
      <c r="AE273" s="236"/>
      <c r="AF273" s="236"/>
      <c r="AG273" s="67"/>
      <c r="AH273" s="68"/>
      <c r="AI273" s="69"/>
      <c r="AJ273" s="71"/>
    </row>
    <row r="274" spans="1:36" s="22" customFormat="1" x14ac:dyDescent="0.25">
      <c r="A274" s="28" t="str">
        <f>IF(H274&lt;&gt;"",MAX($A$7:A273)+1,"")</f>
        <v/>
      </c>
      <c r="B274" s="243" t="str">
        <f t="shared" si="37"/>
        <v/>
      </c>
      <c r="C274" s="96" t="str">
        <f t="shared" si="38"/>
        <v/>
      </c>
      <c r="D274" s="238"/>
      <c r="E274" s="239"/>
      <c r="F274" s="239"/>
      <c r="G274" s="240"/>
      <c r="H274" s="241"/>
      <c r="I274" s="231"/>
      <c r="J274" s="231"/>
      <c r="K274" s="232"/>
      <c r="L274" s="232"/>
      <c r="M274" s="233"/>
      <c r="N274" s="233"/>
      <c r="O274" s="234"/>
      <c r="P274" s="234"/>
      <c r="Q274" s="235"/>
      <c r="R274" s="235"/>
      <c r="S274" s="236"/>
      <c r="T274" s="236"/>
      <c r="U274" s="231"/>
      <c r="V274" s="231"/>
      <c r="W274" s="232"/>
      <c r="X274" s="232"/>
      <c r="Y274" s="233"/>
      <c r="Z274" s="233"/>
      <c r="AA274" s="234"/>
      <c r="AB274" s="234"/>
      <c r="AC274" s="235"/>
      <c r="AD274" s="235"/>
      <c r="AE274" s="236"/>
      <c r="AF274" s="236"/>
      <c r="AG274" s="67"/>
      <c r="AH274" s="68"/>
      <c r="AI274" s="69"/>
      <c r="AJ274" s="71"/>
    </row>
    <row r="275" spans="1:36" s="22" customFormat="1" x14ac:dyDescent="0.25">
      <c r="A275" s="28" t="str">
        <f>IF(H275&lt;&gt;"",MAX($A$7:A274)+1,"")</f>
        <v/>
      </c>
      <c r="B275" s="243" t="str">
        <f t="shared" si="37"/>
        <v/>
      </c>
      <c r="C275" s="96" t="str">
        <f t="shared" si="38"/>
        <v/>
      </c>
      <c r="D275" s="238"/>
      <c r="E275" s="239"/>
      <c r="F275" s="239"/>
      <c r="G275" s="240"/>
      <c r="H275" s="241"/>
      <c r="I275" s="231"/>
      <c r="J275" s="231"/>
      <c r="K275" s="232"/>
      <c r="L275" s="232"/>
      <c r="M275" s="233"/>
      <c r="N275" s="233"/>
      <c r="O275" s="234"/>
      <c r="P275" s="234"/>
      <c r="Q275" s="235"/>
      <c r="R275" s="235"/>
      <c r="S275" s="236"/>
      <c r="T275" s="236"/>
      <c r="U275" s="231"/>
      <c r="V275" s="231"/>
      <c r="W275" s="232"/>
      <c r="X275" s="232"/>
      <c r="Y275" s="233"/>
      <c r="Z275" s="233"/>
      <c r="AA275" s="234"/>
      <c r="AB275" s="234"/>
      <c r="AC275" s="235"/>
      <c r="AD275" s="235"/>
      <c r="AE275" s="236"/>
      <c r="AF275" s="236"/>
      <c r="AG275" s="67"/>
      <c r="AH275" s="68"/>
      <c r="AI275" s="69"/>
      <c r="AJ275" s="71"/>
    </row>
    <row r="276" spans="1:36" s="22" customFormat="1" x14ac:dyDescent="0.25">
      <c r="A276" s="28" t="str">
        <f>IF(H276&lt;&gt;"",MAX($A$7:A275)+1,"")</f>
        <v/>
      </c>
      <c r="B276" s="243" t="str">
        <f t="shared" si="37"/>
        <v/>
      </c>
      <c r="C276" s="96" t="str">
        <f t="shared" si="38"/>
        <v/>
      </c>
      <c r="D276" s="238"/>
      <c r="E276" s="239"/>
      <c r="F276" s="239"/>
      <c r="G276" s="240"/>
      <c r="H276" s="241"/>
      <c r="I276" s="231"/>
      <c r="J276" s="231"/>
      <c r="K276" s="232"/>
      <c r="L276" s="232"/>
      <c r="M276" s="233"/>
      <c r="N276" s="233"/>
      <c r="O276" s="234"/>
      <c r="P276" s="234"/>
      <c r="Q276" s="235"/>
      <c r="R276" s="235"/>
      <c r="S276" s="236"/>
      <c r="T276" s="236"/>
      <c r="U276" s="231"/>
      <c r="V276" s="231"/>
      <c r="W276" s="232"/>
      <c r="X276" s="232"/>
      <c r="Y276" s="233"/>
      <c r="Z276" s="233"/>
      <c r="AA276" s="234"/>
      <c r="AB276" s="234"/>
      <c r="AC276" s="235"/>
      <c r="AD276" s="235"/>
      <c r="AE276" s="236"/>
      <c r="AF276" s="236"/>
      <c r="AG276" s="67"/>
      <c r="AH276" s="68"/>
      <c r="AI276" s="69"/>
      <c r="AJ276" s="71"/>
    </row>
    <row r="277" spans="1:36" s="22" customFormat="1" x14ac:dyDescent="0.25">
      <c r="A277" s="28" t="str">
        <f>IF(H277&lt;&gt;"",MAX($A$7:A276)+1,"")</f>
        <v/>
      </c>
      <c r="B277" s="243" t="str">
        <f t="shared" si="37"/>
        <v/>
      </c>
      <c r="C277" s="96" t="str">
        <f t="shared" si="38"/>
        <v/>
      </c>
      <c r="D277" s="238"/>
      <c r="E277" s="239"/>
      <c r="F277" s="239"/>
      <c r="G277" s="240"/>
      <c r="H277" s="241"/>
      <c r="I277" s="231"/>
      <c r="J277" s="231"/>
      <c r="K277" s="232"/>
      <c r="L277" s="232"/>
      <c r="M277" s="233"/>
      <c r="N277" s="233"/>
      <c r="O277" s="234"/>
      <c r="P277" s="234"/>
      <c r="Q277" s="235"/>
      <c r="R277" s="235"/>
      <c r="S277" s="236"/>
      <c r="T277" s="236"/>
      <c r="U277" s="231"/>
      <c r="V277" s="231"/>
      <c r="W277" s="232"/>
      <c r="X277" s="232"/>
      <c r="Y277" s="233"/>
      <c r="Z277" s="233"/>
      <c r="AA277" s="234"/>
      <c r="AB277" s="234"/>
      <c r="AC277" s="235"/>
      <c r="AD277" s="235"/>
      <c r="AE277" s="236"/>
      <c r="AF277" s="236"/>
      <c r="AG277" s="67"/>
      <c r="AH277" s="68"/>
      <c r="AI277" s="69"/>
      <c r="AJ277" s="71"/>
    </row>
    <row r="278" spans="1:36" s="22" customFormat="1" x14ac:dyDescent="0.25">
      <c r="A278" s="28" t="str">
        <f>IF(H278&lt;&gt;"",MAX($A$7:A277)+1,"")</f>
        <v/>
      </c>
      <c r="B278" s="243" t="str">
        <f t="shared" si="37"/>
        <v/>
      </c>
      <c r="C278" s="96" t="str">
        <f t="shared" si="38"/>
        <v/>
      </c>
      <c r="D278" s="238"/>
      <c r="E278" s="239"/>
      <c r="F278" s="239"/>
      <c r="G278" s="240"/>
      <c r="H278" s="241"/>
      <c r="I278" s="231"/>
      <c r="J278" s="231"/>
      <c r="K278" s="232"/>
      <c r="L278" s="232"/>
      <c r="M278" s="233"/>
      <c r="N278" s="233"/>
      <c r="O278" s="234"/>
      <c r="P278" s="234"/>
      <c r="Q278" s="235"/>
      <c r="R278" s="235"/>
      <c r="S278" s="236"/>
      <c r="T278" s="236"/>
      <c r="U278" s="231"/>
      <c r="V278" s="231"/>
      <c r="W278" s="232"/>
      <c r="X278" s="232"/>
      <c r="Y278" s="233"/>
      <c r="Z278" s="233"/>
      <c r="AA278" s="234"/>
      <c r="AB278" s="234"/>
      <c r="AC278" s="235"/>
      <c r="AD278" s="235"/>
      <c r="AE278" s="236"/>
      <c r="AF278" s="236"/>
      <c r="AG278" s="67"/>
      <c r="AH278" s="68"/>
      <c r="AI278" s="69"/>
      <c r="AJ278" s="71"/>
    </row>
    <row r="279" spans="1:36" s="22" customFormat="1" x14ac:dyDescent="0.25">
      <c r="A279" s="28" t="str">
        <f>IF(H279&lt;&gt;"",MAX($A$7:A278)+1,"")</f>
        <v/>
      </c>
      <c r="B279" s="243" t="str">
        <f t="shared" si="37"/>
        <v/>
      </c>
      <c r="C279" s="96" t="str">
        <f t="shared" si="38"/>
        <v/>
      </c>
      <c r="D279" s="238"/>
      <c r="E279" s="239"/>
      <c r="F279" s="239"/>
      <c r="G279" s="240"/>
      <c r="H279" s="241"/>
      <c r="I279" s="231"/>
      <c r="J279" s="231"/>
      <c r="K279" s="232"/>
      <c r="L279" s="232"/>
      <c r="M279" s="233"/>
      <c r="N279" s="233"/>
      <c r="O279" s="234"/>
      <c r="P279" s="234"/>
      <c r="Q279" s="235"/>
      <c r="R279" s="235"/>
      <c r="S279" s="236"/>
      <c r="T279" s="236"/>
      <c r="U279" s="231"/>
      <c r="V279" s="231"/>
      <c r="W279" s="232"/>
      <c r="X279" s="232"/>
      <c r="Y279" s="233"/>
      <c r="Z279" s="233"/>
      <c r="AA279" s="234"/>
      <c r="AB279" s="234"/>
      <c r="AC279" s="235"/>
      <c r="AD279" s="235"/>
      <c r="AE279" s="236"/>
      <c r="AF279" s="236"/>
      <c r="AG279" s="67"/>
      <c r="AH279" s="68"/>
      <c r="AI279" s="69"/>
      <c r="AJ279" s="71"/>
    </row>
    <row r="280" spans="1:36" s="22" customFormat="1" x14ac:dyDescent="0.25">
      <c r="A280" s="28" t="str">
        <f>IF(H280&lt;&gt;"",MAX($A$7:A279)+1,"")</f>
        <v/>
      </c>
      <c r="B280" s="243" t="str">
        <f t="shared" si="37"/>
        <v/>
      </c>
      <c r="C280" s="96" t="str">
        <f t="shared" si="38"/>
        <v/>
      </c>
      <c r="D280" s="238"/>
      <c r="E280" s="239"/>
      <c r="F280" s="239"/>
      <c r="G280" s="240"/>
      <c r="H280" s="241"/>
      <c r="I280" s="231"/>
      <c r="J280" s="231"/>
      <c r="K280" s="232"/>
      <c r="L280" s="232"/>
      <c r="M280" s="233"/>
      <c r="N280" s="233"/>
      <c r="O280" s="234"/>
      <c r="P280" s="234"/>
      <c r="Q280" s="235"/>
      <c r="R280" s="235"/>
      <c r="S280" s="236"/>
      <c r="T280" s="236"/>
      <c r="U280" s="231"/>
      <c r="V280" s="231"/>
      <c r="W280" s="232"/>
      <c r="X280" s="232"/>
      <c r="Y280" s="233"/>
      <c r="Z280" s="233"/>
      <c r="AA280" s="234"/>
      <c r="AB280" s="234"/>
      <c r="AC280" s="235"/>
      <c r="AD280" s="235"/>
      <c r="AE280" s="236"/>
      <c r="AF280" s="236"/>
      <c r="AG280" s="67"/>
      <c r="AH280" s="68"/>
      <c r="AI280" s="69"/>
      <c r="AJ280" s="71"/>
    </row>
    <row r="281" spans="1:36" s="22" customFormat="1" x14ac:dyDescent="0.25">
      <c r="A281" s="28" t="str">
        <f>IF(H281&lt;&gt;"",MAX($A$7:A280)+1,"")</f>
        <v/>
      </c>
      <c r="B281" s="243" t="str">
        <f t="shared" si="37"/>
        <v/>
      </c>
      <c r="C281" s="96" t="str">
        <f t="shared" si="38"/>
        <v/>
      </c>
      <c r="D281" s="238"/>
      <c r="E281" s="239"/>
      <c r="F281" s="239"/>
      <c r="G281" s="240"/>
      <c r="H281" s="241"/>
      <c r="I281" s="231"/>
      <c r="J281" s="231"/>
      <c r="K281" s="232"/>
      <c r="L281" s="232"/>
      <c r="M281" s="233"/>
      <c r="N281" s="233"/>
      <c r="O281" s="234"/>
      <c r="P281" s="234"/>
      <c r="Q281" s="235"/>
      <c r="R281" s="235"/>
      <c r="S281" s="236"/>
      <c r="T281" s="236"/>
      <c r="U281" s="231"/>
      <c r="V281" s="231"/>
      <c r="W281" s="232"/>
      <c r="X281" s="232"/>
      <c r="Y281" s="233"/>
      <c r="Z281" s="233"/>
      <c r="AA281" s="234"/>
      <c r="AB281" s="234"/>
      <c r="AC281" s="235"/>
      <c r="AD281" s="235"/>
      <c r="AE281" s="236"/>
      <c r="AF281" s="236"/>
      <c r="AG281" s="67"/>
      <c r="AH281" s="68"/>
      <c r="AI281" s="69"/>
      <c r="AJ281" s="71"/>
    </row>
    <row r="282" spans="1:36" s="22" customFormat="1" x14ac:dyDescent="0.25">
      <c r="A282" s="28" t="str">
        <f>IF(H282&lt;&gt;"",MAX($A$7:A281)+1,"")</f>
        <v/>
      </c>
      <c r="B282" s="243" t="str">
        <f t="shared" si="37"/>
        <v/>
      </c>
      <c r="C282" s="96" t="str">
        <f t="shared" si="38"/>
        <v/>
      </c>
      <c r="D282" s="238"/>
      <c r="E282" s="239"/>
      <c r="F282" s="239"/>
      <c r="G282" s="240"/>
      <c r="H282" s="241"/>
      <c r="I282" s="231"/>
      <c r="J282" s="231"/>
      <c r="K282" s="232"/>
      <c r="L282" s="232"/>
      <c r="M282" s="233"/>
      <c r="N282" s="233"/>
      <c r="O282" s="234"/>
      <c r="P282" s="234"/>
      <c r="Q282" s="235"/>
      <c r="R282" s="235"/>
      <c r="S282" s="236"/>
      <c r="T282" s="236"/>
      <c r="U282" s="231"/>
      <c r="V282" s="231"/>
      <c r="W282" s="232"/>
      <c r="X282" s="232"/>
      <c r="Y282" s="233"/>
      <c r="Z282" s="233"/>
      <c r="AA282" s="234"/>
      <c r="AB282" s="234"/>
      <c r="AC282" s="235"/>
      <c r="AD282" s="235"/>
      <c r="AE282" s="236"/>
      <c r="AF282" s="236"/>
      <c r="AG282" s="67"/>
      <c r="AH282" s="68"/>
      <c r="AI282" s="69"/>
      <c r="AJ282" s="71"/>
    </row>
    <row r="283" spans="1:36" s="22" customFormat="1" x14ac:dyDescent="0.25">
      <c r="A283" s="28" t="str">
        <f>IF(H283&lt;&gt;"",MAX($A$7:A282)+1,"")</f>
        <v/>
      </c>
      <c r="B283" s="243" t="str">
        <f t="shared" si="37"/>
        <v/>
      </c>
      <c r="C283" s="96" t="str">
        <f t="shared" si="38"/>
        <v/>
      </c>
      <c r="D283" s="238"/>
      <c r="E283" s="239"/>
      <c r="F283" s="239"/>
      <c r="G283" s="240"/>
      <c r="H283" s="241"/>
      <c r="I283" s="231"/>
      <c r="J283" s="231"/>
      <c r="K283" s="232"/>
      <c r="L283" s="232"/>
      <c r="M283" s="233"/>
      <c r="N283" s="233"/>
      <c r="O283" s="234"/>
      <c r="P283" s="234"/>
      <c r="Q283" s="235"/>
      <c r="R283" s="235"/>
      <c r="S283" s="236"/>
      <c r="T283" s="236"/>
      <c r="U283" s="231"/>
      <c r="V283" s="231"/>
      <c r="W283" s="232"/>
      <c r="X283" s="232"/>
      <c r="Y283" s="233"/>
      <c r="Z283" s="233"/>
      <c r="AA283" s="234"/>
      <c r="AB283" s="234"/>
      <c r="AC283" s="235"/>
      <c r="AD283" s="235"/>
      <c r="AE283" s="236"/>
      <c r="AF283" s="236"/>
      <c r="AG283" s="67"/>
      <c r="AH283" s="68"/>
      <c r="AI283" s="69"/>
      <c r="AJ283" s="71"/>
    </row>
    <row r="284" spans="1:36" s="22" customFormat="1" x14ac:dyDescent="0.25">
      <c r="A284" s="28" t="str">
        <f>IF(H284&lt;&gt;"",MAX($A$7:A283)+1,"")</f>
        <v/>
      </c>
      <c r="B284" s="243" t="str">
        <f t="shared" si="37"/>
        <v/>
      </c>
      <c r="C284" s="96" t="str">
        <f t="shared" si="38"/>
        <v/>
      </c>
      <c r="D284" s="238"/>
      <c r="E284" s="239"/>
      <c r="F284" s="239"/>
      <c r="G284" s="240"/>
      <c r="H284" s="241"/>
      <c r="I284" s="231"/>
      <c r="J284" s="231"/>
      <c r="K284" s="232"/>
      <c r="L284" s="232"/>
      <c r="M284" s="233"/>
      <c r="N284" s="233"/>
      <c r="O284" s="234"/>
      <c r="P284" s="234"/>
      <c r="Q284" s="235"/>
      <c r="R284" s="235"/>
      <c r="S284" s="236"/>
      <c r="T284" s="236"/>
      <c r="U284" s="231"/>
      <c r="V284" s="231"/>
      <c r="W284" s="232"/>
      <c r="X284" s="232"/>
      <c r="Y284" s="233"/>
      <c r="Z284" s="233"/>
      <c r="AA284" s="234"/>
      <c r="AB284" s="234"/>
      <c r="AC284" s="235"/>
      <c r="AD284" s="235"/>
      <c r="AE284" s="236"/>
      <c r="AF284" s="236"/>
      <c r="AG284" s="67"/>
      <c r="AH284" s="68"/>
      <c r="AI284" s="69"/>
      <c r="AJ284" s="71"/>
    </row>
    <row r="285" spans="1:36" s="22" customFormat="1" x14ac:dyDescent="0.25">
      <c r="A285" s="28" t="str">
        <f>IF(H285&lt;&gt;"",MAX($A$7:A284)+1,"")</f>
        <v/>
      </c>
      <c r="B285" s="243" t="str">
        <f t="shared" si="37"/>
        <v/>
      </c>
      <c r="C285" s="96" t="str">
        <f t="shared" si="38"/>
        <v/>
      </c>
      <c r="D285" s="238"/>
      <c r="E285" s="239"/>
      <c r="F285" s="239"/>
      <c r="G285" s="240"/>
      <c r="H285" s="241"/>
      <c r="I285" s="231"/>
      <c r="J285" s="231"/>
      <c r="K285" s="232"/>
      <c r="L285" s="232"/>
      <c r="M285" s="233"/>
      <c r="N285" s="233"/>
      <c r="O285" s="234"/>
      <c r="P285" s="234"/>
      <c r="Q285" s="235"/>
      <c r="R285" s="235"/>
      <c r="S285" s="236"/>
      <c r="T285" s="236"/>
      <c r="U285" s="231"/>
      <c r="V285" s="231"/>
      <c r="W285" s="232"/>
      <c r="X285" s="232"/>
      <c r="Y285" s="233"/>
      <c r="Z285" s="233"/>
      <c r="AA285" s="234"/>
      <c r="AB285" s="234"/>
      <c r="AC285" s="235"/>
      <c r="AD285" s="235"/>
      <c r="AE285" s="236"/>
      <c r="AF285" s="236"/>
      <c r="AG285" s="67"/>
      <c r="AH285" s="68"/>
      <c r="AI285" s="69"/>
      <c r="AJ285" s="71"/>
    </row>
    <row r="286" spans="1:36" s="22" customFormat="1" x14ac:dyDescent="0.25">
      <c r="A286" s="28" t="str">
        <f>IF(H286&lt;&gt;"",MAX($A$7:A285)+1,"")</f>
        <v/>
      </c>
      <c r="B286" s="243" t="str">
        <f t="shared" si="37"/>
        <v/>
      </c>
      <c r="C286" s="96" t="str">
        <f t="shared" si="38"/>
        <v/>
      </c>
      <c r="D286" s="238"/>
      <c r="E286" s="239"/>
      <c r="F286" s="239"/>
      <c r="G286" s="240"/>
      <c r="H286" s="241"/>
      <c r="I286" s="231"/>
      <c r="J286" s="231"/>
      <c r="K286" s="232"/>
      <c r="L286" s="232"/>
      <c r="M286" s="233"/>
      <c r="N286" s="233"/>
      <c r="O286" s="234"/>
      <c r="P286" s="234"/>
      <c r="Q286" s="235"/>
      <c r="R286" s="235"/>
      <c r="S286" s="236"/>
      <c r="T286" s="236"/>
      <c r="U286" s="231"/>
      <c r="V286" s="231"/>
      <c r="W286" s="232"/>
      <c r="X286" s="232"/>
      <c r="Y286" s="233"/>
      <c r="Z286" s="233"/>
      <c r="AA286" s="234"/>
      <c r="AB286" s="234"/>
      <c r="AC286" s="235"/>
      <c r="AD286" s="235"/>
      <c r="AE286" s="236"/>
      <c r="AF286" s="236"/>
      <c r="AG286" s="67"/>
      <c r="AH286" s="68"/>
      <c r="AI286" s="69"/>
      <c r="AJ286" s="71"/>
    </row>
    <row r="287" spans="1:36" s="22" customFormat="1" x14ac:dyDescent="0.25">
      <c r="A287" s="28" t="str">
        <f>IF(H287&lt;&gt;"",MAX($A$7:A286)+1,"")</f>
        <v/>
      </c>
      <c r="B287" s="243" t="str">
        <f t="shared" si="37"/>
        <v/>
      </c>
      <c r="C287" s="96" t="str">
        <f t="shared" si="38"/>
        <v/>
      </c>
      <c r="D287" s="238"/>
      <c r="E287" s="239"/>
      <c r="F287" s="239"/>
      <c r="G287" s="240"/>
      <c r="H287" s="241"/>
      <c r="I287" s="231"/>
      <c r="J287" s="231"/>
      <c r="K287" s="232"/>
      <c r="L287" s="232"/>
      <c r="M287" s="233"/>
      <c r="N287" s="233"/>
      <c r="O287" s="234"/>
      <c r="P287" s="234"/>
      <c r="Q287" s="235"/>
      <c r="R287" s="235"/>
      <c r="S287" s="236"/>
      <c r="T287" s="236"/>
      <c r="U287" s="231"/>
      <c r="V287" s="231"/>
      <c r="W287" s="232"/>
      <c r="X287" s="232"/>
      <c r="Y287" s="233"/>
      <c r="Z287" s="233"/>
      <c r="AA287" s="234"/>
      <c r="AB287" s="234"/>
      <c r="AC287" s="235"/>
      <c r="AD287" s="235"/>
      <c r="AE287" s="236"/>
      <c r="AF287" s="236"/>
      <c r="AG287" s="67"/>
      <c r="AH287" s="68"/>
      <c r="AI287" s="69"/>
      <c r="AJ287" s="71"/>
    </row>
    <row r="288" spans="1:36" s="22" customFormat="1" x14ac:dyDescent="0.25">
      <c r="A288" s="28" t="str">
        <f>IF(H288&lt;&gt;"",MAX($A$7:A287)+1,"")</f>
        <v/>
      </c>
      <c r="B288" s="243" t="str">
        <f t="shared" si="37"/>
        <v/>
      </c>
      <c r="C288" s="96" t="str">
        <f t="shared" si="38"/>
        <v/>
      </c>
      <c r="D288" s="238"/>
      <c r="E288" s="239"/>
      <c r="F288" s="239"/>
      <c r="G288" s="240"/>
      <c r="H288" s="241"/>
      <c r="I288" s="231"/>
      <c r="J288" s="231"/>
      <c r="K288" s="232"/>
      <c r="L288" s="232"/>
      <c r="M288" s="233"/>
      <c r="N288" s="233"/>
      <c r="O288" s="234"/>
      <c r="P288" s="234"/>
      <c r="Q288" s="235"/>
      <c r="R288" s="235"/>
      <c r="S288" s="236"/>
      <c r="T288" s="236"/>
      <c r="U288" s="231"/>
      <c r="V288" s="231"/>
      <c r="W288" s="232"/>
      <c r="X288" s="232"/>
      <c r="Y288" s="233"/>
      <c r="Z288" s="233"/>
      <c r="AA288" s="234"/>
      <c r="AB288" s="234"/>
      <c r="AC288" s="235"/>
      <c r="AD288" s="235"/>
      <c r="AE288" s="236"/>
      <c r="AF288" s="236"/>
      <c r="AG288" s="67"/>
      <c r="AH288" s="68"/>
      <c r="AI288" s="69"/>
      <c r="AJ288" s="71"/>
    </row>
    <row r="289" spans="1:36" s="22" customFormat="1" x14ac:dyDescent="0.25">
      <c r="A289" s="28" t="str">
        <f>IF(H289&lt;&gt;"",MAX($A$7:A288)+1,"")</f>
        <v/>
      </c>
      <c r="B289" s="243" t="str">
        <f t="shared" si="37"/>
        <v/>
      </c>
      <c r="C289" s="96" t="str">
        <f t="shared" si="38"/>
        <v/>
      </c>
      <c r="D289" s="238"/>
      <c r="E289" s="239"/>
      <c r="F289" s="239"/>
      <c r="G289" s="240"/>
      <c r="H289" s="241"/>
      <c r="I289" s="231"/>
      <c r="J289" s="231"/>
      <c r="K289" s="232"/>
      <c r="L289" s="232"/>
      <c r="M289" s="233"/>
      <c r="N289" s="233"/>
      <c r="O289" s="234"/>
      <c r="P289" s="234"/>
      <c r="Q289" s="235"/>
      <c r="R289" s="235"/>
      <c r="S289" s="236"/>
      <c r="T289" s="236"/>
      <c r="U289" s="231"/>
      <c r="V289" s="231"/>
      <c r="W289" s="232"/>
      <c r="X289" s="232"/>
      <c r="Y289" s="233"/>
      <c r="Z289" s="233"/>
      <c r="AA289" s="234"/>
      <c r="AB289" s="234"/>
      <c r="AC289" s="235"/>
      <c r="AD289" s="235"/>
      <c r="AE289" s="236"/>
      <c r="AF289" s="236"/>
      <c r="AG289" s="67"/>
      <c r="AH289" s="68"/>
      <c r="AI289" s="69"/>
      <c r="AJ289" s="71"/>
    </row>
    <row r="290" spans="1:36" s="22" customFormat="1" x14ac:dyDescent="0.25">
      <c r="A290" s="28" t="str">
        <f>IF(H290&lt;&gt;"",MAX($A$7:A289)+1,"")</f>
        <v/>
      </c>
      <c r="B290" s="243" t="str">
        <f t="shared" si="37"/>
        <v/>
      </c>
      <c r="C290" s="96" t="str">
        <f t="shared" si="38"/>
        <v/>
      </c>
      <c r="D290" s="238"/>
      <c r="E290" s="239"/>
      <c r="F290" s="239"/>
      <c r="G290" s="240"/>
      <c r="H290" s="241"/>
      <c r="I290" s="231"/>
      <c r="J290" s="231"/>
      <c r="K290" s="232"/>
      <c r="L290" s="232"/>
      <c r="M290" s="233"/>
      <c r="N290" s="233"/>
      <c r="O290" s="234"/>
      <c r="P290" s="234"/>
      <c r="Q290" s="235"/>
      <c r="R290" s="235"/>
      <c r="S290" s="236"/>
      <c r="T290" s="236"/>
      <c r="U290" s="231"/>
      <c r="V290" s="231"/>
      <c r="W290" s="232"/>
      <c r="X290" s="232"/>
      <c r="Y290" s="233"/>
      <c r="Z290" s="233"/>
      <c r="AA290" s="234"/>
      <c r="AB290" s="234"/>
      <c r="AC290" s="235"/>
      <c r="AD290" s="235"/>
      <c r="AE290" s="236"/>
      <c r="AF290" s="236"/>
      <c r="AG290" s="67"/>
      <c r="AH290" s="68"/>
      <c r="AI290" s="69"/>
      <c r="AJ290" s="71"/>
    </row>
    <row r="291" spans="1:36" s="22" customFormat="1" x14ac:dyDescent="0.25">
      <c r="A291" s="28" t="str">
        <f>IF(H291&lt;&gt;"",MAX($A$7:A290)+1,"")</f>
        <v/>
      </c>
      <c r="B291" s="243" t="str">
        <f t="shared" si="37"/>
        <v/>
      </c>
      <c r="C291" s="96" t="str">
        <f t="shared" si="38"/>
        <v/>
      </c>
      <c r="D291" s="238"/>
      <c r="E291" s="239"/>
      <c r="F291" s="239"/>
      <c r="G291" s="240"/>
      <c r="H291" s="241"/>
      <c r="I291" s="231"/>
      <c r="J291" s="231"/>
      <c r="K291" s="232"/>
      <c r="L291" s="232"/>
      <c r="M291" s="233"/>
      <c r="N291" s="233"/>
      <c r="O291" s="234"/>
      <c r="P291" s="234"/>
      <c r="Q291" s="235"/>
      <c r="R291" s="235"/>
      <c r="S291" s="236"/>
      <c r="T291" s="236"/>
      <c r="U291" s="231"/>
      <c r="V291" s="231"/>
      <c r="W291" s="232"/>
      <c r="X291" s="232"/>
      <c r="Y291" s="233"/>
      <c r="Z291" s="233"/>
      <c r="AA291" s="234"/>
      <c r="AB291" s="234"/>
      <c r="AC291" s="235"/>
      <c r="AD291" s="235"/>
      <c r="AE291" s="236"/>
      <c r="AF291" s="236"/>
      <c r="AG291" s="67"/>
      <c r="AH291" s="68"/>
      <c r="AI291" s="69"/>
      <c r="AJ291" s="71"/>
    </row>
    <row r="292" spans="1:36" s="22" customFormat="1" x14ac:dyDescent="0.25">
      <c r="A292" s="28" t="str">
        <f>IF(H292&lt;&gt;"",MAX($A$7:A291)+1,"")</f>
        <v/>
      </c>
      <c r="B292" s="243" t="str">
        <f t="shared" si="37"/>
        <v/>
      </c>
      <c r="C292" s="96" t="str">
        <f t="shared" si="38"/>
        <v/>
      </c>
      <c r="D292" s="238"/>
      <c r="E292" s="239"/>
      <c r="F292" s="239"/>
      <c r="G292" s="240"/>
      <c r="H292" s="241"/>
      <c r="I292" s="231"/>
      <c r="J292" s="231"/>
      <c r="K292" s="232"/>
      <c r="L292" s="232"/>
      <c r="M292" s="233"/>
      <c r="N292" s="233"/>
      <c r="O292" s="234"/>
      <c r="P292" s="234"/>
      <c r="Q292" s="235"/>
      <c r="R292" s="235"/>
      <c r="S292" s="236"/>
      <c r="T292" s="236"/>
      <c r="U292" s="231"/>
      <c r="V292" s="231"/>
      <c r="W292" s="232"/>
      <c r="X292" s="232"/>
      <c r="Y292" s="233"/>
      <c r="Z292" s="233"/>
      <c r="AA292" s="234"/>
      <c r="AB292" s="234"/>
      <c r="AC292" s="235"/>
      <c r="AD292" s="235"/>
      <c r="AE292" s="236"/>
      <c r="AF292" s="236"/>
      <c r="AG292" s="67"/>
      <c r="AH292" s="68"/>
      <c r="AI292" s="69"/>
      <c r="AJ292" s="71"/>
    </row>
    <row r="293" spans="1:36" s="22" customFormat="1" x14ac:dyDescent="0.25">
      <c r="A293" s="28" t="str">
        <f>IF(H293&lt;&gt;"",MAX($A$7:A292)+1,"")</f>
        <v/>
      </c>
      <c r="B293" s="243" t="str">
        <f t="shared" si="37"/>
        <v/>
      </c>
      <c r="C293" s="96" t="str">
        <f t="shared" si="38"/>
        <v/>
      </c>
      <c r="D293" s="238"/>
      <c r="E293" s="239"/>
      <c r="F293" s="239"/>
      <c r="G293" s="240"/>
      <c r="H293" s="241"/>
      <c r="I293" s="231"/>
      <c r="J293" s="231"/>
      <c r="K293" s="232"/>
      <c r="L293" s="232"/>
      <c r="M293" s="233"/>
      <c r="N293" s="233"/>
      <c r="O293" s="234"/>
      <c r="P293" s="234"/>
      <c r="Q293" s="235"/>
      <c r="R293" s="235"/>
      <c r="S293" s="236"/>
      <c r="T293" s="236"/>
      <c r="U293" s="231"/>
      <c r="V293" s="231"/>
      <c r="W293" s="232"/>
      <c r="X293" s="232"/>
      <c r="Y293" s="233"/>
      <c r="Z293" s="233"/>
      <c r="AA293" s="234"/>
      <c r="AB293" s="234"/>
      <c r="AC293" s="235"/>
      <c r="AD293" s="235"/>
      <c r="AE293" s="236"/>
      <c r="AF293" s="236"/>
      <c r="AG293" s="67"/>
      <c r="AH293" s="68"/>
      <c r="AI293" s="69"/>
      <c r="AJ293" s="71"/>
    </row>
    <row r="294" spans="1:36" s="22" customFormat="1" x14ac:dyDescent="0.25">
      <c r="A294" s="28" t="str">
        <f>IF(H294&lt;&gt;"",MAX($A$7:A293)+1,"")</f>
        <v/>
      </c>
      <c r="B294" s="243" t="str">
        <f t="shared" si="37"/>
        <v/>
      </c>
      <c r="C294" s="96" t="str">
        <f t="shared" si="38"/>
        <v/>
      </c>
      <c r="D294" s="238"/>
      <c r="E294" s="239"/>
      <c r="F294" s="239"/>
      <c r="G294" s="240"/>
      <c r="H294" s="241"/>
      <c r="I294" s="231"/>
      <c r="J294" s="231"/>
      <c r="K294" s="232"/>
      <c r="L294" s="232"/>
      <c r="M294" s="233"/>
      <c r="N294" s="233"/>
      <c r="O294" s="234"/>
      <c r="P294" s="234"/>
      <c r="Q294" s="235"/>
      <c r="R294" s="235"/>
      <c r="S294" s="236"/>
      <c r="T294" s="236"/>
      <c r="U294" s="231"/>
      <c r="V294" s="231"/>
      <c r="W294" s="232"/>
      <c r="X294" s="232"/>
      <c r="Y294" s="233"/>
      <c r="Z294" s="233"/>
      <c r="AA294" s="234"/>
      <c r="AB294" s="234"/>
      <c r="AC294" s="235"/>
      <c r="AD294" s="235"/>
      <c r="AE294" s="236"/>
      <c r="AF294" s="236"/>
      <c r="AG294" s="67"/>
      <c r="AH294" s="68"/>
      <c r="AI294" s="69"/>
      <c r="AJ294" s="71"/>
    </row>
    <row r="295" spans="1:36" s="22" customFormat="1" x14ac:dyDescent="0.25">
      <c r="A295" s="28" t="str">
        <f>IF(H295&lt;&gt;"",MAX($A$7:A294)+1,"")</f>
        <v/>
      </c>
      <c r="B295" s="243" t="str">
        <f t="shared" si="37"/>
        <v/>
      </c>
      <c r="C295" s="96" t="str">
        <f t="shared" si="38"/>
        <v/>
      </c>
      <c r="D295" s="238"/>
      <c r="E295" s="239"/>
      <c r="F295" s="239"/>
      <c r="G295" s="240"/>
      <c r="H295" s="241"/>
      <c r="I295" s="231"/>
      <c r="J295" s="231"/>
      <c r="K295" s="232"/>
      <c r="L295" s="232"/>
      <c r="M295" s="233"/>
      <c r="N295" s="233"/>
      <c r="O295" s="234"/>
      <c r="P295" s="234"/>
      <c r="Q295" s="235"/>
      <c r="R295" s="235"/>
      <c r="S295" s="236"/>
      <c r="T295" s="236"/>
      <c r="U295" s="231"/>
      <c r="V295" s="231"/>
      <c r="W295" s="232"/>
      <c r="X295" s="232"/>
      <c r="Y295" s="233"/>
      <c r="Z295" s="233"/>
      <c r="AA295" s="234"/>
      <c r="AB295" s="234"/>
      <c r="AC295" s="235"/>
      <c r="AD295" s="235"/>
      <c r="AE295" s="236"/>
      <c r="AF295" s="236"/>
      <c r="AG295" s="67"/>
      <c r="AH295" s="68"/>
      <c r="AI295" s="69"/>
      <c r="AJ295" s="71"/>
    </row>
    <row r="296" spans="1:36" s="22" customFormat="1" x14ac:dyDescent="0.25">
      <c r="A296" s="28" t="str">
        <f>IF(H296&lt;&gt;"",MAX($A$7:A295)+1,"")</f>
        <v/>
      </c>
      <c r="B296" s="243" t="str">
        <f t="shared" si="37"/>
        <v/>
      </c>
      <c r="C296" s="96" t="str">
        <f t="shared" si="38"/>
        <v/>
      </c>
      <c r="D296" s="238"/>
      <c r="E296" s="239"/>
      <c r="F296" s="239"/>
      <c r="G296" s="240"/>
      <c r="H296" s="241"/>
      <c r="I296" s="231"/>
      <c r="J296" s="231"/>
      <c r="K296" s="232"/>
      <c r="L296" s="232"/>
      <c r="M296" s="233"/>
      <c r="N296" s="233"/>
      <c r="O296" s="234"/>
      <c r="P296" s="234"/>
      <c r="Q296" s="235"/>
      <c r="R296" s="235"/>
      <c r="S296" s="236"/>
      <c r="T296" s="236"/>
      <c r="U296" s="231"/>
      <c r="V296" s="231"/>
      <c r="W296" s="232"/>
      <c r="X296" s="232"/>
      <c r="Y296" s="233"/>
      <c r="Z296" s="233"/>
      <c r="AA296" s="234"/>
      <c r="AB296" s="234"/>
      <c r="AC296" s="235"/>
      <c r="AD296" s="235"/>
      <c r="AE296" s="236"/>
      <c r="AF296" s="236"/>
      <c r="AG296" s="67"/>
      <c r="AH296" s="68"/>
      <c r="AI296" s="69"/>
      <c r="AJ296" s="71"/>
    </row>
    <row r="297" spans="1:36" s="22" customFormat="1" x14ac:dyDescent="0.25">
      <c r="A297" s="28" t="str">
        <f>IF(H297&lt;&gt;"",MAX($A$7:A296)+1,"")</f>
        <v/>
      </c>
      <c r="B297" s="243" t="str">
        <f t="shared" si="37"/>
        <v/>
      </c>
      <c r="C297" s="96" t="str">
        <f t="shared" si="38"/>
        <v/>
      </c>
      <c r="D297" s="238"/>
      <c r="E297" s="239"/>
      <c r="F297" s="239"/>
      <c r="G297" s="240"/>
      <c r="H297" s="241"/>
      <c r="I297" s="231"/>
      <c r="J297" s="231"/>
      <c r="K297" s="232"/>
      <c r="L297" s="232"/>
      <c r="M297" s="233"/>
      <c r="N297" s="233"/>
      <c r="O297" s="234"/>
      <c r="P297" s="234"/>
      <c r="Q297" s="235"/>
      <c r="R297" s="235"/>
      <c r="S297" s="236"/>
      <c r="T297" s="236"/>
      <c r="U297" s="231"/>
      <c r="V297" s="231"/>
      <c r="W297" s="232"/>
      <c r="X297" s="232"/>
      <c r="Y297" s="233"/>
      <c r="Z297" s="233"/>
      <c r="AA297" s="234"/>
      <c r="AB297" s="234"/>
      <c r="AC297" s="235"/>
      <c r="AD297" s="235"/>
      <c r="AE297" s="236"/>
      <c r="AF297" s="236"/>
      <c r="AG297" s="67"/>
      <c r="AH297" s="68"/>
      <c r="AI297" s="69"/>
      <c r="AJ297" s="71"/>
    </row>
    <row r="298" spans="1:36" s="22" customFormat="1" x14ac:dyDescent="0.25">
      <c r="A298" s="28" t="str">
        <f>IF(H298&lt;&gt;"",MAX($A$7:A297)+1,"")</f>
        <v/>
      </c>
      <c r="B298" s="243" t="str">
        <f t="shared" si="37"/>
        <v/>
      </c>
      <c r="C298" s="96" t="str">
        <f t="shared" si="38"/>
        <v/>
      </c>
      <c r="D298" s="238"/>
      <c r="E298" s="239"/>
      <c r="F298" s="239"/>
      <c r="G298" s="240"/>
      <c r="H298" s="241"/>
      <c r="I298" s="231"/>
      <c r="J298" s="231"/>
      <c r="K298" s="232"/>
      <c r="L298" s="232"/>
      <c r="M298" s="233"/>
      <c r="N298" s="233"/>
      <c r="O298" s="234"/>
      <c r="P298" s="234"/>
      <c r="Q298" s="235"/>
      <c r="R298" s="235"/>
      <c r="S298" s="236"/>
      <c r="T298" s="236"/>
      <c r="U298" s="231"/>
      <c r="V298" s="231"/>
      <c r="W298" s="232"/>
      <c r="X298" s="232"/>
      <c r="Y298" s="233"/>
      <c r="Z298" s="233"/>
      <c r="AA298" s="234"/>
      <c r="AB298" s="234"/>
      <c r="AC298" s="235"/>
      <c r="AD298" s="235"/>
      <c r="AE298" s="236"/>
      <c r="AF298" s="236"/>
      <c r="AG298" s="67"/>
      <c r="AH298" s="68"/>
      <c r="AI298" s="69"/>
      <c r="AJ298" s="71"/>
    </row>
    <row r="299" spans="1:36" s="22" customFormat="1" x14ac:dyDescent="0.25">
      <c r="A299" s="28" t="str">
        <f>IF(H299&lt;&gt;"",MAX($A$7:A298)+1,"")</f>
        <v/>
      </c>
      <c r="B299" s="243" t="str">
        <f t="shared" si="37"/>
        <v/>
      </c>
      <c r="C299" s="96" t="str">
        <f t="shared" si="38"/>
        <v/>
      </c>
      <c r="D299" s="238"/>
      <c r="E299" s="239"/>
      <c r="F299" s="239"/>
      <c r="G299" s="240"/>
      <c r="H299" s="241"/>
      <c r="I299" s="231"/>
      <c r="J299" s="231"/>
      <c r="K299" s="232"/>
      <c r="L299" s="232"/>
      <c r="M299" s="233"/>
      <c r="N299" s="233"/>
      <c r="O299" s="234"/>
      <c r="P299" s="234"/>
      <c r="Q299" s="235"/>
      <c r="R299" s="235"/>
      <c r="S299" s="236"/>
      <c r="T299" s="236"/>
      <c r="U299" s="231"/>
      <c r="V299" s="231"/>
      <c r="W299" s="232"/>
      <c r="X299" s="232"/>
      <c r="Y299" s="233"/>
      <c r="Z299" s="233"/>
      <c r="AA299" s="234"/>
      <c r="AB299" s="234"/>
      <c r="AC299" s="235"/>
      <c r="AD299" s="235"/>
      <c r="AE299" s="236"/>
      <c r="AF299" s="236"/>
      <c r="AG299" s="67"/>
      <c r="AH299" s="68"/>
      <c r="AI299" s="69"/>
      <c r="AJ299" s="71"/>
    </row>
    <row r="300" spans="1:36" s="22" customFormat="1" x14ac:dyDescent="0.25">
      <c r="A300" s="28" t="str">
        <f>IF(H300&lt;&gt;"",MAX($A$7:A299)+1,"")</f>
        <v/>
      </c>
      <c r="B300" s="243" t="str">
        <f t="shared" si="37"/>
        <v/>
      </c>
      <c r="C300" s="96" t="str">
        <f t="shared" si="38"/>
        <v/>
      </c>
      <c r="D300" s="238"/>
      <c r="E300" s="239"/>
      <c r="F300" s="239"/>
      <c r="G300" s="240"/>
      <c r="H300" s="241"/>
      <c r="I300" s="231"/>
      <c r="J300" s="231"/>
      <c r="K300" s="232"/>
      <c r="L300" s="232"/>
      <c r="M300" s="233"/>
      <c r="N300" s="233"/>
      <c r="O300" s="234"/>
      <c r="P300" s="234"/>
      <c r="Q300" s="235"/>
      <c r="R300" s="235"/>
      <c r="S300" s="236"/>
      <c r="T300" s="236"/>
      <c r="U300" s="231"/>
      <c r="V300" s="231"/>
      <c r="W300" s="232"/>
      <c r="X300" s="232"/>
      <c r="Y300" s="233"/>
      <c r="Z300" s="233"/>
      <c r="AA300" s="234"/>
      <c r="AB300" s="234"/>
      <c r="AC300" s="235"/>
      <c r="AD300" s="235"/>
      <c r="AE300" s="236"/>
      <c r="AF300" s="236"/>
      <c r="AG300" s="67"/>
      <c r="AH300" s="68"/>
      <c r="AI300" s="69"/>
      <c r="AJ300" s="71"/>
    </row>
    <row r="301" spans="1:36" s="22" customFormat="1" x14ac:dyDescent="0.25">
      <c r="A301" s="28" t="str">
        <f>IF(H301&lt;&gt;"",MAX($A$7:A300)+1,"")</f>
        <v/>
      </c>
      <c r="B301" s="243" t="str">
        <f t="shared" si="37"/>
        <v/>
      </c>
      <c r="C301" s="96" t="str">
        <f t="shared" si="38"/>
        <v/>
      </c>
      <c r="D301" s="238"/>
      <c r="E301" s="239"/>
      <c r="F301" s="239"/>
      <c r="G301" s="240"/>
      <c r="H301" s="241"/>
      <c r="I301" s="231"/>
      <c r="J301" s="231"/>
      <c r="K301" s="232"/>
      <c r="L301" s="232"/>
      <c r="M301" s="233"/>
      <c r="N301" s="233"/>
      <c r="O301" s="234"/>
      <c r="P301" s="234"/>
      <c r="Q301" s="235"/>
      <c r="R301" s="235"/>
      <c r="S301" s="236"/>
      <c r="T301" s="236"/>
      <c r="U301" s="231"/>
      <c r="V301" s="231"/>
      <c r="W301" s="232"/>
      <c r="X301" s="232"/>
      <c r="Y301" s="233"/>
      <c r="Z301" s="233"/>
      <c r="AA301" s="234"/>
      <c r="AB301" s="234"/>
      <c r="AC301" s="235"/>
      <c r="AD301" s="235"/>
      <c r="AE301" s="236"/>
      <c r="AF301" s="236"/>
      <c r="AG301" s="67"/>
      <c r="AH301" s="68"/>
      <c r="AI301" s="69"/>
      <c r="AJ301" s="71"/>
    </row>
    <row r="302" spans="1:36" s="22" customFormat="1" x14ac:dyDescent="0.25">
      <c r="A302" s="28" t="str">
        <f>IF(H302&lt;&gt;"",MAX($A$7:A301)+1,"")</f>
        <v/>
      </c>
      <c r="B302" s="243" t="str">
        <f t="shared" si="37"/>
        <v/>
      </c>
      <c r="C302" s="96" t="str">
        <f t="shared" si="38"/>
        <v/>
      </c>
      <c r="D302" s="238"/>
      <c r="E302" s="239"/>
      <c r="F302" s="239"/>
      <c r="G302" s="240"/>
      <c r="H302" s="241"/>
      <c r="I302" s="231"/>
      <c r="J302" s="231"/>
      <c r="K302" s="232"/>
      <c r="L302" s="232"/>
      <c r="M302" s="233"/>
      <c r="N302" s="233"/>
      <c r="O302" s="234"/>
      <c r="P302" s="234"/>
      <c r="Q302" s="235"/>
      <c r="R302" s="235"/>
      <c r="S302" s="236"/>
      <c r="T302" s="236"/>
      <c r="U302" s="231"/>
      <c r="V302" s="231"/>
      <c r="W302" s="232"/>
      <c r="X302" s="232"/>
      <c r="Y302" s="233"/>
      <c r="Z302" s="233"/>
      <c r="AA302" s="234"/>
      <c r="AB302" s="234"/>
      <c r="AC302" s="235"/>
      <c r="AD302" s="235"/>
      <c r="AE302" s="236"/>
      <c r="AF302" s="236"/>
      <c r="AG302" s="67"/>
      <c r="AH302" s="68"/>
      <c r="AI302" s="69"/>
      <c r="AJ302" s="71"/>
    </row>
    <row r="303" spans="1:36" s="22" customFormat="1" x14ac:dyDescent="0.25">
      <c r="A303" s="28" t="str">
        <f>IF(H303&lt;&gt;"",MAX($A$7:A302)+1,"")</f>
        <v/>
      </c>
      <c r="B303" s="243" t="str">
        <f t="shared" si="37"/>
        <v/>
      </c>
      <c r="C303" s="96" t="str">
        <f t="shared" si="38"/>
        <v/>
      </c>
      <c r="D303" s="238"/>
      <c r="E303" s="239"/>
      <c r="F303" s="239"/>
      <c r="G303" s="240"/>
      <c r="H303" s="241"/>
      <c r="I303" s="231"/>
      <c r="J303" s="231"/>
      <c r="K303" s="232"/>
      <c r="L303" s="232"/>
      <c r="M303" s="233"/>
      <c r="N303" s="233"/>
      <c r="O303" s="234"/>
      <c r="P303" s="234"/>
      <c r="Q303" s="235"/>
      <c r="R303" s="235"/>
      <c r="S303" s="236"/>
      <c r="T303" s="236"/>
      <c r="U303" s="231"/>
      <c r="V303" s="231"/>
      <c r="W303" s="232"/>
      <c r="X303" s="232"/>
      <c r="Y303" s="233"/>
      <c r="Z303" s="233"/>
      <c r="AA303" s="234"/>
      <c r="AB303" s="234"/>
      <c r="AC303" s="235"/>
      <c r="AD303" s="235"/>
      <c r="AE303" s="236"/>
      <c r="AF303" s="236"/>
      <c r="AG303" s="67"/>
      <c r="AH303" s="68"/>
      <c r="AI303" s="69"/>
      <c r="AJ303" s="71"/>
    </row>
    <row r="304" spans="1:36" s="22" customFormat="1" x14ac:dyDescent="0.25">
      <c r="A304" s="28" t="str">
        <f>IF(H304&lt;&gt;"",MAX($A$7:A303)+1,"")</f>
        <v/>
      </c>
      <c r="B304" s="243" t="str">
        <f t="shared" si="37"/>
        <v/>
      </c>
      <c r="C304" s="96" t="str">
        <f t="shared" si="38"/>
        <v/>
      </c>
      <c r="D304" s="238"/>
      <c r="E304" s="239"/>
      <c r="F304" s="239"/>
      <c r="G304" s="240"/>
      <c r="H304" s="241"/>
      <c r="I304" s="231"/>
      <c r="J304" s="231"/>
      <c r="K304" s="232"/>
      <c r="L304" s="232"/>
      <c r="M304" s="233"/>
      <c r="N304" s="233"/>
      <c r="O304" s="234"/>
      <c r="P304" s="234"/>
      <c r="Q304" s="235"/>
      <c r="R304" s="235"/>
      <c r="S304" s="236"/>
      <c r="T304" s="236"/>
      <c r="U304" s="231"/>
      <c r="V304" s="231"/>
      <c r="W304" s="232"/>
      <c r="X304" s="232"/>
      <c r="Y304" s="233"/>
      <c r="Z304" s="233"/>
      <c r="AA304" s="234"/>
      <c r="AB304" s="234"/>
      <c r="AC304" s="235"/>
      <c r="AD304" s="235"/>
      <c r="AE304" s="236"/>
      <c r="AF304" s="236"/>
      <c r="AG304" s="67"/>
      <c r="AH304" s="68"/>
      <c r="AI304" s="69"/>
      <c r="AJ304" s="71"/>
    </row>
    <row r="305" spans="1:36" s="22" customFormat="1" x14ac:dyDescent="0.25">
      <c r="A305" s="28" t="str">
        <f>IF(H305&lt;&gt;"",MAX($A$7:A304)+1,"")</f>
        <v/>
      </c>
      <c r="B305" s="243" t="str">
        <f t="shared" si="37"/>
        <v/>
      </c>
      <c r="C305" s="96" t="str">
        <f t="shared" si="38"/>
        <v/>
      </c>
      <c r="D305" s="238"/>
      <c r="E305" s="239"/>
      <c r="F305" s="239"/>
      <c r="G305" s="240"/>
      <c r="H305" s="241"/>
      <c r="I305" s="231"/>
      <c r="J305" s="231"/>
      <c r="K305" s="232"/>
      <c r="L305" s="232"/>
      <c r="M305" s="233"/>
      <c r="N305" s="233"/>
      <c r="O305" s="234"/>
      <c r="P305" s="234"/>
      <c r="Q305" s="235"/>
      <c r="R305" s="235"/>
      <c r="S305" s="236"/>
      <c r="T305" s="236"/>
      <c r="U305" s="231"/>
      <c r="V305" s="231"/>
      <c r="W305" s="232"/>
      <c r="X305" s="232"/>
      <c r="Y305" s="233"/>
      <c r="Z305" s="233"/>
      <c r="AA305" s="234"/>
      <c r="AB305" s="234"/>
      <c r="AC305" s="235"/>
      <c r="AD305" s="235"/>
      <c r="AE305" s="236"/>
      <c r="AF305" s="236"/>
      <c r="AG305" s="67"/>
      <c r="AH305" s="68"/>
      <c r="AI305" s="69"/>
      <c r="AJ305" s="71"/>
    </row>
    <row r="306" spans="1:36" s="22" customFormat="1" x14ac:dyDescent="0.25">
      <c r="A306" s="28" t="str">
        <f>IF(H306&lt;&gt;"",MAX($A$7:A305)+1,"")</f>
        <v/>
      </c>
      <c r="B306" s="243" t="str">
        <f t="shared" si="37"/>
        <v/>
      </c>
      <c r="C306" s="96" t="str">
        <f t="shared" si="38"/>
        <v/>
      </c>
      <c r="D306" s="238"/>
      <c r="E306" s="239"/>
      <c r="F306" s="239"/>
      <c r="G306" s="240"/>
      <c r="H306" s="241"/>
      <c r="I306" s="231"/>
      <c r="J306" s="231"/>
      <c r="K306" s="232"/>
      <c r="L306" s="232"/>
      <c r="M306" s="233"/>
      <c r="N306" s="233"/>
      <c r="O306" s="234"/>
      <c r="P306" s="234"/>
      <c r="Q306" s="235"/>
      <c r="R306" s="235"/>
      <c r="S306" s="236"/>
      <c r="T306" s="236"/>
      <c r="U306" s="231"/>
      <c r="V306" s="231"/>
      <c r="W306" s="232"/>
      <c r="X306" s="232"/>
      <c r="Y306" s="233"/>
      <c r="Z306" s="233"/>
      <c r="AA306" s="234"/>
      <c r="AB306" s="234"/>
      <c r="AC306" s="235"/>
      <c r="AD306" s="235"/>
      <c r="AE306" s="236"/>
      <c r="AF306" s="236"/>
      <c r="AG306" s="67"/>
      <c r="AH306" s="68"/>
      <c r="AI306" s="69"/>
      <c r="AJ306" s="71"/>
    </row>
    <row r="307" spans="1:36" s="22" customFormat="1" x14ac:dyDescent="0.25">
      <c r="A307" s="28" t="str">
        <f>IF(H307&lt;&gt;"",MAX($A$7:A306)+1,"")</f>
        <v/>
      </c>
      <c r="B307" s="243" t="str">
        <f t="shared" si="37"/>
        <v/>
      </c>
      <c r="C307" s="96" t="str">
        <f t="shared" si="38"/>
        <v/>
      </c>
      <c r="D307" s="238"/>
      <c r="E307" s="239"/>
      <c r="F307" s="239"/>
      <c r="G307" s="240"/>
      <c r="H307" s="241"/>
      <c r="I307" s="231"/>
      <c r="J307" s="231"/>
      <c r="K307" s="232"/>
      <c r="L307" s="232"/>
      <c r="M307" s="233"/>
      <c r="N307" s="233"/>
      <c r="O307" s="234"/>
      <c r="P307" s="234"/>
      <c r="Q307" s="235"/>
      <c r="R307" s="235"/>
      <c r="S307" s="236"/>
      <c r="T307" s="236"/>
      <c r="U307" s="231"/>
      <c r="V307" s="231"/>
      <c r="W307" s="232"/>
      <c r="X307" s="232"/>
      <c r="Y307" s="233"/>
      <c r="Z307" s="233"/>
      <c r="AA307" s="234"/>
      <c r="AB307" s="234"/>
      <c r="AC307" s="235"/>
      <c r="AD307" s="235"/>
      <c r="AE307" s="236"/>
      <c r="AF307" s="236"/>
      <c r="AG307" s="67"/>
      <c r="AH307" s="68"/>
      <c r="AI307" s="69"/>
      <c r="AJ307" s="71"/>
    </row>
    <row r="308" spans="1:36" s="22" customFormat="1" x14ac:dyDescent="0.25">
      <c r="A308" s="28" t="str">
        <f>IF(H308&lt;&gt;"",MAX($A$7:A307)+1,"")</f>
        <v/>
      </c>
      <c r="B308" s="243" t="str">
        <f t="shared" si="37"/>
        <v/>
      </c>
      <c r="C308" s="96" t="str">
        <f t="shared" si="38"/>
        <v/>
      </c>
      <c r="D308" s="238"/>
      <c r="E308" s="239"/>
      <c r="F308" s="239"/>
      <c r="G308" s="240"/>
      <c r="H308" s="241"/>
      <c r="I308" s="231"/>
      <c r="J308" s="231"/>
      <c r="K308" s="232"/>
      <c r="L308" s="232"/>
      <c r="M308" s="233"/>
      <c r="N308" s="233"/>
      <c r="O308" s="234"/>
      <c r="P308" s="234"/>
      <c r="Q308" s="235"/>
      <c r="R308" s="235"/>
      <c r="S308" s="236"/>
      <c r="T308" s="236"/>
      <c r="U308" s="231"/>
      <c r="V308" s="231"/>
      <c r="W308" s="232"/>
      <c r="X308" s="232"/>
      <c r="Y308" s="233"/>
      <c r="Z308" s="233"/>
      <c r="AA308" s="234"/>
      <c r="AB308" s="234"/>
      <c r="AC308" s="235"/>
      <c r="AD308" s="235"/>
      <c r="AE308" s="236"/>
      <c r="AF308" s="236"/>
      <c r="AG308" s="67"/>
      <c r="AH308" s="68"/>
      <c r="AI308" s="69"/>
      <c r="AJ308" s="71"/>
    </row>
    <row r="309" spans="1:36" s="22" customFormat="1" x14ac:dyDescent="0.25">
      <c r="A309" s="28" t="str">
        <f>IF(H309&lt;&gt;"",MAX($A$7:A308)+1,"")</f>
        <v/>
      </c>
      <c r="B309" s="243" t="str">
        <f t="shared" si="37"/>
        <v/>
      </c>
      <c r="C309" s="96" t="str">
        <f t="shared" si="38"/>
        <v/>
      </c>
      <c r="D309" s="238"/>
      <c r="E309" s="239"/>
      <c r="F309" s="239"/>
      <c r="G309" s="240"/>
      <c r="H309" s="241"/>
      <c r="I309" s="231"/>
      <c r="J309" s="231"/>
      <c r="K309" s="232"/>
      <c r="L309" s="232"/>
      <c r="M309" s="233"/>
      <c r="N309" s="233"/>
      <c r="O309" s="234"/>
      <c r="P309" s="234"/>
      <c r="Q309" s="235"/>
      <c r="R309" s="235"/>
      <c r="S309" s="236"/>
      <c r="T309" s="236"/>
      <c r="U309" s="231"/>
      <c r="V309" s="231"/>
      <c r="W309" s="232"/>
      <c r="X309" s="232"/>
      <c r="Y309" s="233"/>
      <c r="Z309" s="233"/>
      <c r="AA309" s="234"/>
      <c r="AB309" s="234"/>
      <c r="AC309" s="235"/>
      <c r="AD309" s="235"/>
      <c r="AE309" s="236"/>
      <c r="AF309" s="236"/>
      <c r="AG309" s="67"/>
      <c r="AH309" s="68"/>
      <c r="AI309" s="69"/>
      <c r="AJ309" s="71"/>
    </row>
    <row r="310" spans="1:36" s="22" customFormat="1" x14ac:dyDescent="0.25">
      <c r="A310" s="28" t="str">
        <f>IF(H310&lt;&gt;"",MAX($A$7:A309)+1,"")</f>
        <v/>
      </c>
      <c r="B310" s="243" t="str">
        <f t="shared" si="37"/>
        <v/>
      </c>
      <c r="C310" s="96" t="str">
        <f t="shared" si="38"/>
        <v/>
      </c>
      <c r="D310" s="238"/>
      <c r="E310" s="239"/>
      <c r="F310" s="239"/>
      <c r="G310" s="240"/>
      <c r="H310" s="241"/>
      <c r="I310" s="231"/>
      <c r="J310" s="231"/>
      <c r="K310" s="232"/>
      <c r="L310" s="232"/>
      <c r="M310" s="233"/>
      <c r="N310" s="233"/>
      <c r="O310" s="234"/>
      <c r="P310" s="234"/>
      <c r="Q310" s="235"/>
      <c r="R310" s="235"/>
      <c r="S310" s="236"/>
      <c r="T310" s="236"/>
      <c r="U310" s="231"/>
      <c r="V310" s="231"/>
      <c r="W310" s="232"/>
      <c r="X310" s="232"/>
      <c r="Y310" s="233"/>
      <c r="Z310" s="233"/>
      <c r="AA310" s="234"/>
      <c r="AB310" s="234"/>
      <c r="AC310" s="235"/>
      <c r="AD310" s="235"/>
      <c r="AE310" s="236"/>
      <c r="AF310" s="236"/>
      <c r="AG310" s="67"/>
      <c r="AH310" s="68"/>
      <c r="AI310" s="69"/>
      <c r="AJ310" s="71"/>
    </row>
    <row r="311" spans="1:36" s="22" customFormat="1" x14ac:dyDescent="0.25">
      <c r="A311" s="28" t="str">
        <f>IF(H311&lt;&gt;"",MAX($A$7:A310)+1,"")</f>
        <v/>
      </c>
      <c r="B311" s="243" t="str">
        <f t="shared" si="37"/>
        <v/>
      </c>
      <c r="C311" s="96" t="str">
        <f t="shared" si="38"/>
        <v/>
      </c>
      <c r="D311" s="238"/>
      <c r="E311" s="239"/>
      <c r="F311" s="239"/>
      <c r="G311" s="240"/>
      <c r="H311" s="241"/>
      <c r="I311" s="231"/>
      <c r="J311" s="231"/>
      <c r="K311" s="232"/>
      <c r="L311" s="232"/>
      <c r="M311" s="233"/>
      <c r="N311" s="233"/>
      <c r="O311" s="234"/>
      <c r="P311" s="234"/>
      <c r="Q311" s="235"/>
      <c r="R311" s="235"/>
      <c r="S311" s="236"/>
      <c r="T311" s="236"/>
      <c r="U311" s="231"/>
      <c r="V311" s="231"/>
      <c r="W311" s="232"/>
      <c r="X311" s="232"/>
      <c r="Y311" s="233"/>
      <c r="Z311" s="233"/>
      <c r="AA311" s="234"/>
      <c r="AB311" s="234"/>
      <c r="AC311" s="235"/>
      <c r="AD311" s="235"/>
      <c r="AE311" s="236"/>
      <c r="AF311" s="236"/>
      <c r="AG311" s="67"/>
      <c r="AH311" s="68"/>
      <c r="AI311" s="69"/>
      <c r="AJ311" s="71"/>
    </row>
    <row r="312" spans="1:36" s="22" customFormat="1" x14ac:dyDescent="0.25">
      <c r="A312" s="28" t="str">
        <f>IF(H312&lt;&gt;"",MAX($A$7:A311)+1,"")</f>
        <v/>
      </c>
      <c r="B312" s="243" t="str">
        <f t="shared" si="37"/>
        <v/>
      </c>
      <c r="C312" s="96" t="str">
        <f t="shared" si="38"/>
        <v/>
      </c>
      <c r="D312" s="238"/>
      <c r="E312" s="239"/>
      <c r="F312" s="239"/>
      <c r="G312" s="240"/>
      <c r="H312" s="241"/>
      <c r="I312" s="231"/>
      <c r="J312" s="231"/>
      <c r="K312" s="232"/>
      <c r="L312" s="232"/>
      <c r="M312" s="233"/>
      <c r="N312" s="233"/>
      <c r="O312" s="234"/>
      <c r="P312" s="234"/>
      <c r="Q312" s="235"/>
      <c r="R312" s="235"/>
      <c r="S312" s="236"/>
      <c r="T312" s="236"/>
      <c r="U312" s="231"/>
      <c r="V312" s="231"/>
      <c r="W312" s="232"/>
      <c r="X312" s="232"/>
      <c r="Y312" s="233"/>
      <c r="Z312" s="233"/>
      <c r="AA312" s="234"/>
      <c r="AB312" s="234"/>
      <c r="AC312" s="235"/>
      <c r="AD312" s="235"/>
      <c r="AE312" s="236"/>
      <c r="AF312" s="236"/>
      <c r="AG312" s="67"/>
      <c r="AH312" s="68"/>
      <c r="AI312" s="69"/>
      <c r="AJ312" s="71"/>
    </row>
    <row r="313" spans="1:36" s="22" customFormat="1" x14ac:dyDescent="0.25">
      <c r="A313" s="28" t="str">
        <f>IF(H313&lt;&gt;"",MAX($A$7:A312)+1,"")</f>
        <v/>
      </c>
      <c r="B313" s="243" t="str">
        <f t="shared" si="37"/>
        <v/>
      </c>
      <c r="C313" s="96" t="str">
        <f t="shared" si="38"/>
        <v/>
      </c>
      <c r="D313" s="238"/>
      <c r="E313" s="239"/>
      <c r="F313" s="239"/>
      <c r="G313" s="240"/>
      <c r="H313" s="241"/>
      <c r="I313" s="231"/>
      <c r="J313" s="231"/>
      <c r="K313" s="232"/>
      <c r="L313" s="232"/>
      <c r="M313" s="233"/>
      <c r="N313" s="233"/>
      <c r="O313" s="234"/>
      <c r="P313" s="234"/>
      <c r="Q313" s="235"/>
      <c r="R313" s="235"/>
      <c r="S313" s="236"/>
      <c r="T313" s="236"/>
      <c r="U313" s="231"/>
      <c r="V313" s="231"/>
      <c r="W313" s="232"/>
      <c r="X313" s="232"/>
      <c r="Y313" s="233"/>
      <c r="Z313" s="233"/>
      <c r="AA313" s="234"/>
      <c r="AB313" s="234"/>
      <c r="AC313" s="235"/>
      <c r="AD313" s="235"/>
      <c r="AE313" s="236"/>
      <c r="AF313" s="236"/>
      <c r="AG313" s="67"/>
      <c r="AH313" s="68"/>
      <c r="AI313" s="69"/>
      <c r="AJ313" s="71"/>
    </row>
    <row r="314" spans="1:36" s="22" customFormat="1" x14ac:dyDescent="0.25">
      <c r="A314" s="28" t="str">
        <f>IF(H314&lt;&gt;"",MAX($A$7:A313)+1,"")</f>
        <v/>
      </c>
      <c r="B314" s="243" t="str">
        <f t="shared" si="37"/>
        <v/>
      </c>
      <c r="C314" s="96" t="str">
        <f t="shared" si="38"/>
        <v/>
      </c>
      <c r="D314" s="238"/>
      <c r="E314" s="239"/>
      <c r="F314" s="239"/>
      <c r="G314" s="240"/>
      <c r="H314" s="241"/>
      <c r="I314" s="231"/>
      <c r="J314" s="231"/>
      <c r="K314" s="232"/>
      <c r="L314" s="232"/>
      <c r="M314" s="233"/>
      <c r="N314" s="233"/>
      <c r="O314" s="234"/>
      <c r="P314" s="234"/>
      <c r="Q314" s="235"/>
      <c r="R314" s="235"/>
      <c r="S314" s="236"/>
      <c r="T314" s="236"/>
      <c r="U314" s="231"/>
      <c r="V314" s="231"/>
      <c r="W314" s="232"/>
      <c r="X314" s="232"/>
      <c r="Y314" s="233"/>
      <c r="Z314" s="233"/>
      <c r="AA314" s="234"/>
      <c r="AB314" s="234"/>
      <c r="AC314" s="235"/>
      <c r="AD314" s="235"/>
      <c r="AE314" s="236"/>
      <c r="AF314" s="236"/>
      <c r="AG314" s="67"/>
      <c r="AH314" s="68"/>
      <c r="AI314" s="69"/>
      <c r="AJ314" s="71"/>
    </row>
    <row r="315" spans="1:36" s="22" customFormat="1" x14ac:dyDescent="0.25">
      <c r="A315" s="28" t="str">
        <f>IF(H315&lt;&gt;"",MAX($A$7:A314)+1,"")</f>
        <v/>
      </c>
      <c r="B315" s="243" t="str">
        <f t="shared" si="37"/>
        <v/>
      </c>
      <c r="C315" s="96" t="str">
        <f t="shared" si="38"/>
        <v/>
      </c>
      <c r="D315" s="238"/>
      <c r="E315" s="239"/>
      <c r="F315" s="239"/>
      <c r="G315" s="240"/>
      <c r="H315" s="241"/>
      <c r="I315" s="231"/>
      <c r="J315" s="231"/>
      <c r="K315" s="232"/>
      <c r="L315" s="232"/>
      <c r="M315" s="233"/>
      <c r="N315" s="233"/>
      <c r="O315" s="234"/>
      <c r="P315" s="234"/>
      <c r="Q315" s="235"/>
      <c r="R315" s="235"/>
      <c r="S315" s="236"/>
      <c r="T315" s="236"/>
      <c r="U315" s="231"/>
      <c r="V315" s="231"/>
      <c r="W315" s="232"/>
      <c r="X315" s="232"/>
      <c r="Y315" s="233"/>
      <c r="Z315" s="233"/>
      <c r="AA315" s="234"/>
      <c r="AB315" s="234"/>
      <c r="AC315" s="235"/>
      <c r="AD315" s="235"/>
      <c r="AE315" s="236"/>
      <c r="AF315" s="236"/>
      <c r="AG315" s="67"/>
      <c r="AH315" s="68"/>
      <c r="AI315" s="69"/>
      <c r="AJ315" s="71"/>
    </row>
    <row r="316" spans="1:36" s="22" customFormat="1" x14ac:dyDescent="0.25">
      <c r="A316" s="28" t="str">
        <f>IF(H316&lt;&gt;"",MAX($A$7:A315)+1,"")</f>
        <v/>
      </c>
      <c r="B316" s="243" t="str">
        <f t="shared" si="37"/>
        <v/>
      </c>
      <c r="C316" s="96" t="str">
        <f t="shared" si="38"/>
        <v/>
      </c>
      <c r="D316" s="238"/>
      <c r="E316" s="239"/>
      <c r="F316" s="239"/>
      <c r="G316" s="240"/>
      <c r="H316" s="241"/>
      <c r="I316" s="231"/>
      <c r="J316" s="231"/>
      <c r="K316" s="232"/>
      <c r="L316" s="232"/>
      <c r="M316" s="233"/>
      <c r="N316" s="233"/>
      <c r="O316" s="234"/>
      <c r="P316" s="234"/>
      <c r="Q316" s="235"/>
      <c r="R316" s="235"/>
      <c r="S316" s="236"/>
      <c r="T316" s="236"/>
      <c r="U316" s="231"/>
      <c r="V316" s="231"/>
      <c r="W316" s="232"/>
      <c r="X316" s="232"/>
      <c r="Y316" s="233"/>
      <c r="Z316" s="233"/>
      <c r="AA316" s="234"/>
      <c r="AB316" s="234"/>
      <c r="AC316" s="235"/>
      <c r="AD316" s="235"/>
      <c r="AE316" s="236"/>
      <c r="AF316" s="236"/>
      <c r="AG316" s="67"/>
      <c r="AH316" s="68"/>
      <c r="AI316" s="69"/>
      <c r="AJ316" s="71"/>
    </row>
    <row r="317" spans="1:36" s="22" customFormat="1" x14ac:dyDescent="0.25">
      <c r="A317" s="28" t="str">
        <f>IF(H317&lt;&gt;"",MAX($A$7:A316)+1,"")</f>
        <v/>
      </c>
      <c r="B317" s="243" t="str">
        <f t="shared" si="37"/>
        <v/>
      </c>
      <c r="C317" s="96" t="str">
        <f t="shared" si="38"/>
        <v/>
      </c>
      <c r="D317" s="238"/>
      <c r="E317" s="239"/>
      <c r="F317" s="239"/>
      <c r="G317" s="240"/>
      <c r="H317" s="241"/>
      <c r="I317" s="231"/>
      <c r="J317" s="231"/>
      <c r="K317" s="232"/>
      <c r="L317" s="232"/>
      <c r="M317" s="233"/>
      <c r="N317" s="233"/>
      <c r="O317" s="234"/>
      <c r="P317" s="234"/>
      <c r="Q317" s="235"/>
      <c r="R317" s="235"/>
      <c r="S317" s="236"/>
      <c r="T317" s="236"/>
      <c r="U317" s="231"/>
      <c r="V317" s="231"/>
      <c r="W317" s="232"/>
      <c r="X317" s="232"/>
      <c r="Y317" s="233"/>
      <c r="Z317" s="233"/>
      <c r="AA317" s="234"/>
      <c r="AB317" s="234"/>
      <c r="AC317" s="235"/>
      <c r="AD317" s="235"/>
      <c r="AE317" s="236"/>
      <c r="AF317" s="236"/>
      <c r="AG317" s="67"/>
      <c r="AH317" s="68"/>
      <c r="AI317" s="69"/>
      <c r="AJ317" s="71"/>
    </row>
    <row r="318" spans="1:36" s="22" customFormat="1" x14ac:dyDescent="0.25">
      <c r="A318" s="28" t="str">
        <f>IF(H318&lt;&gt;"",MAX($A$7:A317)+1,"")</f>
        <v/>
      </c>
      <c r="B318" s="243" t="str">
        <f t="shared" si="37"/>
        <v/>
      </c>
      <c r="C318" s="96" t="str">
        <f t="shared" si="38"/>
        <v/>
      </c>
      <c r="D318" s="238"/>
      <c r="E318" s="239"/>
      <c r="F318" s="239"/>
      <c r="G318" s="240"/>
      <c r="H318" s="241"/>
      <c r="I318" s="231"/>
      <c r="J318" s="231"/>
      <c r="K318" s="232"/>
      <c r="L318" s="232"/>
      <c r="M318" s="233"/>
      <c r="N318" s="233"/>
      <c r="O318" s="234"/>
      <c r="P318" s="234"/>
      <c r="Q318" s="235"/>
      <c r="R318" s="235"/>
      <c r="S318" s="236"/>
      <c r="T318" s="236"/>
      <c r="U318" s="231"/>
      <c r="V318" s="231"/>
      <c r="W318" s="232"/>
      <c r="X318" s="232"/>
      <c r="Y318" s="233"/>
      <c r="Z318" s="233"/>
      <c r="AA318" s="234"/>
      <c r="AB318" s="234"/>
      <c r="AC318" s="235"/>
      <c r="AD318" s="235"/>
      <c r="AE318" s="236"/>
      <c r="AF318" s="236"/>
      <c r="AG318" s="67"/>
      <c r="AH318" s="68"/>
      <c r="AI318" s="69"/>
      <c r="AJ318" s="71"/>
    </row>
    <row r="319" spans="1:36" s="22" customFormat="1" x14ac:dyDescent="0.25">
      <c r="A319" s="28" t="str">
        <f>IF(H319&lt;&gt;"",MAX($A$7:A318)+1,"")</f>
        <v/>
      </c>
      <c r="B319" s="243" t="str">
        <f t="shared" si="37"/>
        <v/>
      </c>
      <c r="C319" s="96" t="str">
        <f t="shared" si="38"/>
        <v/>
      </c>
      <c r="D319" s="238"/>
      <c r="E319" s="239"/>
      <c r="F319" s="239"/>
      <c r="G319" s="240"/>
      <c r="H319" s="241"/>
      <c r="I319" s="231"/>
      <c r="J319" s="231"/>
      <c r="K319" s="232"/>
      <c r="L319" s="232"/>
      <c r="M319" s="233"/>
      <c r="N319" s="233"/>
      <c r="O319" s="234"/>
      <c r="P319" s="234"/>
      <c r="Q319" s="235"/>
      <c r="R319" s="235"/>
      <c r="S319" s="236"/>
      <c r="T319" s="236"/>
      <c r="U319" s="231"/>
      <c r="V319" s="231"/>
      <c r="W319" s="232"/>
      <c r="X319" s="232"/>
      <c r="Y319" s="233"/>
      <c r="Z319" s="233"/>
      <c r="AA319" s="234"/>
      <c r="AB319" s="234"/>
      <c r="AC319" s="235"/>
      <c r="AD319" s="235"/>
      <c r="AE319" s="236"/>
      <c r="AF319" s="236"/>
      <c r="AG319" s="67"/>
      <c r="AH319" s="68"/>
      <c r="AI319" s="69"/>
      <c r="AJ319" s="71"/>
    </row>
    <row r="320" spans="1:36" s="22" customFormat="1" x14ac:dyDescent="0.25">
      <c r="A320" s="28" t="str">
        <f>IF(H320&lt;&gt;"",MAX($A$7:A319)+1,"")</f>
        <v/>
      </c>
      <c r="B320" s="243" t="str">
        <f t="shared" si="37"/>
        <v/>
      </c>
      <c r="C320" s="96" t="str">
        <f t="shared" si="38"/>
        <v/>
      </c>
      <c r="D320" s="238"/>
      <c r="E320" s="239"/>
      <c r="F320" s="239"/>
      <c r="G320" s="240"/>
      <c r="H320" s="241"/>
      <c r="I320" s="231"/>
      <c r="J320" s="231"/>
      <c r="K320" s="232"/>
      <c r="L320" s="232"/>
      <c r="M320" s="233"/>
      <c r="N320" s="233"/>
      <c r="O320" s="234"/>
      <c r="P320" s="234"/>
      <c r="Q320" s="235"/>
      <c r="R320" s="235"/>
      <c r="S320" s="236"/>
      <c r="T320" s="236"/>
      <c r="U320" s="231"/>
      <c r="V320" s="231"/>
      <c r="W320" s="232"/>
      <c r="X320" s="232"/>
      <c r="Y320" s="233"/>
      <c r="Z320" s="233"/>
      <c r="AA320" s="234"/>
      <c r="AB320" s="234"/>
      <c r="AC320" s="235"/>
      <c r="AD320" s="235"/>
      <c r="AE320" s="236"/>
      <c r="AF320" s="236"/>
      <c r="AG320" s="67"/>
      <c r="AH320" s="68"/>
      <c r="AI320" s="69"/>
      <c r="AJ320" s="71"/>
    </row>
    <row r="321" spans="1:36" s="22" customFormat="1" x14ac:dyDescent="0.25">
      <c r="A321" s="28" t="str">
        <f>IF(H321&lt;&gt;"",MAX($A$7:A320)+1,"")</f>
        <v/>
      </c>
      <c r="B321" s="243" t="str">
        <f t="shared" si="37"/>
        <v/>
      </c>
      <c r="C321" s="96" t="str">
        <f t="shared" si="38"/>
        <v/>
      </c>
      <c r="D321" s="238"/>
      <c r="E321" s="239"/>
      <c r="F321" s="239"/>
      <c r="G321" s="240"/>
      <c r="H321" s="241"/>
      <c r="I321" s="231"/>
      <c r="J321" s="231"/>
      <c r="K321" s="232"/>
      <c r="L321" s="232"/>
      <c r="M321" s="233"/>
      <c r="N321" s="233"/>
      <c r="O321" s="234"/>
      <c r="P321" s="234"/>
      <c r="Q321" s="235"/>
      <c r="R321" s="235"/>
      <c r="S321" s="236"/>
      <c r="T321" s="236"/>
      <c r="U321" s="231"/>
      <c r="V321" s="231"/>
      <c r="W321" s="232"/>
      <c r="X321" s="232"/>
      <c r="Y321" s="233"/>
      <c r="Z321" s="233"/>
      <c r="AA321" s="234"/>
      <c r="AB321" s="234"/>
      <c r="AC321" s="235"/>
      <c r="AD321" s="235"/>
      <c r="AE321" s="236"/>
      <c r="AF321" s="236"/>
      <c r="AG321" s="67"/>
      <c r="AH321" s="68"/>
      <c r="AI321" s="69"/>
      <c r="AJ321" s="71"/>
    </row>
    <row r="322" spans="1:36" s="22" customFormat="1" x14ac:dyDescent="0.25">
      <c r="A322" s="28" t="str">
        <f>IF(H322&lt;&gt;"",MAX($A$7:A321)+1,"")</f>
        <v/>
      </c>
      <c r="B322" s="243" t="str">
        <f t="shared" si="37"/>
        <v/>
      </c>
      <c r="C322" s="96" t="str">
        <f t="shared" si="38"/>
        <v/>
      </c>
      <c r="D322" s="238"/>
      <c r="E322" s="239"/>
      <c r="F322" s="239"/>
      <c r="G322" s="240"/>
      <c r="H322" s="241"/>
      <c r="I322" s="231"/>
      <c r="J322" s="231"/>
      <c r="K322" s="232"/>
      <c r="L322" s="232"/>
      <c r="M322" s="233"/>
      <c r="N322" s="233"/>
      <c r="O322" s="234"/>
      <c r="P322" s="234"/>
      <c r="Q322" s="235"/>
      <c r="R322" s="235"/>
      <c r="S322" s="236"/>
      <c r="T322" s="236"/>
      <c r="U322" s="231"/>
      <c r="V322" s="231"/>
      <c r="W322" s="232"/>
      <c r="X322" s="232"/>
      <c r="Y322" s="233"/>
      <c r="Z322" s="233"/>
      <c r="AA322" s="234"/>
      <c r="AB322" s="234"/>
      <c r="AC322" s="235"/>
      <c r="AD322" s="235"/>
      <c r="AE322" s="236"/>
      <c r="AF322" s="236"/>
      <c r="AG322" s="67"/>
      <c r="AH322" s="68"/>
      <c r="AI322" s="69"/>
      <c r="AJ322" s="71"/>
    </row>
    <row r="323" spans="1:36" s="22" customFormat="1" x14ac:dyDescent="0.25">
      <c r="A323" s="28" t="str">
        <f>IF(H323&lt;&gt;"",MAX($A$7:A322)+1,"")</f>
        <v/>
      </c>
      <c r="B323" s="243" t="str">
        <f t="shared" si="37"/>
        <v/>
      </c>
      <c r="C323" s="96" t="str">
        <f t="shared" si="38"/>
        <v/>
      </c>
      <c r="D323" s="238"/>
      <c r="E323" s="239"/>
      <c r="F323" s="239"/>
      <c r="G323" s="240"/>
      <c r="H323" s="241"/>
      <c r="I323" s="231"/>
      <c r="J323" s="231"/>
      <c r="K323" s="232"/>
      <c r="L323" s="232"/>
      <c r="M323" s="233"/>
      <c r="N323" s="233"/>
      <c r="O323" s="234"/>
      <c r="P323" s="234"/>
      <c r="Q323" s="235"/>
      <c r="R323" s="235"/>
      <c r="S323" s="236"/>
      <c r="T323" s="236"/>
      <c r="U323" s="231"/>
      <c r="V323" s="231"/>
      <c r="W323" s="232"/>
      <c r="X323" s="232"/>
      <c r="Y323" s="233"/>
      <c r="Z323" s="233"/>
      <c r="AA323" s="234"/>
      <c r="AB323" s="234"/>
      <c r="AC323" s="235"/>
      <c r="AD323" s="235"/>
      <c r="AE323" s="236"/>
      <c r="AF323" s="236"/>
      <c r="AG323" s="67"/>
      <c r="AH323" s="68"/>
      <c r="AI323" s="69"/>
      <c r="AJ323" s="71"/>
    </row>
    <row r="324" spans="1:36" s="22" customFormat="1" x14ac:dyDescent="0.25">
      <c r="A324" s="28" t="str">
        <f>IF(H324&lt;&gt;"",MAX($A$7:A323)+1,"")</f>
        <v/>
      </c>
      <c r="B324" s="243" t="str">
        <f t="shared" si="37"/>
        <v/>
      </c>
      <c r="C324" s="96" t="str">
        <f t="shared" si="38"/>
        <v/>
      </c>
      <c r="D324" s="238"/>
      <c r="E324" s="239"/>
      <c r="F324" s="239"/>
      <c r="G324" s="240"/>
      <c r="H324" s="241"/>
      <c r="I324" s="231"/>
      <c r="J324" s="231"/>
      <c r="K324" s="232"/>
      <c r="L324" s="232"/>
      <c r="M324" s="233"/>
      <c r="N324" s="233"/>
      <c r="O324" s="234"/>
      <c r="P324" s="234"/>
      <c r="Q324" s="235"/>
      <c r="R324" s="235"/>
      <c r="S324" s="236"/>
      <c r="T324" s="236"/>
      <c r="U324" s="231"/>
      <c r="V324" s="231"/>
      <c r="W324" s="232"/>
      <c r="X324" s="232"/>
      <c r="Y324" s="233"/>
      <c r="Z324" s="233"/>
      <c r="AA324" s="234"/>
      <c r="AB324" s="234"/>
      <c r="AC324" s="235"/>
      <c r="AD324" s="235"/>
      <c r="AE324" s="236"/>
      <c r="AF324" s="236"/>
      <c r="AG324" s="67"/>
      <c r="AH324" s="68"/>
      <c r="AI324" s="69"/>
      <c r="AJ324" s="71"/>
    </row>
    <row r="325" spans="1:36" s="22" customFormat="1" x14ac:dyDescent="0.25">
      <c r="A325" s="28" t="str">
        <f>IF(H325&lt;&gt;"",MAX($A$7:A324)+1,"")</f>
        <v/>
      </c>
      <c r="B325" s="243" t="str">
        <f t="shared" si="37"/>
        <v/>
      </c>
      <c r="C325" s="96" t="str">
        <f t="shared" si="38"/>
        <v/>
      </c>
      <c r="D325" s="238"/>
      <c r="E325" s="239"/>
      <c r="F325" s="239"/>
      <c r="G325" s="240"/>
      <c r="H325" s="241"/>
      <c r="I325" s="231"/>
      <c r="J325" s="231"/>
      <c r="K325" s="232"/>
      <c r="L325" s="232"/>
      <c r="M325" s="233"/>
      <c r="N325" s="233"/>
      <c r="O325" s="234"/>
      <c r="P325" s="234"/>
      <c r="Q325" s="235"/>
      <c r="R325" s="235"/>
      <c r="S325" s="236"/>
      <c r="T325" s="236"/>
      <c r="U325" s="231"/>
      <c r="V325" s="231"/>
      <c r="W325" s="232"/>
      <c r="X325" s="232"/>
      <c r="Y325" s="233"/>
      <c r="Z325" s="233"/>
      <c r="AA325" s="234"/>
      <c r="AB325" s="234"/>
      <c r="AC325" s="235"/>
      <c r="AD325" s="235"/>
      <c r="AE325" s="236"/>
      <c r="AF325" s="236"/>
      <c r="AG325" s="67"/>
      <c r="AH325" s="68"/>
      <c r="AI325" s="69"/>
      <c r="AJ325" s="71"/>
    </row>
    <row r="326" spans="1:36" s="22" customFormat="1" x14ac:dyDescent="0.25">
      <c r="A326" s="28" t="str">
        <f>IF(H326&lt;&gt;"",MAX($A$7:A325)+1,"")</f>
        <v/>
      </c>
      <c r="B326" s="243" t="str">
        <f t="shared" si="37"/>
        <v/>
      </c>
      <c r="C326" s="96" t="str">
        <f t="shared" si="38"/>
        <v/>
      </c>
      <c r="D326" s="238"/>
      <c r="E326" s="239"/>
      <c r="F326" s="239"/>
      <c r="G326" s="240"/>
      <c r="H326" s="241"/>
      <c r="I326" s="231"/>
      <c r="J326" s="231"/>
      <c r="K326" s="232"/>
      <c r="L326" s="232"/>
      <c r="M326" s="233"/>
      <c r="N326" s="233"/>
      <c r="O326" s="234"/>
      <c r="P326" s="234"/>
      <c r="Q326" s="235"/>
      <c r="R326" s="235"/>
      <c r="S326" s="236"/>
      <c r="T326" s="236"/>
      <c r="U326" s="231"/>
      <c r="V326" s="231"/>
      <c r="W326" s="232"/>
      <c r="X326" s="232"/>
      <c r="Y326" s="233"/>
      <c r="Z326" s="233"/>
      <c r="AA326" s="234"/>
      <c r="AB326" s="234"/>
      <c r="AC326" s="235"/>
      <c r="AD326" s="235"/>
      <c r="AE326" s="236"/>
      <c r="AF326" s="236"/>
      <c r="AG326" s="67"/>
      <c r="AH326" s="68"/>
      <c r="AI326" s="69"/>
      <c r="AJ326" s="71"/>
    </row>
    <row r="327" spans="1:36" s="22" customFormat="1" x14ac:dyDescent="0.25">
      <c r="A327" s="28" t="str">
        <f>IF(H327&lt;&gt;"",MAX($A$7:A326)+1,"")</f>
        <v/>
      </c>
      <c r="B327" s="243" t="str">
        <f t="shared" ref="B327:B390" si="39">IF(A327="","",PREF_PREGUNTA&amp;" - "&amp;IF(MAX(A:A)&gt;99,IF(A327&lt;100,"0",""),"")&amp;IF(A327&lt;10,"0","")&amp;A327&amp;IF(G327&lt;&gt;""," "&amp;G327,""))</f>
        <v/>
      </c>
      <c r="C327" s="96" t="str">
        <f t="shared" ref="C327:C390" si="40">IF(COUNTA(I327:N327)-D327=0,"",COUNTA(I327:N327)-D327)</f>
        <v/>
      </c>
      <c r="D327" s="238"/>
      <c r="E327" s="239"/>
      <c r="F327" s="239"/>
      <c r="G327" s="240"/>
      <c r="H327" s="241"/>
      <c r="I327" s="231"/>
      <c r="J327" s="231"/>
      <c r="K327" s="232"/>
      <c r="L327" s="232"/>
      <c r="M327" s="233"/>
      <c r="N327" s="233"/>
      <c r="O327" s="234"/>
      <c r="P327" s="234"/>
      <c r="Q327" s="235"/>
      <c r="R327" s="235"/>
      <c r="S327" s="236"/>
      <c r="T327" s="236"/>
      <c r="U327" s="231"/>
      <c r="V327" s="231"/>
      <c r="W327" s="232"/>
      <c r="X327" s="232"/>
      <c r="Y327" s="233"/>
      <c r="Z327" s="233"/>
      <c r="AA327" s="234"/>
      <c r="AB327" s="234"/>
      <c r="AC327" s="235"/>
      <c r="AD327" s="235"/>
      <c r="AE327" s="236"/>
      <c r="AF327" s="236"/>
      <c r="AG327" s="67"/>
      <c r="AH327" s="68"/>
      <c r="AI327" s="69"/>
      <c r="AJ327" s="71"/>
    </row>
    <row r="328" spans="1:36" s="22" customFormat="1" x14ac:dyDescent="0.25">
      <c r="A328" s="28" t="str">
        <f>IF(H328&lt;&gt;"",MAX($A$7:A327)+1,"")</f>
        <v/>
      </c>
      <c r="B328" s="243" t="str">
        <f t="shared" si="39"/>
        <v/>
      </c>
      <c r="C328" s="96" t="str">
        <f t="shared" si="40"/>
        <v/>
      </c>
      <c r="D328" s="238"/>
      <c r="E328" s="239"/>
      <c r="F328" s="239"/>
      <c r="G328" s="240"/>
      <c r="H328" s="241"/>
      <c r="I328" s="231"/>
      <c r="J328" s="231"/>
      <c r="K328" s="232"/>
      <c r="L328" s="232"/>
      <c r="M328" s="233"/>
      <c r="N328" s="233"/>
      <c r="O328" s="234"/>
      <c r="P328" s="234"/>
      <c r="Q328" s="235"/>
      <c r="R328" s="235"/>
      <c r="S328" s="236"/>
      <c r="T328" s="236"/>
      <c r="U328" s="231"/>
      <c r="V328" s="231"/>
      <c r="W328" s="232"/>
      <c r="X328" s="232"/>
      <c r="Y328" s="233"/>
      <c r="Z328" s="233"/>
      <c r="AA328" s="234"/>
      <c r="AB328" s="234"/>
      <c r="AC328" s="235"/>
      <c r="AD328" s="235"/>
      <c r="AE328" s="236"/>
      <c r="AF328" s="236"/>
      <c r="AG328" s="67"/>
      <c r="AH328" s="68"/>
      <c r="AI328" s="69"/>
      <c r="AJ328" s="71"/>
    </row>
    <row r="329" spans="1:36" s="22" customFormat="1" x14ac:dyDescent="0.25">
      <c r="A329" s="28" t="str">
        <f>IF(H329&lt;&gt;"",MAX($A$7:A328)+1,"")</f>
        <v/>
      </c>
      <c r="B329" s="243" t="str">
        <f t="shared" si="39"/>
        <v/>
      </c>
      <c r="C329" s="96" t="str">
        <f t="shared" si="40"/>
        <v/>
      </c>
      <c r="D329" s="238"/>
      <c r="E329" s="239"/>
      <c r="F329" s="239"/>
      <c r="G329" s="240"/>
      <c r="H329" s="241"/>
      <c r="I329" s="231"/>
      <c r="J329" s="231"/>
      <c r="K329" s="232"/>
      <c r="L329" s="232"/>
      <c r="M329" s="233"/>
      <c r="N329" s="233"/>
      <c r="O329" s="234"/>
      <c r="P329" s="234"/>
      <c r="Q329" s="235"/>
      <c r="R329" s="235"/>
      <c r="S329" s="236"/>
      <c r="T329" s="236"/>
      <c r="U329" s="231"/>
      <c r="V329" s="231"/>
      <c r="W329" s="232"/>
      <c r="X329" s="232"/>
      <c r="Y329" s="233"/>
      <c r="Z329" s="233"/>
      <c r="AA329" s="234"/>
      <c r="AB329" s="234"/>
      <c r="AC329" s="235"/>
      <c r="AD329" s="235"/>
      <c r="AE329" s="236"/>
      <c r="AF329" s="236"/>
      <c r="AG329" s="67"/>
      <c r="AH329" s="68"/>
      <c r="AI329" s="69"/>
      <c r="AJ329" s="71"/>
    </row>
    <row r="330" spans="1:36" s="22" customFormat="1" x14ac:dyDescent="0.25">
      <c r="A330" s="28" t="str">
        <f>IF(H330&lt;&gt;"",MAX($A$7:A329)+1,"")</f>
        <v/>
      </c>
      <c r="B330" s="243" t="str">
        <f t="shared" si="39"/>
        <v/>
      </c>
      <c r="C330" s="96" t="str">
        <f t="shared" si="40"/>
        <v/>
      </c>
      <c r="D330" s="238"/>
      <c r="E330" s="239"/>
      <c r="F330" s="239"/>
      <c r="G330" s="240"/>
      <c r="H330" s="241"/>
      <c r="I330" s="231"/>
      <c r="J330" s="231"/>
      <c r="K330" s="232"/>
      <c r="L330" s="232"/>
      <c r="M330" s="233"/>
      <c r="N330" s="233"/>
      <c r="O330" s="234"/>
      <c r="P330" s="234"/>
      <c r="Q330" s="235"/>
      <c r="R330" s="235"/>
      <c r="S330" s="236"/>
      <c r="T330" s="236"/>
      <c r="U330" s="231"/>
      <c r="V330" s="231"/>
      <c r="W330" s="232"/>
      <c r="X330" s="232"/>
      <c r="Y330" s="233"/>
      <c r="Z330" s="233"/>
      <c r="AA330" s="234"/>
      <c r="AB330" s="234"/>
      <c r="AC330" s="235"/>
      <c r="AD330" s="235"/>
      <c r="AE330" s="236"/>
      <c r="AF330" s="236"/>
      <c r="AG330" s="67"/>
      <c r="AH330" s="68"/>
      <c r="AI330" s="69"/>
      <c r="AJ330" s="71"/>
    </row>
    <row r="331" spans="1:36" s="22" customFormat="1" x14ac:dyDescent="0.25">
      <c r="A331" s="28" t="str">
        <f>IF(H331&lt;&gt;"",MAX($A$7:A330)+1,"")</f>
        <v/>
      </c>
      <c r="B331" s="243" t="str">
        <f t="shared" si="39"/>
        <v/>
      </c>
      <c r="C331" s="96" t="str">
        <f t="shared" si="40"/>
        <v/>
      </c>
      <c r="D331" s="238"/>
      <c r="E331" s="239"/>
      <c r="F331" s="239"/>
      <c r="G331" s="240"/>
      <c r="H331" s="241"/>
      <c r="I331" s="231"/>
      <c r="J331" s="231"/>
      <c r="K331" s="232"/>
      <c r="L331" s="232"/>
      <c r="M331" s="233"/>
      <c r="N331" s="233"/>
      <c r="O331" s="234"/>
      <c r="P331" s="234"/>
      <c r="Q331" s="235"/>
      <c r="R331" s="235"/>
      <c r="S331" s="236"/>
      <c r="T331" s="236"/>
      <c r="U331" s="231"/>
      <c r="V331" s="231"/>
      <c r="W331" s="232"/>
      <c r="X331" s="232"/>
      <c r="Y331" s="233"/>
      <c r="Z331" s="233"/>
      <c r="AA331" s="234"/>
      <c r="AB331" s="234"/>
      <c r="AC331" s="235"/>
      <c r="AD331" s="235"/>
      <c r="AE331" s="236"/>
      <c r="AF331" s="236"/>
      <c r="AG331" s="67"/>
      <c r="AH331" s="68"/>
      <c r="AI331" s="69"/>
      <c r="AJ331" s="71"/>
    </row>
    <row r="332" spans="1:36" s="22" customFormat="1" x14ac:dyDescent="0.25">
      <c r="A332" s="28" t="str">
        <f>IF(H332&lt;&gt;"",MAX($A$7:A331)+1,"")</f>
        <v/>
      </c>
      <c r="B332" s="243" t="str">
        <f t="shared" si="39"/>
        <v/>
      </c>
      <c r="C332" s="96" t="str">
        <f t="shared" si="40"/>
        <v/>
      </c>
      <c r="D332" s="238"/>
      <c r="E332" s="239"/>
      <c r="F332" s="239"/>
      <c r="G332" s="240"/>
      <c r="H332" s="241"/>
      <c r="I332" s="231"/>
      <c r="J332" s="231"/>
      <c r="K332" s="232"/>
      <c r="L332" s="232"/>
      <c r="M332" s="233"/>
      <c r="N332" s="233"/>
      <c r="O332" s="234"/>
      <c r="P332" s="234"/>
      <c r="Q332" s="235"/>
      <c r="R332" s="235"/>
      <c r="S332" s="236"/>
      <c r="T332" s="236"/>
      <c r="U332" s="231"/>
      <c r="V332" s="231"/>
      <c r="W332" s="232"/>
      <c r="X332" s="232"/>
      <c r="Y332" s="233"/>
      <c r="Z332" s="233"/>
      <c r="AA332" s="234"/>
      <c r="AB332" s="234"/>
      <c r="AC332" s="235"/>
      <c r="AD332" s="235"/>
      <c r="AE332" s="236"/>
      <c r="AF332" s="236"/>
      <c r="AG332" s="67"/>
      <c r="AH332" s="68"/>
      <c r="AI332" s="69"/>
      <c r="AJ332" s="71"/>
    </row>
    <row r="333" spans="1:36" s="22" customFormat="1" x14ac:dyDescent="0.25">
      <c r="A333" s="28" t="str">
        <f>IF(H333&lt;&gt;"",MAX($A$7:A332)+1,"")</f>
        <v/>
      </c>
      <c r="B333" s="243" t="str">
        <f t="shared" si="39"/>
        <v/>
      </c>
      <c r="C333" s="96" t="str">
        <f t="shared" si="40"/>
        <v/>
      </c>
      <c r="D333" s="238"/>
      <c r="E333" s="239"/>
      <c r="F333" s="239"/>
      <c r="G333" s="240"/>
      <c r="H333" s="241"/>
      <c r="I333" s="231"/>
      <c r="J333" s="231"/>
      <c r="K333" s="232"/>
      <c r="L333" s="232"/>
      <c r="M333" s="233"/>
      <c r="N333" s="233"/>
      <c r="O333" s="234"/>
      <c r="P333" s="234"/>
      <c r="Q333" s="235"/>
      <c r="R333" s="235"/>
      <c r="S333" s="236"/>
      <c r="T333" s="236"/>
      <c r="U333" s="231"/>
      <c r="V333" s="231"/>
      <c r="W333" s="232"/>
      <c r="X333" s="232"/>
      <c r="Y333" s="233"/>
      <c r="Z333" s="233"/>
      <c r="AA333" s="234"/>
      <c r="AB333" s="234"/>
      <c r="AC333" s="235"/>
      <c r="AD333" s="235"/>
      <c r="AE333" s="236"/>
      <c r="AF333" s="236"/>
      <c r="AG333" s="67"/>
      <c r="AH333" s="68"/>
      <c r="AI333" s="69"/>
      <c r="AJ333" s="71"/>
    </row>
    <row r="334" spans="1:36" s="22" customFormat="1" x14ac:dyDescent="0.25">
      <c r="A334" s="28" t="str">
        <f>IF(H334&lt;&gt;"",MAX($A$7:A333)+1,"")</f>
        <v/>
      </c>
      <c r="B334" s="243" t="str">
        <f t="shared" si="39"/>
        <v/>
      </c>
      <c r="C334" s="96" t="str">
        <f t="shared" si="40"/>
        <v/>
      </c>
      <c r="D334" s="238"/>
      <c r="E334" s="239"/>
      <c r="F334" s="239"/>
      <c r="G334" s="240"/>
      <c r="H334" s="241"/>
      <c r="I334" s="231"/>
      <c r="J334" s="231"/>
      <c r="K334" s="232"/>
      <c r="L334" s="232"/>
      <c r="M334" s="233"/>
      <c r="N334" s="233"/>
      <c r="O334" s="234"/>
      <c r="P334" s="234"/>
      <c r="Q334" s="235"/>
      <c r="R334" s="235"/>
      <c r="S334" s="236"/>
      <c r="T334" s="236"/>
      <c r="U334" s="231"/>
      <c r="V334" s="231"/>
      <c r="W334" s="232"/>
      <c r="X334" s="232"/>
      <c r="Y334" s="233"/>
      <c r="Z334" s="233"/>
      <c r="AA334" s="234"/>
      <c r="AB334" s="234"/>
      <c r="AC334" s="235"/>
      <c r="AD334" s="235"/>
      <c r="AE334" s="236"/>
      <c r="AF334" s="236"/>
      <c r="AG334" s="67"/>
      <c r="AH334" s="68"/>
      <c r="AI334" s="69"/>
      <c r="AJ334" s="71"/>
    </row>
    <row r="335" spans="1:36" s="22" customFormat="1" x14ac:dyDescent="0.25">
      <c r="A335" s="28" t="str">
        <f>IF(H335&lt;&gt;"",MAX($A$7:A334)+1,"")</f>
        <v/>
      </c>
      <c r="B335" s="243" t="str">
        <f t="shared" si="39"/>
        <v/>
      </c>
      <c r="C335" s="96" t="str">
        <f t="shared" si="40"/>
        <v/>
      </c>
      <c r="D335" s="238"/>
      <c r="E335" s="239"/>
      <c r="F335" s="239"/>
      <c r="G335" s="240"/>
      <c r="H335" s="241"/>
      <c r="I335" s="231"/>
      <c r="J335" s="231"/>
      <c r="K335" s="232"/>
      <c r="L335" s="232"/>
      <c r="M335" s="233"/>
      <c r="N335" s="233"/>
      <c r="O335" s="234"/>
      <c r="P335" s="234"/>
      <c r="Q335" s="235"/>
      <c r="R335" s="235"/>
      <c r="S335" s="236"/>
      <c r="T335" s="236"/>
      <c r="U335" s="231"/>
      <c r="V335" s="231"/>
      <c r="W335" s="232"/>
      <c r="X335" s="232"/>
      <c r="Y335" s="233"/>
      <c r="Z335" s="233"/>
      <c r="AA335" s="234"/>
      <c r="AB335" s="234"/>
      <c r="AC335" s="235"/>
      <c r="AD335" s="235"/>
      <c r="AE335" s="236"/>
      <c r="AF335" s="236"/>
      <c r="AG335" s="67"/>
      <c r="AH335" s="68"/>
      <c r="AI335" s="69"/>
      <c r="AJ335" s="71"/>
    </row>
    <row r="336" spans="1:36" s="22" customFormat="1" x14ac:dyDescent="0.25">
      <c r="A336" s="28" t="str">
        <f>IF(H336&lt;&gt;"",MAX($A$7:A335)+1,"")</f>
        <v/>
      </c>
      <c r="B336" s="243" t="str">
        <f t="shared" si="39"/>
        <v/>
      </c>
      <c r="C336" s="96" t="str">
        <f t="shared" si="40"/>
        <v/>
      </c>
      <c r="D336" s="238"/>
      <c r="E336" s="239"/>
      <c r="F336" s="239"/>
      <c r="G336" s="240"/>
      <c r="H336" s="241"/>
      <c r="I336" s="231"/>
      <c r="J336" s="231"/>
      <c r="K336" s="232"/>
      <c r="L336" s="232"/>
      <c r="M336" s="233"/>
      <c r="N336" s="233"/>
      <c r="O336" s="234"/>
      <c r="P336" s="234"/>
      <c r="Q336" s="235"/>
      <c r="R336" s="235"/>
      <c r="S336" s="236"/>
      <c r="T336" s="236"/>
      <c r="U336" s="231"/>
      <c r="V336" s="231"/>
      <c r="W336" s="232"/>
      <c r="X336" s="232"/>
      <c r="Y336" s="233"/>
      <c r="Z336" s="233"/>
      <c r="AA336" s="234"/>
      <c r="AB336" s="234"/>
      <c r="AC336" s="235"/>
      <c r="AD336" s="235"/>
      <c r="AE336" s="236"/>
      <c r="AF336" s="236"/>
      <c r="AG336" s="67"/>
      <c r="AH336" s="68"/>
      <c r="AI336" s="69"/>
      <c r="AJ336" s="71"/>
    </row>
    <row r="337" spans="1:36" s="22" customFormat="1" x14ac:dyDescent="0.25">
      <c r="A337" s="28" t="str">
        <f>IF(H337&lt;&gt;"",MAX($A$7:A336)+1,"")</f>
        <v/>
      </c>
      <c r="B337" s="243" t="str">
        <f t="shared" si="39"/>
        <v/>
      </c>
      <c r="C337" s="96" t="str">
        <f t="shared" si="40"/>
        <v/>
      </c>
      <c r="D337" s="238"/>
      <c r="E337" s="239"/>
      <c r="F337" s="239"/>
      <c r="G337" s="240"/>
      <c r="H337" s="241"/>
      <c r="I337" s="231"/>
      <c r="J337" s="231"/>
      <c r="K337" s="232"/>
      <c r="L337" s="232"/>
      <c r="M337" s="233"/>
      <c r="N337" s="233"/>
      <c r="O337" s="234"/>
      <c r="P337" s="234"/>
      <c r="Q337" s="235"/>
      <c r="R337" s="235"/>
      <c r="S337" s="236"/>
      <c r="T337" s="236"/>
      <c r="U337" s="231"/>
      <c r="V337" s="231"/>
      <c r="W337" s="232"/>
      <c r="X337" s="232"/>
      <c r="Y337" s="233"/>
      <c r="Z337" s="233"/>
      <c r="AA337" s="234"/>
      <c r="AB337" s="234"/>
      <c r="AC337" s="235"/>
      <c r="AD337" s="235"/>
      <c r="AE337" s="236"/>
      <c r="AF337" s="236"/>
      <c r="AG337" s="67"/>
      <c r="AH337" s="68"/>
      <c r="AI337" s="69"/>
      <c r="AJ337" s="71"/>
    </row>
    <row r="338" spans="1:36" s="22" customFormat="1" x14ac:dyDescent="0.25">
      <c r="A338" s="28" t="str">
        <f>IF(H338&lt;&gt;"",MAX($A$7:A337)+1,"")</f>
        <v/>
      </c>
      <c r="B338" s="243" t="str">
        <f t="shared" si="39"/>
        <v/>
      </c>
      <c r="C338" s="96" t="str">
        <f t="shared" si="40"/>
        <v/>
      </c>
      <c r="D338" s="238"/>
      <c r="E338" s="239"/>
      <c r="F338" s="239"/>
      <c r="G338" s="240"/>
      <c r="H338" s="241"/>
      <c r="I338" s="231"/>
      <c r="J338" s="231"/>
      <c r="K338" s="232"/>
      <c r="L338" s="232"/>
      <c r="M338" s="233"/>
      <c r="N338" s="233"/>
      <c r="O338" s="234"/>
      <c r="P338" s="234"/>
      <c r="Q338" s="235"/>
      <c r="R338" s="235"/>
      <c r="S338" s="236"/>
      <c r="T338" s="236"/>
      <c r="U338" s="231"/>
      <c r="V338" s="231"/>
      <c r="W338" s="232"/>
      <c r="X338" s="232"/>
      <c r="Y338" s="233"/>
      <c r="Z338" s="233"/>
      <c r="AA338" s="234"/>
      <c r="AB338" s="234"/>
      <c r="AC338" s="235"/>
      <c r="AD338" s="235"/>
      <c r="AE338" s="236"/>
      <c r="AF338" s="236"/>
      <c r="AG338" s="67"/>
      <c r="AH338" s="68"/>
      <c r="AI338" s="69"/>
      <c r="AJ338" s="71"/>
    </row>
    <row r="339" spans="1:36" s="22" customFormat="1" x14ac:dyDescent="0.25">
      <c r="A339" s="28" t="str">
        <f>IF(H339&lt;&gt;"",MAX($A$7:A338)+1,"")</f>
        <v/>
      </c>
      <c r="B339" s="243" t="str">
        <f t="shared" si="39"/>
        <v/>
      </c>
      <c r="C339" s="96" t="str">
        <f t="shared" si="40"/>
        <v/>
      </c>
      <c r="D339" s="238"/>
      <c r="E339" s="239"/>
      <c r="F339" s="239"/>
      <c r="G339" s="240"/>
      <c r="H339" s="241"/>
      <c r="I339" s="231"/>
      <c r="J339" s="231"/>
      <c r="K339" s="232"/>
      <c r="L339" s="232"/>
      <c r="M339" s="233"/>
      <c r="N339" s="233"/>
      <c r="O339" s="234"/>
      <c r="P339" s="234"/>
      <c r="Q339" s="235"/>
      <c r="R339" s="235"/>
      <c r="S339" s="236"/>
      <c r="T339" s="236"/>
      <c r="U339" s="231"/>
      <c r="V339" s="231"/>
      <c r="W339" s="232"/>
      <c r="X339" s="232"/>
      <c r="Y339" s="233"/>
      <c r="Z339" s="233"/>
      <c r="AA339" s="234"/>
      <c r="AB339" s="234"/>
      <c r="AC339" s="235"/>
      <c r="AD339" s="235"/>
      <c r="AE339" s="236"/>
      <c r="AF339" s="236"/>
      <c r="AG339" s="67"/>
      <c r="AH339" s="68"/>
      <c r="AI339" s="69"/>
      <c r="AJ339" s="71"/>
    </row>
    <row r="340" spans="1:36" s="22" customFormat="1" x14ac:dyDescent="0.25">
      <c r="A340" s="28" t="str">
        <f>IF(H340&lt;&gt;"",MAX($A$7:A339)+1,"")</f>
        <v/>
      </c>
      <c r="B340" s="243" t="str">
        <f t="shared" si="39"/>
        <v/>
      </c>
      <c r="C340" s="96" t="str">
        <f t="shared" si="40"/>
        <v/>
      </c>
      <c r="D340" s="238"/>
      <c r="E340" s="239"/>
      <c r="F340" s="239"/>
      <c r="G340" s="240"/>
      <c r="H340" s="241"/>
      <c r="I340" s="231"/>
      <c r="J340" s="231"/>
      <c r="K340" s="232"/>
      <c r="L340" s="232"/>
      <c r="M340" s="233"/>
      <c r="N340" s="233"/>
      <c r="O340" s="234"/>
      <c r="P340" s="234"/>
      <c r="Q340" s="235"/>
      <c r="R340" s="235"/>
      <c r="S340" s="236"/>
      <c r="T340" s="236"/>
      <c r="U340" s="231"/>
      <c r="V340" s="231"/>
      <c r="W340" s="232"/>
      <c r="X340" s="232"/>
      <c r="Y340" s="233"/>
      <c r="Z340" s="233"/>
      <c r="AA340" s="234"/>
      <c r="AB340" s="234"/>
      <c r="AC340" s="235"/>
      <c r="AD340" s="235"/>
      <c r="AE340" s="236"/>
      <c r="AF340" s="236"/>
      <c r="AG340" s="67"/>
      <c r="AH340" s="68"/>
      <c r="AI340" s="69"/>
      <c r="AJ340" s="71"/>
    </row>
    <row r="341" spans="1:36" s="22" customFormat="1" x14ac:dyDescent="0.25">
      <c r="A341" s="28" t="str">
        <f>IF(H341&lt;&gt;"",MAX($A$7:A340)+1,"")</f>
        <v/>
      </c>
      <c r="B341" s="243" t="str">
        <f t="shared" si="39"/>
        <v/>
      </c>
      <c r="C341" s="96" t="str">
        <f t="shared" si="40"/>
        <v/>
      </c>
      <c r="D341" s="238"/>
      <c r="E341" s="239"/>
      <c r="F341" s="239"/>
      <c r="G341" s="240"/>
      <c r="H341" s="241"/>
      <c r="I341" s="231"/>
      <c r="J341" s="231"/>
      <c r="K341" s="232"/>
      <c r="L341" s="232"/>
      <c r="M341" s="233"/>
      <c r="N341" s="233"/>
      <c r="O341" s="234"/>
      <c r="P341" s="234"/>
      <c r="Q341" s="235"/>
      <c r="R341" s="235"/>
      <c r="S341" s="236"/>
      <c r="T341" s="236"/>
      <c r="U341" s="231"/>
      <c r="V341" s="231"/>
      <c r="W341" s="232"/>
      <c r="X341" s="232"/>
      <c r="Y341" s="233"/>
      <c r="Z341" s="233"/>
      <c r="AA341" s="234"/>
      <c r="AB341" s="234"/>
      <c r="AC341" s="235"/>
      <c r="AD341" s="235"/>
      <c r="AE341" s="236"/>
      <c r="AF341" s="236"/>
      <c r="AG341" s="67"/>
      <c r="AH341" s="68"/>
      <c r="AI341" s="69"/>
      <c r="AJ341" s="71"/>
    </row>
    <row r="342" spans="1:36" s="22" customFormat="1" x14ac:dyDescent="0.25">
      <c r="A342" s="28" t="str">
        <f>IF(H342&lt;&gt;"",MAX($A$7:A341)+1,"")</f>
        <v/>
      </c>
      <c r="B342" s="243" t="str">
        <f t="shared" si="39"/>
        <v/>
      </c>
      <c r="C342" s="96" t="str">
        <f t="shared" si="40"/>
        <v/>
      </c>
      <c r="D342" s="238"/>
      <c r="E342" s="239"/>
      <c r="F342" s="239"/>
      <c r="G342" s="240"/>
      <c r="H342" s="241"/>
      <c r="I342" s="231"/>
      <c r="J342" s="231"/>
      <c r="K342" s="232"/>
      <c r="L342" s="232"/>
      <c r="M342" s="233"/>
      <c r="N342" s="233"/>
      <c r="O342" s="234"/>
      <c r="P342" s="234"/>
      <c r="Q342" s="235"/>
      <c r="R342" s="235"/>
      <c r="S342" s="236"/>
      <c r="T342" s="236"/>
      <c r="U342" s="231"/>
      <c r="V342" s="231"/>
      <c r="W342" s="232"/>
      <c r="X342" s="232"/>
      <c r="Y342" s="233"/>
      <c r="Z342" s="233"/>
      <c r="AA342" s="234"/>
      <c r="AB342" s="234"/>
      <c r="AC342" s="235"/>
      <c r="AD342" s="235"/>
      <c r="AE342" s="236"/>
      <c r="AF342" s="236"/>
      <c r="AG342" s="67"/>
      <c r="AH342" s="68"/>
      <c r="AI342" s="69"/>
      <c r="AJ342" s="71"/>
    </row>
    <row r="343" spans="1:36" s="22" customFormat="1" x14ac:dyDescent="0.25">
      <c r="A343" s="28" t="str">
        <f>IF(H343&lt;&gt;"",MAX($A$7:A342)+1,"")</f>
        <v/>
      </c>
      <c r="B343" s="243" t="str">
        <f t="shared" si="39"/>
        <v/>
      </c>
      <c r="C343" s="96" t="str">
        <f t="shared" si="40"/>
        <v/>
      </c>
      <c r="D343" s="238"/>
      <c r="E343" s="239"/>
      <c r="F343" s="239"/>
      <c r="G343" s="240"/>
      <c r="H343" s="241"/>
      <c r="I343" s="231"/>
      <c r="J343" s="231"/>
      <c r="K343" s="232"/>
      <c r="L343" s="232"/>
      <c r="M343" s="233"/>
      <c r="N343" s="233"/>
      <c r="O343" s="234"/>
      <c r="P343" s="234"/>
      <c r="Q343" s="235"/>
      <c r="R343" s="235"/>
      <c r="S343" s="236"/>
      <c r="T343" s="236"/>
      <c r="U343" s="231"/>
      <c r="V343" s="231"/>
      <c r="W343" s="232"/>
      <c r="X343" s="232"/>
      <c r="Y343" s="233"/>
      <c r="Z343" s="233"/>
      <c r="AA343" s="234"/>
      <c r="AB343" s="234"/>
      <c r="AC343" s="235"/>
      <c r="AD343" s="235"/>
      <c r="AE343" s="236"/>
      <c r="AF343" s="236"/>
      <c r="AG343" s="67"/>
      <c r="AH343" s="68"/>
      <c r="AI343" s="69"/>
      <c r="AJ343" s="71"/>
    </row>
    <row r="344" spans="1:36" s="22" customFormat="1" x14ac:dyDescent="0.25">
      <c r="A344" s="28" t="str">
        <f>IF(H344&lt;&gt;"",MAX($A$7:A343)+1,"")</f>
        <v/>
      </c>
      <c r="B344" s="243" t="str">
        <f t="shared" si="39"/>
        <v/>
      </c>
      <c r="C344" s="96" t="str">
        <f t="shared" si="40"/>
        <v/>
      </c>
      <c r="D344" s="238"/>
      <c r="E344" s="239"/>
      <c r="F344" s="239"/>
      <c r="G344" s="240"/>
      <c r="H344" s="241"/>
      <c r="I344" s="231"/>
      <c r="J344" s="231"/>
      <c r="K344" s="232"/>
      <c r="L344" s="232"/>
      <c r="M344" s="233"/>
      <c r="N344" s="233"/>
      <c r="O344" s="234"/>
      <c r="P344" s="234"/>
      <c r="Q344" s="235"/>
      <c r="R344" s="235"/>
      <c r="S344" s="236"/>
      <c r="T344" s="236"/>
      <c r="U344" s="231"/>
      <c r="V344" s="231"/>
      <c r="W344" s="232"/>
      <c r="X344" s="232"/>
      <c r="Y344" s="233"/>
      <c r="Z344" s="233"/>
      <c r="AA344" s="234"/>
      <c r="AB344" s="234"/>
      <c r="AC344" s="235"/>
      <c r="AD344" s="235"/>
      <c r="AE344" s="236"/>
      <c r="AF344" s="236"/>
      <c r="AG344" s="67"/>
      <c r="AH344" s="68"/>
      <c r="AI344" s="69"/>
      <c r="AJ344" s="71"/>
    </row>
    <row r="345" spans="1:36" s="22" customFormat="1" x14ac:dyDescent="0.25">
      <c r="A345" s="28" t="str">
        <f>IF(H345&lt;&gt;"",MAX($A$7:A344)+1,"")</f>
        <v/>
      </c>
      <c r="B345" s="243" t="str">
        <f t="shared" si="39"/>
        <v/>
      </c>
      <c r="C345" s="96" t="str">
        <f t="shared" si="40"/>
        <v/>
      </c>
      <c r="D345" s="238"/>
      <c r="E345" s="239"/>
      <c r="F345" s="239"/>
      <c r="G345" s="240"/>
      <c r="H345" s="241"/>
      <c r="I345" s="231"/>
      <c r="J345" s="231"/>
      <c r="K345" s="232"/>
      <c r="L345" s="232"/>
      <c r="M345" s="233"/>
      <c r="N345" s="233"/>
      <c r="O345" s="234"/>
      <c r="P345" s="234"/>
      <c r="Q345" s="235"/>
      <c r="R345" s="235"/>
      <c r="S345" s="236"/>
      <c r="T345" s="236"/>
      <c r="U345" s="231"/>
      <c r="V345" s="231"/>
      <c r="W345" s="232"/>
      <c r="X345" s="232"/>
      <c r="Y345" s="233"/>
      <c r="Z345" s="233"/>
      <c r="AA345" s="234"/>
      <c r="AB345" s="234"/>
      <c r="AC345" s="235"/>
      <c r="AD345" s="235"/>
      <c r="AE345" s="236"/>
      <c r="AF345" s="236"/>
      <c r="AG345" s="67"/>
      <c r="AH345" s="68"/>
      <c r="AI345" s="69"/>
      <c r="AJ345" s="71"/>
    </row>
    <row r="346" spans="1:36" s="22" customFormat="1" x14ac:dyDescent="0.25">
      <c r="A346" s="28" t="str">
        <f>IF(H346&lt;&gt;"",MAX($A$7:A345)+1,"")</f>
        <v/>
      </c>
      <c r="B346" s="243" t="str">
        <f t="shared" si="39"/>
        <v/>
      </c>
      <c r="C346" s="96" t="str">
        <f t="shared" si="40"/>
        <v/>
      </c>
      <c r="D346" s="238"/>
      <c r="E346" s="239"/>
      <c r="F346" s="239"/>
      <c r="G346" s="240"/>
      <c r="H346" s="241"/>
      <c r="I346" s="231"/>
      <c r="J346" s="231"/>
      <c r="K346" s="232"/>
      <c r="L346" s="232"/>
      <c r="M346" s="233"/>
      <c r="N346" s="233"/>
      <c r="O346" s="234"/>
      <c r="P346" s="234"/>
      <c r="Q346" s="235"/>
      <c r="R346" s="235"/>
      <c r="S346" s="236"/>
      <c r="T346" s="236"/>
      <c r="U346" s="231"/>
      <c r="V346" s="231"/>
      <c r="W346" s="232"/>
      <c r="X346" s="232"/>
      <c r="Y346" s="233"/>
      <c r="Z346" s="233"/>
      <c r="AA346" s="234"/>
      <c r="AB346" s="234"/>
      <c r="AC346" s="235"/>
      <c r="AD346" s="235"/>
      <c r="AE346" s="236"/>
      <c r="AF346" s="236"/>
      <c r="AG346" s="67"/>
      <c r="AH346" s="68"/>
      <c r="AI346" s="69"/>
      <c r="AJ346" s="71"/>
    </row>
    <row r="347" spans="1:36" s="22" customFormat="1" x14ac:dyDescent="0.25">
      <c r="A347" s="28" t="str">
        <f>IF(H347&lt;&gt;"",MAX($A$7:A346)+1,"")</f>
        <v/>
      </c>
      <c r="B347" s="243" t="str">
        <f t="shared" si="39"/>
        <v/>
      </c>
      <c r="C347" s="96" t="str">
        <f t="shared" si="40"/>
        <v/>
      </c>
      <c r="D347" s="238"/>
      <c r="E347" s="239"/>
      <c r="F347" s="239"/>
      <c r="G347" s="240"/>
      <c r="H347" s="241"/>
      <c r="I347" s="231"/>
      <c r="J347" s="231"/>
      <c r="K347" s="232"/>
      <c r="L347" s="232"/>
      <c r="M347" s="233"/>
      <c r="N347" s="233"/>
      <c r="O347" s="234"/>
      <c r="P347" s="234"/>
      <c r="Q347" s="235"/>
      <c r="R347" s="235"/>
      <c r="S347" s="236"/>
      <c r="T347" s="236"/>
      <c r="U347" s="231"/>
      <c r="V347" s="231"/>
      <c r="W347" s="232"/>
      <c r="X347" s="232"/>
      <c r="Y347" s="233"/>
      <c r="Z347" s="233"/>
      <c r="AA347" s="234"/>
      <c r="AB347" s="234"/>
      <c r="AC347" s="235"/>
      <c r="AD347" s="235"/>
      <c r="AE347" s="236"/>
      <c r="AF347" s="236"/>
      <c r="AG347" s="67"/>
      <c r="AH347" s="68"/>
      <c r="AI347" s="69"/>
      <c r="AJ347" s="71"/>
    </row>
    <row r="348" spans="1:36" s="22" customFormat="1" x14ac:dyDescent="0.25">
      <c r="A348" s="28" t="str">
        <f>IF(H348&lt;&gt;"",MAX($A$7:A347)+1,"")</f>
        <v/>
      </c>
      <c r="B348" s="243" t="str">
        <f t="shared" si="39"/>
        <v/>
      </c>
      <c r="C348" s="96" t="str">
        <f t="shared" si="40"/>
        <v/>
      </c>
      <c r="D348" s="238"/>
      <c r="E348" s="239"/>
      <c r="F348" s="239"/>
      <c r="G348" s="240"/>
      <c r="H348" s="241"/>
      <c r="I348" s="231"/>
      <c r="J348" s="231"/>
      <c r="K348" s="232"/>
      <c r="L348" s="232"/>
      <c r="M348" s="233"/>
      <c r="N348" s="233"/>
      <c r="O348" s="234"/>
      <c r="P348" s="234"/>
      <c r="Q348" s="235"/>
      <c r="R348" s="235"/>
      <c r="S348" s="236"/>
      <c r="T348" s="236"/>
      <c r="U348" s="231"/>
      <c r="V348" s="231"/>
      <c r="W348" s="232"/>
      <c r="X348" s="232"/>
      <c r="Y348" s="233"/>
      <c r="Z348" s="233"/>
      <c r="AA348" s="234"/>
      <c r="AB348" s="234"/>
      <c r="AC348" s="235"/>
      <c r="AD348" s="235"/>
      <c r="AE348" s="236"/>
      <c r="AF348" s="236"/>
      <c r="AG348" s="67"/>
      <c r="AH348" s="68"/>
      <c r="AI348" s="69"/>
      <c r="AJ348" s="71"/>
    </row>
    <row r="349" spans="1:36" s="22" customFormat="1" x14ac:dyDescent="0.25">
      <c r="A349" s="28" t="str">
        <f>IF(H349&lt;&gt;"",MAX($A$7:A348)+1,"")</f>
        <v/>
      </c>
      <c r="B349" s="243" t="str">
        <f t="shared" si="39"/>
        <v/>
      </c>
      <c r="C349" s="96" t="str">
        <f t="shared" si="40"/>
        <v/>
      </c>
      <c r="D349" s="238"/>
      <c r="E349" s="239"/>
      <c r="F349" s="239"/>
      <c r="G349" s="240"/>
      <c r="H349" s="241"/>
      <c r="I349" s="231"/>
      <c r="J349" s="231"/>
      <c r="K349" s="232"/>
      <c r="L349" s="232"/>
      <c r="M349" s="233"/>
      <c r="N349" s="233"/>
      <c r="O349" s="234"/>
      <c r="P349" s="234"/>
      <c r="Q349" s="235"/>
      <c r="R349" s="235"/>
      <c r="S349" s="236"/>
      <c r="T349" s="236"/>
      <c r="U349" s="231"/>
      <c r="V349" s="231"/>
      <c r="W349" s="232"/>
      <c r="X349" s="232"/>
      <c r="Y349" s="233"/>
      <c r="Z349" s="233"/>
      <c r="AA349" s="234"/>
      <c r="AB349" s="234"/>
      <c r="AC349" s="235"/>
      <c r="AD349" s="235"/>
      <c r="AE349" s="236"/>
      <c r="AF349" s="236"/>
      <c r="AG349" s="67"/>
      <c r="AH349" s="68"/>
      <c r="AI349" s="69"/>
      <c r="AJ349" s="71"/>
    </row>
    <row r="350" spans="1:36" s="22" customFormat="1" x14ac:dyDescent="0.25">
      <c r="A350" s="28" t="str">
        <f>IF(H350&lt;&gt;"",MAX($A$7:A349)+1,"")</f>
        <v/>
      </c>
      <c r="B350" s="243" t="str">
        <f t="shared" si="39"/>
        <v/>
      </c>
      <c r="C350" s="96" t="str">
        <f t="shared" si="40"/>
        <v/>
      </c>
      <c r="D350" s="238"/>
      <c r="E350" s="239"/>
      <c r="F350" s="239"/>
      <c r="G350" s="240"/>
      <c r="H350" s="241"/>
      <c r="I350" s="231"/>
      <c r="J350" s="231"/>
      <c r="K350" s="232"/>
      <c r="L350" s="232"/>
      <c r="M350" s="233"/>
      <c r="N350" s="233"/>
      <c r="O350" s="234"/>
      <c r="P350" s="234"/>
      <c r="Q350" s="235"/>
      <c r="R350" s="235"/>
      <c r="S350" s="236"/>
      <c r="T350" s="236"/>
      <c r="U350" s="231"/>
      <c r="V350" s="231"/>
      <c r="W350" s="232"/>
      <c r="X350" s="232"/>
      <c r="Y350" s="233"/>
      <c r="Z350" s="233"/>
      <c r="AA350" s="234"/>
      <c r="AB350" s="234"/>
      <c r="AC350" s="235"/>
      <c r="AD350" s="235"/>
      <c r="AE350" s="236"/>
      <c r="AF350" s="236"/>
      <c r="AG350" s="67"/>
      <c r="AH350" s="68"/>
      <c r="AI350" s="69"/>
      <c r="AJ350" s="71"/>
    </row>
    <row r="351" spans="1:36" s="22" customFormat="1" x14ac:dyDescent="0.25">
      <c r="A351" s="28" t="str">
        <f>IF(H351&lt;&gt;"",MAX($A$7:A350)+1,"")</f>
        <v/>
      </c>
      <c r="B351" s="243" t="str">
        <f t="shared" si="39"/>
        <v/>
      </c>
      <c r="C351" s="96" t="str">
        <f t="shared" si="40"/>
        <v/>
      </c>
      <c r="D351" s="238"/>
      <c r="E351" s="239"/>
      <c r="F351" s="239"/>
      <c r="G351" s="240"/>
      <c r="H351" s="241"/>
      <c r="I351" s="231"/>
      <c r="J351" s="231"/>
      <c r="K351" s="232"/>
      <c r="L351" s="232"/>
      <c r="M351" s="233"/>
      <c r="N351" s="233"/>
      <c r="O351" s="234"/>
      <c r="P351" s="234"/>
      <c r="Q351" s="235"/>
      <c r="R351" s="235"/>
      <c r="S351" s="236"/>
      <c r="T351" s="236"/>
      <c r="U351" s="231"/>
      <c r="V351" s="231"/>
      <c r="W351" s="232"/>
      <c r="X351" s="232"/>
      <c r="Y351" s="233"/>
      <c r="Z351" s="233"/>
      <c r="AA351" s="234"/>
      <c r="AB351" s="234"/>
      <c r="AC351" s="235"/>
      <c r="AD351" s="235"/>
      <c r="AE351" s="236"/>
      <c r="AF351" s="236"/>
      <c r="AG351" s="67"/>
      <c r="AH351" s="68"/>
      <c r="AI351" s="69"/>
      <c r="AJ351" s="71"/>
    </row>
    <row r="352" spans="1:36" s="22" customFormat="1" x14ac:dyDescent="0.25">
      <c r="A352" s="28" t="str">
        <f>IF(H352&lt;&gt;"",MAX($A$7:A351)+1,"")</f>
        <v/>
      </c>
      <c r="B352" s="243" t="str">
        <f t="shared" si="39"/>
        <v/>
      </c>
      <c r="C352" s="96" t="str">
        <f t="shared" si="40"/>
        <v/>
      </c>
      <c r="D352" s="238"/>
      <c r="E352" s="239"/>
      <c r="F352" s="239"/>
      <c r="G352" s="240"/>
      <c r="H352" s="241"/>
      <c r="I352" s="231"/>
      <c r="J352" s="231"/>
      <c r="K352" s="232"/>
      <c r="L352" s="232"/>
      <c r="M352" s="233"/>
      <c r="N352" s="233"/>
      <c r="O352" s="234"/>
      <c r="P352" s="234"/>
      <c r="Q352" s="235"/>
      <c r="R352" s="235"/>
      <c r="S352" s="236"/>
      <c r="T352" s="236"/>
      <c r="U352" s="231"/>
      <c r="V352" s="231"/>
      <c r="W352" s="232"/>
      <c r="X352" s="232"/>
      <c r="Y352" s="233"/>
      <c r="Z352" s="233"/>
      <c r="AA352" s="234"/>
      <c r="AB352" s="234"/>
      <c r="AC352" s="235"/>
      <c r="AD352" s="235"/>
      <c r="AE352" s="236"/>
      <c r="AF352" s="236"/>
      <c r="AG352" s="67"/>
      <c r="AH352" s="68"/>
      <c r="AI352" s="69"/>
      <c r="AJ352" s="71"/>
    </row>
    <row r="353" spans="1:36" s="22" customFormat="1" x14ac:dyDescent="0.25">
      <c r="A353" s="28" t="str">
        <f>IF(H353&lt;&gt;"",MAX($A$7:A352)+1,"")</f>
        <v/>
      </c>
      <c r="B353" s="243" t="str">
        <f t="shared" si="39"/>
        <v/>
      </c>
      <c r="C353" s="96" t="str">
        <f t="shared" si="40"/>
        <v/>
      </c>
      <c r="D353" s="238"/>
      <c r="E353" s="239"/>
      <c r="F353" s="239"/>
      <c r="G353" s="240"/>
      <c r="H353" s="241"/>
      <c r="I353" s="231"/>
      <c r="J353" s="231"/>
      <c r="K353" s="232"/>
      <c r="L353" s="232"/>
      <c r="M353" s="233"/>
      <c r="N353" s="233"/>
      <c r="O353" s="234"/>
      <c r="P353" s="234"/>
      <c r="Q353" s="235"/>
      <c r="R353" s="235"/>
      <c r="S353" s="236"/>
      <c r="T353" s="236"/>
      <c r="U353" s="231"/>
      <c r="V353" s="231"/>
      <c r="W353" s="232"/>
      <c r="X353" s="232"/>
      <c r="Y353" s="233"/>
      <c r="Z353" s="233"/>
      <c r="AA353" s="234"/>
      <c r="AB353" s="234"/>
      <c r="AC353" s="235"/>
      <c r="AD353" s="235"/>
      <c r="AE353" s="236"/>
      <c r="AF353" s="236"/>
      <c r="AG353" s="67"/>
      <c r="AH353" s="68"/>
      <c r="AI353" s="69"/>
      <c r="AJ353" s="71"/>
    </row>
    <row r="354" spans="1:36" s="22" customFormat="1" x14ac:dyDescent="0.25">
      <c r="A354" s="28" t="str">
        <f>IF(H354&lt;&gt;"",MAX($A$7:A353)+1,"")</f>
        <v/>
      </c>
      <c r="B354" s="243" t="str">
        <f t="shared" si="39"/>
        <v/>
      </c>
      <c r="C354" s="96" t="str">
        <f t="shared" si="40"/>
        <v/>
      </c>
      <c r="D354" s="238"/>
      <c r="E354" s="239"/>
      <c r="F354" s="239"/>
      <c r="G354" s="240"/>
      <c r="H354" s="241"/>
      <c r="I354" s="231"/>
      <c r="J354" s="231"/>
      <c r="K354" s="232"/>
      <c r="L354" s="232"/>
      <c r="M354" s="233"/>
      <c r="N354" s="233"/>
      <c r="O354" s="234"/>
      <c r="P354" s="234"/>
      <c r="Q354" s="235"/>
      <c r="R354" s="235"/>
      <c r="S354" s="236"/>
      <c r="T354" s="236"/>
      <c r="U354" s="231"/>
      <c r="V354" s="231"/>
      <c r="W354" s="232"/>
      <c r="X354" s="232"/>
      <c r="Y354" s="233"/>
      <c r="Z354" s="233"/>
      <c r="AA354" s="234"/>
      <c r="AB354" s="234"/>
      <c r="AC354" s="235"/>
      <c r="AD354" s="235"/>
      <c r="AE354" s="236"/>
      <c r="AF354" s="236"/>
      <c r="AG354" s="67"/>
      <c r="AH354" s="68"/>
      <c r="AI354" s="69"/>
      <c r="AJ354" s="71"/>
    </row>
    <row r="355" spans="1:36" s="22" customFormat="1" x14ac:dyDescent="0.25">
      <c r="A355" s="28" t="str">
        <f>IF(H355&lt;&gt;"",MAX($A$7:A354)+1,"")</f>
        <v/>
      </c>
      <c r="B355" s="243" t="str">
        <f t="shared" si="39"/>
        <v/>
      </c>
      <c r="C355" s="96" t="str">
        <f t="shared" si="40"/>
        <v/>
      </c>
      <c r="D355" s="238"/>
      <c r="E355" s="239"/>
      <c r="F355" s="239"/>
      <c r="G355" s="240"/>
      <c r="H355" s="241"/>
      <c r="I355" s="231"/>
      <c r="J355" s="231"/>
      <c r="K355" s="232"/>
      <c r="L355" s="232"/>
      <c r="M355" s="233"/>
      <c r="N355" s="233"/>
      <c r="O355" s="234"/>
      <c r="P355" s="234"/>
      <c r="Q355" s="235"/>
      <c r="R355" s="235"/>
      <c r="S355" s="236"/>
      <c r="T355" s="236"/>
      <c r="U355" s="231"/>
      <c r="V355" s="231"/>
      <c r="W355" s="232"/>
      <c r="X355" s="232"/>
      <c r="Y355" s="233"/>
      <c r="Z355" s="233"/>
      <c r="AA355" s="234"/>
      <c r="AB355" s="234"/>
      <c r="AC355" s="235"/>
      <c r="AD355" s="235"/>
      <c r="AE355" s="236"/>
      <c r="AF355" s="236"/>
      <c r="AG355" s="67"/>
      <c r="AH355" s="68"/>
      <c r="AI355" s="69"/>
      <c r="AJ355" s="71"/>
    </row>
    <row r="356" spans="1:36" s="22" customFormat="1" x14ac:dyDescent="0.25">
      <c r="A356" s="28" t="str">
        <f>IF(H356&lt;&gt;"",MAX($A$7:A355)+1,"")</f>
        <v/>
      </c>
      <c r="B356" s="243" t="str">
        <f t="shared" si="39"/>
        <v/>
      </c>
      <c r="C356" s="96" t="str">
        <f t="shared" si="40"/>
        <v/>
      </c>
      <c r="D356" s="238"/>
      <c r="E356" s="239"/>
      <c r="F356" s="239"/>
      <c r="G356" s="240"/>
      <c r="H356" s="241"/>
      <c r="I356" s="231"/>
      <c r="J356" s="231"/>
      <c r="K356" s="232"/>
      <c r="L356" s="232"/>
      <c r="M356" s="233"/>
      <c r="N356" s="233"/>
      <c r="O356" s="234"/>
      <c r="P356" s="234"/>
      <c r="Q356" s="235"/>
      <c r="R356" s="235"/>
      <c r="S356" s="236"/>
      <c r="T356" s="236"/>
      <c r="U356" s="231"/>
      <c r="V356" s="231"/>
      <c r="W356" s="232"/>
      <c r="X356" s="232"/>
      <c r="Y356" s="233"/>
      <c r="Z356" s="233"/>
      <c r="AA356" s="234"/>
      <c r="AB356" s="234"/>
      <c r="AC356" s="235"/>
      <c r="AD356" s="235"/>
      <c r="AE356" s="236"/>
      <c r="AF356" s="236"/>
      <c r="AG356" s="67"/>
      <c r="AH356" s="68"/>
      <c r="AI356" s="69"/>
      <c r="AJ356" s="71"/>
    </row>
    <row r="357" spans="1:36" s="22" customFormat="1" x14ac:dyDescent="0.25">
      <c r="A357" s="28" t="str">
        <f>IF(H357&lt;&gt;"",MAX($A$7:A356)+1,"")</f>
        <v/>
      </c>
      <c r="B357" s="243" t="str">
        <f t="shared" si="39"/>
        <v/>
      </c>
      <c r="C357" s="96" t="str">
        <f t="shared" si="40"/>
        <v/>
      </c>
      <c r="D357" s="238"/>
      <c r="E357" s="239"/>
      <c r="F357" s="239"/>
      <c r="G357" s="240"/>
      <c r="H357" s="241"/>
      <c r="I357" s="231"/>
      <c r="J357" s="231"/>
      <c r="K357" s="232"/>
      <c r="L357" s="232"/>
      <c r="M357" s="233"/>
      <c r="N357" s="233"/>
      <c r="O357" s="234"/>
      <c r="P357" s="234"/>
      <c r="Q357" s="235"/>
      <c r="R357" s="235"/>
      <c r="S357" s="236"/>
      <c r="T357" s="236"/>
      <c r="U357" s="231"/>
      <c r="V357" s="231"/>
      <c r="W357" s="232"/>
      <c r="X357" s="232"/>
      <c r="Y357" s="233"/>
      <c r="Z357" s="233"/>
      <c r="AA357" s="234"/>
      <c r="AB357" s="234"/>
      <c r="AC357" s="235"/>
      <c r="AD357" s="235"/>
      <c r="AE357" s="236"/>
      <c r="AF357" s="236"/>
      <c r="AG357" s="67"/>
      <c r="AH357" s="68"/>
      <c r="AI357" s="69"/>
      <c r="AJ357" s="71"/>
    </row>
    <row r="358" spans="1:36" s="22" customFormat="1" x14ac:dyDescent="0.25">
      <c r="A358" s="28" t="str">
        <f>IF(H358&lt;&gt;"",MAX($A$7:A357)+1,"")</f>
        <v/>
      </c>
      <c r="B358" s="243" t="str">
        <f t="shared" si="39"/>
        <v/>
      </c>
      <c r="C358" s="96" t="str">
        <f t="shared" si="40"/>
        <v/>
      </c>
      <c r="D358" s="238"/>
      <c r="E358" s="239"/>
      <c r="F358" s="239"/>
      <c r="G358" s="240"/>
      <c r="H358" s="241"/>
      <c r="I358" s="231"/>
      <c r="J358" s="231"/>
      <c r="K358" s="232"/>
      <c r="L358" s="232"/>
      <c r="M358" s="233"/>
      <c r="N358" s="233"/>
      <c r="O358" s="234"/>
      <c r="P358" s="234"/>
      <c r="Q358" s="235"/>
      <c r="R358" s="235"/>
      <c r="S358" s="236"/>
      <c r="T358" s="236"/>
      <c r="U358" s="231"/>
      <c r="V358" s="231"/>
      <c r="W358" s="232"/>
      <c r="X358" s="232"/>
      <c r="Y358" s="233"/>
      <c r="Z358" s="233"/>
      <c r="AA358" s="234"/>
      <c r="AB358" s="234"/>
      <c r="AC358" s="235"/>
      <c r="AD358" s="235"/>
      <c r="AE358" s="236"/>
      <c r="AF358" s="236"/>
      <c r="AG358" s="67"/>
      <c r="AH358" s="68"/>
      <c r="AI358" s="69"/>
      <c r="AJ358" s="71"/>
    </row>
    <row r="359" spans="1:36" s="22" customFormat="1" x14ac:dyDescent="0.25">
      <c r="A359" s="28" t="str">
        <f>IF(H359&lt;&gt;"",MAX($A$7:A358)+1,"")</f>
        <v/>
      </c>
      <c r="B359" s="243" t="str">
        <f t="shared" si="39"/>
        <v/>
      </c>
      <c r="C359" s="96" t="str">
        <f t="shared" si="40"/>
        <v/>
      </c>
      <c r="D359" s="238"/>
      <c r="E359" s="239"/>
      <c r="F359" s="239"/>
      <c r="G359" s="240"/>
      <c r="H359" s="241"/>
      <c r="I359" s="231"/>
      <c r="J359" s="231"/>
      <c r="K359" s="232"/>
      <c r="L359" s="232"/>
      <c r="M359" s="233"/>
      <c r="N359" s="233"/>
      <c r="O359" s="234"/>
      <c r="P359" s="234"/>
      <c r="Q359" s="235"/>
      <c r="R359" s="235"/>
      <c r="S359" s="236"/>
      <c r="T359" s="236"/>
      <c r="U359" s="231"/>
      <c r="V359" s="231"/>
      <c r="W359" s="232"/>
      <c r="X359" s="232"/>
      <c r="Y359" s="233"/>
      <c r="Z359" s="233"/>
      <c r="AA359" s="234"/>
      <c r="AB359" s="234"/>
      <c r="AC359" s="235"/>
      <c r="AD359" s="235"/>
      <c r="AE359" s="236"/>
      <c r="AF359" s="236"/>
      <c r="AG359" s="67"/>
      <c r="AH359" s="68"/>
      <c r="AI359" s="69"/>
      <c r="AJ359" s="71"/>
    </row>
    <row r="360" spans="1:36" s="22" customFormat="1" x14ac:dyDescent="0.25">
      <c r="A360" s="28" t="str">
        <f>IF(H360&lt;&gt;"",MAX($A$7:A359)+1,"")</f>
        <v/>
      </c>
      <c r="B360" s="243" t="str">
        <f t="shared" si="39"/>
        <v/>
      </c>
      <c r="C360" s="96" t="str">
        <f t="shared" si="40"/>
        <v/>
      </c>
      <c r="D360" s="238"/>
      <c r="E360" s="239"/>
      <c r="F360" s="239"/>
      <c r="G360" s="240"/>
      <c r="H360" s="241"/>
      <c r="I360" s="231"/>
      <c r="J360" s="231"/>
      <c r="K360" s="232"/>
      <c r="L360" s="232"/>
      <c r="M360" s="233"/>
      <c r="N360" s="233"/>
      <c r="O360" s="234"/>
      <c r="P360" s="234"/>
      <c r="Q360" s="235"/>
      <c r="R360" s="235"/>
      <c r="S360" s="236"/>
      <c r="T360" s="236"/>
      <c r="U360" s="231"/>
      <c r="V360" s="231"/>
      <c r="W360" s="232"/>
      <c r="X360" s="232"/>
      <c r="Y360" s="233"/>
      <c r="Z360" s="233"/>
      <c r="AA360" s="234"/>
      <c r="AB360" s="234"/>
      <c r="AC360" s="235"/>
      <c r="AD360" s="235"/>
      <c r="AE360" s="236"/>
      <c r="AF360" s="236"/>
      <c r="AG360" s="67"/>
      <c r="AH360" s="68"/>
      <c r="AI360" s="69"/>
      <c r="AJ360" s="71"/>
    </row>
    <row r="361" spans="1:36" s="22" customFormat="1" x14ac:dyDescent="0.25">
      <c r="A361" s="28" t="str">
        <f>IF(H361&lt;&gt;"",MAX($A$7:A360)+1,"")</f>
        <v/>
      </c>
      <c r="B361" s="243" t="str">
        <f t="shared" si="39"/>
        <v/>
      </c>
      <c r="C361" s="96" t="str">
        <f t="shared" si="40"/>
        <v/>
      </c>
      <c r="D361" s="238"/>
      <c r="E361" s="239"/>
      <c r="F361" s="239"/>
      <c r="G361" s="240"/>
      <c r="H361" s="241"/>
      <c r="I361" s="231"/>
      <c r="J361" s="231"/>
      <c r="K361" s="232"/>
      <c r="L361" s="232"/>
      <c r="M361" s="233"/>
      <c r="N361" s="233"/>
      <c r="O361" s="234"/>
      <c r="P361" s="234"/>
      <c r="Q361" s="235"/>
      <c r="R361" s="235"/>
      <c r="S361" s="236"/>
      <c r="T361" s="236"/>
      <c r="U361" s="231"/>
      <c r="V361" s="231"/>
      <c r="W361" s="232"/>
      <c r="X361" s="232"/>
      <c r="Y361" s="233"/>
      <c r="Z361" s="233"/>
      <c r="AA361" s="234"/>
      <c r="AB361" s="234"/>
      <c r="AC361" s="235"/>
      <c r="AD361" s="235"/>
      <c r="AE361" s="236"/>
      <c r="AF361" s="236"/>
      <c r="AG361" s="67"/>
      <c r="AH361" s="68"/>
      <c r="AI361" s="69"/>
      <c r="AJ361" s="71"/>
    </row>
    <row r="362" spans="1:36" s="22" customFormat="1" x14ac:dyDescent="0.25">
      <c r="A362" s="28" t="str">
        <f>IF(H362&lt;&gt;"",MAX($A$7:A361)+1,"")</f>
        <v/>
      </c>
      <c r="B362" s="243" t="str">
        <f t="shared" si="39"/>
        <v/>
      </c>
      <c r="C362" s="96" t="str">
        <f t="shared" si="40"/>
        <v/>
      </c>
      <c r="D362" s="238"/>
      <c r="E362" s="239"/>
      <c r="F362" s="239"/>
      <c r="G362" s="240"/>
      <c r="H362" s="241"/>
      <c r="I362" s="231"/>
      <c r="J362" s="231"/>
      <c r="K362" s="232"/>
      <c r="L362" s="232"/>
      <c r="M362" s="233"/>
      <c r="N362" s="233"/>
      <c r="O362" s="234"/>
      <c r="P362" s="234"/>
      <c r="Q362" s="235"/>
      <c r="R362" s="235"/>
      <c r="S362" s="236"/>
      <c r="T362" s="236"/>
      <c r="U362" s="231"/>
      <c r="V362" s="231"/>
      <c r="W362" s="232"/>
      <c r="X362" s="232"/>
      <c r="Y362" s="233"/>
      <c r="Z362" s="233"/>
      <c r="AA362" s="234"/>
      <c r="AB362" s="234"/>
      <c r="AC362" s="235"/>
      <c r="AD362" s="235"/>
      <c r="AE362" s="236"/>
      <c r="AF362" s="236"/>
      <c r="AG362" s="67"/>
      <c r="AH362" s="68"/>
      <c r="AI362" s="69"/>
      <c r="AJ362" s="71"/>
    </row>
    <row r="363" spans="1:36" s="22" customFormat="1" x14ac:dyDescent="0.25">
      <c r="A363" s="28" t="str">
        <f>IF(H363&lt;&gt;"",MAX($A$7:A362)+1,"")</f>
        <v/>
      </c>
      <c r="B363" s="243" t="str">
        <f t="shared" si="39"/>
        <v/>
      </c>
      <c r="C363" s="96" t="str">
        <f t="shared" si="40"/>
        <v/>
      </c>
      <c r="D363" s="238"/>
      <c r="E363" s="239"/>
      <c r="F363" s="239"/>
      <c r="G363" s="240"/>
      <c r="H363" s="241"/>
      <c r="I363" s="231"/>
      <c r="J363" s="231"/>
      <c r="K363" s="232"/>
      <c r="L363" s="232"/>
      <c r="M363" s="233"/>
      <c r="N363" s="233"/>
      <c r="O363" s="234"/>
      <c r="P363" s="234"/>
      <c r="Q363" s="235"/>
      <c r="R363" s="235"/>
      <c r="S363" s="236"/>
      <c r="T363" s="236"/>
      <c r="U363" s="231"/>
      <c r="V363" s="231"/>
      <c r="W363" s="232"/>
      <c r="X363" s="232"/>
      <c r="Y363" s="233"/>
      <c r="Z363" s="233"/>
      <c r="AA363" s="234"/>
      <c r="AB363" s="234"/>
      <c r="AC363" s="235"/>
      <c r="AD363" s="235"/>
      <c r="AE363" s="236"/>
      <c r="AF363" s="236"/>
      <c r="AG363" s="67"/>
      <c r="AH363" s="68"/>
      <c r="AI363" s="69"/>
      <c r="AJ363" s="71"/>
    </row>
    <row r="364" spans="1:36" s="22" customFormat="1" x14ac:dyDescent="0.25">
      <c r="A364" s="28" t="str">
        <f>IF(H364&lt;&gt;"",MAX($A$7:A363)+1,"")</f>
        <v/>
      </c>
      <c r="B364" s="243" t="str">
        <f t="shared" si="39"/>
        <v/>
      </c>
      <c r="C364" s="96" t="str">
        <f t="shared" si="40"/>
        <v/>
      </c>
      <c r="D364" s="238"/>
      <c r="E364" s="239"/>
      <c r="F364" s="239"/>
      <c r="G364" s="240"/>
      <c r="H364" s="241"/>
      <c r="I364" s="231"/>
      <c r="J364" s="231"/>
      <c r="K364" s="232"/>
      <c r="L364" s="232"/>
      <c r="M364" s="233"/>
      <c r="N364" s="233"/>
      <c r="O364" s="234"/>
      <c r="P364" s="234"/>
      <c r="Q364" s="235"/>
      <c r="R364" s="235"/>
      <c r="S364" s="236"/>
      <c r="T364" s="236"/>
      <c r="U364" s="231"/>
      <c r="V364" s="231"/>
      <c r="W364" s="232"/>
      <c r="X364" s="232"/>
      <c r="Y364" s="233"/>
      <c r="Z364" s="233"/>
      <c r="AA364" s="234"/>
      <c r="AB364" s="234"/>
      <c r="AC364" s="235"/>
      <c r="AD364" s="235"/>
      <c r="AE364" s="236"/>
      <c r="AF364" s="236"/>
      <c r="AG364" s="67"/>
      <c r="AH364" s="68"/>
      <c r="AI364" s="69"/>
      <c r="AJ364" s="71"/>
    </row>
    <row r="365" spans="1:36" s="22" customFormat="1" x14ac:dyDescent="0.25">
      <c r="A365" s="28" t="str">
        <f>IF(H365&lt;&gt;"",MAX($A$7:A364)+1,"")</f>
        <v/>
      </c>
      <c r="B365" s="243" t="str">
        <f t="shared" si="39"/>
        <v/>
      </c>
      <c r="C365" s="96" t="str">
        <f t="shared" si="40"/>
        <v/>
      </c>
      <c r="D365" s="238"/>
      <c r="E365" s="239"/>
      <c r="F365" s="239"/>
      <c r="G365" s="240"/>
      <c r="H365" s="241"/>
      <c r="I365" s="231"/>
      <c r="J365" s="231"/>
      <c r="K365" s="232"/>
      <c r="L365" s="232"/>
      <c r="M365" s="233"/>
      <c r="N365" s="233"/>
      <c r="O365" s="234"/>
      <c r="P365" s="234"/>
      <c r="Q365" s="235"/>
      <c r="R365" s="235"/>
      <c r="S365" s="236"/>
      <c r="T365" s="236"/>
      <c r="U365" s="231"/>
      <c r="V365" s="231"/>
      <c r="W365" s="232"/>
      <c r="X365" s="232"/>
      <c r="Y365" s="233"/>
      <c r="Z365" s="233"/>
      <c r="AA365" s="234"/>
      <c r="AB365" s="234"/>
      <c r="AC365" s="235"/>
      <c r="AD365" s="235"/>
      <c r="AE365" s="236"/>
      <c r="AF365" s="236"/>
      <c r="AG365" s="67"/>
      <c r="AH365" s="68"/>
      <c r="AI365" s="69"/>
      <c r="AJ365" s="71"/>
    </row>
    <row r="366" spans="1:36" s="22" customFormat="1" x14ac:dyDescent="0.25">
      <c r="A366" s="28" t="str">
        <f>IF(H366&lt;&gt;"",MAX($A$7:A365)+1,"")</f>
        <v/>
      </c>
      <c r="B366" s="243" t="str">
        <f t="shared" si="39"/>
        <v/>
      </c>
      <c r="C366" s="96" t="str">
        <f t="shared" si="40"/>
        <v/>
      </c>
      <c r="D366" s="238"/>
      <c r="E366" s="239"/>
      <c r="F366" s="239"/>
      <c r="G366" s="240"/>
      <c r="H366" s="241"/>
      <c r="I366" s="231"/>
      <c r="J366" s="231"/>
      <c r="K366" s="232"/>
      <c r="L366" s="232"/>
      <c r="M366" s="233"/>
      <c r="N366" s="233"/>
      <c r="O366" s="234"/>
      <c r="P366" s="234"/>
      <c r="Q366" s="235"/>
      <c r="R366" s="235"/>
      <c r="S366" s="236"/>
      <c r="T366" s="236"/>
      <c r="U366" s="231"/>
      <c r="V366" s="231"/>
      <c r="W366" s="232"/>
      <c r="X366" s="232"/>
      <c r="Y366" s="233"/>
      <c r="Z366" s="233"/>
      <c r="AA366" s="234"/>
      <c r="AB366" s="234"/>
      <c r="AC366" s="235"/>
      <c r="AD366" s="235"/>
      <c r="AE366" s="236"/>
      <c r="AF366" s="236"/>
      <c r="AG366" s="67"/>
      <c r="AH366" s="68"/>
      <c r="AI366" s="69"/>
      <c r="AJ366" s="71"/>
    </row>
    <row r="367" spans="1:36" s="22" customFormat="1" x14ac:dyDescent="0.25">
      <c r="A367" s="28" t="str">
        <f>IF(H367&lt;&gt;"",MAX($A$7:A366)+1,"")</f>
        <v/>
      </c>
      <c r="B367" s="243" t="str">
        <f t="shared" si="39"/>
        <v/>
      </c>
      <c r="C367" s="96" t="str">
        <f t="shared" si="40"/>
        <v/>
      </c>
      <c r="D367" s="238"/>
      <c r="E367" s="239"/>
      <c r="F367" s="239"/>
      <c r="G367" s="240"/>
      <c r="H367" s="241"/>
      <c r="I367" s="231"/>
      <c r="J367" s="231"/>
      <c r="K367" s="232"/>
      <c r="L367" s="232"/>
      <c r="M367" s="233"/>
      <c r="N367" s="233"/>
      <c r="O367" s="234"/>
      <c r="P367" s="234"/>
      <c r="Q367" s="235"/>
      <c r="R367" s="235"/>
      <c r="S367" s="236"/>
      <c r="T367" s="236"/>
      <c r="U367" s="231"/>
      <c r="V367" s="231"/>
      <c r="W367" s="232"/>
      <c r="X367" s="232"/>
      <c r="Y367" s="233"/>
      <c r="Z367" s="233"/>
      <c r="AA367" s="234"/>
      <c r="AB367" s="234"/>
      <c r="AC367" s="235"/>
      <c r="AD367" s="235"/>
      <c r="AE367" s="236"/>
      <c r="AF367" s="236"/>
      <c r="AG367" s="67"/>
      <c r="AH367" s="68"/>
      <c r="AI367" s="69"/>
      <c r="AJ367" s="71"/>
    </row>
    <row r="368" spans="1:36" s="22" customFormat="1" x14ac:dyDescent="0.25">
      <c r="A368" s="28" t="str">
        <f>IF(H368&lt;&gt;"",MAX($A$7:A367)+1,"")</f>
        <v/>
      </c>
      <c r="B368" s="243" t="str">
        <f t="shared" si="39"/>
        <v/>
      </c>
      <c r="C368" s="96" t="str">
        <f t="shared" si="40"/>
        <v/>
      </c>
      <c r="D368" s="238"/>
      <c r="E368" s="239"/>
      <c r="F368" s="239"/>
      <c r="G368" s="240"/>
      <c r="H368" s="241"/>
      <c r="I368" s="231"/>
      <c r="J368" s="231"/>
      <c r="K368" s="232"/>
      <c r="L368" s="232"/>
      <c r="M368" s="233"/>
      <c r="N368" s="233"/>
      <c r="O368" s="234"/>
      <c r="P368" s="234"/>
      <c r="Q368" s="235"/>
      <c r="R368" s="235"/>
      <c r="S368" s="236"/>
      <c r="T368" s="236"/>
      <c r="U368" s="231"/>
      <c r="V368" s="231"/>
      <c r="W368" s="232"/>
      <c r="X368" s="232"/>
      <c r="Y368" s="233"/>
      <c r="Z368" s="233"/>
      <c r="AA368" s="234"/>
      <c r="AB368" s="234"/>
      <c r="AC368" s="235"/>
      <c r="AD368" s="235"/>
      <c r="AE368" s="236"/>
      <c r="AF368" s="236"/>
      <c r="AG368" s="67"/>
      <c r="AH368" s="68"/>
      <c r="AI368" s="69"/>
      <c r="AJ368" s="71"/>
    </row>
    <row r="369" spans="1:36" s="22" customFormat="1" x14ac:dyDescent="0.25">
      <c r="A369" s="28" t="str">
        <f>IF(H369&lt;&gt;"",MAX($A$7:A368)+1,"")</f>
        <v/>
      </c>
      <c r="B369" s="243" t="str">
        <f t="shared" si="39"/>
        <v/>
      </c>
      <c r="C369" s="96" t="str">
        <f t="shared" si="40"/>
        <v/>
      </c>
      <c r="D369" s="238"/>
      <c r="E369" s="239"/>
      <c r="F369" s="239"/>
      <c r="G369" s="240"/>
      <c r="H369" s="241"/>
      <c r="I369" s="231"/>
      <c r="J369" s="231"/>
      <c r="K369" s="232"/>
      <c r="L369" s="232"/>
      <c r="M369" s="233"/>
      <c r="N369" s="233"/>
      <c r="O369" s="234"/>
      <c r="P369" s="234"/>
      <c r="Q369" s="235"/>
      <c r="R369" s="235"/>
      <c r="S369" s="236"/>
      <c r="T369" s="236"/>
      <c r="U369" s="231"/>
      <c r="V369" s="231"/>
      <c r="W369" s="232"/>
      <c r="X369" s="232"/>
      <c r="Y369" s="233"/>
      <c r="Z369" s="233"/>
      <c r="AA369" s="234"/>
      <c r="AB369" s="234"/>
      <c r="AC369" s="235"/>
      <c r="AD369" s="235"/>
      <c r="AE369" s="236"/>
      <c r="AF369" s="236"/>
      <c r="AG369" s="67"/>
      <c r="AH369" s="68"/>
      <c r="AI369" s="69"/>
      <c r="AJ369" s="71"/>
    </row>
    <row r="370" spans="1:36" s="22" customFormat="1" x14ac:dyDescent="0.25">
      <c r="A370" s="28" t="str">
        <f>IF(H370&lt;&gt;"",MAX($A$7:A369)+1,"")</f>
        <v/>
      </c>
      <c r="B370" s="243" t="str">
        <f t="shared" si="39"/>
        <v/>
      </c>
      <c r="C370" s="96" t="str">
        <f t="shared" si="40"/>
        <v/>
      </c>
      <c r="D370" s="238"/>
      <c r="E370" s="239"/>
      <c r="F370" s="239"/>
      <c r="G370" s="240"/>
      <c r="H370" s="241"/>
      <c r="I370" s="231"/>
      <c r="J370" s="231"/>
      <c r="K370" s="232"/>
      <c r="L370" s="232"/>
      <c r="M370" s="233"/>
      <c r="N370" s="233"/>
      <c r="O370" s="234"/>
      <c r="P370" s="234"/>
      <c r="Q370" s="235"/>
      <c r="R370" s="235"/>
      <c r="S370" s="236"/>
      <c r="T370" s="236"/>
      <c r="U370" s="231"/>
      <c r="V370" s="231"/>
      <c r="W370" s="232"/>
      <c r="X370" s="232"/>
      <c r="Y370" s="233"/>
      <c r="Z370" s="233"/>
      <c r="AA370" s="234"/>
      <c r="AB370" s="234"/>
      <c r="AC370" s="235"/>
      <c r="AD370" s="235"/>
      <c r="AE370" s="236"/>
      <c r="AF370" s="236"/>
      <c r="AG370" s="67"/>
      <c r="AH370" s="68"/>
      <c r="AI370" s="69"/>
      <c r="AJ370" s="71"/>
    </row>
    <row r="371" spans="1:36" s="22" customFormat="1" x14ac:dyDescent="0.25">
      <c r="A371" s="28" t="str">
        <f>IF(H371&lt;&gt;"",MAX($A$7:A370)+1,"")</f>
        <v/>
      </c>
      <c r="B371" s="243" t="str">
        <f t="shared" si="39"/>
        <v/>
      </c>
      <c r="C371" s="96" t="str">
        <f t="shared" si="40"/>
        <v/>
      </c>
      <c r="D371" s="238"/>
      <c r="E371" s="239"/>
      <c r="F371" s="239"/>
      <c r="G371" s="240"/>
      <c r="H371" s="241"/>
      <c r="I371" s="231"/>
      <c r="J371" s="231"/>
      <c r="K371" s="232"/>
      <c r="L371" s="232"/>
      <c r="M371" s="233"/>
      <c r="N371" s="233"/>
      <c r="O371" s="234"/>
      <c r="P371" s="234"/>
      <c r="Q371" s="235"/>
      <c r="R371" s="235"/>
      <c r="S371" s="236"/>
      <c r="T371" s="236"/>
      <c r="U371" s="231"/>
      <c r="V371" s="231"/>
      <c r="W371" s="232"/>
      <c r="X371" s="232"/>
      <c r="Y371" s="233"/>
      <c r="Z371" s="233"/>
      <c r="AA371" s="234"/>
      <c r="AB371" s="234"/>
      <c r="AC371" s="235"/>
      <c r="AD371" s="235"/>
      <c r="AE371" s="236"/>
      <c r="AF371" s="236"/>
      <c r="AG371" s="67"/>
      <c r="AH371" s="68"/>
      <c r="AI371" s="69"/>
      <c r="AJ371" s="71"/>
    </row>
    <row r="372" spans="1:36" s="22" customFormat="1" x14ac:dyDescent="0.25">
      <c r="A372" s="28" t="str">
        <f>IF(H372&lt;&gt;"",MAX($A$7:A371)+1,"")</f>
        <v/>
      </c>
      <c r="B372" s="243" t="str">
        <f t="shared" si="39"/>
        <v/>
      </c>
      <c r="C372" s="96" t="str">
        <f t="shared" si="40"/>
        <v/>
      </c>
      <c r="D372" s="238"/>
      <c r="E372" s="239"/>
      <c r="F372" s="239"/>
      <c r="G372" s="240"/>
      <c r="H372" s="241"/>
      <c r="I372" s="231"/>
      <c r="J372" s="231"/>
      <c r="K372" s="232"/>
      <c r="L372" s="232"/>
      <c r="M372" s="233"/>
      <c r="N372" s="233"/>
      <c r="O372" s="234"/>
      <c r="P372" s="234"/>
      <c r="Q372" s="235"/>
      <c r="R372" s="235"/>
      <c r="S372" s="236"/>
      <c r="T372" s="236"/>
      <c r="U372" s="231"/>
      <c r="V372" s="231"/>
      <c r="W372" s="232"/>
      <c r="X372" s="232"/>
      <c r="Y372" s="233"/>
      <c r="Z372" s="233"/>
      <c r="AA372" s="234"/>
      <c r="AB372" s="234"/>
      <c r="AC372" s="235"/>
      <c r="AD372" s="235"/>
      <c r="AE372" s="236"/>
      <c r="AF372" s="236"/>
      <c r="AG372" s="67"/>
      <c r="AH372" s="68"/>
      <c r="AI372" s="69"/>
      <c r="AJ372" s="71"/>
    </row>
    <row r="373" spans="1:36" s="22" customFormat="1" x14ac:dyDescent="0.25">
      <c r="A373" s="28" t="str">
        <f>IF(H373&lt;&gt;"",MAX($A$7:A372)+1,"")</f>
        <v/>
      </c>
      <c r="B373" s="243" t="str">
        <f t="shared" si="39"/>
        <v/>
      </c>
      <c r="C373" s="96" t="str">
        <f t="shared" si="40"/>
        <v/>
      </c>
      <c r="D373" s="238"/>
      <c r="E373" s="239"/>
      <c r="F373" s="239"/>
      <c r="G373" s="240"/>
      <c r="H373" s="241"/>
      <c r="I373" s="231"/>
      <c r="J373" s="231"/>
      <c r="K373" s="232"/>
      <c r="L373" s="232"/>
      <c r="M373" s="233"/>
      <c r="N373" s="233"/>
      <c r="O373" s="234"/>
      <c r="P373" s="234"/>
      <c r="Q373" s="235"/>
      <c r="R373" s="235"/>
      <c r="S373" s="236"/>
      <c r="T373" s="236"/>
      <c r="U373" s="231"/>
      <c r="V373" s="231"/>
      <c r="W373" s="232"/>
      <c r="X373" s="232"/>
      <c r="Y373" s="233"/>
      <c r="Z373" s="233"/>
      <c r="AA373" s="234"/>
      <c r="AB373" s="234"/>
      <c r="AC373" s="235"/>
      <c r="AD373" s="235"/>
      <c r="AE373" s="236"/>
      <c r="AF373" s="236"/>
      <c r="AG373" s="67"/>
      <c r="AH373" s="68"/>
      <c r="AI373" s="69"/>
      <c r="AJ373" s="71"/>
    </row>
    <row r="374" spans="1:36" s="22" customFormat="1" x14ac:dyDescent="0.25">
      <c r="A374" s="28" t="str">
        <f>IF(H374&lt;&gt;"",MAX($A$7:A373)+1,"")</f>
        <v/>
      </c>
      <c r="B374" s="243" t="str">
        <f t="shared" si="39"/>
        <v/>
      </c>
      <c r="C374" s="96" t="str">
        <f t="shared" si="40"/>
        <v/>
      </c>
      <c r="D374" s="238"/>
      <c r="E374" s="239"/>
      <c r="F374" s="239"/>
      <c r="G374" s="240"/>
      <c r="H374" s="241"/>
      <c r="I374" s="231"/>
      <c r="J374" s="231"/>
      <c r="K374" s="232"/>
      <c r="L374" s="232"/>
      <c r="M374" s="233"/>
      <c r="N374" s="233"/>
      <c r="O374" s="234"/>
      <c r="P374" s="234"/>
      <c r="Q374" s="235"/>
      <c r="R374" s="235"/>
      <c r="S374" s="236"/>
      <c r="T374" s="236"/>
      <c r="U374" s="231"/>
      <c r="V374" s="231"/>
      <c r="W374" s="232"/>
      <c r="X374" s="232"/>
      <c r="Y374" s="233"/>
      <c r="Z374" s="233"/>
      <c r="AA374" s="234"/>
      <c r="AB374" s="234"/>
      <c r="AC374" s="235"/>
      <c r="AD374" s="235"/>
      <c r="AE374" s="236"/>
      <c r="AF374" s="236"/>
      <c r="AG374" s="67"/>
      <c r="AH374" s="68"/>
      <c r="AI374" s="69"/>
      <c r="AJ374" s="71"/>
    </row>
    <row r="375" spans="1:36" s="22" customFormat="1" x14ac:dyDescent="0.25">
      <c r="A375" s="28" t="str">
        <f>IF(H375&lt;&gt;"",MAX($A$7:A374)+1,"")</f>
        <v/>
      </c>
      <c r="B375" s="243" t="str">
        <f t="shared" si="39"/>
        <v/>
      </c>
      <c r="C375" s="96" t="str">
        <f t="shared" si="40"/>
        <v/>
      </c>
      <c r="D375" s="238"/>
      <c r="E375" s="239"/>
      <c r="F375" s="239"/>
      <c r="G375" s="240"/>
      <c r="H375" s="241"/>
      <c r="I375" s="231"/>
      <c r="J375" s="231"/>
      <c r="K375" s="232"/>
      <c r="L375" s="232"/>
      <c r="M375" s="233"/>
      <c r="N375" s="233"/>
      <c r="O375" s="234"/>
      <c r="P375" s="234"/>
      <c r="Q375" s="235"/>
      <c r="R375" s="235"/>
      <c r="S375" s="236"/>
      <c r="T375" s="236"/>
      <c r="U375" s="231"/>
      <c r="V375" s="231"/>
      <c r="W375" s="232"/>
      <c r="X375" s="232"/>
      <c r="Y375" s="233"/>
      <c r="Z375" s="233"/>
      <c r="AA375" s="234"/>
      <c r="AB375" s="234"/>
      <c r="AC375" s="235"/>
      <c r="AD375" s="235"/>
      <c r="AE375" s="236"/>
      <c r="AF375" s="236"/>
      <c r="AG375" s="67"/>
      <c r="AH375" s="68"/>
      <c r="AI375" s="69"/>
      <c r="AJ375" s="71"/>
    </row>
    <row r="376" spans="1:36" s="22" customFormat="1" x14ac:dyDescent="0.25">
      <c r="A376" s="28" t="str">
        <f>IF(H376&lt;&gt;"",MAX($A$7:A375)+1,"")</f>
        <v/>
      </c>
      <c r="B376" s="243" t="str">
        <f t="shared" si="39"/>
        <v/>
      </c>
      <c r="C376" s="96" t="str">
        <f t="shared" si="40"/>
        <v/>
      </c>
      <c r="D376" s="238"/>
      <c r="E376" s="239"/>
      <c r="F376" s="239"/>
      <c r="G376" s="240"/>
      <c r="H376" s="241"/>
      <c r="I376" s="231"/>
      <c r="J376" s="231"/>
      <c r="K376" s="232"/>
      <c r="L376" s="232"/>
      <c r="M376" s="233"/>
      <c r="N376" s="233"/>
      <c r="O376" s="234"/>
      <c r="P376" s="234"/>
      <c r="Q376" s="235"/>
      <c r="R376" s="235"/>
      <c r="S376" s="236"/>
      <c r="T376" s="236"/>
      <c r="U376" s="231"/>
      <c r="V376" s="231"/>
      <c r="W376" s="232"/>
      <c r="X376" s="232"/>
      <c r="Y376" s="233"/>
      <c r="Z376" s="233"/>
      <c r="AA376" s="234"/>
      <c r="AB376" s="234"/>
      <c r="AC376" s="235"/>
      <c r="AD376" s="235"/>
      <c r="AE376" s="236"/>
      <c r="AF376" s="236"/>
      <c r="AG376" s="67"/>
      <c r="AH376" s="68"/>
      <c r="AI376" s="69"/>
      <c r="AJ376" s="71"/>
    </row>
    <row r="377" spans="1:36" s="22" customFormat="1" x14ac:dyDescent="0.25">
      <c r="A377" s="28" t="str">
        <f>IF(H377&lt;&gt;"",MAX($A$7:A376)+1,"")</f>
        <v/>
      </c>
      <c r="B377" s="243" t="str">
        <f t="shared" si="39"/>
        <v/>
      </c>
      <c r="C377" s="96" t="str">
        <f t="shared" si="40"/>
        <v/>
      </c>
      <c r="D377" s="238"/>
      <c r="E377" s="239"/>
      <c r="F377" s="239"/>
      <c r="G377" s="240"/>
      <c r="H377" s="241"/>
      <c r="I377" s="231"/>
      <c r="J377" s="231"/>
      <c r="K377" s="232"/>
      <c r="L377" s="232"/>
      <c r="M377" s="233"/>
      <c r="N377" s="233"/>
      <c r="O377" s="234"/>
      <c r="P377" s="234"/>
      <c r="Q377" s="235"/>
      <c r="R377" s="235"/>
      <c r="S377" s="236"/>
      <c r="T377" s="236"/>
      <c r="U377" s="231"/>
      <c r="V377" s="231"/>
      <c r="W377" s="232"/>
      <c r="X377" s="232"/>
      <c r="Y377" s="233"/>
      <c r="Z377" s="233"/>
      <c r="AA377" s="234"/>
      <c r="AB377" s="234"/>
      <c r="AC377" s="235"/>
      <c r="AD377" s="235"/>
      <c r="AE377" s="236"/>
      <c r="AF377" s="236"/>
      <c r="AG377" s="67"/>
      <c r="AH377" s="68"/>
      <c r="AI377" s="69"/>
      <c r="AJ377" s="71"/>
    </row>
    <row r="378" spans="1:36" s="22" customFormat="1" x14ac:dyDescent="0.25">
      <c r="A378" s="28" t="str">
        <f>IF(H378&lt;&gt;"",MAX($A$7:A377)+1,"")</f>
        <v/>
      </c>
      <c r="B378" s="243" t="str">
        <f t="shared" si="39"/>
        <v/>
      </c>
      <c r="C378" s="96" t="str">
        <f t="shared" si="40"/>
        <v/>
      </c>
      <c r="D378" s="238"/>
      <c r="E378" s="239"/>
      <c r="F378" s="239"/>
      <c r="G378" s="240"/>
      <c r="H378" s="241"/>
      <c r="I378" s="231"/>
      <c r="J378" s="231"/>
      <c r="K378" s="232"/>
      <c r="L378" s="232"/>
      <c r="M378" s="233"/>
      <c r="N378" s="233"/>
      <c r="O378" s="234"/>
      <c r="P378" s="234"/>
      <c r="Q378" s="235"/>
      <c r="R378" s="235"/>
      <c r="S378" s="236"/>
      <c r="T378" s="236"/>
      <c r="U378" s="231"/>
      <c r="V378" s="231"/>
      <c r="W378" s="232"/>
      <c r="X378" s="232"/>
      <c r="Y378" s="233"/>
      <c r="Z378" s="233"/>
      <c r="AA378" s="234"/>
      <c r="AB378" s="234"/>
      <c r="AC378" s="235"/>
      <c r="AD378" s="235"/>
      <c r="AE378" s="236"/>
      <c r="AF378" s="236"/>
      <c r="AG378" s="67"/>
      <c r="AH378" s="68"/>
      <c r="AI378" s="69"/>
      <c r="AJ378" s="71"/>
    </row>
    <row r="379" spans="1:36" s="22" customFormat="1" x14ac:dyDescent="0.25">
      <c r="A379" s="28" t="str">
        <f>IF(H379&lt;&gt;"",MAX($A$7:A378)+1,"")</f>
        <v/>
      </c>
      <c r="B379" s="243" t="str">
        <f t="shared" si="39"/>
        <v/>
      </c>
      <c r="C379" s="96" t="str">
        <f t="shared" si="40"/>
        <v/>
      </c>
      <c r="D379" s="238"/>
      <c r="E379" s="239"/>
      <c r="F379" s="239"/>
      <c r="G379" s="240"/>
      <c r="H379" s="241"/>
      <c r="I379" s="231"/>
      <c r="J379" s="231"/>
      <c r="K379" s="232"/>
      <c r="L379" s="232"/>
      <c r="M379" s="233"/>
      <c r="N379" s="233"/>
      <c r="O379" s="234"/>
      <c r="P379" s="234"/>
      <c r="Q379" s="235"/>
      <c r="R379" s="235"/>
      <c r="S379" s="236"/>
      <c r="T379" s="236"/>
      <c r="U379" s="231"/>
      <c r="V379" s="231"/>
      <c r="W379" s="232"/>
      <c r="X379" s="232"/>
      <c r="Y379" s="233"/>
      <c r="Z379" s="233"/>
      <c r="AA379" s="234"/>
      <c r="AB379" s="234"/>
      <c r="AC379" s="235"/>
      <c r="AD379" s="235"/>
      <c r="AE379" s="236"/>
      <c r="AF379" s="236"/>
      <c r="AG379" s="67"/>
      <c r="AH379" s="68"/>
      <c r="AI379" s="69"/>
      <c r="AJ379" s="71"/>
    </row>
    <row r="380" spans="1:36" s="22" customFormat="1" x14ac:dyDescent="0.25">
      <c r="A380" s="28" t="str">
        <f>IF(H380&lt;&gt;"",MAX($A$7:A379)+1,"")</f>
        <v/>
      </c>
      <c r="B380" s="243" t="str">
        <f t="shared" si="39"/>
        <v/>
      </c>
      <c r="C380" s="96" t="str">
        <f t="shared" si="40"/>
        <v/>
      </c>
      <c r="D380" s="238"/>
      <c r="E380" s="239"/>
      <c r="F380" s="239"/>
      <c r="G380" s="240"/>
      <c r="H380" s="241"/>
      <c r="I380" s="231"/>
      <c r="J380" s="231"/>
      <c r="K380" s="232"/>
      <c r="L380" s="232"/>
      <c r="M380" s="233"/>
      <c r="N380" s="233"/>
      <c r="O380" s="234"/>
      <c r="P380" s="234"/>
      <c r="Q380" s="235"/>
      <c r="R380" s="235"/>
      <c r="S380" s="236"/>
      <c r="T380" s="236"/>
      <c r="U380" s="231"/>
      <c r="V380" s="231"/>
      <c r="W380" s="232"/>
      <c r="X380" s="232"/>
      <c r="Y380" s="233"/>
      <c r="Z380" s="233"/>
      <c r="AA380" s="234"/>
      <c r="AB380" s="234"/>
      <c r="AC380" s="235"/>
      <c r="AD380" s="235"/>
      <c r="AE380" s="236"/>
      <c r="AF380" s="236"/>
      <c r="AG380" s="67"/>
      <c r="AH380" s="68"/>
      <c r="AI380" s="69"/>
      <c r="AJ380" s="71"/>
    </row>
    <row r="381" spans="1:36" s="22" customFormat="1" x14ac:dyDescent="0.25">
      <c r="A381" s="28" t="str">
        <f>IF(H381&lt;&gt;"",MAX($A$7:A380)+1,"")</f>
        <v/>
      </c>
      <c r="B381" s="243" t="str">
        <f t="shared" si="39"/>
        <v/>
      </c>
      <c r="C381" s="96" t="str">
        <f t="shared" si="40"/>
        <v/>
      </c>
      <c r="D381" s="238"/>
      <c r="E381" s="239"/>
      <c r="F381" s="239"/>
      <c r="G381" s="240"/>
      <c r="H381" s="241"/>
      <c r="I381" s="231"/>
      <c r="J381" s="231"/>
      <c r="K381" s="232"/>
      <c r="L381" s="232"/>
      <c r="M381" s="233"/>
      <c r="N381" s="233"/>
      <c r="O381" s="234"/>
      <c r="P381" s="234"/>
      <c r="Q381" s="235"/>
      <c r="R381" s="235"/>
      <c r="S381" s="236"/>
      <c r="T381" s="236"/>
      <c r="U381" s="231"/>
      <c r="V381" s="231"/>
      <c r="W381" s="232"/>
      <c r="X381" s="232"/>
      <c r="Y381" s="233"/>
      <c r="Z381" s="233"/>
      <c r="AA381" s="234"/>
      <c r="AB381" s="234"/>
      <c r="AC381" s="235"/>
      <c r="AD381" s="235"/>
      <c r="AE381" s="236"/>
      <c r="AF381" s="236"/>
      <c r="AG381" s="67"/>
      <c r="AH381" s="68"/>
      <c r="AI381" s="69"/>
      <c r="AJ381" s="71"/>
    </row>
    <row r="382" spans="1:36" s="22" customFormat="1" x14ac:dyDescent="0.25">
      <c r="A382" s="28" t="str">
        <f>IF(H382&lt;&gt;"",MAX($A$7:A381)+1,"")</f>
        <v/>
      </c>
      <c r="B382" s="243" t="str">
        <f t="shared" si="39"/>
        <v/>
      </c>
      <c r="C382" s="96" t="str">
        <f t="shared" si="40"/>
        <v/>
      </c>
      <c r="D382" s="238"/>
      <c r="E382" s="239"/>
      <c r="F382" s="239"/>
      <c r="G382" s="240"/>
      <c r="H382" s="241"/>
      <c r="I382" s="231"/>
      <c r="J382" s="231"/>
      <c r="K382" s="232"/>
      <c r="L382" s="232"/>
      <c r="M382" s="233"/>
      <c r="N382" s="233"/>
      <c r="O382" s="234"/>
      <c r="P382" s="234"/>
      <c r="Q382" s="235"/>
      <c r="R382" s="235"/>
      <c r="S382" s="236"/>
      <c r="T382" s="236"/>
      <c r="U382" s="231"/>
      <c r="V382" s="231"/>
      <c r="W382" s="232"/>
      <c r="X382" s="232"/>
      <c r="Y382" s="233"/>
      <c r="Z382" s="233"/>
      <c r="AA382" s="234"/>
      <c r="AB382" s="234"/>
      <c r="AC382" s="235"/>
      <c r="AD382" s="235"/>
      <c r="AE382" s="236"/>
      <c r="AF382" s="236"/>
      <c r="AG382" s="67"/>
      <c r="AH382" s="68"/>
      <c r="AI382" s="69"/>
      <c r="AJ382" s="71"/>
    </row>
    <row r="383" spans="1:36" s="22" customFormat="1" x14ac:dyDescent="0.25">
      <c r="A383" s="28" t="str">
        <f>IF(H383&lt;&gt;"",MAX($A$7:A382)+1,"")</f>
        <v/>
      </c>
      <c r="B383" s="243" t="str">
        <f t="shared" si="39"/>
        <v/>
      </c>
      <c r="C383" s="96" t="str">
        <f t="shared" si="40"/>
        <v/>
      </c>
      <c r="D383" s="238"/>
      <c r="E383" s="239"/>
      <c r="F383" s="239"/>
      <c r="G383" s="240"/>
      <c r="H383" s="241"/>
      <c r="I383" s="231"/>
      <c r="J383" s="231"/>
      <c r="K383" s="232"/>
      <c r="L383" s="232"/>
      <c r="M383" s="233"/>
      <c r="N383" s="233"/>
      <c r="O383" s="234"/>
      <c r="P383" s="234"/>
      <c r="Q383" s="235"/>
      <c r="R383" s="235"/>
      <c r="S383" s="236"/>
      <c r="T383" s="236"/>
      <c r="U383" s="231"/>
      <c r="V383" s="231"/>
      <c r="W383" s="232"/>
      <c r="X383" s="232"/>
      <c r="Y383" s="233"/>
      <c r="Z383" s="233"/>
      <c r="AA383" s="234"/>
      <c r="AB383" s="234"/>
      <c r="AC383" s="235"/>
      <c r="AD383" s="235"/>
      <c r="AE383" s="236"/>
      <c r="AF383" s="236"/>
      <c r="AG383" s="67"/>
      <c r="AH383" s="68"/>
      <c r="AI383" s="69"/>
      <c r="AJ383" s="71"/>
    </row>
    <row r="384" spans="1:36" s="22" customFormat="1" x14ac:dyDescent="0.25">
      <c r="A384" s="28" t="str">
        <f>IF(H384&lt;&gt;"",MAX($A$7:A383)+1,"")</f>
        <v/>
      </c>
      <c r="B384" s="243" t="str">
        <f t="shared" si="39"/>
        <v/>
      </c>
      <c r="C384" s="96" t="str">
        <f t="shared" si="40"/>
        <v/>
      </c>
      <c r="D384" s="238"/>
      <c r="E384" s="239"/>
      <c r="F384" s="239"/>
      <c r="G384" s="240"/>
      <c r="H384" s="241"/>
      <c r="I384" s="231"/>
      <c r="J384" s="231"/>
      <c r="K384" s="232"/>
      <c r="L384" s="232"/>
      <c r="M384" s="233"/>
      <c r="N384" s="233"/>
      <c r="O384" s="234"/>
      <c r="P384" s="234"/>
      <c r="Q384" s="235"/>
      <c r="R384" s="235"/>
      <c r="S384" s="236"/>
      <c r="T384" s="236"/>
      <c r="U384" s="231"/>
      <c r="V384" s="231"/>
      <c r="W384" s="232"/>
      <c r="X384" s="232"/>
      <c r="Y384" s="233"/>
      <c r="Z384" s="233"/>
      <c r="AA384" s="234"/>
      <c r="AB384" s="234"/>
      <c r="AC384" s="235"/>
      <c r="AD384" s="235"/>
      <c r="AE384" s="236"/>
      <c r="AF384" s="236"/>
      <c r="AG384" s="67"/>
      <c r="AH384" s="68"/>
      <c r="AI384" s="69"/>
      <c r="AJ384" s="71"/>
    </row>
    <row r="385" spans="1:36" s="22" customFormat="1" x14ac:dyDescent="0.25">
      <c r="A385" s="28" t="str">
        <f>IF(H385&lt;&gt;"",MAX($A$7:A384)+1,"")</f>
        <v/>
      </c>
      <c r="B385" s="243" t="str">
        <f t="shared" si="39"/>
        <v/>
      </c>
      <c r="C385" s="96" t="str">
        <f t="shared" si="40"/>
        <v/>
      </c>
      <c r="D385" s="238"/>
      <c r="E385" s="239"/>
      <c r="F385" s="239"/>
      <c r="G385" s="240"/>
      <c r="H385" s="241"/>
      <c r="I385" s="231"/>
      <c r="J385" s="231"/>
      <c r="K385" s="232"/>
      <c r="L385" s="232"/>
      <c r="M385" s="233"/>
      <c r="N385" s="233"/>
      <c r="O385" s="234"/>
      <c r="P385" s="234"/>
      <c r="Q385" s="235"/>
      <c r="R385" s="235"/>
      <c r="S385" s="236"/>
      <c r="T385" s="236"/>
      <c r="U385" s="231"/>
      <c r="V385" s="231"/>
      <c r="W385" s="232"/>
      <c r="X385" s="232"/>
      <c r="Y385" s="233"/>
      <c r="Z385" s="233"/>
      <c r="AA385" s="234"/>
      <c r="AB385" s="234"/>
      <c r="AC385" s="235"/>
      <c r="AD385" s="235"/>
      <c r="AE385" s="236"/>
      <c r="AF385" s="236"/>
      <c r="AG385" s="67"/>
      <c r="AH385" s="68"/>
      <c r="AI385" s="69"/>
      <c r="AJ385" s="71"/>
    </row>
    <row r="386" spans="1:36" s="22" customFormat="1" x14ac:dyDescent="0.25">
      <c r="A386" s="28" t="str">
        <f>IF(H386&lt;&gt;"",MAX($A$7:A385)+1,"")</f>
        <v/>
      </c>
      <c r="B386" s="243" t="str">
        <f t="shared" si="39"/>
        <v/>
      </c>
      <c r="C386" s="96" t="str">
        <f t="shared" si="40"/>
        <v/>
      </c>
      <c r="D386" s="238"/>
      <c r="E386" s="239"/>
      <c r="F386" s="239"/>
      <c r="G386" s="240"/>
      <c r="H386" s="241"/>
      <c r="I386" s="231"/>
      <c r="J386" s="231"/>
      <c r="K386" s="232"/>
      <c r="L386" s="232"/>
      <c r="M386" s="233"/>
      <c r="N386" s="233"/>
      <c r="O386" s="234"/>
      <c r="P386" s="234"/>
      <c r="Q386" s="235"/>
      <c r="R386" s="235"/>
      <c r="S386" s="236"/>
      <c r="T386" s="236"/>
      <c r="U386" s="231"/>
      <c r="V386" s="231"/>
      <c r="W386" s="232"/>
      <c r="X386" s="232"/>
      <c r="Y386" s="233"/>
      <c r="Z386" s="233"/>
      <c r="AA386" s="234"/>
      <c r="AB386" s="234"/>
      <c r="AC386" s="235"/>
      <c r="AD386" s="235"/>
      <c r="AE386" s="236"/>
      <c r="AF386" s="236"/>
      <c r="AG386" s="67"/>
      <c r="AH386" s="68"/>
      <c r="AI386" s="69"/>
      <c r="AJ386" s="71"/>
    </row>
    <row r="387" spans="1:36" s="22" customFormat="1" x14ac:dyDescent="0.25">
      <c r="A387" s="28" t="str">
        <f>IF(H387&lt;&gt;"",MAX($A$7:A386)+1,"")</f>
        <v/>
      </c>
      <c r="B387" s="243" t="str">
        <f t="shared" si="39"/>
        <v/>
      </c>
      <c r="C387" s="96" t="str">
        <f t="shared" si="40"/>
        <v/>
      </c>
      <c r="D387" s="238"/>
      <c r="E387" s="239"/>
      <c r="F387" s="239"/>
      <c r="G387" s="240"/>
      <c r="H387" s="241"/>
      <c r="I387" s="231"/>
      <c r="J387" s="231"/>
      <c r="K387" s="232"/>
      <c r="L387" s="232"/>
      <c r="M387" s="233"/>
      <c r="N387" s="233"/>
      <c r="O387" s="234"/>
      <c r="P387" s="234"/>
      <c r="Q387" s="235"/>
      <c r="R387" s="235"/>
      <c r="S387" s="236"/>
      <c r="T387" s="236"/>
      <c r="U387" s="231"/>
      <c r="V387" s="231"/>
      <c r="W387" s="232"/>
      <c r="X387" s="232"/>
      <c r="Y387" s="233"/>
      <c r="Z387" s="233"/>
      <c r="AA387" s="234"/>
      <c r="AB387" s="234"/>
      <c r="AC387" s="235"/>
      <c r="AD387" s="235"/>
      <c r="AE387" s="236"/>
      <c r="AF387" s="236"/>
      <c r="AG387" s="67"/>
      <c r="AH387" s="68"/>
      <c r="AI387" s="69"/>
      <c r="AJ387" s="71"/>
    </row>
    <row r="388" spans="1:36" s="22" customFormat="1" x14ac:dyDescent="0.25">
      <c r="A388" s="28" t="str">
        <f>IF(H388&lt;&gt;"",MAX($A$7:A387)+1,"")</f>
        <v/>
      </c>
      <c r="B388" s="243" t="str">
        <f t="shared" si="39"/>
        <v/>
      </c>
      <c r="C388" s="96" t="str">
        <f t="shared" si="40"/>
        <v/>
      </c>
      <c r="D388" s="238"/>
      <c r="E388" s="239"/>
      <c r="F388" s="239"/>
      <c r="G388" s="240"/>
      <c r="H388" s="241"/>
      <c r="I388" s="231"/>
      <c r="J388" s="231"/>
      <c r="K388" s="232"/>
      <c r="L388" s="232"/>
      <c r="M388" s="233"/>
      <c r="N388" s="233"/>
      <c r="O388" s="234"/>
      <c r="P388" s="234"/>
      <c r="Q388" s="235"/>
      <c r="R388" s="235"/>
      <c r="S388" s="236"/>
      <c r="T388" s="236"/>
      <c r="U388" s="231"/>
      <c r="V388" s="231"/>
      <c r="W388" s="232"/>
      <c r="X388" s="232"/>
      <c r="Y388" s="233"/>
      <c r="Z388" s="233"/>
      <c r="AA388" s="234"/>
      <c r="AB388" s="234"/>
      <c r="AC388" s="235"/>
      <c r="AD388" s="235"/>
      <c r="AE388" s="236"/>
      <c r="AF388" s="236"/>
      <c r="AG388" s="67"/>
      <c r="AH388" s="68"/>
      <c r="AI388" s="69"/>
      <c r="AJ388" s="71"/>
    </row>
    <row r="389" spans="1:36" s="22" customFormat="1" x14ac:dyDescent="0.25">
      <c r="A389" s="28" t="str">
        <f>IF(H389&lt;&gt;"",MAX($A$7:A388)+1,"")</f>
        <v/>
      </c>
      <c r="B389" s="243" t="str">
        <f t="shared" si="39"/>
        <v/>
      </c>
      <c r="C389" s="96" t="str">
        <f t="shared" si="40"/>
        <v/>
      </c>
      <c r="D389" s="238"/>
      <c r="E389" s="239"/>
      <c r="F389" s="239"/>
      <c r="G389" s="240"/>
      <c r="H389" s="241"/>
      <c r="I389" s="231"/>
      <c r="J389" s="231"/>
      <c r="K389" s="232"/>
      <c r="L389" s="232"/>
      <c r="M389" s="233"/>
      <c r="N389" s="233"/>
      <c r="O389" s="234"/>
      <c r="P389" s="234"/>
      <c r="Q389" s="235"/>
      <c r="R389" s="235"/>
      <c r="S389" s="236"/>
      <c r="T389" s="236"/>
      <c r="U389" s="231"/>
      <c r="V389" s="231"/>
      <c r="W389" s="232"/>
      <c r="X389" s="232"/>
      <c r="Y389" s="233"/>
      <c r="Z389" s="233"/>
      <c r="AA389" s="234"/>
      <c r="AB389" s="234"/>
      <c r="AC389" s="235"/>
      <c r="AD389" s="235"/>
      <c r="AE389" s="236"/>
      <c r="AF389" s="236"/>
      <c r="AG389" s="67"/>
      <c r="AH389" s="68"/>
      <c r="AI389" s="69"/>
      <c r="AJ389" s="71"/>
    </row>
    <row r="390" spans="1:36" s="22" customFormat="1" x14ac:dyDescent="0.25">
      <c r="A390" s="28" t="str">
        <f>IF(H390&lt;&gt;"",MAX($A$7:A389)+1,"")</f>
        <v/>
      </c>
      <c r="B390" s="243" t="str">
        <f t="shared" si="39"/>
        <v/>
      </c>
      <c r="C390" s="96" t="str">
        <f t="shared" si="40"/>
        <v/>
      </c>
      <c r="D390" s="238"/>
      <c r="E390" s="239"/>
      <c r="F390" s="239"/>
      <c r="G390" s="240"/>
      <c r="H390" s="241"/>
      <c r="I390" s="231"/>
      <c r="J390" s="231"/>
      <c r="K390" s="232"/>
      <c r="L390" s="232"/>
      <c r="M390" s="233"/>
      <c r="N390" s="233"/>
      <c r="O390" s="234"/>
      <c r="P390" s="234"/>
      <c r="Q390" s="235"/>
      <c r="R390" s="235"/>
      <c r="S390" s="236"/>
      <c r="T390" s="236"/>
      <c r="U390" s="231"/>
      <c r="V390" s="231"/>
      <c r="W390" s="232"/>
      <c r="X390" s="232"/>
      <c r="Y390" s="233"/>
      <c r="Z390" s="233"/>
      <c r="AA390" s="234"/>
      <c r="AB390" s="234"/>
      <c r="AC390" s="235"/>
      <c r="AD390" s="235"/>
      <c r="AE390" s="236"/>
      <c r="AF390" s="236"/>
      <c r="AG390" s="67"/>
      <c r="AH390" s="68"/>
      <c r="AI390" s="69"/>
      <c r="AJ390" s="71"/>
    </row>
    <row r="391" spans="1:36" s="22" customFormat="1" x14ac:dyDescent="0.25">
      <c r="A391" s="28" t="str">
        <f>IF(H391&lt;&gt;"",MAX($A$7:A390)+1,"")</f>
        <v/>
      </c>
      <c r="B391" s="243" t="str">
        <f t="shared" ref="B391:B454" si="41">IF(A391="","",PREF_PREGUNTA&amp;" - "&amp;IF(MAX(A:A)&gt;99,IF(A391&lt;100,"0",""),"")&amp;IF(A391&lt;10,"0","")&amp;A391&amp;IF(G391&lt;&gt;""," "&amp;G391,""))</f>
        <v/>
      </c>
      <c r="C391" s="96" t="str">
        <f t="shared" ref="C391:C454" si="42">IF(COUNTA(I391:N391)-D391=0,"",COUNTA(I391:N391)-D391)</f>
        <v/>
      </c>
      <c r="D391" s="238"/>
      <c r="E391" s="239"/>
      <c r="F391" s="239"/>
      <c r="G391" s="240"/>
      <c r="H391" s="241"/>
      <c r="I391" s="231"/>
      <c r="J391" s="231"/>
      <c r="K391" s="232"/>
      <c r="L391" s="232"/>
      <c r="M391" s="233"/>
      <c r="N391" s="233"/>
      <c r="O391" s="234"/>
      <c r="P391" s="234"/>
      <c r="Q391" s="235"/>
      <c r="R391" s="235"/>
      <c r="S391" s="236"/>
      <c r="T391" s="236"/>
      <c r="U391" s="231"/>
      <c r="V391" s="231"/>
      <c r="W391" s="232"/>
      <c r="X391" s="232"/>
      <c r="Y391" s="233"/>
      <c r="Z391" s="233"/>
      <c r="AA391" s="234"/>
      <c r="AB391" s="234"/>
      <c r="AC391" s="235"/>
      <c r="AD391" s="235"/>
      <c r="AE391" s="236"/>
      <c r="AF391" s="236"/>
      <c r="AG391" s="67"/>
      <c r="AH391" s="68"/>
      <c r="AI391" s="69"/>
      <c r="AJ391" s="71"/>
    </row>
    <row r="392" spans="1:36" s="22" customFormat="1" x14ac:dyDescent="0.25">
      <c r="A392" s="28" t="str">
        <f>IF(H392&lt;&gt;"",MAX($A$7:A391)+1,"")</f>
        <v/>
      </c>
      <c r="B392" s="243" t="str">
        <f t="shared" si="41"/>
        <v/>
      </c>
      <c r="C392" s="96" t="str">
        <f t="shared" si="42"/>
        <v/>
      </c>
      <c r="D392" s="238"/>
      <c r="E392" s="239"/>
      <c r="F392" s="239"/>
      <c r="G392" s="240"/>
      <c r="H392" s="241"/>
      <c r="I392" s="231"/>
      <c r="J392" s="231"/>
      <c r="K392" s="232"/>
      <c r="L392" s="232"/>
      <c r="M392" s="233"/>
      <c r="N392" s="233"/>
      <c r="O392" s="234"/>
      <c r="P392" s="234"/>
      <c r="Q392" s="235"/>
      <c r="R392" s="235"/>
      <c r="S392" s="236"/>
      <c r="T392" s="236"/>
      <c r="U392" s="231"/>
      <c r="V392" s="231"/>
      <c r="W392" s="232"/>
      <c r="X392" s="232"/>
      <c r="Y392" s="233"/>
      <c r="Z392" s="233"/>
      <c r="AA392" s="234"/>
      <c r="AB392" s="234"/>
      <c r="AC392" s="235"/>
      <c r="AD392" s="235"/>
      <c r="AE392" s="236"/>
      <c r="AF392" s="236"/>
      <c r="AG392" s="67"/>
      <c r="AH392" s="68"/>
      <c r="AI392" s="69"/>
      <c r="AJ392" s="71"/>
    </row>
    <row r="393" spans="1:36" s="22" customFormat="1" x14ac:dyDescent="0.25">
      <c r="A393" s="28" t="str">
        <f>IF(H393&lt;&gt;"",MAX($A$7:A392)+1,"")</f>
        <v/>
      </c>
      <c r="B393" s="243" t="str">
        <f t="shared" si="41"/>
        <v/>
      </c>
      <c r="C393" s="96" t="str">
        <f t="shared" si="42"/>
        <v/>
      </c>
      <c r="D393" s="238"/>
      <c r="E393" s="239"/>
      <c r="F393" s="239"/>
      <c r="G393" s="240"/>
      <c r="H393" s="241"/>
      <c r="I393" s="231"/>
      <c r="J393" s="231"/>
      <c r="K393" s="232"/>
      <c r="L393" s="232"/>
      <c r="M393" s="233"/>
      <c r="N393" s="233"/>
      <c r="O393" s="234"/>
      <c r="P393" s="234"/>
      <c r="Q393" s="235"/>
      <c r="R393" s="235"/>
      <c r="S393" s="236"/>
      <c r="T393" s="236"/>
      <c r="U393" s="231"/>
      <c r="V393" s="231"/>
      <c r="W393" s="232"/>
      <c r="X393" s="232"/>
      <c r="Y393" s="233"/>
      <c r="Z393" s="233"/>
      <c r="AA393" s="234"/>
      <c r="AB393" s="234"/>
      <c r="AC393" s="235"/>
      <c r="AD393" s="235"/>
      <c r="AE393" s="236"/>
      <c r="AF393" s="236"/>
      <c r="AG393" s="67"/>
      <c r="AH393" s="68"/>
      <c r="AI393" s="69"/>
      <c r="AJ393" s="71"/>
    </row>
    <row r="394" spans="1:36" s="22" customFormat="1" x14ac:dyDescent="0.25">
      <c r="A394" s="28" t="str">
        <f>IF(H394&lt;&gt;"",MAX($A$7:A393)+1,"")</f>
        <v/>
      </c>
      <c r="B394" s="243" t="str">
        <f t="shared" si="41"/>
        <v/>
      </c>
      <c r="C394" s="96" t="str">
        <f t="shared" si="42"/>
        <v/>
      </c>
      <c r="D394" s="238"/>
      <c r="E394" s="239"/>
      <c r="F394" s="239"/>
      <c r="G394" s="240"/>
      <c r="H394" s="241"/>
      <c r="I394" s="231"/>
      <c r="J394" s="231"/>
      <c r="K394" s="232"/>
      <c r="L394" s="232"/>
      <c r="M394" s="233"/>
      <c r="N394" s="233"/>
      <c r="O394" s="234"/>
      <c r="P394" s="234"/>
      <c r="Q394" s="235"/>
      <c r="R394" s="235"/>
      <c r="S394" s="236"/>
      <c r="T394" s="236"/>
      <c r="U394" s="231"/>
      <c r="V394" s="231"/>
      <c r="W394" s="232"/>
      <c r="X394" s="232"/>
      <c r="Y394" s="233"/>
      <c r="Z394" s="233"/>
      <c r="AA394" s="234"/>
      <c r="AB394" s="234"/>
      <c r="AC394" s="235"/>
      <c r="AD394" s="235"/>
      <c r="AE394" s="236"/>
      <c r="AF394" s="236"/>
      <c r="AG394" s="67"/>
      <c r="AH394" s="68"/>
      <c r="AI394" s="69"/>
      <c r="AJ394" s="71"/>
    </row>
    <row r="395" spans="1:36" s="22" customFormat="1" x14ac:dyDescent="0.25">
      <c r="A395" s="28" t="str">
        <f>IF(H395&lt;&gt;"",MAX($A$7:A394)+1,"")</f>
        <v/>
      </c>
      <c r="B395" s="243" t="str">
        <f t="shared" si="41"/>
        <v/>
      </c>
      <c r="C395" s="96" t="str">
        <f t="shared" si="42"/>
        <v/>
      </c>
      <c r="D395" s="238"/>
      <c r="E395" s="239"/>
      <c r="F395" s="239"/>
      <c r="G395" s="240"/>
      <c r="H395" s="241"/>
      <c r="I395" s="231"/>
      <c r="J395" s="231"/>
      <c r="K395" s="232"/>
      <c r="L395" s="232"/>
      <c r="M395" s="233"/>
      <c r="N395" s="233"/>
      <c r="O395" s="234"/>
      <c r="P395" s="234"/>
      <c r="Q395" s="235"/>
      <c r="R395" s="235"/>
      <c r="S395" s="236"/>
      <c r="T395" s="236"/>
      <c r="U395" s="231"/>
      <c r="V395" s="231"/>
      <c r="W395" s="232"/>
      <c r="X395" s="232"/>
      <c r="Y395" s="233"/>
      <c r="Z395" s="233"/>
      <c r="AA395" s="234"/>
      <c r="AB395" s="234"/>
      <c r="AC395" s="235"/>
      <c r="AD395" s="235"/>
      <c r="AE395" s="236"/>
      <c r="AF395" s="236"/>
      <c r="AG395" s="67"/>
      <c r="AH395" s="68"/>
      <c r="AI395" s="69"/>
      <c r="AJ395" s="71"/>
    </row>
    <row r="396" spans="1:36" s="22" customFormat="1" x14ac:dyDescent="0.25">
      <c r="A396" s="28" t="str">
        <f>IF(H396&lt;&gt;"",MAX($A$7:A395)+1,"")</f>
        <v/>
      </c>
      <c r="B396" s="243" t="str">
        <f t="shared" si="41"/>
        <v/>
      </c>
      <c r="C396" s="96" t="str">
        <f t="shared" si="42"/>
        <v/>
      </c>
      <c r="D396" s="238"/>
      <c r="E396" s="239"/>
      <c r="F396" s="239"/>
      <c r="G396" s="240"/>
      <c r="H396" s="241"/>
      <c r="I396" s="231"/>
      <c r="J396" s="231"/>
      <c r="K396" s="232"/>
      <c r="L396" s="232"/>
      <c r="M396" s="233"/>
      <c r="N396" s="233"/>
      <c r="O396" s="234"/>
      <c r="P396" s="234"/>
      <c r="Q396" s="235"/>
      <c r="R396" s="235"/>
      <c r="S396" s="236"/>
      <c r="T396" s="236"/>
      <c r="U396" s="231"/>
      <c r="V396" s="231"/>
      <c r="W396" s="232"/>
      <c r="X396" s="232"/>
      <c r="Y396" s="233"/>
      <c r="Z396" s="233"/>
      <c r="AA396" s="234"/>
      <c r="AB396" s="234"/>
      <c r="AC396" s="235"/>
      <c r="AD396" s="235"/>
      <c r="AE396" s="236"/>
      <c r="AF396" s="236"/>
      <c r="AG396" s="67"/>
      <c r="AH396" s="68"/>
      <c r="AI396" s="69"/>
      <c r="AJ396" s="71"/>
    </row>
    <row r="397" spans="1:36" s="22" customFormat="1" x14ac:dyDescent="0.25">
      <c r="A397" s="28" t="str">
        <f>IF(H397&lt;&gt;"",MAX($A$7:A396)+1,"")</f>
        <v/>
      </c>
      <c r="B397" s="243" t="str">
        <f t="shared" si="41"/>
        <v/>
      </c>
      <c r="C397" s="96" t="str">
        <f t="shared" si="42"/>
        <v/>
      </c>
      <c r="D397" s="238"/>
      <c r="E397" s="239"/>
      <c r="F397" s="239"/>
      <c r="G397" s="240"/>
      <c r="H397" s="241"/>
      <c r="I397" s="231"/>
      <c r="J397" s="231"/>
      <c r="K397" s="232"/>
      <c r="L397" s="232"/>
      <c r="M397" s="233"/>
      <c r="N397" s="233"/>
      <c r="O397" s="234"/>
      <c r="P397" s="234"/>
      <c r="Q397" s="235"/>
      <c r="R397" s="235"/>
      <c r="S397" s="236"/>
      <c r="T397" s="236"/>
      <c r="U397" s="231"/>
      <c r="V397" s="231"/>
      <c r="W397" s="232"/>
      <c r="X397" s="232"/>
      <c r="Y397" s="233"/>
      <c r="Z397" s="233"/>
      <c r="AA397" s="234"/>
      <c r="AB397" s="234"/>
      <c r="AC397" s="235"/>
      <c r="AD397" s="235"/>
      <c r="AE397" s="236"/>
      <c r="AF397" s="236"/>
      <c r="AG397" s="67"/>
      <c r="AH397" s="68"/>
      <c r="AI397" s="69"/>
      <c r="AJ397" s="71"/>
    </row>
    <row r="398" spans="1:36" s="22" customFormat="1" x14ac:dyDescent="0.25">
      <c r="A398" s="28" t="str">
        <f>IF(H398&lt;&gt;"",MAX($A$7:A397)+1,"")</f>
        <v/>
      </c>
      <c r="B398" s="243" t="str">
        <f t="shared" si="41"/>
        <v/>
      </c>
      <c r="C398" s="96" t="str">
        <f t="shared" si="42"/>
        <v/>
      </c>
      <c r="D398" s="238"/>
      <c r="E398" s="239"/>
      <c r="F398" s="239"/>
      <c r="G398" s="240"/>
      <c r="H398" s="241"/>
      <c r="I398" s="231"/>
      <c r="J398" s="231"/>
      <c r="K398" s="232"/>
      <c r="L398" s="232"/>
      <c r="M398" s="233"/>
      <c r="N398" s="233"/>
      <c r="O398" s="234"/>
      <c r="P398" s="234"/>
      <c r="Q398" s="235"/>
      <c r="R398" s="235"/>
      <c r="S398" s="236"/>
      <c r="T398" s="236"/>
      <c r="U398" s="231"/>
      <c r="V398" s="231"/>
      <c r="W398" s="232"/>
      <c r="X398" s="232"/>
      <c r="Y398" s="233"/>
      <c r="Z398" s="233"/>
      <c r="AA398" s="234"/>
      <c r="AB398" s="234"/>
      <c r="AC398" s="235"/>
      <c r="AD398" s="235"/>
      <c r="AE398" s="236"/>
      <c r="AF398" s="236"/>
      <c r="AG398" s="67"/>
      <c r="AH398" s="68"/>
      <c r="AI398" s="69"/>
      <c r="AJ398" s="71"/>
    </row>
    <row r="399" spans="1:36" s="22" customFormat="1" x14ac:dyDescent="0.25">
      <c r="A399" s="28" t="str">
        <f>IF(H399&lt;&gt;"",MAX($A$7:A398)+1,"")</f>
        <v/>
      </c>
      <c r="B399" s="243" t="str">
        <f t="shared" si="41"/>
        <v/>
      </c>
      <c r="C399" s="96" t="str">
        <f t="shared" si="42"/>
        <v/>
      </c>
      <c r="D399" s="238"/>
      <c r="E399" s="239"/>
      <c r="F399" s="239"/>
      <c r="G399" s="240"/>
      <c r="H399" s="241"/>
      <c r="I399" s="231"/>
      <c r="J399" s="231"/>
      <c r="K399" s="232"/>
      <c r="L399" s="232"/>
      <c r="M399" s="233"/>
      <c r="N399" s="233"/>
      <c r="O399" s="234"/>
      <c r="P399" s="234"/>
      <c r="Q399" s="235"/>
      <c r="R399" s="235"/>
      <c r="S399" s="236"/>
      <c r="T399" s="236"/>
      <c r="U399" s="231"/>
      <c r="V399" s="231"/>
      <c r="W399" s="232"/>
      <c r="X399" s="232"/>
      <c r="Y399" s="233"/>
      <c r="Z399" s="233"/>
      <c r="AA399" s="234"/>
      <c r="AB399" s="234"/>
      <c r="AC399" s="235"/>
      <c r="AD399" s="235"/>
      <c r="AE399" s="236"/>
      <c r="AF399" s="236"/>
      <c r="AG399" s="67"/>
      <c r="AH399" s="68"/>
      <c r="AI399" s="69"/>
      <c r="AJ399" s="71"/>
    </row>
    <row r="400" spans="1:36" s="22" customFormat="1" x14ac:dyDescent="0.25">
      <c r="A400" s="28" t="str">
        <f>IF(H400&lt;&gt;"",MAX($A$7:A399)+1,"")</f>
        <v/>
      </c>
      <c r="B400" s="243" t="str">
        <f t="shared" si="41"/>
        <v/>
      </c>
      <c r="C400" s="96" t="str">
        <f t="shared" si="42"/>
        <v/>
      </c>
      <c r="D400" s="238"/>
      <c r="E400" s="239"/>
      <c r="F400" s="239"/>
      <c r="G400" s="240"/>
      <c r="H400" s="241"/>
      <c r="I400" s="231"/>
      <c r="J400" s="231"/>
      <c r="K400" s="232"/>
      <c r="L400" s="232"/>
      <c r="M400" s="233"/>
      <c r="N400" s="233"/>
      <c r="O400" s="234"/>
      <c r="P400" s="234"/>
      <c r="Q400" s="235"/>
      <c r="R400" s="235"/>
      <c r="S400" s="236"/>
      <c r="T400" s="236"/>
      <c r="U400" s="231"/>
      <c r="V400" s="231"/>
      <c r="W400" s="232"/>
      <c r="X400" s="232"/>
      <c r="Y400" s="233"/>
      <c r="Z400" s="233"/>
      <c r="AA400" s="234"/>
      <c r="AB400" s="234"/>
      <c r="AC400" s="235"/>
      <c r="AD400" s="235"/>
      <c r="AE400" s="236"/>
      <c r="AF400" s="236"/>
      <c r="AG400" s="67"/>
      <c r="AH400" s="68"/>
      <c r="AI400" s="69"/>
      <c r="AJ400" s="71"/>
    </row>
    <row r="401" spans="1:36" s="22" customFormat="1" x14ac:dyDescent="0.25">
      <c r="A401" s="28" t="str">
        <f>IF(H401&lt;&gt;"",MAX($A$7:A400)+1,"")</f>
        <v/>
      </c>
      <c r="B401" s="243" t="str">
        <f t="shared" si="41"/>
        <v/>
      </c>
      <c r="C401" s="96" t="str">
        <f t="shared" si="42"/>
        <v/>
      </c>
      <c r="D401" s="238"/>
      <c r="E401" s="239"/>
      <c r="F401" s="239"/>
      <c r="G401" s="240"/>
      <c r="H401" s="241"/>
      <c r="I401" s="231"/>
      <c r="J401" s="231"/>
      <c r="K401" s="232"/>
      <c r="L401" s="232"/>
      <c r="M401" s="233"/>
      <c r="N401" s="233"/>
      <c r="O401" s="234"/>
      <c r="P401" s="234"/>
      <c r="Q401" s="235"/>
      <c r="R401" s="235"/>
      <c r="S401" s="236"/>
      <c r="T401" s="236"/>
      <c r="U401" s="231"/>
      <c r="V401" s="231"/>
      <c r="W401" s="232"/>
      <c r="X401" s="232"/>
      <c r="Y401" s="233"/>
      <c r="Z401" s="233"/>
      <c r="AA401" s="234"/>
      <c r="AB401" s="234"/>
      <c r="AC401" s="235"/>
      <c r="AD401" s="235"/>
      <c r="AE401" s="236"/>
      <c r="AF401" s="236"/>
      <c r="AG401" s="67"/>
      <c r="AH401" s="68"/>
      <c r="AI401" s="69"/>
      <c r="AJ401" s="71"/>
    </row>
    <row r="402" spans="1:36" s="22" customFormat="1" x14ac:dyDescent="0.25">
      <c r="A402" s="28" t="str">
        <f>IF(H402&lt;&gt;"",MAX($A$7:A401)+1,"")</f>
        <v/>
      </c>
      <c r="B402" s="243" t="str">
        <f t="shared" si="41"/>
        <v/>
      </c>
      <c r="C402" s="96" t="str">
        <f t="shared" si="42"/>
        <v/>
      </c>
      <c r="D402" s="238"/>
      <c r="E402" s="239"/>
      <c r="F402" s="239"/>
      <c r="G402" s="240"/>
      <c r="H402" s="241"/>
      <c r="I402" s="231"/>
      <c r="J402" s="231"/>
      <c r="K402" s="232"/>
      <c r="L402" s="232"/>
      <c r="M402" s="233"/>
      <c r="N402" s="233"/>
      <c r="O402" s="234"/>
      <c r="P402" s="234"/>
      <c r="Q402" s="235"/>
      <c r="R402" s="235"/>
      <c r="S402" s="236"/>
      <c r="T402" s="236"/>
      <c r="U402" s="231"/>
      <c r="V402" s="231"/>
      <c r="W402" s="232"/>
      <c r="X402" s="232"/>
      <c r="Y402" s="233"/>
      <c r="Z402" s="233"/>
      <c r="AA402" s="234"/>
      <c r="AB402" s="234"/>
      <c r="AC402" s="235"/>
      <c r="AD402" s="235"/>
      <c r="AE402" s="236"/>
      <c r="AF402" s="236"/>
      <c r="AG402" s="67"/>
      <c r="AH402" s="68"/>
      <c r="AI402" s="69"/>
      <c r="AJ402" s="71"/>
    </row>
    <row r="403" spans="1:36" s="22" customFormat="1" x14ac:dyDescent="0.25">
      <c r="A403" s="28" t="str">
        <f>IF(H403&lt;&gt;"",MAX($A$7:A402)+1,"")</f>
        <v/>
      </c>
      <c r="B403" s="243" t="str">
        <f t="shared" si="41"/>
        <v/>
      </c>
      <c r="C403" s="96" t="str">
        <f t="shared" si="42"/>
        <v/>
      </c>
      <c r="D403" s="238"/>
      <c r="E403" s="239"/>
      <c r="F403" s="239"/>
      <c r="G403" s="240"/>
      <c r="H403" s="241"/>
      <c r="I403" s="231"/>
      <c r="J403" s="231"/>
      <c r="K403" s="232"/>
      <c r="L403" s="232"/>
      <c r="M403" s="233"/>
      <c r="N403" s="233"/>
      <c r="O403" s="234"/>
      <c r="P403" s="234"/>
      <c r="Q403" s="235"/>
      <c r="R403" s="235"/>
      <c r="S403" s="236"/>
      <c r="T403" s="236"/>
      <c r="U403" s="231"/>
      <c r="V403" s="231"/>
      <c r="W403" s="232"/>
      <c r="X403" s="232"/>
      <c r="Y403" s="233"/>
      <c r="Z403" s="233"/>
      <c r="AA403" s="234"/>
      <c r="AB403" s="234"/>
      <c r="AC403" s="235"/>
      <c r="AD403" s="235"/>
      <c r="AE403" s="236"/>
      <c r="AF403" s="236"/>
      <c r="AG403" s="67"/>
      <c r="AH403" s="68"/>
      <c r="AI403" s="69"/>
      <c r="AJ403" s="71"/>
    </row>
    <row r="404" spans="1:36" s="22" customFormat="1" x14ac:dyDescent="0.25">
      <c r="A404" s="28" t="str">
        <f>IF(H404&lt;&gt;"",MAX($A$7:A403)+1,"")</f>
        <v/>
      </c>
      <c r="B404" s="243" t="str">
        <f t="shared" si="41"/>
        <v/>
      </c>
      <c r="C404" s="96" t="str">
        <f t="shared" si="42"/>
        <v/>
      </c>
      <c r="D404" s="238"/>
      <c r="E404" s="239"/>
      <c r="F404" s="239"/>
      <c r="G404" s="240"/>
      <c r="H404" s="241"/>
      <c r="I404" s="231"/>
      <c r="J404" s="231"/>
      <c r="K404" s="232"/>
      <c r="L404" s="232"/>
      <c r="M404" s="233"/>
      <c r="N404" s="233"/>
      <c r="O404" s="234"/>
      <c r="P404" s="234"/>
      <c r="Q404" s="235"/>
      <c r="R404" s="235"/>
      <c r="S404" s="236"/>
      <c r="T404" s="236"/>
      <c r="U404" s="231"/>
      <c r="V404" s="231"/>
      <c r="W404" s="232"/>
      <c r="X404" s="232"/>
      <c r="Y404" s="233"/>
      <c r="Z404" s="233"/>
      <c r="AA404" s="234"/>
      <c r="AB404" s="234"/>
      <c r="AC404" s="235"/>
      <c r="AD404" s="235"/>
      <c r="AE404" s="236"/>
      <c r="AF404" s="236"/>
      <c r="AG404" s="67"/>
      <c r="AH404" s="68"/>
      <c r="AI404" s="69"/>
      <c r="AJ404" s="71"/>
    </row>
    <row r="405" spans="1:36" s="22" customFormat="1" x14ac:dyDescent="0.25">
      <c r="A405" s="28" t="str">
        <f>IF(H405&lt;&gt;"",MAX($A$7:A404)+1,"")</f>
        <v/>
      </c>
      <c r="B405" s="243" t="str">
        <f t="shared" si="41"/>
        <v/>
      </c>
      <c r="C405" s="96" t="str">
        <f t="shared" si="42"/>
        <v/>
      </c>
      <c r="D405" s="238"/>
      <c r="E405" s="239"/>
      <c r="F405" s="239"/>
      <c r="G405" s="240"/>
      <c r="H405" s="241"/>
      <c r="I405" s="231"/>
      <c r="J405" s="231"/>
      <c r="K405" s="232"/>
      <c r="L405" s="232"/>
      <c r="M405" s="233"/>
      <c r="N405" s="233"/>
      <c r="O405" s="234"/>
      <c r="P405" s="234"/>
      <c r="Q405" s="235"/>
      <c r="R405" s="235"/>
      <c r="S405" s="236"/>
      <c r="T405" s="236"/>
      <c r="U405" s="231"/>
      <c r="V405" s="231"/>
      <c r="W405" s="232"/>
      <c r="X405" s="232"/>
      <c r="Y405" s="233"/>
      <c r="Z405" s="233"/>
      <c r="AA405" s="234"/>
      <c r="AB405" s="234"/>
      <c r="AC405" s="235"/>
      <c r="AD405" s="235"/>
      <c r="AE405" s="236"/>
      <c r="AF405" s="236"/>
      <c r="AG405" s="67"/>
      <c r="AH405" s="68"/>
      <c r="AI405" s="69"/>
      <c r="AJ405" s="71"/>
    </row>
    <row r="406" spans="1:36" s="22" customFormat="1" x14ac:dyDescent="0.25">
      <c r="A406" s="28" t="str">
        <f>IF(H406&lt;&gt;"",MAX($A$7:A405)+1,"")</f>
        <v/>
      </c>
      <c r="B406" s="243" t="str">
        <f t="shared" si="41"/>
        <v/>
      </c>
      <c r="C406" s="96" t="str">
        <f t="shared" si="42"/>
        <v/>
      </c>
      <c r="D406" s="238"/>
      <c r="E406" s="239"/>
      <c r="F406" s="239"/>
      <c r="G406" s="240"/>
      <c r="H406" s="241"/>
      <c r="I406" s="231"/>
      <c r="J406" s="231"/>
      <c r="K406" s="232"/>
      <c r="L406" s="232"/>
      <c r="M406" s="233"/>
      <c r="N406" s="233"/>
      <c r="O406" s="234"/>
      <c r="P406" s="234"/>
      <c r="Q406" s="235"/>
      <c r="R406" s="235"/>
      <c r="S406" s="236"/>
      <c r="T406" s="236"/>
      <c r="U406" s="231"/>
      <c r="V406" s="231"/>
      <c r="W406" s="232"/>
      <c r="X406" s="232"/>
      <c r="Y406" s="233"/>
      <c r="Z406" s="233"/>
      <c r="AA406" s="234"/>
      <c r="AB406" s="234"/>
      <c r="AC406" s="235"/>
      <c r="AD406" s="235"/>
      <c r="AE406" s="236"/>
      <c r="AF406" s="236"/>
      <c r="AG406" s="67"/>
      <c r="AH406" s="68"/>
      <c r="AI406" s="69"/>
      <c r="AJ406" s="71"/>
    </row>
    <row r="407" spans="1:36" s="22" customFormat="1" x14ac:dyDescent="0.25">
      <c r="A407" s="28" t="str">
        <f>IF(H407&lt;&gt;"",MAX($A$7:A406)+1,"")</f>
        <v/>
      </c>
      <c r="B407" s="243" t="str">
        <f t="shared" si="41"/>
        <v/>
      </c>
      <c r="C407" s="96" t="str">
        <f t="shared" si="42"/>
        <v/>
      </c>
      <c r="D407" s="238"/>
      <c r="E407" s="239"/>
      <c r="F407" s="239"/>
      <c r="G407" s="240"/>
      <c r="H407" s="241"/>
      <c r="I407" s="231"/>
      <c r="J407" s="231"/>
      <c r="K407" s="232"/>
      <c r="L407" s="232"/>
      <c r="M407" s="233"/>
      <c r="N407" s="233"/>
      <c r="O407" s="234"/>
      <c r="P407" s="234"/>
      <c r="Q407" s="235"/>
      <c r="R407" s="235"/>
      <c r="S407" s="236"/>
      <c r="T407" s="236"/>
      <c r="U407" s="231"/>
      <c r="V407" s="231"/>
      <c r="W407" s="232"/>
      <c r="X407" s="232"/>
      <c r="Y407" s="233"/>
      <c r="Z407" s="233"/>
      <c r="AA407" s="234"/>
      <c r="AB407" s="234"/>
      <c r="AC407" s="235"/>
      <c r="AD407" s="235"/>
      <c r="AE407" s="236"/>
      <c r="AF407" s="236"/>
      <c r="AG407" s="67"/>
      <c r="AH407" s="68"/>
      <c r="AI407" s="69"/>
      <c r="AJ407" s="71"/>
    </row>
    <row r="408" spans="1:36" s="22" customFormat="1" x14ac:dyDescent="0.25">
      <c r="A408" s="28" t="str">
        <f>IF(H408&lt;&gt;"",MAX($A$7:A407)+1,"")</f>
        <v/>
      </c>
      <c r="B408" s="243" t="str">
        <f t="shared" si="41"/>
        <v/>
      </c>
      <c r="C408" s="96" t="str">
        <f t="shared" si="42"/>
        <v/>
      </c>
      <c r="D408" s="238"/>
      <c r="E408" s="239"/>
      <c r="F408" s="239"/>
      <c r="G408" s="240"/>
      <c r="H408" s="241"/>
      <c r="I408" s="231"/>
      <c r="J408" s="231"/>
      <c r="K408" s="232"/>
      <c r="L408" s="232"/>
      <c r="M408" s="233"/>
      <c r="N408" s="233"/>
      <c r="O408" s="234"/>
      <c r="P408" s="234"/>
      <c r="Q408" s="235"/>
      <c r="R408" s="235"/>
      <c r="S408" s="236"/>
      <c r="T408" s="236"/>
      <c r="U408" s="231"/>
      <c r="V408" s="231"/>
      <c r="W408" s="232"/>
      <c r="X408" s="232"/>
      <c r="Y408" s="233"/>
      <c r="Z408" s="233"/>
      <c r="AA408" s="234"/>
      <c r="AB408" s="234"/>
      <c r="AC408" s="235"/>
      <c r="AD408" s="235"/>
      <c r="AE408" s="236"/>
      <c r="AF408" s="236"/>
      <c r="AG408" s="67"/>
      <c r="AH408" s="68"/>
      <c r="AI408" s="69"/>
      <c r="AJ408" s="71"/>
    </row>
    <row r="409" spans="1:36" s="22" customFormat="1" x14ac:dyDescent="0.25">
      <c r="A409" s="28" t="str">
        <f>IF(H409&lt;&gt;"",MAX($A$7:A408)+1,"")</f>
        <v/>
      </c>
      <c r="B409" s="243" t="str">
        <f t="shared" si="41"/>
        <v/>
      </c>
      <c r="C409" s="96" t="str">
        <f t="shared" si="42"/>
        <v/>
      </c>
      <c r="D409" s="238"/>
      <c r="E409" s="239"/>
      <c r="F409" s="239"/>
      <c r="G409" s="240"/>
      <c r="H409" s="241"/>
      <c r="I409" s="231"/>
      <c r="J409" s="231"/>
      <c r="K409" s="232"/>
      <c r="L409" s="232"/>
      <c r="M409" s="233"/>
      <c r="N409" s="233"/>
      <c r="O409" s="234"/>
      <c r="P409" s="234"/>
      <c r="Q409" s="235"/>
      <c r="R409" s="235"/>
      <c r="S409" s="236"/>
      <c r="T409" s="236"/>
      <c r="U409" s="231"/>
      <c r="V409" s="231"/>
      <c r="W409" s="232"/>
      <c r="X409" s="232"/>
      <c r="Y409" s="233"/>
      <c r="Z409" s="233"/>
      <c r="AA409" s="234"/>
      <c r="AB409" s="234"/>
      <c r="AC409" s="235"/>
      <c r="AD409" s="235"/>
      <c r="AE409" s="236"/>
      <c r="AF409" s="236"/>
      <c r="AG409" s="67"/>
      <c r="AH409" s="68"/>
      <c r="AI409" s="69"/>
      <c r="AJ409" s="71"/>
    </row>
    <row r="410" spans="1:36" s="22" customFormat="1" x14ac:dyDescent="0.25">
      <c r="A410" s="28" t="str">
        <f>IF(H410&lt;&gt;"",MAX($A$7:A409)+1,"")</f>
        <v/>
      </c>
      <c r="B410" s="243" t="str">
        <f t="shared" si="41"/>
        <v/>
      </c>
      <c r="C410" s="96" t="str">
        <f t="shared" si="42"/>
        <v/>
      </c>
      <c r="D410" s="238"/>
      <c r="E410" s="239"/>
      <c r="F410" s="239"/>
      <c r="G410" s="240"/>
      <c r="H410" s="241"/>
      <c r="I410" s="231"/>
      <c r="J410" s="231"/>
      <c r="K410" s="232"/>
      <c r="L410" s="232"/>
      <c r="M410" s="233"/>
      <c r="N410" s="233"/>
      <c r="O410" s="234"/>
      <c r="P410" s="234"/>
      <c r="Q410" s="235"/>
      <c r="R410" s="235"/>
      <c r="S410" s="236"/>
      <c r="T410" s="236"/>
      <c r="U410" s="231"/>
      <c r="V410" s="231"/>
      <c r="W410" s="232"/>
      <c r="X410" s="232"/>
      <c r="Y410" s="233"/>
      <c r="Z410" s="233"/>
      <c r="AA410" s="234"/>
      <c r="AB410" s="234"/>
      <c r="AC410" s="235"/>
      <c r="AD410" s="235"/>
      <c r="AE410" s="236"/>
      <c r="AF410" s="236"/>
      <c r="AG410" s="67"/>
      <c r="AH410" s="68"/>
      <c r="AI410" s="69"/>
      <c r="AJ410" s="71"/>
    </row>
    <row r="411" spans="1:36" s="22" customFormat="1" x14ac:dyDescent="0.25">
      <c r="A411" s="28" t="str">
        <f>IF(H411&lt;&gt;"",MAX($A$7:A410)+1,"")</f>
        <v/>
      </c>
      <c r="B411" s="243" t="str">
        <f t="shared" si="41"/>
        <v/>
      </c>
      <c r="C411" s="96" t="str">
        <f t="shared" si="42"/>
        <v/>
      </c>
      <c r="D411" s="238"/>
      <c r="E411" s="239"/>
      <c r="F411" s="239"/>
      <c r="G411" s="240"/>
      <c r="H411" s="241"/>
      <c r="I411" s="231"/>
      <c r="J411" s="231"/>
      <c r="K411" s="232"/>
      <c r="L411" s="232"/>
      <c r="M411" s="233"/>
      <c r="N411" s="233"/>
      <c r="O411" s="234"/>
      <c r="P411" s="234"/>
      <c r="Q411" s="235"/>
      <c r="R411" s="235"/>
      <c r="S411" s="236"/>
      <c r="T411" s="236"/>
      <c r="U411" s="231"/>
      <c r="V411" s="231"/>
      <c r="W411" s="232"/>
      <c r="X411" s="232"/>
      <c r="Y411" s="233"/>
      <c r="Z411" s="233"/>
      <c r="AA411" s="234"/>
      <c r="AB411" s="234"/>
      <c r="AC411" s="235"/>
      <c r="AD411" s="235"/>
      <c r="AE411" s="236"/>
      <c r="AF411" s="236"/>
      <c r="AG411" s="67"/>
      <c r="AH411" s="68"/>
      <c r="AI411" s="69"/>
      <c r="AJ411" s="71"/>
    </row>
    <row r="412" spans="1:36" s="22" customFormat="1" x14ac:dyDescent="0.25">
      <c r="A412" s="28" t="str">
        <f>IF(H412&lt;&gt;"",MAX($A$7:A411)+1,"")</f>
        <v/>
      </c>
      <c r="B412" s="243" t="str">
        <f t="shared" si="41"/>
        <v/>
      </c>
      <c r="C412" s="96" t="str">
        <f t="shared" si="42"/>
        <v/>
      </c>
      <c r="D412" s="238"/>
      <c r="E412" s="239"/>
      <c r="F412" s="239"/>
      <c r="G412" s="240"/>
      <c r="H412" s="241"/>
      <c r="I412" s="231"/>
      <c r="J412" s="231"/>
      <c r="K412" s="232"/>
      <c r="L412" s="232"/>
      <c r="M412" s="233"/>
      <c r="N412" s="233"/>
      <c r="O412" s="234"/>
      <c r="P412" s="234"/>
      <c r="Q412" s="235"/>
      <c r="R412" s="235"/>
      <c r="S412" s="236"/>
      <c r="T412" s="236"/>
      <c r="U412" s="231"/>
      <c r="V412" s="231"/>
      <c r="W412" s="232"/>
      <c r="X412" s="232"/>
      <c r="Y412" s="233"/>
      <c r="Z412" s="233"/>
      <c r="AA412" s="234"/>
      <c r="AB412" s="234"/>
      <c r="AC412" s="235"/>
      <c r="AD412" s="235"/>
      <c r="AE412" s="236"/>
      <c r="AF412" s="236"/>
      <c r="AG412" s="67"/>
      <c r="AH412" s="68"/>
      <c r="AI412" s="69"/>
      <c r="AJ412" s="71"/>
    </row>
    <row r="413" spans="1:36" s="22" customFormat="1" x14ac:dyDescent="0.25">
      <c r="A413" s="28" t="str">
        <f>IF(H413&lt;&gt;"",MAX($A$7:A412)+1,"")</f>
        <v/>
      </c>
      <c r="B413" s="243" t="str">
        <f t="shared" si="41"/>
        <v/>
      </c>
      <c r="C413" s="96" t="str">
        <f t="shared" si="42"/>
        <v/>
      </c>
      <c r="D413" s="238"/>
      <c r="E413" s="239"/>
      <c r="F413" s="239"/>
      <c r="G413" s="240"/>
      <c r="H413" s="241"/>
      <c r="I413" s="231"/>
      <c r="J413" s="231"/>
      <c r="K413" s="232"/>
      <c r="L413" s="232"/>
      <c r="M413" s="233"/>
      <c r="N413" s="233"/>
      <c r="O413" s="234"/>
      <c r="P413" s="234"/>
      <c r="Q413" s="235"/>
      <c r="R413" s="235"/>
      <c r="S413" s="236"/>
      <c r="T413" s="236"/>
      <c r="U413" s="231"/>
      <c r="V413" s="231"/>
      <c r="W413" s="232"/>
      <c r="X413" s="232"/>
      <c r="Y413" s="233"/>
      <c r="Z413" s="233"/>
      <c r="AA413" s="234"/>
      <c r="AB413" s="234"/>
      <c r="AC413" s="235"/>
      <c r="AD413" s="235"/>
      <c r="AE413" s="236"/>
      <c r="AF413" s="236"/>
      <c r="AG413" s="67"/>
      <c r="AH413" s="68"/>
      <c r="AI413" s="69"/>
      <c r="AJ413" s="71"/>
    </row>
    <row r="414" spans="1:36" s="22" customFormat="1" x14ac:dyDescent="0.25">
      <c r="A414" s="28" t="str">
        <f>IF(H414&lt;&gt;"",MAX($A$7:A413)+1,"")</f>
        <v/>
      </c>
      <c r="B414" s="243" t="str">
        <f t="shared" si="41"/>
        <v/>
      </c>
      <c r="C414" s="96" t="str">
        <f t="shared" si="42"/>
        <v/>
      </c>
      <c r="D414" s="238"/>
      <c r="E414" s="239"/>
      <c r="F414" s="239"/>
      <c r="G414" s="240"/>
      <c r="H414" s="241"/>
      <c r="I414" s="231"/>
      <c r="J414" s="231"/>
      <c r="K414" s="232"/>
      <c r="L414" s="232"/>
      <c r="M414" s="233"/>
      <c r="N414" s="233"/>
      <c r="O414" s="234"/>
      <c r="P414" s="234"/>
      <c r="Q414" s="235"/>
      <c r="R414" s="235"/>
      <c r="S414" s="236"/>
      <c r="T414" s="236"/>
      <c r="U414" s="231"/>
      <c r="V414" s="231"/>
      <c r="W414" s="232"/>
      <c r="X414" s="232"/>
      <c r="Y414" s="233"/>
      <c r="Z414" s="233"/>
      <c r="AA414" s="234"/>
      <c r="AB414" s="234"/>
      <c r="AC414" s="235"/>
      <c r="AD414" s="235"/>
      <c r="AE414" s="236"/>
      <c r="AF414" s="236"/>
      <c r="AG414" s="67"/>
      <c r="AH414" s="68"/>
      <c r="AI414" s="69"/>
      <c r="AJ414" s="71"/>
    </row>
    <row r="415" spans="1:36" s="22" customFormat="1" x14ac:dyDescent="0.25">
      <c r="A415" s="28" t="str">
        <f>IF(H415&lt;&gt;"",MAX($A$7:A414)+1,"")</f>
        <v/>
      </c>
      <c r="B415" s="243" t="str">
        <f t="shared" si="41"/>
        <v/>
      </c>
      <c r="C415" s="96" t="str">
        <f t="shared" si="42"/>
        <v/>
      </c>
      <c r="D415" s="238"/>
      <c r="E415" s="239"/>
      <c r="F415" s="239"/>
      <c r="G415" s="240"/>
      <c r="H415" s="241"/>
      <c r="I415" s="231"/>
      <c r="J415" s="231"/>
      <c r="K415" s="232"/>
      <c r="L415" s="232"/>
      <c r="M415" s="233"/>
      <c r="N415" s="233"/>
      <c r="O415" s="234"/>
      <c r="P415" s="234"/>
      <c r="Q415" s="235"/>
      <c r="R415" s="235"/>
      <c r="S415" s="236"/>
      <c r="T415" s="236"/>
      <c r="U415" s="231"/>
      <c r="V415" s="231"/>
      <c r="W415" s="232"/>
      <c r="X415" s="232"/>
      <c r="Y415" s="233"/>
      <c r="Z415" s="233"/>
      <c r="AA415" s="234"/>
      <c r="AB415" s="234"/>
      <c r="AC415" s="235"/>
      <c r="AD415" s="235"/>
      <c r="AE415" s="236"/>
      <c r="AF415" s="236"/>
      <c r="AG415" s="67"/>
      <c r="AH415" s="68"/>
      <c r="AI415" s="69"/>
      <c r="AJ415" s="71"/>
    </row>
    <row r="416" spans="1:36" s="22" customFormat="1" x14ac:dyDescent="0.25">
      <c r="A416" s="28" t="str">
        <f>IF(H416&lt;&gt;"",MAX($A$7:A415)+1,"")</f>
        <v/>
      </c>
      <c r="B416" s="243" t="str">
        <f t="shared" si="41"/>
        <v/>
      </c>
      <c r="C416" s="96" t="str">
        <f t="shared" si="42"/>
        <v/>
      </c>
      <c r="D416" s="238"/>
      <c r="E416" s="239"/>
      <c r="F416" s="239"/>
      <c r="G416" s="240"/>
      <c r="H416" s="241"/>
      <c r="I416" s="231"/>
      <c r="J416" s="231"/>
      <c r="K416" s="232"/>
      <c r="L416" s="232"/>
      <c r="M416" s="233"/>
      <c r="N416" s="233"/>
      <c r="O416" s="234"/>
      <c r="P416" s="234"/>
      <c r="Q416" s="235"/>
      <c r="R416" s="235"/>
      <c r="S416" s="236"/>
      <c r="T416" s="236"/>
      <c r="U416" s="231"/>
      <c r="V416" s="231"/>
      <c r="W416" s="232"/>
      <c r="X416" s="232"/>
      <c r="Y416" s="233"/>
      <c r="Z416" s="233"/>
      <c r="AA416" s="234"/>
      <c r="AB416" s="234"/>
      <c r="AC416" s="235"/>
      <c r="AD416" s="235"/>
      <c r="AE416" s="236"/>
      <c r="AF416" s="236"/>
      <c r="AG416" s="67"/>
      <c r="AH416" s="68"/>
      <c r="AI416" s="69"/>
      <c r="AJ416" s="71"/>
    </row>
    <row r="417" spans="1:36" s="22" customFormat="1" x14ac:dyDescent="0.25">
      <c r="A417" s="28" t="str">
        <f>IF(H417&lt;&gt;"",MAX($A$7:A416)+1,"")</f>
        <v/>
      </c>
      <c r="B417" s="243" t="str">
        <f t="shared" si="41"/>
        <v/>
      </c>
      <c r="C417" s="96" t="str">
        <f t="shared" si="42"/>
        <v/>
      </c>
      <c r="D417" s="238"/>
      <c r="E417" s="239"/>
      <c r="F417" s="239"/>
      <c r="G417" s="240"/>
      <c r="H417" s="241"/>
      <c r="I417" s="231"/>
      <c r="J417" s="231"/>
      <c r="K417" s="232"/>
      <c r="L417" s="232"/>
      <c r="M417" s="233"/>
      <c r="N417" s="233"/>
      <c r="O417" s="234"/>
      <c r="P417" s="234"/>
      <c r="Q417" s="235"/>
      <c r="R417" s="235"/>
      <c r="S417" s="236"/>
      <c r="T417" s="236"/>
      <c r="U417" s="231"/>
      <c r="V417" s="231"/>
      <c r="W417" s="232"/>
      <c r="X417" s="232"/>
      <c r="Y417" s="233"/>
      <c r="Z417" s="233"/>
      <c r="AA417" s="234"/>
      <c r="AB417" s="234"/>
      <c r="AC417" s="235"/>
      <c r="AD417" s="235"/>
      <c r="AE417" s="236"/>
      <c r="AF417" s="236"/>
      <c r="AG417" s="67"/>
      <c r="AH417" s="68"/>
      <c r="AI417" s="69"/>
      <c r="AJ417" s="71"/>
    </row>
    <row r="418" spans="1:36" s="22" customFormat="1" x14ac:dyDescent="0.25">
      <c r="A418" s="28" t="str">
        <f>IF(H418&lt;&gt;"",MAX($A$7:A417)+1,"")</f>
        <v/>
      </c>
      <c r="B418" s="243" t="str">
        <f t="shared" si="41"/>
        <v/>
      </c>
      <c r="C418" s="96" t="str">
        <f t="shared" si="42"/>
        <v/>
      </c>
      <c r="D418" s="238"/>
      <c r="E418" s="239"/>
      <c r="F418" s="239"/>
      <c r="G418" s="240"/>
      <c r="H418" s="241"/>
      <c r="I418" s="231"/>
      <c r="J418" s="231"/>
      <c r="K418" s="232"/>
      <c r="L418" s="232"/>
      <c r="M418" s="233"/>
      <c r="N418" s="233"/>
      <c r="O418" s="234"/>
      <c r="P418" s="234"/>
      <c r="Q418" s="235"/>
      <c r="R418" s="235"/>
      <c r="S418" s="236"/>
      <c r="T418" s="236"/>
      <c r="U418" s="231"/>
      <c r="V418" s="231"/>
      <c r="W418" s="232"/>
      <c r="X418" s="232"/>
      <c r="Y418" s="233"/>
      <c r="Z418" s="233"/>
      <c r="AA418" s="234"/>
      <c r="AB418" s="234"/>
      <c r="AC418" s="235"/>
      <c r="AD418" s="235"/>
      <c r="AE418" s="236"/>
      <c r="AF418" s="236"/>
      <c r="AG418" s="67"/>
      <c r="AH418" s="68"/>
      <c r="AI418" s="69"/>
      <c r="AJ418" s="71"/>
    </row>
    <row r="419" spans="1:36" s="22" customFormat="1" x14ac:dyDescent="0.25">
      <c r="A419" s="28" t="str">
        <f>IF(H419&lt;&gt;"",MAX($A$7:A418)+1,"")</f>
        <v/>
      </c>
      <c r="B419" s="243" t="str">
        <f t="shared" si="41"/>
        <v/>
      </c>
      <c r="C419" s="96" t="str">
        <f t="shared" si="42"/>
        <v/>
      </c>
      <c r="D419" s="238"/>
      <c r="E419" s="239"/>
      <c r="F419" s="239"/>
      <c r="G419" s="240"/>
      <c r="H419" s="241"/>
      <c r="I419" s="231"/>
      <c r="J419" s="231"/>
      <c r="K419" s="232"/>
      <c r="L419" s="232"/>
      <c r="M419" s="233"/>
      <c r="N419" s="233"/>
      <c r="O419" s="234"/>
      <c r="P419" s="234"/>
      <c r="Q419" s="235"/>
      <c r="R419" s="235"/>
      <c r="S419" s="236"/>
      <c r="T419" s="236"/>
      <c r="U419" s="231"/>
      <c r="V419" s="231"/>
      <c r="W419" s="232"/>
      <c r="X419" s="232"/>
      <c r="Y419" s="233"/>
      <c r="Z419" s="233"/>
      <c r="AA419" s="234"/>
      <c r="AB419" s="234"/>
      <c r="AC419" s="235"/>
      <c r="AD419" s="235"/>
      <c r="AE419" s="236"/>
      <c r="AF419" s="236"/>
      <c r="AG419" s="67"/>
      <c r="AH419" s="68"/>
      <c r="AI419" s="69"/>
      <c r="AJ419" s="71"/>
    </row>
    <row r="420" spans="1:36" s="22" customFormat="1" x14ac:dyDescent="0.25">
      <c r="A420" s="28" t="str">
        <f>IF(H420&lt;&gt;"",MAX($A$7:A419)+1,"")</f>
        <v/>
      </c>
      <c r="B420" s="243" t="str">
        <f t="shared" si="41"/>
        <v/>
      </c>
      <c r="C420" s="96" t="str">
        <f t="shared" si="42"/>
        <v/>
      </c>
      <c r="D420" s="238"/>
      <c r="E420" s="239"/>
      <c r="F420" s="239"/>
      <c r="G420" s="240"/>
      <c r="H420" s="241"/>
      <c r="I420" s="231"/>
      <c r="J420" s="231"/>
      <c r="K420" s="232"/>
      <c r="L420" s="232"/>
      <c r="M420" s="233"/>
      <c r="N420" s="233"/>
      <c r="O420" s="234"/>
      <c r="P420" s="234"/>
      <c r="Q420" s="235"/>
      <c r="R420" s="235"/>
      <c r="S420" s="236"/>
      <c r="T420" s="236"/>
      <c r="U420" s="231"/>
      <c r="V420" s="231"/>
      <c r="W420" s="232"/>
      <c r="X420" s="232"/>
      <c r="Y420" s="233"/>
      <c r="Z420" s="233"/>
      <c r="AA420" s="234"/>
      <c r="AB420" s="234"/>
      <c r="AC420" s="235"/>
      <c r="AD420" s="235"/>
      <c r="AE420" s="236"/>
      <c r="AF420" s="236"/>
      <c r="AG420" s="67"/>
      <c r="AH420" s="68"/>
      <c r="AI420" s="69"/>
      <c r="AJ420" s="71"/>
    </row>
    <row r="421" spans="1:36" s="22" customFormat="1" x14ac:dyDescent="0.25">
      <c r="A421" s="28" t="str">
        <f>IF(H421&lt;&gt;"",MAX($A$7:A420)+1,"")</f>
        <v/>
      </c>
      <c r="B421" s="243" t="str">
        <f t="shared" si="41"/>
        <v/>
      </c>
      <c r="C421" s="96" t="str">
        <f t="shared" si="42"/>
        <v/>
      </c>
      <c r="D421" s="238"/>
      <c r="E421" s="239"/>
      <c r="F421" s="239"/>
      <c r="G421" s="240"/>
      <c r="H421" s="241"/>
      <c r="I421" s="231"/>
      <c r="J421" s="231"/>
      <c r="K421" s="232"/>
      <c r="L421" s="232"/>
      <c r="M421" s="233"/>
      <c r="N421" s="233"/>
      <c r="O421" s="234"/>
      <c r="P421" s="234"/>
      <c r="Q421" s="235"/>
      <c r="R421" s="235"/>
      <c r="S421" s="236"/>
      <c r="T421" s="236"/>
      <c r="U421" s="231"/>
      <c r="V421" s="231"/>
      <c r="W421" s="232"/>
      <c r="X421" s="232"/>
      <c r="Y421" s="233"/>
      <c r="Z421" s="233"/>
      <c r="AA421" s="234"/>
      <c r="AB421" s="234"/>
      <c r="AC421" s="235"/>
      <c r="AD421" s="235"/>
      <c r="AE421" s="236"/>
      <c r="AF421" s="236"/>
      <c r="AG421" s="67"/>
      <c r="AH421" s="68"/>
      <c r="AI421" s="69"/>
      <c r="AJ421" s="71"/>
    </row>
    <row r="422" spans="1:36" s="22" customFormat="1" x14ac:dyDescent="0.25">
      <c r="A422" s="28" t="str">
        <f>IF(H422&lt;&gt;"",MAX($A$7:A421)+1,"")</f>
        <v/>
      </c>
      <c r="B422" s="243" t="str">
        <f t="shared" si="41"/>
        <v/>
      </c>
      <c r="C422" s="96" t="str">
        <f t="shared" si="42"/>
        <v/>
      </c>
      <c r="D422" s="238"/>
      <c r="E422" s="239"/>
      <c r="F422" s="239"/>
      <c r="G422" s="240"/>
      <c r="H422" s="241"/>
      <c r="I422" s="231"/>
      <c r="J422" s="231"/>
      <c r="K422" s="232"/>
      <c r="L422" s="232"/>
      <c r="M422" s="233"/>
      <c r="N422" s="233"/>
      <c r="O422" s="234"/>
      <c r="P422" s="234"/>
      <c r="Q422" s="235"/>
      <c r="R422" s="235"/>
      <c r="S422" s="236"/>
      <c r="T422" s="236"/>
      <c r="U422" s="231"/>
      <c r="V422" s="231"/>
      <c r="W422" s="232"/>
      <c r="X422" s="232"/>
      <c r="Y422" s="233"/>
      <c r="Z422" s="233"/>
      <c r="AA422" s="234"/>
      <c r="AB422" s="234"/>
      <c r="AC422" s="235"/>
      <c r="AD422" s="235"/>
      <c r="AE422" s="236"/>
      <c r="AF422" s="236"/>
      <c r="AG422" s="67"/>
      <c r="AH422" s="68"/>
      <c r="AI422" s="69"/>
      <c r="AJ422" s="71"/>
    </row>
    <row r="423" spans="1:36" s="22" customFormat="1" x14ac:dyDescent="0.25">
      <c r="A423" s="28" t="str">
        <f>IF(H423&lt;&gt;"",MAX($A$7:A422)+1,"")</f>
        <v/>
      </c>
      <c r="B423" s="243" t="str">
        <f t="shared" si="41"/>
        <v/>
      </c>
      <c r="C423" s="96" t="str">
        <f t="shared" si="42"/>
        <v/>
      </c>
      <c r="D423" s="238"/>
      <c r="E423" s="239"/>
      <c r="F423" s="239"/>
      <c r="G423" s="240"/>
      <c r="H423" s="241"/>
      <c r="I423" s="231"/>
      <c r="J423" s="231"/>
      <c r="K423" s="232"/>
      <c r="L423" s="232"/>
      <c r="M423" s="233"/>
      <c r="N423" s="233"/>
      <c r="O423" s="234"/>
      <c r="P423" s="234"/>
      <c r="Q423" s="235"/>
      <c r="R423" s="235"/>
      <c r="S423" s="236"/>
      <c r="T423" s="236"/>
      <c r="U423" s="231"/>
      <c r="V423" s="231"/>
      <c r="W423" s="232"/>
      <c r="X423" s="232"/>
      <c r="Y423" s="233"/>
      <c r="Z423" s="233"/>
      <c r="AA423" s="234"/>
      <c r="AB423" s="234"/>
      <c r="AC423" s="235"/>
      <c r="AD423" s="235"/>
      <c r="AE423" s="236"/>
      <c r="AF423" s="236"/>
      <c r="AG423" s="67"/>
      <c r="AH423" s="68"/>
      <c r="AI423" s="69"/>
      <c r="AJ423" s="71"/>
    </row>
    <row r="424" spans="1:36" s="22" customFormat="1" x14ac:dyDescent="0.25">
      <c r="A424" s="28" t="str">
        <f>IF(H424&lt;&gt;"",MAX($A$7:A423)+1,"")</f>
        <v/>
      </c>
      <c r="B424" s="243" t="str">
        <f t="shared" si="41"/>
        <v/>
      </c>
      <c r="C424" s="96" t="str">
        <f t="shared" si="42"/>
        <v/>
      </c>
      <c r="D424" s="238"/>
      <c r="E424" s="239"/>
      <c r="F424" s="239"/>
      <c r="G424" s="240"/>
      <c r="H424" s="241"/>
      <c r="I424" s="231"/>
      <c r="J424" s="231"/>
      <c r="K424" s="232"/>
      <c r="L424" s="232"/>
      <c r="M424" s="233"/>
      <c r="N424" s="233"/>
      <c r="O424" s="234"/>
      <c r="P424" s="234"/>
      <c r="Q424" s="235"/>
      <c r="R424" s="235"/>
      <c r="S424" s="236"/>
      <c r="T424" s="236"/>
      <c r="U424" s="231"/>
      <c r="V424" s="231"/>
      <c r="W424" s="232"/>
      <c r="X424" s="232"/>
      <c r="Y424" s="233"/>
      <c r="Z424" s="233"/>
      <c r="AA424" s="234"/>
      <c r="AB424" s="234"/>
      <c r="AC424" s="235"/>
      <c r="AD424" s="235"/>
      <c r="AE424" s="236"/>
      <c r="AF424" s="236"/>
      <c r="AG424" s="67"/>
      <c r="AH424" s="68"/>
      <c r="AI424" s="69"/>
      <c r="AJ424" s="71"/>
    </row>
    <row r="425" spans="1:36" s="22" customFormat="1" x14ac:dyDescent="0.25">
      <c r="A425" s="28" t="str">
        <f>IF(H425&lt;&gt;"",MAX($A$7:A424)+1,"")</f>
        <v/>
      </c>
      <c r="B425" s="243" t="str">
        <f t="shared" si="41"/>
        <v/>
      </c>
      <c r="C425" s="96" t="str">
        <f t="shared" si="42"/>
        <v/>
      </c>
      <c r="D425" s="238"/>
      <c r="E425" s="239"/>
      <c r="F425" s="239"/>
      <c r="G425" s="240"/>
      <c r="H425" s="241"/>
      <c r="I425" s="231"/>
      <c r="J425" s="231"/>
      <c r="K425" s="232"/>
      <c r="L425" s="232"/>
      <c r="M425" s="233"/>
      <c r="N425" s="233"/>
      <c r="O425" s="234"/>
      <c r="P425" s="234"/>
      <c r="Q425" s="235"/>
      <c r="R425" s="235"/>
      <c r="S425" s="236"/>
      <c r="T425" s="236"/>
      <c r="U425" s="231"/>
      <c r="V425" s="231"/>
      <c r="W425" s="232"/>
      <c r="X425" s="232"/>
      <c r="Y425" s="233"/>
      <c r="Z425" s="233"/>
      <c r="AA425" s="234"/>
      <c r="AB425" s="234"/>
      <c r="AC425" s="235"/>
      <c r="AD425" s="235"/>
      <c r="AE425" s="236"/>
      <c r="AF425" s="236"/>
      <c r="AG425" s="67"/>
      <c r="AH425" s="68"/>
      <c r="AI425" s="69"/>
      <c r="AJ425" s="71"/>
    </row>
    <row r="426" spans="1:36" s="22" customFormat="1" x14ac:dyDescent="0.25">
      <c r="A426" s="28" t="str">
        <f>IF(H426&lt;&gt;"",MAX($A$7:A425)+1,"")</f>
        <v/>
      </c>
      <c r="B426" s="243" t="str">
        <f t="shared" si="41"/>
        <v/>
      </c>
      <c r="C426" s="96" t="str">
        <f t="shared" si="42"/>
        <v/>
      </c>
      <c r="D426" s="238"/>
      <c r="E426" s="239"/>
      <c r="F426" s="239"/>
      <c r="G426" s="240"/>
      <c r="H426" s="241"/>
      <c r="I426" s="231"/>
      <c r="J426" s="231"/>
      <c r="K426" s="232"/>
      <c r="L426" s="232"/>
      <c r="M426" s="233"/>
      <c r="N426" s="233"/>
      <c r="O426" s="234"/>
      <c r="P426" s="234"/>
      <c r="Q426" s="235"/>
      <c r="R426" s="235"/>
      <c r="S426" s="236"/>
      <c r="T426" s="236"/>
      <c r="U426" s="231"/>
      <c r="V426" s="231"/>
      <c r="W426" s="232"/>
      <c r="X426" s="232"/>
      <c r="Y426" s="233"/>
      <c r="Z426" s="233"/>
      <c r="AA426" s="234"/>
      <c r="AB426" s="234"/>
      <c r="AC426" s="235"/>
      <c r="AD426" s="235"/>
      <c r="AE426" s="236"/>
      <c r="AF426" s="236"/>
      <c r="AG426" s="67"/>
      <c r="AH426" s="68"/>
      <c r="AI426" s="69"/>
      <c r="AJ426" s="71"/>
    </row>
    <row r="427" spans="1:36" s="22" customFormat="1" x14ac:dyDescent="0.25">
      <c r="A427" s="28" t="str">
        <f>IF(H427&lt;&gt;"",MAX($A$7:A426)+1,"")</f>
        <v/>
      </c>
      <c r="B427" s="243" t="str">
        <f t="shared" si="41"/>
        <v/>
      </c>
      <c r="C427" s="96" t="str">
        <f t="shared" si="42"/>
        <v/>
      </c>
      <c r="D427" s="238"/>
      <c r="E427" s="239"/>
      <c r="F427" s="239"/>
      <c r="G427" s="240"/>
      <c r="H427" s="241"/>
      <c r="I427" s="231"/>
      <c r="J427" s="231"/>
      <c r="K427" s="232"/>
      <c r="L427" s="232"/>
      <c r="M427" s="233"/>
      <c r="N427" s="233"/>
      <c r="O427" s="234"/>
      <c r="P427" s="234"/>
      <c r="Q427" s="235"/>
      <c r="R427" s="235"/>
      <c r="S427" s="236"/>
      <c r="T427" s="236"/>
      <c r="U427" s="231"/>
      <c r="V427" s="231"/>
      <c r="W427" s="232"/>
      <c r="X427" s="232"/>
      <c r="Y427" s="233"/>
      <c r="Z427" s="233"/>
      <c r="AA427" s="234"/>
      <c r="AB427" s="234"/>
      <c r="AC427" s="235"/>
      <c r="AD427" s="235"/>
      <c r="AE427" s="236"/>
      <c r="AF427" s="236"/>
      <c r="AG427" s="67"/>
      <c r="AH427" s="68"/>
      <c r="AI427" s="69"/>
      <c r="AJ427" s="71"/>
    </row>
    <row r="428" spans="1:36" s="22" customFormat="1" x14ac:dyDescent="0.25">
      <c r="A428" s="28" t="str">
        <f>IF(H428&lt;&gt;"",MAX($A$7:A427)+1,"")</f>
        <v/>
      </c>
      <c r="B428" s="243" t="str">
        <f t="shared" si="41"/>
        <v/>
      </c>
      <c r="C428" s="96" t="str">
        <f t="shared" si="42"/>
        <v/>
      </c>
      <c r="D428" s="238"/>
      <c r="E428" s="239"/>
      <c r="F428" s="239"/>
      <c r="G428" s="240"/>
      <c r="H428" s="241"/>
      <c r="I428" s="231"/>
      <c r="J428" s="231"/>
      <c r="K428" s="232"/>
      <c r="L428" s="232"/>
      <c r="M428" s="233"/>
      <c r="N428" s="233"/>
      <c r="O428" s="234"/>
      <c r="P428" s="234"/>
      <c r="Q428" s="235"/>
      <c r="R428" s="235"/>
      <c r="S428" s="236"/>
      <c r="T428" s="236"/>
      <c r="U428" s="231"/>
      <c r="V428" s="231"/>
      <c r="W428" s="232"/>
      <c r="X428" s="232"/>
      <c r="Y428" s="233"/>
      <c r="Z428" s="233"/>
      <c r="AA428" s="234"/>
      <c r="AB428" s="234"/>
      <c r="AC428" s="235"/>
      <c r="AD428" s="235"/>
      <c r="AE428" s="236"/>
      <c r="AF428" s="236"/>
      <c r="AG428" s="67"/>
      <c r="AH428" s="68"/>
      <c r="AI428" s="69"/>
      <c r="AJ428" s="71"/>
    </row>
    <row r="429" spans="1:36" s="22" customFormat="1" x14ac:dyDescent="0.25">
      <c r="A429" s="28" t="str">
        <f>IF(H429&lt;&gt;"",MAX($A$7:A428)+1,"")</f>
        <v/>
      </c>
      <c r="B429" s="243" t="str">
        <f t="shared" si="41"/>
        <v/>
      </c>
      <c r="C429" s="96" t="str">
        <f t="shared" si="42"/>
        <v/>
      </c>
      <c r="D429" s="238"/>
      <c r="E429" s="239"/>
      <c r="F429" s="239"/>
      <c r="G429" s="240"/>
      <c r="H429" s="241"/>
      <c r="I429" s="231"/>
      <c r="J429" s="231"/>
      <c r="K429" s="232"/>
      <c r="L429" s="232"/>
      <c r="M429" s="233"/>
      <c r="N429" s="233"/>
      <c r="O429" s="234"/>
      <c r="P429" s="234"/>
      <c r="Q429" s="235"/>
      <c r="R429" s="235"/>
      <c r="S429" s="236"/>
      <c r="T429" s="236"/>
      <c r="U429" s="231"/>
      <c r="V429" s="231"/>
      <c r="W429" s="232"/>
      <c r="X429" s="232"/>
      <c r="Y429" s="233"/>
      <c r="Z429" s="233"/>
      <c r="AA429" s="234"/>
      <c r="AB429" s="234"/>
      <c r="AC429" s="235"/>
      <c r="AD429" s="235"/>
      <c r="AE429" s="236"/>
      <c r="AF429" s="236"/>
      <c r="AG429" s="67"/>
      <c r="AH429" s="68"/>
      <c r="AI429" s="69"/>
      <c r="AJ429" s="71"/>
    </row>
    <row r="430" spans="1:36" s="22" customFormat="1" x14ac:dyDescent="0.25">
      <c r="A430" s="28" t="str">
        <f>IF(H430&lt;&gt;"",MAX($A$7:A429)+1,"")</f>
        <v/>
      </c>
      <c r="B430" s="243" t="str">
        <f t="shared" si="41"/>
        <v/>
      </c>
      <c r="C430" s="96" t="str">
        <f t="shared" si="42"/>
        <v/>
      </c>
      <c r="D430" s="238"/>
      <c r="E430" s="239"/>
      <c r="F430" s="239"/>
      <c r="G430" s="240"/>
      <c r="H430" s="241"/>
      <c r="I430" s="231"/>
      <c r="J430" s="231"/>
      <c r="K430" s="232"/>
      <c r="L430" s="232"/>
      <c r="M430" s="233"/>
      <c r="N430" s="233"/>
      <c r="O430" s="234"/>
      <c r="P430" s="234"/>
      <c r="Q430" s="235"/>
      <c r="R430" s="235"/>
      <c r="S430" s="236"/>
      <c r="T430" s="236"/>
      <c r="U430" s="231"/>
      <c r="V430" s="231"/>
      <c r="W430" s="232"/>
      <c r="X430" s="232"/>
      <c r="Y430" s="233"/>
      <c r="Z430" s="233"/>
      <c r="AA430" s="234"/>
      <c r="AB430" s="234"/>
      <c r="AC430" s="235"/>
      <c r="AD430" s="235"/>
      <c r="AE430" s="236"/>
      <c r="AF430" s="236"/>
      <c r="AG430" s="67"/>
      <c r="AH430" s="68"/>
      <c r="AI430" s="69"/>
      <c r="AJ430" s="71"/>
    </row>
    <row r="431" spans="1:36" s="22" customFormat="1" x14ac:dyDescent="0.25">
      <c r="A431" s="28" t="str">
        <f>IF(H431&lt;&gt;"",MAX($A$7:A430)+1,"")</f>
        <v/>
      </c>
      <c r="B431" s="243" t="str">
        <f t="shared" si="41"/>
        <v/>
      </c>
      <c r="C431" s="96" t="str">
        <f t="shared" si="42"/>
        <v/>
      </c>
      <c r="D431" s="238"/>
      <c r="E431" s="239"/>
      <c r="F431" s="239"/>
      <c r="G431" s="240"/>
      <c r="H431" s="241"/>
      <c r="I431" s="231"/>
      <c r="J431" s="231"/>
      <c r="K431" s="232"/>
      <c r="L431" s="232"/>
      <c r="M431" s="233"/>
      <c r="N431" s="233"/>
      <c r="O431" s="234"/>
      <c r="P431" s="234"/>
      <c r="Q431" s="235"/>
      <c r="R431" s="235"/>
      <c r="S431" s="236"/>
      <c r="T431" s="236"/>
      <c r="U431" s="231"/>
      <c r="V431" s="231"/>
      <c r="W431" s="232"/>
      <c r="X431" s="232"/>
      <c r="Y431" s="233"/>
      <c r="Z431" s="233"/>
      <c r="AA431" s="234"/>
      <c r="AB431" s="234"/>
      <c r="AC431" s="235"/>
      <c r="AD431" s="235"/>
      <c r="AE431" s="236"/>
      <c r="AF431" s="236"/>
      <c r="AG431" s="67"/>
      <c r="AH431" s="68"/>
      <c r="AI431" s="69"/>
      <c r="AJ431" s="71"/>
    </row>
    <row r="432" spans="1:36" s="22" customFormat="1" x14ac:dyDescent="0.25">
      <c r="A432" s="28" t="str">
        <f>IF(H432&lt;&gt;"",MAX($A$7:A431)+1,"")</f>
        <v/>
      </c>
      <c r="B432" s="243" t="str">
        <f t="shared" si="41"/>
        <v/>
      </c>
      <c r="C432" s="96" t="str">
        <f t="shared" si="42"/>
        <v/>
      </c>
      <c r="D432" s="238"/>
      <c r="E432" s="239"/>
      <c r="F432" s="239"/>
      <c r="G432" s="240"/>
      <c r="H432" s="241"/>
      <c r="I432" s="231"/>
      <c r="J432" s="231"/>
      <c r="K432" s="232"/>
      <c r="L432" s="232"/>
      <c r="M432" s="233"/>
      <c r="N432" s="233"/>
      <c r="O432" s="234"/>
      <c r="P432" s="234"/>
      <c r="Q432" s="235"/>
      <c r="R432" s="235"/>
      <c r="S432" s="236"/>
      <c r="T432" s="236"/>
      <c r="U432" s="231"/>
      <c r="V432" s="231"/>
      <c r="W432" s="232"/>
      <c r="X432" s="232"/>
      <c r="Y432" s="233"/>
      <c r="Z432" s="233"/>
      <c r="AA432" s="234"/>
      <c r="AB432" s="234"/>
      <c r="AC432" s="235"/>
      <c r="AD432" s="235"/>
      <c r="AE432" s="236"/>
      <c r="AF432" s="236"/>
      <c r="AG432" s="67"/>
      <c r="AH432" s="68"/>
      <c r="AI432" s="69"/>
      <c r="AJ432" s="71"/>
    </row>
    <row r="433" spans="1:36" s="22" customFormat="1" x14ac:dyDescent="0.25">
      <c r="A433" s="28" t="str">
        <f>IF(H433&lt;&gt;"",MAX($A$7:A432)+1,"")</f>
        <v/>
      </c>
      <c r="B433" s="243" t="str">
        <f t="shared" si="41"/>
        <v/>
      </c>
      <c r="C433" s="96" t="str">
        <f t="shared" si="42"/>
        <v/>
      </c>
      <c r="D433" s="238"/>
      <c r="E433" s="239"/>
      <c r="F433" s="239"/>
      <c r="G433" s="240"/>
      <c r="H433" s="241"/>
      <c r="I433" s="231"/>
      <c r="J433" s="231"/>
      <c r="K433" s="232"/>
      <c r="L433" s="232"/>
      <c r="M433" s="233"/>
      <c r="N433" s="233"/>
      <c r="O433" s="234"/>
      <c r="P433" s="234"/>
      <c r="Q433" s="235"/>
      <c r="R433" s="235"/>
      <c r="S433" s="236"/>
      <c r="T433" s="236"/>
      <c r="U433" s="231"/>
      <c r="V433" s="231"/>
      <c r="W433" s="232"/>
      <c r="X433" s="232"/>
      <c r="Y433" s="233"/>
      <c r="Z433" s="233"/>
      <c r="AA433" s="234"/>
      <c r="AB433" s="234"/>
      <c r="AC433" s="235"/>
      <c r="AD433" s="235"/>
      <c r="AE433" s="236"/>
      <c r="AF433" s="236"/>
      <c r="AG433" s="67"/>
      <c r="AH433" s="68"/>
      <c r="AI433" s="69"/>
      <c r="AJ433" s="71"/>
    </row>
    <row r="434" spans="1:36" s="22" customFormat="1" x14ac:dyDescent="0.25">
      <c r="A434" s="28" t="str">
        <f>IF(H434&lt;&gt;"",MAX($A$7:A433)+1,"")</f>
        <v/>
      </c>
      <c r="B434" s="243" t="str">
        <f t="shared" si="41"/>
        <v/>
      </c>
      <c r="C434" s="96" t="str">
        <f t="shared" si="42"/>
        <v/>
      </c>
      <c r="D434" s="238"/>
      <c r="E434" s="239"/>
      <c r="F434" s="239"/>
      <c r="G434" s="240"/>
      <c r="H434" s="241"/>
      <c r="I434" s="231"/>
      <c r="J434" s="231"/>
      <c r="K434" s="232"/>
      <c r="L434" s="232"/>
      <c r="M434" s="233"/>
      <c r="N434" s="233"/>
      <c r="O434" s="234"/>
      <c r="P434" s="234"/>
      <c r="Q434" s="235"/>
      <c r="R434" s="235"/>
      <c r="S434" s="236"/>
      <c r="T434" s="236"/>
      <c r="U434" s="231"/>
      <c r="V434" s="231"/>
      <c r="W434" s="232"/>
      <c r="X434" s="232"/>
      <c r="Y434" s="233"/>
      <c r="Z434" s="233"/>
      <c r="AA434" s="234"/>
      <c r="AB434" s="234"/>
      <c r="AC434" s="235"/>
      <c r="AD434" s="235"/>
      <c r="AE434" s="236"/>
      <c r="AF434" s="236"/>
      <c r="AG434" s="67"/>
      <c r="AH434" s="68"/>
      <c r="AI434" s="69"/>
      <c r="AJ434" s="71"/>
    </row>
    <row r="435" spans="1:36" s="22" customFormat="1" x14ac:dyDescent="0.25">
      <c r="A435" s="28" t="str">
        <f>IF(H435&lt;&gt;"",MAX($A$7:A434)+1,"")</f>
        <v/>
      </c>
      <c r="B435" s="243" t="str">
        <f t="shared" si="41"/>
        <v/>
      </c>
      <c r="C435" s="96" t="str">
        <f t="shared" si="42"/>
        <v/>
      </c>
      <c r="D435" s="238"/>
      <c r="E435" s="239"/>
      <c r="F435" s="239"/>
      <c r="G435" s="240"/>
      <c r="H435" s="241"/>
      <c r="I435" s="231"/>
      <c r="J435" s="231"/>
      <c r="K435" s="232"/>
      <c r="L435" s="232"/>
      <c r="M435" s="233"/>
      <c r="N435" s="233"/>
      <c r="O435" s="234"/>
      <c r="P435" s="234"/>
      <c r="Q435" s="235"/>
      <c r="R435" s="235"/>
      <c r="S435" s="236"/>
      <c r="T435" s="236"/>
      <c r="U435" s="231"/>
      <c r="V435" s="231"/>
      <c r="W435" s="232"/>
      <c r="X435" s="232"/>
      <c r="Y435" s="233"/>
      <c r="Z435" s="233"/>
      <c r="AA435" s="234"/>
      <c r="AB435" s="234"/>
      <c r="AC435" s="235"/>
      <c r="AD435" s="235"/>
      <c r="AE435" s="236"/>
      <c r="AF435" s="236"/>
      <c r="AG435" s="67"/>
      <c r="AH435" s="68"/>
      <c r="AI435" s="69"/>
      <c r="AJ435" s="71"/>
    </row>
    <row r="436" spans="1:36" s="22" customFormat="1" x14ac:dyDescent="0.25">
      <c r="A436" s="28" t="str">
        <f>IF(H436&lt;&gt;"",MAX($A$7:A435)+1,"")</f>
        <v/>
      </c>
      <c r="B436" s="243" t="str">
        <f t="shared" si="41"/>
        <v/>
      </c>
      <c r="C436" s="96" t="str">
        <f t="shared" si="42"/>
        <v/>
      </c>
      <c r="D436" s="238"/>
      <c r="E436" s="239"/>
      <c r="F436" s="239"/>
      <c r="G436" s="240"/>
      <c r="H436" s="241"/>
      <c r="I436" s="231"/>
      <c r="J436" s="231"/>
      <c r="K436" s="232"/>
      <c r="L436" s="232"/>
      <c r="M436" s="233"/>
      <c r="N436" s="233"/>
      <c r="O436" s="234"/>
      <c r="P436" s="234"/>
      <c r="Q436" s="235"/>
      <c r="R436" s="235"/>
      <c r="S436" s="236"/>
      <c r="T436" s="236"/>
      <c r="U436" s="231"/>
      <c r="V436" s="231"/>
      <c r="W436" s="232"/>
      <c r="X436" s="232"/>
      <c r="Y436" s="233"/>
      <c r="Z436" s="233"/>
      <c r="AA436" s="234"/>
      <c r="AB436" s="234"/>
      <c r="AC436" s="235"/>
      <c r="AD436" s="235"/>
      <c r="AE436" s="236"/>
      <c r="AF436" s="236"/>
      <c r="AG436" s="67"/>
      <c r="AH436" s="68"/>
      <c r="AI436" s="69"/>
      <c r="AJ436" s="71"/>
    </row>
    <row r="437" spans="1:36" s="22" customFormat="1" x14ac:dyDescent="0.25">
      <c r="A437" s="28" t="str">
        <f>IF(H437&lt;&gt;"",MAX($A$7:A436)+1,"")</f>
        <v/>
      </c>
      <c r="B437" s="243" t="str">
        <f t="shared" si="41"/>
        <v/>
      </c>
      <c r="C437" s="96" t="str">
        <f t="shared" si="42"/>
        <v/>
      </c>
      <c r="D437" s="238"/>
      <c r="E437" s="239"/>
      <c r="F437" s="239"/>
      <c r="G437" s="240"/>
      <c r="H437" s="241"/>
      <c r="I437" s="231"/>
      <c r="J437" s="231"/>
      <c r="K437" s="232"/>
      <c r="L437" s="232"/>
      <c r="M437" s="233"/>
      <c r="N437" s="233"/>
      <c r="O437" s="234"/>
      <c r="P437" s="234"/>
      <c r="Q437" s="235"/>
      <c r="R437" s="235"/>
      <c r="S437" s="236"/>
      <c r="T437" s="236"/>
      <c r="U437" s="231"/>
      <c r="V437" s="231"/>
      <c r="W437" s="232"/>
      <c r="X437" s="232"/>
      <c r="Y437" s="233"/>
      <c r="Z437" s="233"/>
      <c r="AA437" s="234"/>
      <c r="AB437" s="234"/>
      <c r="AC437" s="235"/>
      <c r="AD437" s="235"/>
      <c r="AE437" s="236"/>
      <c r="AF437" s="236"/>
      <c r="AG437" s="67"/>
      <c r="AH437" s="68"/>
      <c r="AI437" s="69"/>
      <c r="AJ437" s="71"/>
    </row>
    <row r="438" spans="1:36" s="22" customFormat="1" x14ac:dyDescent="0.25">
      <c r="A438" s="28" t="str">
        <f>IF(H438&lt;&gt;"",MAX($A$7:A437)+1,"")</f>
        <v/>
      </c>
      <c r="B438" s="243" t="str">
        <f t="shared" si="41"/>
        <v/>
      </c>
      <c r="C438" s="96" t="str">
        <f t="shared" si="42"/>
        <v/>
      </c>
      <c r="D438" s="238"/>
      <c r="E438" s="239"/>
      <c r="F438" s="239"/>
      <c r="G438" s="240"/>
      <c r="H438" s="241"/>
      <c r="I438" s="231"/>
      <c r="J438" s="231"/>
      <c r="K438" s="232"/>
      <c r="L438" s="232"/>
      <c r="M438" s="233"/>
      <c r="N438" s="233"/>
      <c r="O438" s="234"/>
      <c r="P438" s="234"/>
      <c r="Q438" s="235"/>
      <c r="R438" s="235"/>
      <c r="S438" s="236"/>
      <c r="T438" s="236"/>
      <c r="U438" s="231"/>
      <c r="V438" s="231"/>
      <c r="W438" s="232"/>
      <c r="X438" s="232"/>
      <c r="Y438" s="233"/>
      <c r="Z438" s="233"/>
      <c r="AA438" s="234"/>
      <c r="AB438" s="234"/>
      <c r="AC438" s="235"/>
      <c r="AD438" s="235"/>
      <c r="AE438" s="236"/>
      <c r="AF438" s="236"/>
      <c r="AG438" s="67"/>
      <c r="AH438" s="68"/>
      <c r="AI438" s="69"/>
      <c r="AJ438" s="71"/>
    </row>
    <row r="439" spans="1:36" s="22" customFormat="1" x14ac:dyDescent="0.25">
      <c r="A439" s="28" t="str">
        <f>IF(H439&lt;&gt;"",MAX($A$7:A438)+1,"")</f>
        <v/>
      </c>
      <c r="B439" s="243" t="str">
        <f t="shared" si="41"/>
        <v/>
      </c>
      <c r="C439" s="96" t="str">
        <f t="shared" si="42"/>
        <v/>
      </c>
      <c r="D439" s="238"/>
      <c r="E439" s="239"/>
      <c r="F439" s="239"/>
      <c r="G439" s="240"/>
      <c r="H439" s="241"/>
      <c r="I439" s="231"/>
      <c r="J439" s="231"/>
      <c r="K439" s="232"/>
      <c r="L439" s="232"/>
      <c r="M439" s="233"/>
      <c r="N439" s="233"/>
      <c r="O439" s="234"/>
      <c r="P439" s="234"/>
      <c r="Q439" s="235"/>
      <c r="R439" s="235"/>
      <c r="S439" s="236"/>
      <c r="T439" s="236"/>
      <c r="U439" s="231"/>
      <c r="V439" s="231"/>
      <c r="W439" s="232"/>
      <c r="X439" s="232"/>
      <c r="Y439" s="233"/>
      <c r="Z439" s="233"/>
      <c r="AA439" s="234"/>
      <c r="AB439" s="234"/>
      <c r="AC439" s="235"/>
      <c r="AD439" s="235"/>
      <c r="AE439" s="236"/>
      <c r="AF439" s="236"/>
      <c r="AG439" s="67"/>
      <c r="AH439" s="68"/>
      <c r="AI439" s="69"/>
      <c r="AJ439" s="71"/>
    </row>
    <row r="440" spans="1:36" s="22" customFormat="1" x14ac:dyDescent="0.25">
      <c r="A440" s="28" t="str">
        <f>IF(H440&lt;&gt;"",MAX($A$7:A439)+1,"")</f>
        <v/>
      </c>
      <c r="B440" s="243" t="str">
        <f t="shared" si="41"/>
        <v/>
      </c>
      <c r="C440" s="96" t="str">
        <f t="shared" si="42"/>
        <v/>
      </c>
      <c r="D440" s="238"/>
      <c r="E440" s="239"/>
      <c r="F440" s="239"/>
      <c r="G440" s="240"/>
      <c r="H440" s="241"/>
      <c r="I440" s="231"/>
      <c r="J440" s="231"/>
      <c r="K440" s="232"/>
      <c r="L440" s="232"/>
      <c r="M440" s="233"/>
      <c r="N440" s="233"/>
      <c r="O440" s="234"/>
      <c r="P440" s="234"/>
      <c r="Q440" s="235"/>
      <c r="R440" s="235"/>
      <c r="S440" s="236"/>
      <c r="T440" s="236"/>
      <c r="U440" s="231"/>
      <c r="V440" s="231"/>
      <c r="W440" s="232"/>
      <c r="X440" s="232"/>
      <c r="Y440" s="233"/>
      <c r="Z440" s="233"/>
      <c r="AA440" s="234"/>
      <c r="AB440" s="234"/>
      <c r="AC440" s="235"/>
      <c r="AD440" s="235"/>
      <c r="AE440" s="236"/>
      <c r="AF440" s="236"/>
      <c r="AG440" s="67"/>
      <c r="AH440" s="68"/>
      <c r="AI440" s="69"/>
      <c r="AJ440" s="71"/>
    </row>
    <row r="441" spans="1:36" s="22" customFormat="1" x14ac:dyDescent="0.25">
      <c r="A441" s="28" t="str">
        <f>IF(H441&lt;&gt;"",MAX($A$7:A440)+1,"")</f>
        <v/>
      </c>
      <c r="B441" s="243" t="str">
        <f t="shared" si="41"/>
        <v/>
      </c>
      <c r="C441" s="96" t="str">
        <f t="shared" si="42"/>
        <v/>
      </c>
      <c r="D441" s="238"/>
      <c r="E441" s="239"/>
      <c r="F441" s="239"/>
      <c r="G441" s="240"/>
      <c r="H441" s="241"/>
      <c r="I441" s="231"/>
      <c r="J441" s="231"/>
      <c r="K441" s="232"/>
      <c r="L441" s="232"/>
      <c r="M441" s="233"/>
      <c r="N441" s="233"/>
      <c r="O441" s="234"/>
      <c r="P441" s="234"/>
      <c r="Q441" s="235"/>
      <c r="R441" s="235"/>
      <c r="S441" s="236"/>
      <c r="T441" s="236"/>
      <c r="U441" s="231"/>
      <c r="V441" s="231"/>
      <c r="W441" s="232"/>
      <c r="X441" s="232"/>
      <c r="Y441" s="233"/>
      <c r="Z441" s="233"/>
      <c r="AA441" s="234"/>
      <c r="AB441" s="234"/>
      <c r="AC441" s="235"/>
      <c r="AD441" s="235"/>
      <c r="AE441" s="236"/>
      <c r="AF441" s="236"/>
      <c r="AG441" s="67"/>
      <c r="AH441" s="68"/>
      <c r="AI441" s="69"/>
      <c r="AJ441" s="71"/>
    </row>
    <row r="442" spans="1:36" s="22" customFormat="1" x14ac:dyDescent="0.25">
      <c r="A442" s="28" t="str">
        <f>IF(H442&lt;&gt;"",MAX($A$7:A441)+1,"")</f>
        <v/>
      </c>
      <c r="B442" s="243" t="str">
        <f t="shared" si="41"/>
        <v/>
      </c>
      <c r="C442" s="96" t="str">
        <f t="shared" si="42"/>
        <v/>
      </c>
      <c r="D442" s="238"/>
      <c r="E442" s="239"/>
      <c r="F442" s="239"/>
      <c r="G442" s="240"/>
      <c r="H442" s="241"/>
      <c r="I442" s="231"/>
      <c r="J442" s="231"/>
      <c r="K442" s="232"/>
      <c r="L442" s="232"/>
      <c r="M442" s="233"/>
      <c r="N442" s="233"/>
      <c r="O442" s="234"/>
      <c r="P442" s="234"/>
      <c r="Q442" s="235"/>
      <c r="R442" s="235"/>
      <c r="S442" s="236"/>
      <c r="T442" s="236"/>
      <c r="U442" s="231"/>
      <c r="V442" s="231"/>
      <c r="W442" s="232"/>
      <c r="X442" s="232"/>
      <c r="Y442" s="233"/>
      <c r="Z442" s="233"/>
      <c r="AA442" s="234"/>
      <c r="AB442" s="234"/>
      <c r="AC442" s="235"/>
      <c r="AD442" s="235"/>
      <c r="AE442" s="236"/>
      <c r="AF442" s="236"/>
      <c r="AG442" s="67"/>
      <c r="AH442" s="68"/>
      <c r="AI442" s="69"/>
      <c r="AJ442" s="71"/>
    </row>
    <row r="443" spans="1:36" s="22" customFormat="1" x14ac:dyDescent="0.25">
      <c r="A443" s="28" t="str">
        <f>IF(H443&lt;&gt;"",MAX($A$7:A442)+1,"")</f>
        <v/>
      </c>
      <c r="B443" s="243" t="str">
        <f t="shared" si="41"/>
        <v/>
      </c>
      <c r="C443" s="96" t="str">
        <f t="shared" si="42"/>
        <v/>
      </c>
      <c r="D443" s="238"/>
      <c r="E443" s="239"/>
      <c r="F443" s="239"/>
      <c r="G443" s="240"/>
      <c r="H443" s="241"/>
      <c r="I443" s="231"/>
      <c r="J443" s="231"/>
      <c r="K443" s="232"/>
      <c r="L443" s="232"/>
      <c r="M443" s="233"/>
      <c r="N443" s="233"/>
      <c r="O443" s="234"/>
      <c r="P443" s="234"/>
      <c r="Q443" s="235"/>
      <c r="R443" s="235"/>
      <c r="S443" s="236"/>
      <c r="T443" s="236"/>
      <c r="U443" s="231"/>
      <c r="V443" s="231"/>
      <c r="W443" s="232"/>
      <c r="X443" s="232"/>
      <c r="Y443" s="233"/>
      <c r="Z443" s="233"/>
      <c r="AA443" s="234"/>
      <c r="AB443" s="234"/>
      <c r="AC443" s="235"/>
      <c r="AD443" s="235"/>
      <c r="AE443" s="236"/>
      <c r="AF443" s="236"/>
      <c r="AG443" s="67"/>
      <c r="AH443" s="68"/>
      <c r="AI443" s="69"/>
      <c r="AJ443" s="71"/>
    </row>
    <row r="444" spans="1:36" s="22" customFormat="1" x14ac:dyDescent="0.25">
      <c r="A444" s="28" t="str">
        <f>IF(H444&lt;&gt;"",MAX($A$7:A443)+1,"")</f>
        <v/>
      </c>
      <c r="B444" s="243" t="str">
        <f t="shared" si="41"/>
        <v/>
      </c>
      <c r="C444" s="96" t="str">
        <f t="shared" si="42"/>
        <v/>
      </c>
      <c r="D444" s="238"/>
      <c r="E444" s="239"/>
      <c r="F444" s="239"/>
      <c r="G444" s="240"/>
      <c r="H444" s="241"/>
      <c r="I444" s="231"/>
      <c r="J444" s="231"/>
      <c r="K444" s="232"/>
      <c r="L444" s="232"/>
      <c r="M444" s="233"/>
      <c r="N444" s="233"/>
      <c r="O444" s="234"/>
      <c r="P444" s="234"/>
      <c r="Q444" s="235"/>
      <c r="R444" s="235"/>
      <c r="S444" s="236"/>
      <c r="T444" s="236"/>
      <c r="U444" s="231"/>
      <c r="V444" s="231"/>
      <c r="W444" s="232"/>
      <c r="X444" s="232"/>
      <c r="Y444" s="233"/>
      <c r="Z444" s="233"/>
      <c r="AA444" s="234"/>
      <c r="AB444" s="234"/>
      <c r="AC444" s="235"/>
      <c r="AD444" s="235"/>
      <c r="AE444" s="236"/>
      <c r="AF444" s="236"/>
      <c r="AG444" s="67"/>
      <c r="AH444" s="68"/>
      <c r="AI444" s="69"/>
      <c r="AJ444" s="71"/>
    </row>
    <row r="445" spans="1:36" s="22" customFormat="1" x14ac:dyDescent="0.25">
      <c r="A445" s="28" t="str">
        <f>IF(H445&lt;&gt;"",MAX($A$7:A444)+1,"")</f>
        <v/>
      </c>
      <c r="B445" s="243" t="str">
        <f t="shared" si="41"/>
        <v/>
      </c>
      <c r="C445" s="96" t="str">
        <f t="shared" si="42"/>
        <v/>
      </c>
      <c r="D445" s="238"/>
      <c r="E445" s="239"/>
      <c r="F445" s="239"/>
      <c r="G445" s="240"/>
      <c r="H445" s="241"/>
      <c r="I445" s="231"/>
      <c r="J445" s="231"/>
      <c r="K445" s="232"/>
      <c r="L445" s="232"/>
      <c r="M445" s="233"/>
      <c r="N445" s="233"/>
      <c r="O445" s="234"/>
      <c r="P445" s="234"/>
      <c r="Q445" s="235"/>
      <c r="R445" s="235"/>
      <c r="S445" s="236"/>
      <c r="T445" s="236"/>
      <c r="U445" s="231"/>
      <c r="V445" s="231"/>
      <c r="W445" s="232"/>
      <c r="X445" s="232"/>
      <c r="Y445" s="233"/>
      <c r="Z445" s="233"/>
      <c r="AA445" s="234"/>
      <c r="AB445" s="234"/>
      <c r="AC445" s="235"/>
      <c r="AD445" s="235"/>
      <c r="AE445" s="236"/>
      <c r="AF445" s="236"/>
      <c r="AG445" s="67"/>
      <c r="AH445" s="68"/>
      <c r="AI445" s="69"/>
      <c r="AJ445" s="71"/>
    </row>
    <row r="446" spans="1:36" s="22" customFormat="1" x14ac:dyDescent="0.25">
      <c r="A446" s="28" t="str">
        <f>IF(H446&lt;&gt;"",MAX($A$7:A445)+1,"")</f>
        <v/>
      </c>
      <c r="B446" s="243" t="str">
        <f t="shared" si="41"/>
        <v/>
      </c>
      <c r="C446" s="96" t="str">
        <f t="shared" si="42"/>
        <v/>
      </c>
      <c r="D446" s="238"/>
      <c r="E446" s="239"/>
      <c r="F446" s="239"/>
      <c r="G446" s="240"/>
      <c r="H446" s="241"/>
      <c r="I446" s="231"/>
      <c r="J446" s="231"/>
      <c r="K446" s="232"/>
      <c r="L446" s="232"/>
      <c r="M446" s="233"/>
      <c r="N446" s="233"/>
      <c r="O446" s="234"/>
      <c r="P446" s="234"/>
      <c r="Q446" s="235"/>
      <c r="R446" s="235"/>
      <c r="S446" s="236"/>
      <c r="T446" s="236"/>
      <c r="U446" s="231"/>
      <c r="V446" s="231"/>
      <c r="W446" s="232"/>
      <c r="X446" s="232"/>
      <c r="Y446" s="233"/>
      <c r="Z446" s="233"/>
      <c r="AA446" s="234"/>
      <c r="AB446" s="234"/>
      <c r="AC446" s="235"/>
      <c r="AD446" s="235"/>
      <c r="AE446" s="236"/>
      <c r="AF446" s="236"/>
      <c r="AG446" s="67"/>
      <c r="AH446" s="68"/>
      <c r="AI446" s="69"/>
      <c r="AJ446" s="71"/>
    </row>
    <row r="447" spans="1:36" s="22" customFormat="1" x14ac:dyDescent="0.25">
      <c r="A447" s="28" t="str">
        <f>IF(H447&lt;&gt;"",MAX($A$7:A446)+1,"")</f>
        <v/>
      </c>
      <c r="B447" s="243" t="str">
        <f t="shared" si="41"/>
        <v/>
      </c>
      <c r="C447" s="96" t="str">
        <f t="shared" si="42"/>
        <v/>
      </c>
      <c r="D447" s="238"/>
      <c r="E447" s="239"/>
      <c r="F447" s="239"/>
      <c r="G447" s="240"/>
      <c r="H447" s="241"/>
      <c r="I447" s="231"/>
      <c r="J447" s="231"/>
      <c r="K447" s="232"/>
      <c r="L447" s="232"/>
      <c r="M447" s="233"/>
      <c r="N447" s="233"/>
      <c r="O447" s="234"/>
      <c r="P447" s="234"/>
      <c r="Q447" s="235"/>
      <c r="R447" s="235"/>
      <c r="S447" s="236"/>
      <c r="T447" s="236"/>
      <c r="U447" s="231"/>
      <c r="V447" s="231"/>
      <c r="W447" s="232"/>
      <c r="X447" s="232"/>
      <c r="Y447" s="233"/>
      <c r="Z447" s="233"/>
      <c r="AA447" s="234"/>
      <c r="AB447" s="234"/>
      <c r="AC447" s="235"/>
      <c r="AD447" s="235"/>
      <c r="AE447" s="236"/>
      <c r="AF447" s="236"/>
      <c r="AG447" s="67"/>
      <c r="AH447" s="68"/>
      <c r="AI447" s="69"/>
      <c r="AJ447" s="71"/>
    </row>
    <row r="448" spans="1:36" s="22" customFormat="1" x14ac:dyDescent="0.25">
      <c r="A448" s="28" t="str">
        <f>IF(H448&lt;&gt;"",MAX($A$7:A447)+1,"")</f>
        <v/>
      </c>
      <c r="B448" s="243" t="str">
        <f t="shared" si="41"/>
        <v/>
      </c>
      <c r="C448" s="96" t="str">
        <f t="shared" si="42"/>
        <v/>
      </c>
      <c r="D448" s="238"/>
      <c r="E448" s="239"/>
      <c r="F448" s="239"/>
      <c r="G448" s="240"/>
      <c r="H448" s="241"/>
      <c r="I448" s="231"/>
      <c r="J448" s="231"/>
      <c r="K448" s="232"/>
      <c r="L448" s="232"/>
      <c r="M448" s="233"/>
      <c r="N448" s="233"/>
      <c r="O448" s="234"/>
      <c r="P448" s="234"/>
      <c r="Q448" s="235"/>
      <c r="R448" s="235"/>
      <c r="S448" s="236"/>
      <c r="T448" s="236"/>
      <c r="U448" s="231"/>
      <c r="V448" s="231"/>
      <c r="W448" s="232"/>
      <c r="X448" s="232"/>
      <c r="Y448" s="233"/>
      <c r="Z448" s="233"/>
      <c r="AA448" s="234"/>
      <c r="AB448" s="234"/>
      <c r="AC448" s="235"/>
      <c r="AD448" s="235"/>
      <c r="AE448" s="236"/>
      <c r="AF448" s="236"/>
      <c r="AG448" s="67"/>
      <c r="AH448" s="68"/>
      <c r="AI448" s="69"/>
      <c r="AJ448" s="71"/>
    </row>
    <row r="449" spans="1:36" s="22" customFormat="1" x14ac:dyDescent="0.25">
      <c r="A449" s="28" t="str">
        <f>IF(H449&lt;&gt;"",MAX($A$7:A448)+1,"")</f>
        <v/>
      </c>
      <c r="B449" s="243" t="str">
        <f t="shared" si="41"/>
        <v/>
      </c>
      <c r="C449" s="96" t="str">
        <f t="shared" si="42"/>
        <v/>
      </c>
      <c r="D449" s="238"/>
      <c r="E449" s="239"/>
      <c r="F449" s="239"/>
      <c r="G449" s="240"/>
      <c r="H449" s="241"/>
      <c r="I449" s="231"/>
      <c r="J449" s="231"/>
      <c r="K449" s="232"/>
      <c r="L449" s="232"/>
      <c r="M449" s="233"/>
      <c r="N449" s="233"/>
      <c r="O449" s="234"/>
      <c r="P449" s="234"/>
      <c r="Q449" s="235"/>
      <c r="R449" s="235"/>
      <c r="S449" s="236"/>
      <c r="T449" s="236"/>
      <c r="U449" s="231"/>
      <c r="V449" s="231"/>
      <c r="W449" s="232"/>
      <c r="X449" s="232"/>
      <c r="Y449" s="233"/>
      <c r="Z449" s="233"/>
      <c r="AA449" s="234"/>
      <c r="AB449" s="234"/>
      <c r="AC449" s="235"/>
      <c r="AD449" s="235"/>
      <c r="AE449" s="236"/>
      <c r="AF449" s="236"/>
      <c r="AG449" s="67"/>
      <c r="AH449" s="68"/>
      <c r="AI449" s="69"/>
      <c r="AJ449" s="71"/>
    </row>
    <row r="450" spans="1:36" s="22" customFormat="1" x14ac:dyDescent="0.25">
      <c r="A450" s="28" t="str">
        <f>IF(H450&lt;&gt;"",MAX($A$7:A449)+1,"")</f>
        <v/>
      </c>
      <c r="B450" s="243" t="str">
        <f t="shared" si="41"/>
        <v/>
      </c>
      <c r="C450" s="96" t="str">
        <f t="shared" si="42"/>
        <v/>
      </c>
      <c r="D450" s="238"/>
      <c r="E450" s="239"/>
      <c r="F450" s="239"/>
      <c r="G450" s="240"/>
      <c r="H450" s="241"/>
      <c r="I450" s="231"/>
      <c r="J450" s="231"/>
      <c r="K450" s="232"/>
      <c r="L450" s="232"/>
      <c r="M450" s="233"/>
      <c r="N450" s="233"/>
      <c r="O450" s="234"/>
      <c r="P450" s="234"/>
      <c r="Q450" s="235"/>
      <c r="R450" s="235"/>
      <c r="S450" s="236"/>
      <c r="T450" s="236"/>
      <c r="U450" s="231"/>
      <c r="V450" s="231"/>
      <c r="W450" s="232"/>
      <c r="X450" s="232"/>
      <c r="Y450" s="233"/>
      <c r="Z450" s="233"/>
      <c r="AA450" s="234"/>
      <c r="AB450" s="234"/>
      <c r="AC450" s="235"/>
      <c r="AD450" s="235"/>
      <c r="AE450" s="236"/>
      <c r="AF450" s="236"/>
      <c r="AG450" s="67"/>
      <c r="AH450" s="68"/>
      <c r="AI450" s="69"/>
      <c r="AJ450" s="71"/>
    </row>
    <row r="451" spans="1:36" s="22" customFormat="1" x14ac:dyDescent="0.25">
      <c r="A451" s="28" t="str">
        <f>IF(H451&lt;&gt;"",MAX($A$7:A450)+1,"")</f>
        <v/>
      </c>
      <c r="B451" s="243" t="str">
        <f t="shared" si="41"/>
        <v/>
      </c>
      <c r="C451" s="96" t="str">
        <f t="shared" si="42"/>
        <v/>
      </c>
      <c r="D451" s="238"/>
      <c r="E451" s="239"/>
      <c r="F451" s="239"/>
      <c r="G451" s="240"/>
      <c r="H451" s="241"/>
      <c r="I451" s="231"/>
      <c r="J451" s="231"/>
      <c r="K451" s="232"/>
      <c r="L451" s="232"/>
      <c r="M451" s="233"/>
      <c r="N451" s="233"/>
      <c r="O451" s="234"/>
      <c r="P451" s="234"/>
      <c r="Q451" s="235"/>
      <c r="R451" s="235"/>
      <c r="S451" s="236"/>
      <c r="T451" s="236"/>
      <c r="U451" s="231"/>
      <c r="V451" s="231"/>
      <c r="W451" s="232"/>
      <c r="X451" s="232"/>
      <c r="Y451" s="233"/>
      <c r="Z451" s="233"/>
      <c r="AA451" s="234"/>
      <c r="AB451" s="234"/>
      <c r="AC451" s="235"/>
      <c r="AD451" s="235"/>
      <c r="AE451" s="236"/>
      <c r="AF451" s="236"/>
      <c r="AG451" s="67"/>
      <c r="AH451" s="68"/>
      <c r="AI451" s="69"/>
      <c r="AJ451" s="71"/>
    </row>
    <row r="452" spans="1:36" s="22" customFormat="1" x14ac:dyDescent="0.25">
      <c r="A452" s="28" t="str">
        <f>IF(H452&lt;&gt;"",MAX($A$7:A451)+1,"")</f>
        <v/>
      </c>
      <c r="B452" s="243" t="str">
        <f t="shared" si="41"/>
        <v/>
      </c>
      <c r="C452" s="96" t="str">
        <f t="shared" si="42"/>
        <v/>
      </c>
      <c r="D452" s="238"/>
      <c r="E452" s="239"/>
      <c r="F452" s="239"/>
      <c r="G452" s="240"/>
      <c r="H452" s="241"/>
      <c r="I452" s="231"/>
      <c r="J452" s="231"/>
      <c r="K452" s="232"/>
      <c r="L452" s="232"/>
      <c r="M452" s="233"/>
      <c r="N452" s="233"/>
      <c r="O452" s="234"/>
      <c r="P452" s="234"/>
      <c r="Q452" s="235"/>
      <c r="R452" s="235"/>
      <c r="S452" s="236"/>
      <c r="T452" s="236"/>
      <c r="U452" s="231"/>
      <c r="V452" s="231"/>
      <c r="W452" s="232"/>
      <c r="X452" s="232"/>
      <c r="Y452" s="233"/>
      <c r="Z452" s="233"/>
      <c r="AA452" s="234"/>
      <c r="AB452" s="234"/>
      <c r="AC452" s="235"/>
      <c r="AD452" s="235"/>
      <c r="AE452" s="236"/>
      <c r="AF452" s="236"/>
      <c r="AG452" s="67"/>
      <c r="AH452" s="68"/>
      <c r="AI452" s="69"/>
      <c r="AJ452" s="71"/>
    </row>
    <row r="453" spans="1:36" s="22" customFormat="1" x14ac:dyDescent="0.25">
      <c r="A453" s="28" t="str">
        <f>IF(H453&lt;&gt;"",MAX($A$7:A452)+1,"")</f>
        <v/>
      </c>
      <c r="B453" s="243" t="str">
        <f t="shared" si="41"/>
        <v/>
      </c>
      <c r="C453" s="96" t="str">
        <f t="shared" si="42"/>
        <v/>
      </c>
      <c r="D453" s="238"/>
      <c r="E453" s="239"/>
      <c r="F453" s="239"/>
      <c r="G453" s="240"/>
      <c r="H453" s="241"/>
      <c r="I453" s="231"/>
      <c r="J453" s="231"/>
      <c r="K453" s="232"/>
      <c r="L453" s="232"/>
      <c r="M453" s="233"/>
      <c r="N453" s="233"/>
      <c r="O453" s="234"/>
      <c r="P453" s="234"/>
      <c r="Q453" s="235"/>
      <c r="R453" s="235"/>
      <c r="S453" s="236"/>
      <c r="T453" s="236"/>
      <c r="U453" s="231"/>
      <c r="V453" s="231"/>
      <c r="W453" s="232"/>
      <c r="X453" s="232"/>
      <c r="Y453" s="233"/>
      <c r="Z453" s="233"/>
      <c r="AA453" s="234"/>
      <c r="AB453" s="234"/>
      <c r="AC453" s="235"/>
      <c r="AD453" s="235"/>
      <c r="AE453" s="236"/>
      <c r="AF453" s="236"/>
      <c r="AG453" s="67"/>
      <c r="AH453" s="68"/>
      <c r="AI453" s="69"/>
      <c r="AJ453" s="71"/>
    </row>
    <row r="454" spans="1:36" s="22" customFormat="1" x14ac:dyDescent="0.25">
      <c r="A454" s="28" t="str">
        <f>IF(H454&lt;&gt;"",MAX($A$7:A453)+1,"")</f>
        <v/>
      </c>
      <c r="B454" s="243" t="str">
        <f t="shared" si="41"/>
        <v/>
      </c>
      <c r="C454" s="96" t="str">
        <f t="shared" si="42"/>
        <v/>
      </c>
      <c r="D454" s="238"/>
      <c r="E454" s="239"/>
      <c r="F454" s="239"/>
      <c r="G454" s="240"/>
      <c r="H454" s="241"/>
      <c r="I454" s="231"/>
      <c r="J454" s="231"/>
      <c r="K454" s="232"/>
      <c r="L454" s="232"/>
      <c r="M454" s="233"/>
      <c r="N454" s="233"/>
      <c r="O454" s="234"/>
      <c r="P454" s="234"/>
      <c r="Q454" s="235"/>
      <c r="R454" s="235"/>
      <c r="S454" s="236"/>
      <c r="T454" s="236"/>
      <c r="U454" s="231"/>
      <c r="V454" s="231"/>
      <c r="W454" s="232"/>
      <c r="X454" s="232"/>
      <c r="Y454" s="233"/>
      <c r="Z454" s="233"/>
      <c r="AA454" s="234"/>
      <c r="AB454" s="234"/>
      <c r="AC454" s="235"/>
      <c r="AD454" s="235"/>
      <c r="AE454" s="236"/>
      <c r="AF454" s="236"/>
      <c r="AG454" s="67"/>
      <c r="AH454" s="68"/>
      <c r="AI454" s="69"/>
      <c r="AJ454" s="71"/>
    </row>
    <row r="455" spans="1:36" s="22" customFormat="1" x14ac:dyDescent="0.25">
      <c r="A455" s="28" t="str">
        <f>IF(H455&lt;&gt;"",MAX($A$7:A454)+1,"")</f>
        <v/>
      </c>
      <c r="B455" s="243" t="str">
        <f t="shared" ref="B455:B518" si="43">IF(A455="","",PREF_PREGUNTA&amp;" - "&amp;IF(MAX(A:A)&gt;99,IF(A455&lt;100,"0",""),"")&amp;IF(A455&lt;10,"0","")&amp;A455&amp;IF(G455&lt;&gt;""," "&amp;G455,""))</f>
        <v/>
      </c>
      <c r="C455" s="96" t="str">
        <f t="shared" ref="C455:C508" si="44">IF(COUNTA(I455:N455)-D455=0,"",COUNTA(I455:N455)-D455)</f>
        <v/>
      </c>
      <c r="D455" s="238"/>
      <c r="E455" s="239"/>
      <c r="F455" s="239"/>
      <c r="G455" s="240"/>
      <c r="H455" s="241"/>
      <c r="I455" s="231"/>
      <c r="J455" s="231"/>
      <c r="K455" s="232"/>
      <c r="L455" s="232"/>
      <c r="M455" s="233"/>
      <c r="N455" s="233"/>
      <c r="O455" s="234"/>
      <c r="P455" s="234"/>
      <c r="Q455" s="235"/>
      <c r="R455" s="235"/>
      <c r="S455" s="236"/>
      <c r="T455" s="236"/>
      <c r="U455" s="231"/>
      <c r="V455" s="231"/>
      <c r="W455" s="232"/>
      <c r="X455" s="232"/>
      <c r="Y455" s="233"/>
      <c r="Z455" s="233"/>
      <c r="AA455" s="234"/>
      <c r="AB455" s="234"/>
      <c r="AC455" s="235"/>
      <c r="AD455" s="235"/>
      <c r="AE455" s="236"/>
      <c r="AF455" s="236"/>
      <c r="AG455" s="67"/>
      <c r="AH455" s="68"/>
      <c r="AI455" s="69"/>
      <c r="AJ455" s="71"/>
    </row>
    <row r="456" spans="1:36" s="22" customFormat="1" x14ac:dyDescent="0.25">
      <c r="A456" s="28" t="str">
        <f>IF(H456&lt;&gt;"",MAX($A$7:A455)+1,"")</f>
        <v/>
      </c>
      <c r="B456" s="243" t="str">
        <f t="shared" si="43"/>
        <v/>
      </c>
      <c r="C456" s="96" t="str">
        <f t="shared" si="44"/>
        <v/>
      </c>
      <c r="D456" s="238"/>
      <c r="E456" s="239"/>
      <c r="F456" s="239"/>
      <c r="G456" s="240"/>
      <c r="H456" s="241"/>
      <c r="I456" s="231"/>
      <c r="J456" s="231"/>
      <c r="K456" s="232"/>
      <c r="L456" s="232"/>
      <c r="M456" s="233"/>
      <c r="N456" s="233"/>
      <c r="O456" s="234"/>
      <c r="P456" s="234"/>
      <c r="Q456" s="235"/>
      <c r="R456" s="235"/>
      <c r="S456" s="236"/>
      <c r="T456" s="236"/>
      <c r="U456" s="231"/>
      <c r="V456" s="231"/>
      <c r="W456" s="232"/>
      <c r="X456" s="232"/>
      <c r="Y456" s="233"/>
      <c r="Z456" s="233"/>
      <c r="AA456" s="234"/>
      <c r="AB456" s="234"/>
      <c r="AC456" s="235"/>
      <c r="AD456" s="235"/>
      <c r="AE456" s="236"/>
      <c r="AF456" s="236"/>
      <c r="AG456" s="67"/>
      <c r="AH456" s="68"/>
      <c r="AI456" s="69"/>
      <c r="AJ456" s="71"/>
    </row>
    <row r="457" spans="1:36" s="22" customFormat="1" x14ac:dyDescent="0.25">
      <c r="A457" s="28" t="str">
        <f>IF(H457&lt;&gt;"",MAX($A$7:A456)+1,"")</f>
        <v/>
      </c>
      <c r="B457" s="243" t="str">
        <f t="shared" si="43"/>
        <v/>
      </c>
      <c r="C457" s="96" t="str">
        <f t="shared" si="44"/>
        <v/>
      </c>
      <c r="D457" s="238"/>
      <c r="E457" s="239"/>
      <c r="F457" s="239"/>
      <c r="G457" s="240"/>
      <c r="H457" s="241"/>
      <c r="I457" s="231"/>
      <c r="J457" s="231"/>
      <c r="K457" s="232"/>
      <c r="L457" s="232"/>
      <c r="M457" s="233"/>
      <c r="N457" s="233"/>
      <c r="O457" s="234"/>
      <c r="P457" s="234"/>
      <c r="Q457" s="235"/>
      <c r="R457" s="235"/>
      <c r="S457" s="236"/>
      <c r="T457" s="236"/>
      <c r="U457" s="231"/>
      <c r="V457" s="231"/>
      <c r="W457" s="232"/>
      <c r="X457" s="232"/>
      <c r="Y457" s="233"/>
      <c r="Z457" s="233"/>
      <c r="AA457" s="234"/>
      <c r="AB457" s="234"/>
      <c r="AC457" s="235"/>
      <c r="AD457" s="235"/>
      <c r="AE457" s="236"/>
      <c r="AF457" s="236"/>
      <c r="AG457" s="67"/>
      <c r="AH457" s="68"/>
      <c r="AI457" s="69"/>
      <c r="AJ457" s="71"/>
    </row>
    <row r="458" spans="1:36" s="22" customFormat="1" x14ac:dyDescent="0.25">
      <c r="A458" s="28" t="str">
        <f>IF(H458&lt;&gt;"",MAX($A$7:A457)+1,"")</f>
        <v/>
      </c>
      <c r="B458" s="243" t="str">
        <f t="shared" si="43"/>
        <v/>
      </c>
      <c r="C458" s="96" t="str">
        <f t="shared" si="44"/>
        <v/>
      </c>
      <c r="D458" s="238"/>
      <c r="E458" s="239"/>
      <c r="F458" s="239"/>
      <c r="G458" s="240"/>
      <c r="H458" s="241"/>
      <c r="I458" s="231"/>
      <c r="J458" s="231"/>
      <c r="K458" s="232"/>
      <c r="L458" s="232"/>
      <c r="M458" s="233"/>
      <c r="N458" s="233"/>
      <c r="O458" s="234"/>
      <c r="P458" s="234"/>
      <c r="Q458" s="235"/>
      <c r="R458" s="235"/>
      <c r="S458" s="236"/>
      <c r="T458" s="236"/>
      <c r="U458" s="231"/>
      <c r="V458" s="231"/>
      <c r="W458" s="232"/>
      <c r="X458" s="232"/>
      <c r="Y458" s="233"/>
      <c r="Z458" s="233"/>
      <c r="AA458" s="234"/>
      <c r="AB458" s="234"/>
      <c r="AC458" s="235"/>
      <c r="AD458" s="235"/>
      <c r="AE458" s="236"/>
      <c r="AF458" s="236"/>
      <c r="AG458" s="67"/>
      <c r="AH458" s="68"/>
      <c r="AI458" s="69"/>
      <c r="AJ458" s="71"/>
    </row>
    <row r="459" spans="1:36" s="22" customFormat="1" x14ac:dyDescent="0.25">
      <c r="A459" s="28" t="str">
        <f>IF(H459&lt;&gt;"",MAX($A$7:A458)+1,"")</f>
        <v/>
      </c>
      <c r="B459" s="243" t="str">
        <f t="shared" si="43"/>
        <v/>
      </c>
      <c r="C459" s="96" t="str">
        <f t="shared" si="44"/>
        <v/>
      </c>
      <c r="D459" s="238"/>
      <c r="E459" s="239"/>
      <c r="F459" s="239"/>
      <c r="G459" s="240"/>
      <c r="H459" s="241"/>
      <c r="I459" s="231"/>
      <c r="J459" s="231"/>
      <c r="K459" s="232"/>
      <c r="L459" s="232"/>
      <c r="M459" s="233"/>
      <c r="N459" s="233"/>
      <c r="O459" s="234"/>
      <c r="P459" s="234"/>
      <c r="Q459" s="235"/>
      <c r="R459" s="235"/>
      <c r="S459" s="236"/>
      <c r="T459" s="236"/>
      <c r="U459" s="231"/>
      <c r="V459" s="231"/>
      <c r="W459" s="232"/>
      <c r="X459" s="232"/>
      <c r="Y459" s="233"/>
      <c r="Z459" s="233"/>
      <c r="AA459" s="234"/>
      <c r="AB459" s="234"/>
      <c r="AC459" s="235"/>
      <c r="AD459" s="235"/>
      <c r="AE459" s="236"/>
      <c r="AF459" s="236"/>
      <c r="AG459" s="67"/>
      <c r="AH459" s="68"/>
      <c r="AI459" s="69"/>
      <c r="AJ459" s="71"/>
    </row>
    <row r="460" spans="1:36" s="22" customFormat="1" x14ac:dyDescent="0.25">
      <c r="A460" s="28" t="str">
        <f>IF(H460&lt;&gt;"",MAX($A$7:A459)+1,"")</f>
        <v/>
      </c>
      <c r="B460" s="243" t="str">
        <f t="shared" si="43"/>
        <v/>
      </c>
      <c r="C460" s="96" t="str">
        <f t="shared" si="44"/>
        <v/>
      </c>
      <c r="D460" s="238"/>
      <c r="E460" s="239"/>
      <c r="F460" s="239"/>
      <c r="G460" s="240"/>
      <c r="H460" s="241"/>
      <c r="I460" s="231"/>
      <c r="J460" s="231"/>
      <c r="K460" s="232"/>
      <c r="L460" s="232"/>
      <c r="M460" s="233"/>
      <c r="N460" s="233"/>
      <c r="O460" s="234"/>
      <c r="P460" s="234"/>
      <c r="Q460" s="235"/>
      <c r="R460" s="235"/>
      <c r="S460" s="236"/>
      <c r="T460" s="236"/>
      <c r="U460" s="231"/>
      <c r="V460" s="231"/>
      <c r="W460" s="232"/>
      <c r="X460" s="232"/>
      <c r="Y460" s="233"/>
      <c r="Z460" s="233"/>
      <c r="AA460" s="234"/>
      <c r="AB460" s="234"/>
      <c r="AC460" s="235"/>
      <c r="AD460" s="235"/>
      <c r="AE460" s="236"/>
      <c r="AF460" s="236"/>
      <c r="AG460" s="67"/>
      <c r="AH460" s="68"/>
      <c r="AI460" s="69"/>
      <c r="AJ460" s="71"/>
    </row>
    <row r="461" spans="1:36" s="22" customFormat="1" x14ac:dyDescent="0.25">
      <c r="A461" s="28" t="str">
        <f>IF(H461&lt;&gt;"",MAX($A$7:A460)+1,"")</f>
        <v/>
      </c>
      <c r="B461" s="243" t="str">
        <f t="shared" si="43"/>
        <v/>
      </c>
      <c r="C461" s="96" t="str">
        <f t="shared" si="44"/>
        <v/>
      </c>
      <c r="D461" s="238"/>
      <c r="E461" s="239"/>
      <c r="F461" s="239"/>
      <c r="G461" s="240"/>
      <c r="H461" s="241"/>
      <c r="I461" s="231"/>
      <c r="J461" s="231"/>
      <c r="K461" s="232"/>
      <c r="L461" s="232"/>
      <c r="M461" s="233"/>
      <c r="N461" s="233"/>
      <c r="O461" s="234"/>
      <c r="P461" s="234"/>
      <c r="Q461" s="235"/>
      <c r="R461" s="235"/>
      <c r="S461" s="236"/>
      <c r="T461" s="236"/>
      <c r="U461" s="231"/>
      <c r="V461" s="231"/>
      <c r="W461" s="232"/>
      <c r="X461" s="232"/>
      <c r="Y461" s="233"/>
      <c r="Z461" s="233"/>
      <c r="AA461" s="234"/>
      <c r="AB461" s="234"/>
      <c r="AC461" s="235"/>
      <c r="AD461" s="235"/>
      <c r="AE461" s="236"/>
      <c r="AF461" s="236"/>
      <c r="AG461" s="67"/>
      <c r="AH461" s="68"/>
      <c r="AI461" s="69"/>
      <c r="AJ461" s="71"/>
    </row>
    <row r="462" spans="1:36" s="22" customFormat="1" x14ac:dyDescent="0.25">
      <c r="A462" s="28" t="str">
        <f>IF(H462&lt;&gt;"",MAX($A$7:A461)+1,"")</f>
        <v/>
      </c>
      <c r="B462" s="243" t="str">
        <f t="shared" si="43"/>
        <v/>
      </c>
      <c r="C462" s="96" t="str">
        <f t="shared" si="44"/>
        <v/>
      </c>
      <c r="D462" s="238"/>
      <c r="E462" s="239"/>
      <c r="F462" s="239"/>
      <c r="G462" s="240"/>
      <c r="H462" s="241"/>
      <c r="I462" s="231"/>
      <c r="J462" s="231"/>
      <c r="K462" s="232"/>
      <c r="L462" s="232"/>
      <c r="M462" s="233"/>
      <c r="N462" s="233"/>
      <c r="O462" s="234"/>
      <c r="P462" s="234"/>
      <c r="Q462" s="235"/>
      <c r="R462" s="235"/>
      <c r="S462" s="236"/>
      <c r="T462" s="236"/>
      <c r="U462" s="231"/>
      <c r="V462" s="231"/>
      <c r="W462" s="232"/>
      <c r="X462" s="232"/>
      <c r="Y462" s="233"/>
      <c r="Z462" s="233"/>
      <c r="AA462" s="234"/>
      <c r="AB462" s="234"/>
      <c r="AC462" s="235"/>
      <c r="AD462" s="235"/>
      <c r="AE462" s="236"/>
      <c r="AF462" s="236"/>
      <c r="AG462" s="67"/>
      <c r="AH462" s="68"/>
      <c r="AI462" s="69"/>
      <c r="AJ462" s="71"/>
    </row>
    <row r="463" spans="1:36" s="22" customFormat="1" x14ac:dyDescent="0.25">
      <c r="A463" s="28" t="str">
        <f>IF(H463&lt;&gt;"",MAX($A$7:A462)+1,"")</f>
        <v/>
      </c>
      <c r="B463" s="243" t="str">
        <f t="shared" si="43"/>
        <v/>
      </c>
      <c r="C463" s="96" t="str">
        <f t="shared" si="44"/>
        <v/>
      </c>
      <c r="D463" s="238"/>
      <c r="E463" s="239"/>
      <c r="F463" s="239"/>
      <c r="G463" s="240"/>
      <c r="H463" s="241"/>
      <c r="I463" s="231"/>
      <c r="J463" s="231"/>
      <c r="K463" s="232"/>
      <c r="L463" s="232"/>
      <c r="M463" s="233"/>
      <c r="N463" s="233"/>
      <c r="O463" s="234"/>
      <c r="P463" s="234"/>
      <c r="Q463" s="235"/>
      <c r="R463" s="235"/>
      <c r="S463" s="236"/>
      <c r="T463" s="236"/>
      <c r="U463" s="231"/>
      <c r="V463" s="231"/>
      <c r="W463" s="232"/>
      <c r="X463" s="232"/>
      <c r="Y463" s="233"/>
      <c r="Z463" s="233"/>
      <c r="AA463" s="234"/>
      <c r="AB463" s="234"/>
      <c r="AC463" s="235"/>
      <c r="AD463" s="235"/>
      <c r="AE463" s="236"/>
      <c r="AF463" s="236"/>
      <c r="AG463" s="67"/>
      <c r="AH463" s="68"/>
      <c r="AI463" s="69"/>
      <c r="AJ463" s="71"/>
    </row>
    <row r="464" spans="1:36" s="22" customFormat="1" x14ac:dyDescent="0.25">
      <c r="A464" s="28" t="str">
        <f>IF(H464&lt;&gt;"",MAX($A$7:A463)+1,"")</f>
        <v/>
      </c>
      <c r="B464" s="243" t="str">
        <f t="shared" si="43"/>
        <v/>
      </c>
      <c r="C464" s="96" t="str">
        <f t="shared" si="44"/>
        <v/>
      </c>
      <c r="D464" s="238"/>
      <c r="E464" s="239"/>
      <c r="F464" s="239"/>
      <c r="G464" s="240"/>
      <c r="H464" s="241"/>
      <c r="I464" s="231"/>
      <c r="J464" s="231"/>
      <c r="K464" s="232"/>
      <c r="L464" s="232"/>
      <c r="M464" s="233"/>
      <c r="N464" s="233"/>
      <c r="O464" s="234"/>
      <c r="P464" s="234"/>
      <c r="Q464" s="235"/>
      <c r="R464" s="235"/>
      <c r="S464" s="236"/>
      <c r="T464" s="236"/>
      <c r="U464" s="231"/>
      <c r="V464" s="231"/>
      <c r="W464" s="232"/>
      <c r="X464" s="232"/>
      <c r="Y464" s="233"/>
      <c r="Z464" s="233"/>
      <c r="AA464" s="234"/>
      <c r="AB464" s="234"/>
      <c r="AC464" s="235"/>
      <c r="AD464" s="235"/>
      <c r="AE464" s="236"/>
      <c r="AF464" s="236"/>
      <c r="AG464" s="67"/>
      <c r="AH464" s="68"/>
      <c r="AI464" s="69"/>
      <c r="AJ464" s="71"/>
    </row>
    <row r="465" spans="1:36" s="22" customFormat="1" x14ac:dyDescent="0.25">
      <c r="A465" s="28" t="str">
        <f>IF(H465&lt;&gt;"",MAX($A$7:A464)+1,"")</f>
        <v/>
      </c>
      <c r="B465" s="243" t="str">
        <f t="shared" si="43"/>
        <v/>
      </c>
      <c r="C465" s="96" t="str">
        <f t="shared" si="44"/>
        <v/>
      </c>
      <c r="D465" s="238"/>
      <c r="E465" s="239"/>
      <c r="F465" s="239"/>
      <c r="G465" s="240"/>
      <c r="H465" s="241"/>
      <c r="I465" s="231"/>
      <c r="J465" s="231"/>
      <c r="K465" s="232"/>
      <c r="L465" s="232"/>
      <c r="M465" s="233"/>
      <c r="N465" s="233"/>
      <c r="O465" s="234"/>
      <c r="P465" s="234"/>
      <c r="Q465" s="235"/>
      <c r="R465" s="235"/>
      <c r="S465" s="236"/>
      <c r="T465" s="236"/>
      <c r="U465" s="231"/>
      <c r="V465" s="231"/>
      <c r="W465" s="232"/>
      <c r="X465" s="232"/>
      <c r="Y465" s="233"/>
      <c r="Z465" s="233"/>
      <c r="AA465" s="234"/>
      <c r="AB465" s="234"/>
      <c r="AC465" s="235"/>
      <c r="AD465" s="235"/>
      <c r="AE465" s="236"/>
      <c r="AF465" s="236"/>
      <c r="AG465" s="67"/>
      <c r="AH465" s="68"/>
      <c r="AI465" s="69"/>
      <c r="AJ465" s="71"/>
    </row>
    <row r="466" spans="1:36" s="22" customFormat="1" x14ac:dyDescent="0.25">
      <c r="A466" s="28" t="str">
        <f>IF(H466&lt;&gt;"",MAX($A$7:A465)+1,"")</f>
        <v/>
      </c>
      <c r="B466" s="243" t="str">
        <f t="shared" si="43"/>
        <v/>
      </c>
      <c r="C466" s="96" t="str">
        <f t="shared" si="44"/>
        <v/>
      </c>
      <c r="D466" s="238"/>
      <c r="E466" s="239"/>
      <c r="F466" s="239"/>
      <c r="G466" s="240"/>
      <c r="H466" s="241"/>
      <c r="I466" s="231"/>
      <c r="J466" s="231"/>
      <c r="K466" s="232"/>
      <c r="L466" s="232"/>
      <c r="M466" s="233"/>
      <c r="N466" s="233"/>
      <c r="O466" s="234"/>
      <c r="P466" s="234"/>
      <c r="Q466" s="235"/>
      <c r="R466" s="235"/>
      <c r="S466" s="236"/>
      <c r="T466" s="236"/>
      <c r="U466" s="231"/>
      <c r="V466" s="231"/>
      <c r="W466" s="232"/>
      <c r="X466" s="232"/>
      <c r="Y466" s="233"/>
      <c r="Z466" s="233"/>
      <c r="AA466" s="234"/>
      <c r="AB466" s="234"/>
      <c r="AC466" s="235"/>
      <c r="AD466" s="235"/>
      <c r="AE466" s="236"/>
      <c r="AF466" s="236"/>
      <c r="AG466" s="67"/>
      <c r="AH466" s="68"/>
      <c r="AI466" s="69"/>
      <c r="AJ466" s="71"/>
    </row>
    <row r="467" spans="1:36" s="22" customFormat="1" x14ac:dyDescent="0.25">
      <c r="A467" s="28" t="str">
        <f>IF(H467&lt;&gt;"",MAX($A$7:A466)+1,"")</f>
        <v/>
      </c>
      <c r="B467" s="243" t="str">
        <f t="shared" si="43"/>
        <v/>
      </c>
      <c r="C467" s="96" t="str">
        <f t="shared" si="44"/>
        <v/>
      </c>
      <c r="D467" s="238"/>
      <c r="E467" s="239"/>
      <c r="F467" s="239"/>
      <c r="G467" s="240"/>
      <c r="H467" s="241"/>
      <c r="I467" s="231"/>
      <c r="J467" s="231"/>
      <c r="K467" s="232"/>
      <c r="L467" s="232"/>
      <c r="M467" s="233"/>
      <c r="N467" s="233"/>
      <c r="O467" s="234"/>
      <c r="P467" s="234"/>
      <c r="Q467" s="235"/>
      <c r="R467" s="235"/>
      <c r="S467" s="236"/>
      <c r="T467" s="236"/>
      <c r="U467" s="231"/>
      <c r="V467" s="231"/>
      <c r="W467" s="232"/>
      <c r="X467" s="232"/>
      <c r="Y467" s="233"/>
      <c r="Z467" s="233"/>
      <c r="AA467" s="234"/>
      <c r="AB467" s="234"/>
      <c r="AC467" s="235"/>
      <c r="AD467" s="235"/>
      <c r="AE467" s="236"/>
      <c r="AF467" s="236"/>
      <c r="AG467" s="67"/>
      <c r="AH467" s="68"/>
      <c r="AI467" s="69"/>
      <c r="AJ467" s="71"/>
    </row>
    <row r="468" spans="1:36" s="22" customFormat="1" x14ac:dyDescent="0.25">
      <c r="A468" s="28" t="str">
        <f>IF(H468&lt;&gt;"",MAX($A$7:A467)+1,"")</f>
        <v/>
      </c>
      <c r="B468" s="243" t="str">
        <f t="shared" si="43"/>
        <v/>
      </c>
      <c r="C468" s="96" t="str">
        <f t="shared" si="44"/>
        <v/>
      </c>
      <c r="D468" s="238"/>
      <c r="E468" s="239"/>
      <c r="F468" s="239"/>
      <c r="G468" s="240"/>
      <c r="H468" s="241"/>
      <c r="I468" s="231"/>
      <c r="J468" s="231"/>
      <c r="K468" s="232"/>
      <c r="L468" s="232"/>
      <c r="M468" s="233"/>
      <c r="N468" s="233"/>
      <c r="O468" s="234"/>
      <c r="P468" s="234"/>
      <c r="Q468" s="235"/>
      <c r="R468" s="235"/>
      <c r="S468" s="236"/>
      <c r="T468" s="236"/>
      <c r="U468" s="231"/>
      <c r="V468" s="231"/>
      <c r="W468" s="232"/>
      <c r="X468" s="232"/>
      <c r="Y468" s="233"/>
      <c r="Z468" s="233"/>
      <c r="AA468" s="234"/>
      <c r="AB468" s="234"/>
      <c r="AC468" s="235"/>
      <c r="AD468" s="235"/>
      <c r="AE468" s="236"/>
      <c r="AF468" s="236"/>
      <c r="AG468" s="67"/>
      <c r="AH468" s="68"/>
      <c r="AI468" s="69"/>
      <c r="AJ468" s="71"/>
    </row>
    <row r="469" spans="1:36" s="22" customFormat="1" x14ac:dyDescent="0.25">
      <c r="A469" s="28" t="str">
        <f>IF(H469&lt;&gt;"",MAX($A$7:A468)+1,"")</f>
        <v/>
      </c>
      <c r="B469" s="243" t="str">
        <f t="shared" si="43"/>
        <v/>
      </c>
      <c r="C469" s="96" t="str">
        <f t="shared" si="44"/>
        <v/>
      </c>
      <c r="D469" s="238"/>
      <c r="E469" s="239"/>
      <c r="F469" s="239"/>
      <c r="G469" s="240"/>
      <c r="H469" s="241"/>
      <c r="I469" s="231"/>
      <c r="J469" s="231"/>
      <c r="K469" s="232"/>
      <c r="L469" s="232"/>
      <c r="M469" s="233"/>
      <c r="N469" s="233"/>
      <c r="O469" s="234"/>
      <c r="P469" s="234"/>
      <c r="Q469" s="235"/>
      <c r="R469" s="235"/>
      <c r="S469" s="236"/>
      <c r="T469" s="236"/>
      <c r="U469" s="231"/>
      <c r="V469" s="231"/>
      <c r="W469" s="232"/>
      <c r="X469" s="232"/>
      <c r="Y469" s="233"/>
      <c r="Z469" s="233"/>
      <c r="AA469" s="234"/>
      <c r="AB469" s="234"/>
      <c r="AC469" s="235"/>
      <c r="AD469" s="235"/>
      <c r="AE469" s="236"/>
      <c r="AF469" s="236"/>
      <c r="AG469" s="67"/>
      <c r="AH469" s="68"/>
      <c r="AI469" s="69"/>
      <c r="AJ469" s="71"/>
    </row>
    <row r="470" spans="1:36" s="22" customFormat="1" x14ac:dyDescent="0.25">
      <c r="A470" s="28" t="str">
        <f>IF(H470&lt;&gt;"",MAX($A$7:A469)+1,"")</f>
        <v/>
      </c>
      <c r="B470" s="243" t="str">
        <f t="shared" si="43"/>
        <v/>
      </c>
      <c r="C470" s="96" t="str">
        <f t="shared" si="44"/>
        <v/>
      </c>
      <c r="D470" s="238"/>
      <c r="E470" s="239"/>
      <c r="F470" s="239"/>
      <c r="G470" s="240"/>
      <c r="H470" s="241"/>
      <c r="I470" s="231"/>
      <c r="J470" s="231"/>
      <c r="K470" s="232"/>
      <c r="L470" s="232"/>
      <c r="M470" s="233"/>
      <c r="N470" s="233"/>
      <c r="O470" s="234"/>
      <c r="P470" s="234"/>
      <c r="Q470" s="235"/>
      <c r="R470" s="235"/>
      <c r="S470" s="236"/>
      <c r="T470" s="236"/>
      <c r="U470" s="231"/>
      <c r="V470" s="231"/>
      <c r="W470" s="232"/>
      <c r="X470" s="232"/>
      <c r="Y470" s="233"/>
      <c r="Z470" s="233"/>
      <c r="AA470" s="234"/>
      <c r="AB470" s="234"/>
      <c r="AC470" s="235"/>
      <c r="AD470" s="235"/>
      <c r="AE470" s="236"/>
      <c r="AF470" s="236"/>
      <c r="AG470" s="67"/>
      <c r="AH470" s="68"/>
      <c r="AI470" s="69"/>
      <c r="AJ470" s="71"/>
    </row>
    <row r="471" spans="1:36" s="22" customFormat="1" x14ac:dyDescent="0.25">
      <c r="A471" s="28" t="str">
        <f>IF(H471&lt;&gt;"",MAX($A$7:A470)+1,"")</f>
        <v/>
      </c>
      <c r="B471" s="243" t="str">
        <f t="shared" si="43"/>
        <v/>
      </c>
      <c r="C471" s="96" t="str">
        <f t="shared" si="44"/>
        <v/>
      </c>
      <c r="D471" s="238"/>
      <c r="E471" s="239"/>
      <c r="F471" s="239"/>
      <c r="G471" s="240"/>
      <c r="H471" s="241"/>
      <c r="I471" s="231"/>
      <c r="J471" s="231"/>
      <c r="K471" s="232"/>
      <c r="L471" s="232"/>
      <c r="M471" s="233"/>
      <c r="N471" s="233"/>
      <c r="O471" s="234"/>
      <c r="P471" s="234"/>
      <c r="Q471" s="235"/>
      <c r="R471" s="235"/>
      <c r="S471" s="236"/>
      <c r="T471" s="236"/>
      <c r="U471" s="231"/>
      <c r="V471" s="231"/>
      <c r="W471" s="232"/>
      <c r="X471" s="232"/>
      <c r="Y471" s="233"/>
      <c r="Z471" s="233"/>
      <c r="AA471" s="234"/>
      <c r="AB471" s="234"/>
      <c r="AC471" s="235"/>
      <c r="AD471" s="235"/>
      <c r="AE471" s="236"/>
      <c r="AF471" s="236"/>
      <c r="AG471" s="67"/>
      <c r="AH471" s="68"/>
      <c r="AI471" s="69"/>
      <c r="AJ471" s="71"/>
    </row>
    <row r="472" spans="1:36" s="22" customFormat="1" x14ac:dyDescent="0.25">
      <c r="A472" s="28" t="str">
        <f>IF(H472&lt;&gt;"",MAX($A$7:A471)+1,"")</f>
        <v/>
      </c>
      <c r="B472" s="243" t="str">
        <f t="shared" si="43"/>
        <v/>
      </c>
      <c r="C472" s="96" t="str">
        <f t="shared" si="44"/>
        <v/>
      </c>
      <c r="D472" s="238"/>
      <c r="E472" s="239"/>
      <c r="F472" s="239"/>
      <c r="G472" s="240"/>
      <c r="H472" s="241"/>
      <c r="I472" s="231"/>
      <c r="J472" s="231"/>
      <c r="K472" s="232"/>
      <c r="L472" s="232"/>
      <c r="M472" s="233"/>
      <c r="N472" s="233"/>
      <c r="O472" s="234"/>
      <c r="P472" s="234"/>
      <c r="Q472" s="235"/>
      <c r="R472" s="235"/>
      <c r="S472" s="236"/>
      <c r="T472" s="236"/>
      <c r="U472" s="231"/>
      <c r="V472" s="231"/>
      <c r="W472" s="232"/>
      <c r="X472" s="232"/>
      <c r="Y472" s="233"/>
      <c r="Z472" s="233"/>
      <c r="AA472" s="234"/>
      <c r="AB472" s="234"/>
      <c r="AC472" s="235"/>
      <c r="AD472" s="235"/>
      <c r="AE472" s="236"/>
      <c r="AF472" s="236"/>
      <c r="AG472" s="67"/>
      <c r="AH472" s="68"/>
      <c r="AI472" s="69"/>
      <c r="AJ472" s="71"/>
    </row>
    <row r="473" spans="1:36" s="22" customFormat="1" x14ac:dyDescent="0.25">
      <c r="A473" s="28" t="str">
        <f>IF(H473&lt;&gt;"",MAX($A$7:A472)+1,"")</f>
        <v/>
      </c>
      <c r="B473" s="243" t="str">
        <f t="shared" si="43"/>
        <v/>
      </c>
      <c r="C473" s="96" t="str">
        <f t="shared" si="44"/>
        <v/>
      </c>
      <c r="D473" s="238"/>
      <c r="E473" s="239"/>
      <c r="F473" s="239"/>
      <c r="G473" s="240"/>
      <c r="H473" s="241"/>
      <c r="I473" s="231"/>
      <c r="J473" s="231"/>
      <c r="K473" s="232"/>
      <c r="L473" s="232"/>
      <c r="M473" s="233"/>
      <c r="N473" s="233"/>
      <c r="O473" s="234"/>
      <c r="P473" s="234"/>
      <c r="Q473" s="235"/>
      <c r="R473" s="235"/>
      <c r="S473" s="236"/>
      <c r="T473" s="236"/>
      <c r="U473" s="231"/>
      <c r="V473" s="231"/>
      <c r="W473" s="232"/>
      <c r="X473" s="232"/>
      <c r="Y473" s="233"/>
      <c r="Z473" s="233"/>
      <c r="AA473" s="234"/>
      <c r="AB473" s="234"/>
      <c r="AC473" s="235"/>
      <c r="AD473" s="235"/>
      <c r="AE473" s="236"/>
      <c r="AF473" s="236"/>
      <c r="AG473" s="67"/>
      <c r="AH473" s="68"/>
      <c r="AI473" s="69"/>
      <c r="AJ473" s="71"/>
    </row>
    <row r="474" spans="1:36" s="22" customFormat="1" x14ac:dyDescent="0.25">
      <c r="A474" s="28" t="str">
        <f>IF(H474&lt;&gt;"",MAX($A$7:A473)+1,"")</f>
        <v/>
      </c>
      <c r="B474" s="243" t="str">
        <f t="shared" si="43"/>
        <v/>
      </c>
      <c r="C474" s="96" t="str">
        <f t="shared" si="44"/>
        <v/>
      </c>
      <c r="D474" s="238"/>
      <c r="E474" s="239"/>
      <c r="F474" s="239"/>
      <c r="G474" s="240"/>
      <c r="H474" s="241"/>
      <c r="I474" s="231"/>
      <c r="J474" s="231"/>
      <c r="K474" s="232"/>
      <c r="L474" s="232"/>
      <c r="M474" s="233"/>
      <c r="N474" s="233"/>
      <c r="O474" s="234"/>
      <c r="P474" s="234"/>
      <c r="Q474" s="235"/>
      <c r="R474" s="235"/>
      <c r="S474" s="236"/>
      <c r="T474" s="236"/>
      <c r="U474" s="231"/>
      <c r="V474" s="231"/>
      <c r="W474" s="232"/>
      <c r="X474" s="232"/>
      <c r="Y474" s="233"/>
      <c r="Z474" s="233"/>
      <c r="AA474" s="234"/>
      <c r="AB474" s="234"/>
      <c r="AC474" s="235"/>
      <c r="AD474" s="235"/>
      <c r="AE474" s="236"/>
      <c r="AF474" s="236"/>
      <c r="AG474" s="67"/>
      <c r="AH474" s="68"/>
      <c r="AI474" s="69"/>
      <c r="AJ474" s="71"/>
    </row>
    <row r="475" spans="1:36" s="22" customFormat="1" x14ac:dyDescent="0.25">
      <c r="A475" s="28" t="str">
        <f>IF(H475&lt;&gt;"",MAX($A$7:A474)+1,"")</f>
        <v/>
      </c>
      <c r="B475" s="243" t="str">
        <f t="shared" si="43"/>
        <v/>
      </c>
      <c r="C475" s="96" t="str">
        <f t="shared" si="44"/>
        <v/>
      </c>
      <c r="D475" s="238"/>
      <c r="E475" s="239"/>
      <c r="F475" s="239"/>
      <c r="G475" s="240"/>
      <c r="H475" s="241"/>
      <c r="I475" s="231"/>
      <c r="J475" s="231"/>
      <c r="K475" s="232"/>
      <c r="L475" s="232"/>
      <c r="M475" s="233"/>
      <c r="N475" s="233"/>
      <c r="O475" s="234"/>
      <c r="P475" s="234"/>
      <c r="Q475" s="235"/>
      <c r="R475" s="235"/>
      <c r="S475" s="236"/>
      <c r="T475" s="236"/>
      <c r="U475" s="231"/>
      <c r="V475" s="231"/>
      <c r="W475" s="232"/>
      <c r="X475" s="232"/>
      <c r="Y475" s="233"/>
      <c r="Z475" s="233"/>
      <c r="AA475" s="234"/>
      <c r="AB475" s="234"/>
      <c r="AC475" s="235"/>
      <c r="AD475" s="235"/>
      <c r="AE475" s="236"/>
      <c r="AF475" s="236"/>
      <c r="AG475" s="67"/>
      <c r="AH475" s="68"/>
      <c r="AI475" s="69"/>
      <c r="AJ475" s="71"/>
    </row>
    <row r="476" spans="1:36" s="22" customFormat="1" x14ac:dyDescent="0.25">
      <c r="A476" s="28" t="str">
        <f>IF(H476&lt;&gt;"",MAX($A$7:A475)+1,"")</f>
        <v/>
      </c>
      <c r="B476" s="243" t="str">
        <f t="shared" si="43"/>
        <v/>
      </c>
      <c r="C476" s="96" t="str">
        <f t="shared" si="44"/>
        <v/>
      </c>
      <c r="D476" s="238"/>
      <c r="E476" s="239"/>
      <c r="F476" s="239"/>
      <c r="G476" s="240"/>
      <c r="H476" s="241"/>
      <c r="I476" s="231"/>
      <c r="J476" s="231"/>
      <c r="K476" s="232"/>
      <c r="L476" s="232"/>
      <c r="M476" s="233"/>
      <c r="N476" s="233"/>
      <c r="O476" s="234"/>
      <c r="P476" s="234"/>
      <c r="Q476" s="235"/>
      <c r="R476" s="235"/>
      <c r="S476" s="236"/>
      <c r="T476" s="236"/>
      <c r="U476" s="231"/>
      <c r="V476" s="231"/>
      <c r="W476" s="232"/>
      <c r="X476" s="232"/>
      <c r="Y476" s="233"/>
      <c r="Z476" s="233"/>
      <c r="AA476" s="234"/>
      <c r="AB476" s="234"/>
      <c r="AC476" s="235"/>
      <c r="AD476" s="235"/>
      <c r="AE476" s="236"/>
      <c r="AF476" s="236"/>
      <c r="AG476" s="67"/>
      <c r="AH476" s="68"/>
      <c r="AI476" s="69"/>
      <c r="AJ476" s="71"/>
    </row>
    <row r="477" spans="1:36" s="22" customFormat="1" x14ac:dyDescent="0.25">
      <c r="A477" s="28" t="str">
        <f>IF(H477&lt;&gt;"",MAX($A$7:A476)+1,"")</f>
        <v/>
      </c>
      <c r="B477" s="243" t="str">
        <f t="shared" si="43"/>
        <v/>
      </c>
      <c r="C477" s="96" t="str">
        <f t="shared" si="44"/>
        <v/>
      </c>
      <c r="D477" s="238"/>
      <c r="E477" s="239"/>
      <c r="F477" s="239"/>
      <c r="G477" s="240"/>
      <c r="H477" s="241"/>
      <c r="I477" s="231"/>
      <c r="J477" s="231"/>
      <c r="K477" s="232"/>
      <c r="L477" s="232"/>
      <c r="M477" s="233"/>
      <c r="N477" s="233"/>
      <c r="O477" s="234"/>
      <c r="P477" s="234"/>
      <c r="Q477" s="235"/>
      <c r="R477" s="235"/>
      <c r="S477" s="236"/>
      <c r="T477" s="236"/>
      <c r="U477" s="231"/>
      <c r="V477" s="231"/>
      <c r="W477" s="232"/>
      <c r="X477" s="232"/>
      <c r="Y477" s="233"/>
      <c r="Z477" s="233"/>
      <c r="AA477" s="234"/>
      <c r="AB477" s="234"/>
      <c r="AC477" s="235"/>
      <c r="AD477" s="235"/>
      <c r="AE477" s="236"/>
      <c r="AF477" s="236"/>
      <c r="AG477" s="67"/>
      <c r="AH477" s="68"/>
      <c r="AI477" s="69"/>
      <c r="AJ477" s="71"/>
    </row>
    <row r="478" spans="1:36" s="22" customFormat="1" x14ac:dyDescent="0.25">
      <c r="A478" s="28" t="str">
        <f>IF(H478&lt;&gt;"",MAX($A$7:A477)+1,"")</f>
        <v/>
      </c>
      <c r="B478" s="243" t="str">
        <f t="shared" si="43"/>
        <v/>
      </c>
      <c r="C478" s="96" t="str">
        <f t="shared" si="44"/>
        <v/>
      </c>
      <c r="D478" s="238"/>
      <c r="E478" s="239"/>
      <c r="F478" s="239"/>
      <c r="G478" s="240"/>
      <c r="H478" s="241"/>
      <c r="I478" s="231"/>
      <c r="J478" s="231"/>
      <c r="K478" s="232"/>
      <c r="L478" s="232"/>
      <c r="M478" s="233"/>
      <c r="N478" s="233"/>
      <c r="O478" s="234"/>
      <c r="P478" s="234"/>
      <c r="Q478" s="235"/>
      <c r="R478" s="235"/>
      <c r="S478" s="236"/>
      <c r="T478" s="236"/>
      <c r="U478" s="231"/>
      <c r="V478" s="231"/>
      <c r="W478" s="232"/>
      <c r="X478" s="232"/>
      <c r="Y478" s="233"/>
      <c r="Z478" s="233"/>
      <c r="AA478" s="234"/>
      <c r="AB478" s="234"/>
      <c r="AC478" s="235"/>
      <c r="AD478" s="235"/>
      <c r="AE478" s="236"/>
      <c r="AF478" s="236"/>
      <c r="AG478" s="67"/>
      <c r="AH478" s="68"/>
      <c r="AI478" s="69"/>
      <c r="AJ478" s="71"/>
    </row>
    <row r="479" spans="1:36" s="22" customFormat="1" x14ac:dyDescent="0.25">
      <c r="A479" s="28" t="str">
        <f>IF(H479&lt;&gt;"",MAX($A$7:A478)+1,"")</f>
        <v/>
      </c>
      <c r="B479" s="243" t="str">
        <f t="shared" si="43"/>
        <v/>
      </c>
      <c r="C479" s="96" t="str">
        <f t="shared" si="44"/>
        <v/>
      </c>
      <c r="D479" s="238"/>
      <c r="E479" s="239"/>
      <c r="F479" s="239"/>
      <c r="G479" s="240"/>
      <c r="H479" s="241"/>
      <c r="I479" s="231"/>
      <c r="J479" s="231"/>
      <c r="K479" s="232"/>
      <c r="L479" s="232"/>
      <c r="M479" s="233"/>
      <c r="N479" s="233"/>
      <c r="O479" s="234"/>
      <c r="P479" s="234"/>
      <c r="Q479" s="235"/>
      <c r="R479" s="235"/>
      <c r="S479" s="236"/>
      <c r="T479" s="236"/>
      <c r="U479" s="231"/>
      <c r="V479" s="231"/>
      <c r="W479" s="232"/>
      <c r="X479" s="232"/>
      <c r="Y479" s="233"/>
      <c r="Z479" s="233"/>
      <c r="AA479" s="234"/>
      <c r="AB479" s="234"/>
      <c r="AC479" s="235"/>
      <c r="AD479" s="235"/>
      <c r="AE479" s="236"/>
      <c r="AF479" s="236"/>
      <c r="AG479" s="67"/>
      <c r="AH479" s="68"/>
      <c r="AI479" s="69"/>
      <c r="AJ479" s="71"/>
    </row>
    <row r="480" spans="1:36" s="22" customFormat="1" x14ac:dyDescent="0.25">
      <c r="A480" s="28" t="str">
        <f>IF(H480&lt;&gt;"",MAX($A$7:A479)+1,"")</f>
        <v/>
      </c>
      <c r="B480" s="243" t="str">
        <f t="shared" si="43"/>
        <v/>
      </c>
      <c r="C480" s="96" t="str">
        <f t="shared" si="44"/>
        <v/>
      </c>
      <c r="D480" s="238"/>
      <c r="E480" s="239"/>
      <c r="F480" s="239"/>
      <c r="G480" s="240"/>
      <c r="H480" s="241"/>
      <c r="I480" s="231"/>
      <c r="J480" s="231"/>
      <c r="K480" s="232"/>
      <c r="L480" s="232"/>
      <c r="M480" s="233"/>
      <c r="N480" s="233"/>
      <c r="O480" s="234"/>
      <c r="P480" s="234"/>
      <c r="Q480" s="235"/>
      <c r="R480" s="235"/>
      <c r="S480" s="236"/>
      <c r="T480" s="236"/>
      <c r="U480" s="231"/>
      <c r="V480" s="231"/>
      <c r="W480" s="232"/>
      <c r="X480" s="232"/>
      <c r="Y480" s="233"/>
      <c r="Z480" s="233"/>
      <c r="AA480" s="234"/>
      <c r="AB480" s="234"/>
      <c r="AC480" s="235"/>
      <c r="AD480" s="235"/>
      <c r="AE480" s="236"/>
      <c r="AF480" s="236"/>
      <c r="AG480" s="67"/>
      <c r="AH480" s="68"/>
      <c r="AI480" s="69"/>
      <c r="AJ480" s="71"/>
    </row>
    <row r="481" spans="1:36" s="22" customFormat="1" x14ac:dyDescent="0.25">
      <c r="A481" s="28" t="str">
        <f>IF(H481&lt;&gt;"",MAX($A$7:A480)+1,"")</f>
        <v/>
      </c>
      <c r="B481" s="243" t="str">
        <f t="shared" si="43"/>
        <v/>
      </c>
      <c r="C481" s="96" t="str">
        <f t="shared" si="44"/>
        <v/>
      </c>
      <c r="D481" s="238"/>
      <c r="E481" s="239"/>
      <c r="F481" s="239"/>
      <c r="G481" s="240"/>
      <c r="H481" s="241"/>
      <c r="I481" s="231"/>
      <c r="J481" s="231"/>
      <c r="K481" s="232"/>
      <c r="L481" s="232"/>
      <c r="M481" s="233"/>
      <c r="N481" s="233"/>
      <c r="O481" s="234"/>
      <c r="P481" s="234"/>
      <c r="Q481" s="235"/>
      <c r="R481" s="235"/>
      <c r="S481" s="236"/>
      <c r="T481" s="236"/>
      <c r="U481" s="231"/>
      <c r="V481" s="231"/>
      <c r="W481" s="232"/>
      <c r="X481" s="232"/>
      <c r="Y481" s="233"/>
      <c r="Z481" s="233"/>
      <c r="AA481" s="234"/>
      <c r="AB481" s="234"/>
      <c r="AC481" s="235"/>
      <c r="AD481" s="235"/>
      <c r="AE481" s="236"/>
      <c r="AF481" s="236"/>
      <c r="AG481" s="67"/>
      <c r="AH481" s="68"/>
      <c r="AI481" s="69"/>
      <c r="AJ481" s="71"/>
    </row>
    <row r="482" spans="1:36" s="22" customFormat="1" x14ac:dyDescent="0.25">
      <c r="A482" s="28" t="str">
        <f>IF(H482&lt;&gt;"",MAX($A$7:A481)+1,"")</f>
        <v/>
      </c>
      <c r="B482" s="243" t="str">
        <f t="shared" si="43"/>
        <v/>
      </c>
      <c r="C482" s="96" t="str">
        <f t="shared" si="44"/>
        <v/>
      </c>
      <c r="D482" s="238"/>
      <c r="E482" s="239"/>
      <c r="F482" s="239"/>
      <c r="G482" s="240"/>
      <c r="H482" s="241"/>
      <c r="I482" s="231"/>
      <c r="J482" s="231"/>
      <c r="K482" s="232"/>
      <c r="L482" s="232"/>
      <c r="M482" s="233"/>
      <c r="N482" s="233"/>
      <c r="O482" s="234"/>
      <c r="P482" s="234"/>
      <c r="Q482" s="235"/>
      <c r="R482" s="235"/>
      <c r="S482" s="236"/>
      <c r="T482" s="236"/>
      <c r="U482" s="231"/>
      <c r="V482" s="231"/>
      <c r="W482" s="232"/>
      <c r="X482" s="232"/>
      <c r="Y482" s="233"/>
      <c r="Z482" s="233"/>
      <c r="AA482" s="234"/>
      <c r="AB482" s="234"/>
      <c r="AC482" s="235"/>
      <c r="AD482" s="235"/>
      <c r="AE482" s="236"/>
      <c r="AF482" s="236"/>
      <c r="AG482" s="67"/>
      <c r="AH482" s="68"/>
      <c r="AI482" s="69"/>
      <c r="AJ482" s="71"/>
    </row>
    <row r="483" spans="1:36" s="22" customFormat="1" x14ac:dyDescent="0.25">
      <c r="A483" s="28" t="str">
        <f>IF(H483&lt;&gt;"",MAX($A$7:A482)+1,"")</f>
        <v/>
      </c>
      <c r="B483" s="243" t="str">
        <f t="shared" si="43"/>
        <v/>
      </c>
      <c r="C483" s="96" t="str">
        <f t="shared" si="44"/>
        <v/>
      </c>
      <c r="D483" s="238"/>
      <c r="E483" s="239"/>
      <c r="F483" s="239"/>
      <c r="G483" s="240"/>
      <c r="H483" s="241"/>
      <c r="I483" s="231"/>
      <c r="J483" s="231"/>
      <c r="K483" s="232"/>
      <c r="L483" s="232"/>
      <c r="M483" s="233"/>
      <c r="N483" s="233"/>
      <c r="O483" s="234"/>
      <c r="P483" s="234"/>
      <c r="Q483" s="235"/>
      <c r="R483" s="235"/>
      <c r="S483" s="236"/>
      <c r="T483" s="236"/>
      <c r="U483" s="231"/>
      <c r="V483" s="231"/>
      <c r="W483" s="232"/>
      <c r="X483" s="232"/>
      <c r="Y483" s="233"/>
      <c r="Z483" s="233"/>
      <c r="AA483" s="234"/>
      <c r="AB483" s="234"/>
      <c r="AC483" s="235"/>
      <c r="AD483" s="235"/>
      <c r="AE483" s="236"/>
      <c r="AF483" s="236"/>
      <c r="AG483" s="67"/>
      <c r="AH483" s="68"/>
      <c r="AI483" s="69"/>
      <c r="AJ483" s="71"/>
    </row>
    <row r="484" spans="1:36" s="22" customFormat="1" x14ac:dyDescent="0.25">
      <c r="A484" s="28" t="str">
        <f>IF(H484&lt;&gt;"",MAX($A$7:A483)+1,"")</f>
        <v/>
      </c>
      <c r="B484" s="243" t="str">
        <f t="shared" si="43"/>
        <v/>
      </c>
      <c r="C484" s="96" t="str">
        <f t="shared" si="44"/>
        <v/>
      </c>
      <c r="D484" s="238"/>
      <c r="E484" s="239"/>
      <c r="F484" s="239"/>
      <c r="G484" s="240"/>
      <c r="H484" s="241"/>
      <c r="I484" s="231"/>
      <c r="J484" s="231"/>
      <c r="K484" s="232"/>
      <c r="L484" s="232"/>
      <c r="M484" s="233"/>
      <c r="N484" s="233"/>
      <c r="O484" s="234"/>
      <c r="P484" s="234"/>
      <c r="Q484" s="235"/>
      <c r="R484" s="235"/>
      <c r="S484" s="236"/>
      <c r="T484" s="236"/>
      <c r="U484" s="231"/>
      <c r="V484" s="231"/>
      <c r="W484" s="232"/>
      <c r="X484" s="232"/>
      <c r="Y484" s="233"/>
      <c r="Z484" s="233"/>
      <c r="AA484" s="234"/>
      <c r="AB484" s="234"/>
      <c r="AC484" s="235"/>
      <c r="AD484" s="235"/>
      <c r="AE484" s="236"/>
      <c r="AF484" s="236"/>
      <c r="AG484" s="67"/>
      <c r="AH484" s="68"/>
      <c r="AI484" s="69"/>
      <c r="AJ484" s="71"/>
    </row>
    <row r="485" spans="1:36" s="22" customFormat="1" x14ac:dyDescent="0.25">
      <c r="A485" s="28" t="str">
        <f>IF(H485&lt;&gt;"",MAX($A$7:A484)+1,"")</f>
        <v/>
      </c>
      <c r="B485" s="243" t="str">
        <f t="shared" si="43"/>
        <v/>
      </c>
      <c r="C485" s="96" t="str">
        <f t="shared" si="44"/>
        <v/>
      </c>
      <c r="D485" s="238"/>
      <c r="E485" s="239"/>
      <c r="F485" s="239"/>
      <c r="G485" s="240"/>
      <c r="H485" s="241"/>
      <c r="I485" s="231"/>
      <c r="J485" s="231"/>
      <c r="K485" s="232"/>
      <c r="L485" s="232"/>
      <c r="M485" s="233"/>
      <c r="N485" s="233"/>
      <c r="O485" s="234"/>
      <c r="P485" s="234"/>
      <c r="Q485" s="235"/>
      <c r="R485" s="235"/>
      <c r="S485" s="236"/>
      <c r="T485" s="236"/>
      <c r="U485" s="231"/>
      <c r="V485" s="231"/>
      <c r="W485" s="232"/>
      <c r="X485" s="232"/>
      <c r="Y485" s="233"/>
      <c r="Z485" s="233"/>
      <c r="AA485" s="234"/>
      <c r="AB485" s="234"/>
      <c r="AC485" s="235"/>
      <c r="AD485" s="235"/>
      <c r="AE485" s="236"/>
      <c r="AF485" s="236"/>
      <c r="AG485" s="67"/>
      <c r="AH485" s="68"/>
      <c r="AI485" s="69"/>
      <c r="AJ485" s="71"/>
    </row>
    <row r="486" spans="1:36" s="22" customFormat="1" x14ac:dyDescent="0.25">
      <c r="A486" s="28" t="str">
        <f>IF(H486&lt;&gt;"",MAX($A$7:A485)+1,"")</f>
        <v/>
      </c>
      <c r="B486" s="243" t="str">
        <f t="shared" si="43"/>
        <v/>
      </c>
      <c r="C486" s="96" t="str">
        <f t="shared" si="44"/>
        <v/>
      </c>
      <c r="D486" s="238"/>
      <c r="E486" s="239"/>
      <c r="F486" s="239"/>
      <c r="G486" s="240"/>
      <c r="H486" s="241"/>
      <c r="I486" s="231"/>
      <c r="J486" s="231"/>
      <c r="K486" s="232"/>
      <c r="L486" s="232"/>
      <c r="M486" s="233"/>
      <c r="N486" s="233"/>
      <c r="O486" s="234"/>
      <c r="P486" s="234"/>
      <c r="Q486" s="235"/>
      <c r="R486" s="235"/>
      <c r="S486" s="236"/>
      <c r="T486" s="236"/>
      <c r="U486" s="231"/>
      <c r="V486" s="231"/>
      <c r="W486" s="232"/>
      <c r="X486" s="232"/>
      <c r="Y486" s="233"/>
      <c r="Z486" s="233"/>
      <c r="AA486" s="234"/>
      <c r="AB486" s="234"/>
      <c r="AC486" s="235"/>
      <c r="AD486" s="235"/>
      <c r="AE486" s="236"/>
      <c r="AF486" s="236"/>
      <c r="AG486" s="67"/>
      <c r="AH486" s="68"/>
      <c r="AI486" s="69"/>
      <c r="AJ486" s="71"/>
    </row>
    <row r="487" spans="1:36" s="22" customFormat="1" x14ac:dyDescent="0.25">
      <c r="A487" s="28" t="str">
        <f>IF(H487&lt;&gt;"",MAX($A$7:A486)+1,"")</f>
        <v/>
      </c>
      <c r="B487" s="243" t="str">
        <f t="shared" si="43"/>
        <v/>
      </c>
      <c r="C487" s="96" t="str">
        <f t="shared" si="44"/>
        <v/>
      </c>
      <c r="D487" s="238"/>
      <c r="E487" s="239"/>
      <c r="F487" s="239"/>
      <c r="G487" s="240"/>
      <c r="H487" s="241"/>
      <c r="I487" s="231"/>
      <c r="J487" s="231"/>
      <c r="K487" s="232"/>
      <c r="L487" s="232"/>
      <c r="M487" s="233"/>
      <c r="N487" s="233"/>
      <c r="O487" s="234"/>
      <c r="P487" s="234"/>
      <c r="Q487" s="235"/>
      <c r="R487" s="235"/>
      <c r="S487" s="236"/>
      <c r="T487" s="236"/>
      <c r="U487" s="231"/>
      <c r="V487" s="231"/>
      <c r="W487" s="232"/>
      <c r="X487" s="232"/>
      <c r="Y487" s="233"/>
      <c r="Z487" s="233"/>
      <c r="AA487" s="234"/>
      <c r="AB487" s="234"/>
      <c r="AC487" s="235"/>
      <c r="AD487" s="235"/>
      <c r="AE487" s="236"/>
      <c r="AF487" s="236"/>
      <c r="AG487" s="67"/>
      <c r="AH487" s="68"/>
      <c r="AI487" s="69"/>
      <c r="AJ487" s="71"/>
    </row>
    <row r="488" spans="1:36" s="22" customFormat="1" x14ac:dyDescent="0.25">
      <c r="A488" s="28" t="str">
        <f>IF(H488&lt;&gt;"",MAX($A$7:A487)+1,"")</f>
        <v/>
      </c>
      <c r="B488" s="243" t="str">
        <f t="shared" si="43"/>
        <v/>
      </c>
      <c r="C488" s="96" t="str">
        <f t="shared" si="44"/>
        <v/>
      </c>
      <c r="D488" s="238"/>
      <c r="E488" s="239"/>
      <c r="F488" s="239"/>
      <c r="G488" s="240"/>
      <c r="H488" s="241"/>
      <c r="I488" s="231"/>
      <c r="J488" s="231"/>
      <c r="K488" s="232"/>
      <c r="L488" s="232"/>
      <c r="M488" s="233"/>
      <c r="N488" s="233"/>
      <c r="O488" s="234"/>
      <c r="P488" s="234"/>
      <c r="Q488" s="235"/>
      <c r="R488" s="235"/>
      <c r="S488" s="236"/>
      <c r="T488" s="236"/>
      <c r="U488" s="231"/>
      <c r="V488" s="231"/>
      <c r="W488" s="232"/>
      <c r="X488" s="232"/>
      <c r="Y488" s="233"/>
      <c r="Z488" s="233"/>
      <c r="AA488" s="234"/>
      <c r="AB488" s="234"/>
      <c r="AC488" s="235"/>
      <c r="AD488" s="235"/>
      <c r="AE488" s="236"/>
      <c r="AF488" s="236"/>
      <c r="AG488" s="67"/>
      <c r="AH488" s="68"/>
      <c r="AI488" s="69"/>
      <c r="AJ488" s="71"/>
    </row>
    <row r="489" spans="1:36" s="22" customFormat="1" x14ac:dyDescent="0.25">
      <c r="A489" s="28" t="str">
        <f>IF(H489&lt;&gt;"",MAX($A$7:A488)+1,"")</f>
        <v/>
      </c>
      <c r="B489" s="243" t="str">
        <f t="shared" si="43"/>
        <v/>
      </c>
      <c r="C489" s="96" t="str">
        <f t="shared" si="44"/>
        <v/>
      </c>
      <c r="D489" s="238"/>
      <c r="E489" s="239"/>
      <c r="F489" s="239"/>
      <c r="G489" s="240"/>
      <c r="H489" s="241"/>
      <c r="I489" s="231"/>
      <c r="J489" s="231"/>
      <c r="K489" s="232"/>
      <c r="L489" s="232"/>
      <c r="M489" s="233"/>
      <c r="N489" s="233"/>
      <c r="O489" s="234"/>
      <c r="P489" s="234"/>
      <c r="Q489" s="235"/>
      <c r="R489" s="235"/>
      <c r="S489" s="236"/>
      <c r="T489" s="236"/>
      <c r="U489" s="231"/>
      <c r="V489" s="231"/>
      <c r="W489" s="232"/>
      <c r="X489" s="232"/>
      <c r="Y489" s="233"/>
      <c r="Z489" s="233"/>
      <c r="AA489" s="234"/>
      <c r="AB489" s="234"/>
      <c r="AC489" s="235"/>
      <c r="AD489" s="235"/>
      <c r="AE489" s="236"/>
      <c r="AF489" s="236"/>
      <c r="AG489" s="67"/>
      <c r="AH489" s="68"/>
      <c r="AI489" s="69"/>
      <c r="AJ489" s="71"/>
    </row>
    <row r="490" spans="1:36" s="22" customFormat="1" x14ac:dyDescent="0.25">
      <c r="A490" s="28" t="str">
        <f>IF(H490&lt;&gt;"",MAX($A$7:A489)+1,"")</f>
        <v/>
      </c>
      <c r="B490" s="243" t="str">
        <f t="shared" si="43"/>
        <v/>
      </c>
      <c r="C490" s="96" t="str">
        <f t="shared" si="44"/>
        <v/>
      </c>
      <c r="D490" s="238"/>
      <c r="E490" s="239"/>
      <c r="F490" s="239"/>
      <c r="G490" s="240"/>
      <c r="H490" s="241"/>
      <c r="I490" s="231"/>
      <c r="J490" s="231"/>
      <c r="K490" s="232"/>
      <c r="L490" s="232"/>
      <c r="M490" s="233"/>
      <c r="N490" s="233"/>
      <c r="O490" s="234"/>
      <c r="P490" s="234"/>
      <c r="Q490" s="235"/>
      <c r="R490" s="235"/>
      <c r="S490" s="236"/>
      <c r="T490" s="236"/>
      <c r="U490" s="231"/>
      <c r="V490" s="231"/>
      <c r="W490" s="232"/>
      <c r="X490" s="232"/>
      <c r="Y490" s="233"/>
      <c r="Z490" s="233"/>
      <c r="AA490" s="234"/>
      <c r="AB490" s="234"/>
      <c r="AC490" s="235"/>
      <c r="AD490" s="235"/>
      <c r="AE490" s="236"/>
      <c r="AF490" s="236"/>
      <c r="AG490" s="67"/>
      <c r="AH490" s="68"/>
      <c r="AI490" s="69"/>
      <c r="AJ490" s="71"/>
    </row>
    <row r="491" spans="1:36" s="22" customFormat="1" x14ac:dyDescent="0.25">
      <c r="A491" s="28" t="str">
        <f>IF(H491&lt;&gt;"",MAX($A$7:A490)+1,"")</f>
        <v/>
      </c>
      <c r="B491" s="243" t="str">
        <f t="shared" si="43"/>
        <v/>
      </c>
      <c r="C491" s="96" t="str">
        <f t="shared" si="44"/>
        <v/>
      </c>
      <c r="D491" s="238"/>
      <c r="E491" s="239"/>
      <c r="F491" s="239"/>
      <c r="G491" s="240"/>
      <c r="H491" s="241"/>
      <c r="I491" s="231"/>
      <c r="J491" s="231"/>
      <c r="K491" s="232"/>
      <c r="L491" s="232"/>
      <c r="M491" s="233"/>
      <c r="N491" s="233"/>
      <c r="O491" s="234"/>
      <c r="P491" s="234"/>
      <c r="Q491" s="235"/>
      <c r="R491" s="235"/>
      <c r="S491" s="236"/>
      <c r="T491" s="236"/>
      <c r="U491" s="231"/>
      <c r="V491" s="231"/>
      <c r="W491" s="232"/>
      <c r="X491" s="232"/>
      <c r="Y491" s="233"/>
      <c r="Z491" s="233"/>
      <c r="AA491" s="234"/>
      <c r="AB491" s="234"/>
      <c r="AC491" s="235"/>
      <c r="AD491" s="235"/>
      <c r="AE491" s="236"/>
      <c r="AF491" s="236"/>
      <c r="AG491" s="67"/>
      <c r="AH491" s="68"/>
      <c r="AI491" s="69"/>
      <c r="AJ491" s="71"/>
    </row>
    <row r="492" spans="1:36" s="22" customFormat="1" x14ac:dyDescent="0.25">
      <c r="A492" s="28" t="str">
        <f>IF(H492&lt;&gt;"",MAX($A$7:A491)+1,"")</f>
        <v/>
      </c>
      <c r="B492" s="243" t="str">
        <f t="shared" si="43"/>
        <v/>
      </c>
      <c r="C492" s="96" t="str">
        <f t="shared" si="44"/>
        <v/>
      </c>
      <c r="D492" s="238"/>
      <c r="E492" s="239"/>
      <c r="F492" s="239"/>
      <c r="G492" s="240"/>
      <c r="H492" s="241"/>
      <c r="I492" s="231"/>
      <c r="J492" s="231"/>
      <c r="K492" s="232"/>
      <c r="L492" s="232"/>
      <c r="M492" s="233"/>
      <c r="N492" s="233"/>
      <c r="O492" s="234"/>
      <c r="P492" s="234"/>
      <c r="Q492" s="235"/>
      <c r="R492" s="235"/>
      <c r="S492" s="236"/>
      <c r="T492" s="236"/>
      <c r="U492" s="231"/>
      <c r="V492" s="231"/>
      <c r="W492" s="232"/>
      <c r="X492" s="232"/>
      <c r="Y492" s="233"/>
      <c r="Z492" s="233"/>
      <c r="AA492" s="234"/>
      <c r="AB492" s="234"/>
      <c r="AC492" s="235"/>
      <c r="AD492" s="235"/>
      <c r="AE492" s="236"/>
      <c r="AF492" s="236"/>
      <c r="AG492" s="67"/>
      <c r="AH492" s="68"/>
      <c r="AI492" s="69"/>
      <c r="AJ492" s="71"/>
    </row>
    <row r="493" spans="1:36" s="22" customFormat="1" x14ac:dyDescent="0.25">
      <c r="A493" s="28" t="str">
        <f>IF(H493&lt;&gt;"",MAX($A$7:A492)+1,"")</f>
        <v/>
      </c>
      <c r="B493" s="243" t="str">
        <f t="shared" si="43"/>
        <v/>
      </c>
      <c r="C493" s="96" t="str">
        <f t="shared" si="44"/>
        <v/>
      </c>
      <c r="D493" s="238"/>
      <c r="E493" s="239"/>
      <c r="F493" s="239"/>
      <c r="G493" s="240"/>
      <c r="H493" s="241"/>
      <c r="I493" s="231"/>
      <c r="J493" s="231"/>
      <c r="K493" s="232"/>
      <c r="L493" s="232"/>
      <c r="M493" s="233"/>
      <c r="N493" s="233"/>
      <c r="O493" s="234"/>
      <c r="P493" s="234"/>
      <c r="Q493" s="235"/>
      <c r="R493" s="235"/>
      <c r="S493" s="236"/>
      <c r="T493" s="236"/>
      <c r="U493" s="231"/>
      <c r="V493" s="231"/>
      <c r="W493" s="232"/>
      <c r="X493" s="232"/>
      <c r="Y493" s="233"/>
      <c r="Z493" s="233"/>
      <c r="AA493" s="234"/>
      <c r="AB493" s="234"/>
      <c r="AC493" s="235"/>
      <c r="AD493" s="235"/>
      <c r="AE493" s="236"/>
      <c r="AF493" s="236"/>
      <c r="AG493" s="67"/>
      <c r="AH493" s="68"/>
      <c r="AI493" s="69"/>
      <c r="AJ493" s="71"/>
    </row>
    <row r="494" spans="1:36" s="22" customFormat="1" x14ac:dyDescent="0.25">
      <c r="A494" s="28" t="str">
        <f>IF(H494&lt;&gt;"",MAX($A$7:A493)+1,"")</f>
        <v/>
      </c>
      <c r="B494" s="243" t="str">
        <f t="shared" si="43"/>
        <v/>
      </c>
      <c r="C494" s="96" t="str">
        <f t="shared" si="44"/>
        <v/>
      </c>
      <c r="D494" s="238"/>
      <c r="E494" s="239"/>
      <c r="F494" s="239"/>
      <c r="G494" s="240"/>
      <c r="H494" s="241"/>
      <c r="I494" s="231"/>
      <c r="J494" s="231"/>
      <c r="K494" s="232"/>
      <c r="L494" s="232"/>
      <c r="M494" s="233"/>
      <c r="N494" s="233"/>
      <c r="O494" s="234"/>
      <c r="P494" s="234"/>
      <c r="Q494" s="235"/>
      <c r="R494" s="235"/>
      <c r="S494" s="236"/>
      <c r="T494" s="236"/>
      <c r="U494" s="231"/>
      <c r="V494" s="231"/>
      <c r="W494" s="232"/>
      <c r="X494" s="232"/>
      <c r="Y494" s="233"/>
      <c r="Z494" s="233"/>
      <c r="AA494" s="234"/>
      <c r="AB494" s="234"/>
      <c r="AC494" s="235"/>
      <c r="AD494" s="235"/>
      <c r="AE494" s="236"/>
      <c r="AF494" s="236"/>
      <c r="AG494" s="67"/>
      <c r="AH494" s="68"/>
      <c r="AI494" s="69"/>
      <c r="AJ494" s="71"/>
    </row>
    <row r="495" spans="1:36" s="22" customFormat="1" x14ac:dyDescent="0.25">
      <c r="A495" s="28" t="str">
        <f>IF(H495&lt;&gt;"",MAX($A$7:A494)+1,"")</f>
        <v/>
      </c>
      <c r="B495" s="243" t="str">
        <f t="shared" si="43"/>
        <v/>
      </c>
      <c r="C495" s="96" t="str">
        <f t="shared" si="44"/>
        <v/>
      </c>
      <c r="D495" s="238"/>
      <c r="E495" s="239"/>
      <c r="F495" s="239"/>
      <c r="G495" s="240"/>
      <c r="H495" s="241"/>
      <c r="I495" s="231"/>
      <c r="J495" s="231"/>
      <c r="K495" s="232"/>
      <c r="L495" s="232"/>
      <c r="M495" s="233"/>
      <c r="N495" s="233"/>
      <c r="O495" s="234"/>
      <c r="P495" s="234"/>
      <c r="Q495" s="235"/>
      <c r="R495" s="235"/>
      <c r="S495" s="236"/>
      <c r="T495" s="236"/>
      <c r="U495" s="231"/>
      <c r="V495" s="231"/>
      <c r="W495" s="232"/>
      <c r="X495" s="232"/>
      <c r="Y495" s="233"/>
      <c r="Z495" s="233"/>
      <c r="AA495" s="234"/>
      <c r="AB495" s="234"/>
      <c r="AC495" s="235"/>
      <c r="AD495" s="235"/>
      <c r="AE495" s="236"/>
      <c r="AF495" s="236"/>
      <c r="AG495" s="67"/>
      <c r="AH495" s="68"/>
      <c r="AI495" s="69"/>
      <c r="AJ495" s="71"/>
    </row>
    <row r="496" spans="1:36" s="22" customFormat="1" x14ac:dyDescent="0.25">
      <c r="A496" s="28" t="str">
        <f>IF(H496&lt;&gt;"",MAX($A$7:A495)+1,"")</f>
        <v/>
      </c>
      <c r="B496" s="243" t="str">
        <f t="shared" si="43"/>
        <v/>
      </c>
      <c r="C496" s="96" t="str">
        <f t="shared" si="44"/>
        <v/>
      </c>
      <c r="D496" s="238"/>
      <c r="E496" s="239"/>
      <c r="F496" s="239"/>
      <c r="G496" s="240"/>
      <c r="H496" s="241"/>
      <c r="I496" s="231"/>
      <c r="J496" s="231"/>
      <c r="K496" s="232"/>
      <c r="L496" s="232"/>
      <c r="M496" s="233"/>
      <c r="N496" s="233"/>
      <c r="O496" s="234"/>
      <c r="P496" s="234"/>
      <c r="Q496" s="235"/>
      <c r="R496" s="235"/>
      <c r="S496" s="236"/>
      <c r="T496" s="236"/>
      <c r="U496" s="231"/>
      <c r="V496" s="231"/>
      <c r="W496" s="232"/>
      <c r="X496" s="232"/>
      <c r="Y496" s="233"/>
      <c r="Z496" s="233"/>
      <c r="AA496" s="234"/>
      <c r="AB496" s="234"/>
      <c r="AC496" s="235"/>
      <c r="AD496" s="235"/>
      <c r="AE496" s="236"/>
      <c r="AF496" s="236"/>
      <c r="AG496" s="67"/>
      <c r="AH496" s="68"/>
      <c r="AI496" s="69"/>
      <c r="AJ496" s="71"/>
    </row>
    <row r="497" spans="1:36" s="22" customFormat="1" x14ac:dyDescent="0.25">
      <c r="A497" s="28" t="str">
        <f>IF(H497&lt;&gt;"",MAX($A$7:A496)+1,"")</f>
        <v/>
      </c>
      <c r="B497" s="243" t="str">
        <f t="shared" si="43"/>
        <v/>
      </c>
      <c r="C497" s="96" t="str">
        <f t="shared" si="44"/>
        <v/>
      </c>
      <c r="D497" s="238"/>
      <c r="E497" s="239"/>
      <c r="F497" s="239"/>
      <c r="G497" s="240"/>
      <c r="H497" s="241"/>
      <c r="I497" s="231"/>
      <c r="J497" s="231"/>
      <c r="K497" s="232"/>
      <c r="L497" s="232"/>
      <c r="M497" s="233"/>
      <c r="N497" s="233"/>
      <c r="O497" s="234"/>
      <c r="P497" s="234"/>
      <c r="Q497" s="235"/>
      <c r="R497" s="235"/>
      <c r="S497" s="236"/>
      <c r="T497" s="236"/>
      <c r="U497" s="231"/>
      <c r="V497" s="231"/>
      <c r="W497" s="232"/>
      <c r="X497" s="232"/>
      <c r="Y497" s="233"/>
      <c r="Z497" s="233"/>
      <c r="AA497" s="234"/>
      <c r="AB497" s="234"/>
      <c r="AC497" s="235"/>
      <c r="AD497" s="235"/>
      <c r="AE497" s="236"/>
      <c r="AF497" s="236"/>
      <c r="AG497" s="67"/>
      <c r="AH497" s="68"/>
      <c r="AI497" s="69"/>
      <c r="AJ497" s="71"/>
    </row>
    <row r="498" spans="1:36" s="22" customFormat="1" x14ac:dyDescent="0.25">
      <c r="A498" s="28" t="str">
        <f>IF(H498&lt;&gt;"",MAX($A$7:A497)+1,"")</f>
        <v/>
      </c>
      <c r="B498" s="243" t="str">
        <f t="shared" si="43"/>
        <v/>
      </c>
      <c r="C498" s="96" t="str">
        <f t="shared" si="44"/>
        <v/>
      </c>
      <c r="D498" s="238"/>
      <c r="E498" s="239"/>
      <c r="F498" s="239"/>
      <c r="G498" s="240"/>
      <c r="H498" s="241"/>
      <c r="I498" s="231"/>
      <c r="J498" s="231"/>
      <c r="K498" s="232"/>
      <c r="L498" s="232"/>
      <c r="M498" s="233"/>
      <c r="N498" s="233"/>
      <c r="O498" s="234"/>
      <c r="P498" s="234"/>
      <c r="Q498" s="235"/>
      <c r="R498" s="235"/>
      <c r="S498" s="236"/>
      <c r="T498" s="236"/>
      <c r="U498" s="231"/>
      <c r="V498" s="231"/>
      <c r="W498" s="232"/>
      <c r="X498" s="232"/>
      <c r="Y498" s="233"/>
      <c r="Z498" s="233"/>
      <c r="AA498" s="234"/>
      <c r="AB498" s="234"/>
      <c r="AC498" s="235"/>
      <c r="AD498" s="235"/>
      <c r="AE498" s="236"/>
      <c r="AF498" s="236"/>
      <c r="AG498" s="67"/>
      <c r="AH498" s="68"/>
      <c r="AI498" s="69"/>
      <c r="AJ498" s="71"/>
    </row>
    <row r="499" spans="1:36" s="22" customFormat="1" x14ac:dyDescent="0.25">
      <c r="A499" s="28" t="str">
        <f>IF(H499&lt;&gt;"",MAX($A$7:A498)+1,"")</f>
        <v/>
      </c>
      <c r="B499" s="243" t="str">
        <f t="shared" si="43"/>
        <v/>
      </c>
      <c r="C499" s="96" t="str">
        <f t="shared" si="44"/>
        <v/>
      </c>
      <c r="D499" s="238"/>
      <c r="E499" s="239"/>
      <c r="F499" s="239"/>
      <c r="G499" s="240"/>
      <c r="H499" s="241"/>
      <c r="I499" s="231"/>
      <c r="J499" s="231"/>
      <c r="K499" s="232"/>
      <c r="L499" s="232"/>
      <c r="M499" s="233"/>
      <c r="N499" s="233"/>
      <c r="O499" s="234"/>
      <c r="P499" s="234"/>
      <c r="Q499" s="235"/>
      <c r="R499" s="235"/>
      <c r="S499" s="236"/>
      <c r="T499" s="236"/>
      <c r="U499" s="231"/>
      <c r="V499" s="231"/>
      <c r="W499" s="232"/>
      <c r="X499" s="232"/>
      <c r="Y499" s="233"/>
      <c r="Z499" s="233"/>
      <c r="AA499" s="234"/>
      <c r="AB499" s="234"/>
      <c r="AC499" s="235"/>
      <c r="AD499" s="235"/>
      <c r="AE499" s="236"/>
      <c r="AF499" s="236"/>
      <c r="AG499" s="67"/>
      <c r="AH499" s="68"/>
      <c r="AI499" s="69"/>
      <c r="AJ499" s="71"/>
    </row>
    <row r="500" spans="1:36" s="22" customFormat="1" x14ac:dyDescent="0.25">
      <c r="A500" s="28" t="str">
        <f>IF(H500&lt;&gt;"",MAX($A$7:A499)+1,"")</f>
        <v/>
      </c>
      <c r="B500" s="243" t="str">
        <f t="shared" si="43"/>
        <v/>
      </c>
      <c r="C500" s="96" t="str">
        <f t="shared" si="44"/>
        <v/>
      </c>
      <c r="D500" s="238"/>
      <c r="E500" s="239"/>
      <c r="F500" s="239"/>
      <c r="G500" s="240"/>
      <c r="H500" s="241"/>
      <c r="I500" s="231"/>
      <c r="J500" s="231"/>
      <c r="K500" s="232"/>
      <c r="L500" s="232"/>
      <c r="M500" s="233"/>
      <c r="N500" s="233"/>
      <c r="O500" s="234"/>
      <c r="P500" s="234"/>
      <c r="Q500" s="235"/>
      <c r="R500" s="235"/>
      <c r="S500" s="236"/>
      <c r="T500" s="236"/>
      <c r="U500" s="231"/>
      <c r="V500" s="231"/>
      <c r="W500" s="232"/>
      <c r="X500" s="232"/>
      <c r="Y500" s="233"/>
      <c r="Z500" s="233"/>
      <c r="AA500" s="234"/>
      <c r="AB500" s="234"/>
      <c r="AC500" s="235"/>
      <c r="AD500" s="235"/>
      <c r="AE500" s="236"/>
      <c r="AF500" s="236"/>
      <c r="AG500" s="67"/>
      <c r="AH500" s="68"/>
      <c r="AI500" s="69"/>
      <c r="AJ500" s="71"/>
    </row>
    <row r="501" spans="1:36" s="22" customFormat="1" x14ac:dyDescent="0.25">
      <c r="A501" s="28" t="str">
        <f>IF(H501&lt;&gt;"",MAX($A$7:A500)+1,"")</f>
        <v/>
      </c>
      <c r="B501" s="243" t="str">
        <f t="shared" si="43"/>
        <v/>
      </c>
      <c r="C501" s="96" t="str">
        <f t="shared" si="44"/>
        <v/>
      </c>
      <c r="D501" s="238"/>
      <c r="E501" s="239"/>
      <c r="F501" s="239"/>
      <c r="G501" s="240"/>
      <c r="H501" s="241"/>
      <c r="I501" s="231"/>
      <c r="J501" s="231"/>
      <c r="K501" s="232"/>
      <c r="L501" s="232"/>
      <c r="M501" s="233"/>
      <c r="N501" s="233"/>
      <c r="O501" s="234"/>
      <c r="P501" s="234"/>
      <c r="Q501" s="235"/>
      <c r="R501" s="235"/>
      <c r="S501" s="236"/>
      <c r="T501" s="236"/>
      <c r="U501" s="231"/>
      <c r="V501" s="231"/>
      <c r="W501" s="232"/>
      <c r="X501" s="232"/>
      <c r="Y501" s="233"/>
      <c r="Z501" s="233"/>
      <c r="AA501" s="234"/>
      <c r="AB501" s="234"/>
      <c r="AC501" s="235"/>
      <c r="AD501" s="235"/>
      <c r="AE501" s="236"/>
      <c r="AF501" s="236"/>
      <c r="AG501" s="67"/>
      <c r="AH501" s="68"/>
      <c r="AI501" s="69"/>
      <c r="AJ501" s="71"/>
    </row>
    <row r="502" spans="1:36" s="22" customFormat="1" x14ac:dyDescent="0.25">
      <c r="A502" s="28" t="str">
        <f>IF(H502&lt;&gt;"",MAX($A$7:A501)+1,"")</f>
        <v/>
      </c>
      <c r="B502" s="243" t="str">
        <f t="shared" si="43"/>
        <v/>
      </c>
      <c r="C502" s="96" t="str">
        <f t="shared" si="44"/>
        <v/>
      </c>
      <c r="D502" s="238"/>
      <c r="E502" s="239"/>
      <c r="F502" s="239"/>
      <c r="G502" s="240"/>
      <c r="H502" s="241"/>
      <c r="I502" s="231"/>
      <c r="J502" s="231"/>
      <c r="K502" s="232"/>
      <c r="L502" s="232"/>
      <c r="M502" s="233"/>
      <c r="N502" s="233"/>
      <c r="O502" s="234"/>
      <c r="P502" s="234"/>
      <c r="Q502" s="235"/>
      <c r="R502" s="235"/>
      <c r="S502" s="236"/>
      <c r="T502" s="236"/>
      <c r="U502" s="231"/>
      <c r="V502" s="231"/>
      <c r="W502" s="232"/>
      <c r="X502" s="232"/>
      <c r="Y502" s="233"/>
      <c r="Z502" s="233"/>
      <c r="AA502" s="234"/>
      <c r="AB502" s="234"/>
      <c r="AC502" s="235"/>
      <c r="AD502" s="235"/>
      <c r="AE502" s="236"/>
      <c r="AF502" s="236"/>
      <c r="AG502" s="67"/>
      <c r="AH502" s="68"/>
      <c r="AI502" s="69"/>
      <c r="AJ502" s="71"/>
    </row>
    <row r="503" spans="1:36" s="22" customFormat="1" x14ac:dyDescent="0.25">
      <c r="A503" s="28" t="str">
        <f>IF(H503&lt;&gt;"",MAX($A$7:A502)+1,"")</f>
        <v/>
      </c>
      <c r="B503" s="243" t="str">
        <f t="shared" si="43"/>
        <v/>
      </c>
      <c r="C503" s="96" t="str">
        <f t="shared" si="44"/>
        <v/>
      </c>
      <c r="D503" s="238"/>
      <c r="E503" s="239"/>
      <c r="F503" s="239"/>
      <c r="G503" s="240"/>
      <c r="H503" s="241"/>
      <c r="I503" s="231"/>
      <c r="J503" s="231"/>
      <c r="K503" s="232"/>
      <c r="L503" s="232"/>
      <c r="M503" s="233"/>
      <c r="N503" s="233"/>
      <c r="O503" s="234"/>
      <c r="P503" s="234"/>
      <c r="Q503" s="235"/>
      <c r="R503" s="235"/>
      <c r="S503" s="236"/>
      <c r="T503" s="236"/>
      <c r="U503" s="231"/>
      <c r="V503" s="231"/>
      <c r="W503" s="232"/>
      <c r="X503" s="232"/>
      <c r="Y503" s="233"/>
      <c r="Z503" s="233"/>
      <c r="AA503" s="234"/>
      <c r="AB503" s="234"/>
      <c r="AC503" s="235"/>
      <c r="AD503" s="235"/>
      <c r="AE503" s="236"/>
      <c r="AF503" s="236"/>
      <c r="AG503" s="67"/>
      <c r="AH503" s="68"/>
      <c r="AI503" s="69"/>
      <c r="AJ503" s="71"/>
    </row>
    <row r="504" spans="1:36" s="22" customFormat="1" x14ac:dyDescent="0.25">
      <c r="A504" s="28" t="str">
        <f>IF(H504&lt;&gt;"",MAX($A$7:A503)+1,"")</f>
        <v/>
      </c>
      <c r="B504" s="243" t="str">
        <f t="shared" si="43"/>
        <v/>
      </c>
      <c r="C504" s="96" t="str">
        <f t="shared" si="44"/>
        <v/>
      </c>
      <c r="D504" s="238"/>
      <c r="E504" s="239"/>
      <c r="F504" s="239"/>
      <c r="G504" s="240"/>
      <c r="H504" s="241"/>
      <c r="I504" s="231"/>
      <c r="J504" s="231"/>
      <c r="K504" s="232"/>
      <c r="L504" s="232"/>
      <c r="M504" s="233"/>
      <c r="N504" s="233"/>
      <c r="O504" s="234"/>
      <c r="P504" s="234"/>
      <c r="Q504" s="235"/>
      <c r="R504" s="235"/>
      <c r="S504" s="236"/>
      <c r="T504" s="236"/>
      <c r="U504" s="231"/>
      <c r="V504" s="231"/>
      <c r="W504" s="232"/>
      <c r="X504" s="232"/>
      <c r="Y504" s="233"/>
      <c r="Z504" s="233"/>
      <c r="AA504" s="234"/>
      <c r="AB504" s="234"/>
      <c r="AC504" s="235"/>
      <c r="AD504" s="235"/>
      <c r="AE504" s="236"/>
      <c r="AF504" s="236"/>
      <c r="AG504" s="67"/>
      <c r="AH504" s="68"/>
      <c r="AI504" s="69"/>
      <c r="AJ504" s="71"/>
    </row>
    <row r="505" spans="1:36" s="22" customFormat="1" x14ac:dyDescent="0.25">
      <c r="A505" s="28" t="str">
        <f>IF(H505&lt;&gt;"",MAX($A$7:A504)+1,"")</f>
        <v/>
      </c>
      <c r="B505" s="243" t="str">
        <f t="shared" si="43"/>
        <v/>
      </c>
      <c r="C505" s="96" t="str">
        <f t="shared" si="44"/>
        <v/>
      </c>
      <c r="D505" s="238"/>
      <c r="E505" s="239"/>
      <c r="F505" s="239"/>
      <c r="G505" s="240"/>
      <c r="H505" s="241"/>
      <c r="I505" s="231"/>
      <c r="J505" s="231"/>
      <c r="K505" s="232"/>
      <c r="L505" s="232"/>
      <c r="M505" s="233"/>
      <c r="N505" s="233"/>
      <c r="O505" s="234"/>
      <c r="P505" s="234"/>
      <c r="Q505" s="235"/>
      <c r="R505" s="235"/>
      <c r="S505" s="236"/>
      <c r="T505" s="236"/>
      <c r="U505" s="231"/>
      <c r="V505" s="231"/>
      <c r="W505" s="232"/>
      <c r="X505" s="232"/>
      <c r="Y505" s="233"/>
      <c r="Z505" s="233"/>
      <c r="AA505" s="234"/>
      <c r="AB505" s="234"/>
      <c r="AC505" s="235"/>
      <c r="AD505" s="235"/>
      <c r="AE505" s="236"/>
      <c r="AF505" s="236"/>
      <c r="AG505" s="67"/>
      <c r="AH505" s="68"/>
      <c r="AI505" s="69"/>
      <c r="AJ505" s="71"/>
    </row>
    <row r="506" spans="1:36" s="22" customFormat="1" x14ac:dyDescent="0.25">
      <c r="A506" s="28" t="str">
        <f>IF(H506&lt;&gt;"",MAX($A$7:A505)+1,"")</f>
        <v/>
      </c>
      <c r="B506" s="243" t="str">
        <f t="shared" si="43"/>
        <v/>
      </c>
      <c r="C506" s="96" t="str">
        <f t="shared" si="44"/>
        <v/>
      </c>
      <c r="D506" s="238"/>
      <c r="E506" s="239"/>
      <c r="F506" s="239"/>
      <c r="G506" s="240"/>
      <c r="H506" s="241"/>
      <c r="I506" s="231"/>
      <c r="J506" s="231"/>
      <c r="K506" s="232"/>
      <c r="L506" s="232"/>
      <c r="M506" s="233"/>
      <c r="N506" s="233"/>
      <c r="O506" s="234"/>
      <c r="P506" s="234"/>
      <c r="Q506" s="235"/>
      <c r="R506" s="235"/>
      <c r="S506" s="236"/>
      <c r="T506" s="236"/>
      <c r="U506" s="231"/>
      <c r="V506" s="231"/>
      <c r="W506" s="232"/>
      <c r="X506" s="232"/>
      <c r="Y506" s="233"/>
      <c r="Z506" s="233"/>
      <c r="AA506" s="234"/>
      <c r="AB506" s="234"/>
      <c r="AC506" s="235"/>
      <c r="AD506" s="235"/>
      <c r="AE506" s="236"/>
      <c r="AF506" s="236"/>
      <c r="AG506" s="67"/>
      <c r="AH506" s="68"/>
      <c r="AI506" s="69"/>
      <c r="AJ506" s="71"/>
    </row>
    <row r="507" spans="1:36" s="22" customFormat="1" x14ac:dyDescent="0.25">
      <c r="A507" s="28" t="str">
        <f>IF(H507&lt;&gt;"",MAX($A$7:A506)+1,"")</f>
        <v/>
      </c>
      <c r="B507" s="243" t="str">
        <f t="shared" si="43"/>
        <v/>
      </c>
      <c r="C507" s="96" t="str">
        <f t="shared" si="44"/>
        <v/>
      </c>
      <c r="D507" s="238"/>
      <c r="E507" s="239"/>
      <c r="F507" s="239"/>
      <c r="G507" s="240"/>
      <c r="H507" s="241"/>
      <c r="I507" s="231"/>
      <c r="J507" s="231"/>
      <c r="K507" s="232"/>
      <c r="L507" s="232"/>
      <c r="M507" s="233"/>
      <c r="N507" s="233"/>
      <c r="O507" s="234"/>
      <c r="P507" s="234"/>
      <c r="Q507" s="235"/>
      <c r="R507" s="235"/>
      <c r="S507" s="236"/>
      <c r="T507" s="236"/>
      <c r="U507" s="231"/>
      <c r="V507" s="231"/>
      <c r="W507" s="232"/>
      <c r="X507" s="232"/>
      <c r="Y507" s="233"/>
      <c r="Z507" s="233"/>
      <c r="AA507" s="234"/>
      <c r="AB507" s="234"/>
      <c r="AC507" s="235"/>
      <c r="AD507" s="235"/>
      <c r="AE507" s="236"/>
      <c r="AF507" s="236"/>
      <c r="AG507" s="67"/>
      <c r="AH507" s="68"/>
      <c r="AI507" s="69"/>
      <c r="AJ507" s="71"/>
    </row>
    <row r="508" spans="1:36" s="22" customFormat="1" x14ac:dyDescent="0.25">
      <c r="A508" s="28" t="str">
        <f>IF(H508&lt;&gt;"",MAX($A$7:A507)+1,"")</f>
        <v/>
      </c>
      <c r="B508" s="243" t="str">
        <f t="shared" si="43"/>
        <v/>
      </c>
      <c r="C508" s="96" t="str">
        <f t="shared" si="44"/>
        <v/>
      </c>
      <c r="D508" s="238"/>
      <c r="E508" s="239"/>
      <c r="F508" s="239"/>
      <c r="G508" s="240"/>
      <c r="H508" s="241"/>
      <c r="I508" s="231"/>
      <c r="J508" s="231"/>
      <c r="K508" s="232"/>
      <c r="L508" s="232"/>
      <c r="M508" s="233"/>
      <c r="N508" s="233"/>
      <c r="O508" s="234"/>
      <c r="P508" s="234"/>
      <c r="Q508" s="235"/>
      <c r="R508" s="235"/>
      <c r="S508" s="236"/>
      <c r="T508" s="236"/>
      <c r="U508" s="231"/>
      <c r="V508" s="231"/>
      <c r="W508" s="232"/>
      <c r="X508" s="232"/>
      <c r="Y508" s="233"/>
      <c r="Z508" s="233"/>
      <c r="AA508" s="234"/>
      <c r="AB508" s="234"/>
      <c r="AC508" s="235"/>
      <c r="AD508" s="235"/>
      <c r="AE508" s="236"/>
      <c r="AF508" s="236"/>
      <c r="AG508" s="67"/>
      <c r="AH508" s="68"/>
      <c r="AI508" s="69"/>
      <c r="AJ508" s="71"/>
    </row>
  </sheetData>
  <sheetProtection algorithmName="SHA-512" hashValue="TWiLLV3WagoduWNnalAb7It4bDHm1L8p1cXiVjxjxPMO6HkBC5ItO7YcXrbam4agCaaYtn2UGi32LbZDbetG3g==" saltValue="pobnaqIpFHx85c0GMzd48A==" spinCount="100000" sheet="1" objects="1" scenarios="1" selectLockedCells="1"/>
  <mergeCells count="1">
    <mergeCell ref="G4:H4"/>
  </mergeCells>
  <conditionalFormatting sqref="B4:D4">
    <cfRule type="expression" dxfId="57" priority="868">
      <formula>MAX($D$7:$D$156)&gt;1</formula>
    </cfRule>
  </conditionalFormatting>
  <conditionalFormatting sqref="B6:H6 C5:H5">
    <cfRule type="cellIs" dxfId="56" priority="869" operator="equal">
      <formula>""</formula>
    </cfRule>
    <cfRule type="cellIs" dxfId="55" priority="870" operator="equal">
      <formula>0</formula>
    </cfRule>
  </conditionalFormatting>
  <conditionalFormatting sqref="AG5:AJ5 I5:R5">
    <cfRule type="cellIs" dxfId="54" priority="856" stopIfTrue="1" operator="equal">
      <formula>0</formula>
    </cfRule>
  </conditionalFormatting>
  <conditionalFormatting sqref="S5:T5">
    <cfRule type="cellIs" dxfId="53" priority="860" operator="equal">
      <formula>0</formula>
    </cfRule>
  </conditionalFormatting>
  <conditionalFormatting sqref="Z5:AD5 U5:X5">
    <cfRule type="cellIs" dxfId="52" priority="859" operator="equal">
      <formula>0</formula>
    </cfRule>
  </conditionalFormatting>
  <conditionalFormatting sqref="Y5">
    <cfRule type="cellIs" dxfId="51" priority="858" operator="equal">
      <formula>0</formula>
    </cfRule>
  </conditionalFormatting>
  <conditionalFormatting sqref="AE5:AF5">
    <cfRule type="cellIs" dxfId="50" priority="857" operator="equal">
      <formula>0</formula>
    </cfRule>
  </conditionalFormatting>
  <conditionalFormatting sqref="B5">
    <cfRule type="cellIs" dxfId="49" priority="606" operator="equal">
      <formula>""</formula>
    </cfRule>
    <cfRule type="cellIs" dxfId="48" priority="607" operator="equal">
      <formula>0</formula>
    </cfRule>
  </conditionalFormatting>
  <conditionalFormatting sqref="C7:C508">
    <cfRule type="cellIs" dxfId="47" priority="10" operator="equal">
      <formula>""</formula>
    </cfRule>
    <cfRule type="cellIs" dxfId="46" priority="11" operator="equal">
      <formula>0</formula>
    </cfRule>
  </conditionalFormatting>
  <conditionalFormatting sqref="B7:B508">
    <cfRule type="cellIs" dxfId="45" priority="8" operator="equal">
      <formula>""</formula>
    </cfRule>
    <cfRule type="cellIs" dxfId="44" priority="9" operator="equal">
      <formula>0</formula>
    </cfRule>
  </conditionalFormatting>
  <conditionalFormatting sqref="D7:H508">
    <cfRule type="cellIs" dxfId="43" priority="6" operator="equal">
      <formula>""</formula>
    </cfRule>
    <cfRule type="cellIs" dxfId="42" priority="7" operator="equal">
      <formula>0</formula>
    </cfRule>
  </conditionalFormatting>
  <conditionalFormatting sqref="AG7:AJ508 I7:R508">
    <cfRule type="cellIs" dxfId="41" priority="1" stopIfTrue="1" operator="equal">
      <formula>0</formula>
    </cfRule>
  </conditionalFormatting>
  <conditionalFormatting sqref="S7:T508">
    <cfRule type="cellIs" dxfId="40" priority="5" operator="equal">
      <formula>0</formula>
    </cfRule>
  </conditionalFormatting>
  <conditionalFormatting sqref="Z7:AD508 U7:X508">
    <cfRule type="cellIs" dxfId="39" priority="4" operator="equal">
      <formula>0</formula>
    </cfRule>
  </conditionalFormatting>
  <conditionalFormatting sqref="Y7:Y508">
    <cfRule type="cellIs" dxfId="38" priority="3" operator="equal">
      <formula>0</formula>
    </cfRule>
  </conditionalFormatting>
  <conditionalFormatting sqref="AE7:AF508">
    <cfRule type="cellIs" dxfId="37"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D98"/>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77.85546875" bestFit="1" customWidth="1"/>
    <col min="2" max="2" width="7.7109375" hidden="1" customWidth="1"/>
    <col min="3" max="3" width="11.42578125" hidden="1" customWidth="1"/>
    <col min="4" max="4" width="29.7109375" hidden="1" customWidth="1"/>
  </cols>
  <sheetData>
    <row r="1" spans="1:3" x14ac:dyDescent="0.25">
      <c r="A1" s="93" t="str">
        <f>"&lt;!-- question: "&amp;'Datos E'!A2&amp;"  --&gt;"</f>
        <v>&lt;!-- question: 1  --&gt;</v>
      </c>
      <c r="B1" s="79">
        <f>COUNTA(A1:A98)-COUNTIF(A:A,"BORRAR")</f>
        <v>98</v>
      </c>
      <c r="C1" s="57"/>
    </row>
    <row r="2" spans="1:3" x14ac:dyDescent="0.25">
      <c r="A2" s="72" t="s">
        <v>161</v>
      </c>
      <c r="B2" s="72" t="s">
        <v>162</v>
      </c>
    </row>
    <row r="3" spans="1:3" x14ac:dyDescent="0.25">
      <c r="A3" t="s">
        <v>75</v>
      </c>
    </row>
    <row r="4" spans="1:3" x14ac:dyDescent="0.25">
      <c r="A4" t="e">
        <f>"      &lt;text&gt;"&amp;B4&amp;"&lt;/text&gt;"</f>
        <v>#N/A</v>
      </c>
      <c r="B4" t="e">
        <f>NOMBRE_E</f>
        <v>#N/A</v>
      </c>
    </row>
    <row r="5" spans="1:3" x14ac:dyDescent="0.25">
      <c r="A5" t="s">
        <v>77</v>
      </c>
    </row>
    <row r="6" spans="1:3" x14ac:dyDescent="0.25">
      <c r="A6" t="s">
        <v>78</v>
      </c>
    </row>
    <row r="7" spans="1:3" x14ac:dyDescent="0.25">
      <c r="A7" t="e">
        <f>"      &lt;text&gt;&lt;![CDATA[&lt;p&gt;"&amp;B7&amp;"&lt;/p&gt;]]&gt;&lt;/text&gt;"</f>
        <v>#N/A</v>
      </c>
      <c r="B7" t="e">
        <f>ENUNCIADO_E</f>
        <v>#N/A</v>
      </c>
    </row>
    <row r="8" spans="1:3" x14ac:dyDescent="0.25">
      <c r="A8" t="s">
        <v>79</v>
      </c>
    </row>
    <row r="9" spans="1:3" x14ac:dyDescent="0.25">
      <c r="A9" t="s">
        <v>80</v>
      </c>
    </row>
    <row r="10" spans="1:3" x14ac:dyDescent="0.25">
      <c r="A10" t="str">
        <f>"      &lt;text&gt;&lt;![CDATA[&lt;p&gt;"&amp;B10&amp;"&lt;/p&gt;]]&gt;&lt;/text&gt;"</f>
        <v xml:space="preserve">      &lt;text&gt;&lt;![CDATA[&lt;p&gt;Tomo no de tus respuestas&lt;/p&gt;]]&gt;&lt;/text&gt;</v>
      </c>
      <c r="B10" t="str">
        <f>Retroalim_GENERAL</f>
        <v>Tomo no de tus respuestas</v>
      </c>
    </row>
    <row r="11" spans="1:3" x14ac:dyDescent="0.25">
      <c r="A11" t="s">
        <v>82</v>
      </c>
    </row>
    <row r="12" spans="1:3" x14ac:dyDescent="0.25">
      <c r="A12" t="str">
        <f>"    &lt;defaultgrade&gt;"&amp;B12&amp;"&lt;/defaultgrade&gt;"</f>
        <v xml:space="preserve">    &lt;defaultgrade&gt;1&lt;/defaultgrade&gt;</v>
      </c>
      <c r="B12">
        <f>PUNTUACION</f>
        <v>1</v>
      </c>
    </row>
    <row r="13" spans="1:3" x14ac:dyDescent="0.25">
      <c r="A13" t="str">
        <f>"    &lt;penalty&gt;"&amp;B13&amp;"&lt;/penalty&gt;"</f>
        <v xml:space="preserve">    &lt;penalty&gt;0,333333333333333&lt;/penalty&gt;</v>
      </c>
      <c r="B13">
        <f>PENALIZACION</f>
        <v>0.33333333333333331</v>
      </c>
    </row>
    <row r="14" spans="1:3" x14ac:dyDescent="0.25">
      <c r="A14" t="s">
        <v>111</v>
      </c>
      <c r="B14">
        <f>Oculto</f>
        <v>0</v>
      </c>
    </row>
    <row r="15" spans="1:3" x14ac:dyDescent="0.25">
      <c r="A15" t="str">
        <f>"    &lt;idnumber&gt;"&amp;B15&amp;"&lt;/idnumber&gt;"</f>
        <v xml:space="preserve">    &lt;idnumber&gt;&lt;/idnumber&gt;</v>
      </c>
      <c r="B15" t="str">
        <f>IF(CONTRASEN_A="","",CONTRASEN_A)</f>
        <v/>
      </c>
    </row>
    <row r="16" spans="1:3" x14ac:dyDescent="0.25">
      <c r="A16" t="str">
        <f>"    &lt;shuffleanswers&gt;"&amp;B16&amp;"&lt;/shuffleanswers&gt;"</f>
        <v xml:space="preserve">    &lt;shuffleanswers&gt;true&lt;/shuffleanswers&gt;</v>
      </c>
      <c r="B16" t="str">
        <f>BARAJAR_R</f>
        <v>true</v>
      </c>
    </row>
    <row r="17" spans="1:4" x14ac:dyDescent="0.25">
      <c r="A17" t="s">
        <v>90</v>
      </c>
    </row>
    <row r="18" spans="1:4" x14ac:dyDescent="0.25">
      <c r="A18" t="str">
        <f>"      &lt;text&gt;&lt;![CDATA[&lt;p&gt;"&amp;B18&amp;"&lt;/p&gt;]]&gt;&lt;/text&gt;"</f>
        <v xml:space="preserve">      &lt;text&gt;&lt;![CDATA[&lt;p&gt;Respuesta correcta.&lt;/p&gt;]]&gt;&lt;/text&gt;</v>
      </c>
      <c r="B18" t="str">
        <f>R_CORRECTA</f>
        <v>Respuesta correcta.</v>
      </c>
    </row>
    <row r="19" spans="1:4" x14ac:dyDescent="0.25">
      <c r="A19" t="s">
        <v>91</v>
      </c>
    </row>
    <row r="20" spans="1:4" x14ac:dyDescent="0.25">
      <c r="A20" t="s">
        <v>92</v>
      </c>
    </row>
    <row r="21" spans="1:4" x14ac:dyDescent="0.25">
      <c r="A21" t="str">
        <f>"      &lt;text&gt;&lt;![CDATA[&lt;p&gt;"&amp;B21&amp;"&lt;/p&gt;]]&gt;&lt;/text&gt;"</f>
        <v xml:space="preserve">      &lt;text&gt;&lt;![CDATA[&lt;p&gt;Respuesta parcialmente correcta.&lt;/p&gt;]]&gt;&lt;/text&gt;</v>
      </c>
      <c r="B21" t="str">
        <f>R_Par_CORRECTA</f>
        <v>Respuesta parcialmente correcta.</v>
      </c>
    </row>
    <row r="22" spans="1:4" x14ac:dyDescent="0.25">
      <c r="A22" t="s">
        <v>93</v>
      </c>
    </row>
    <row r="23" spans="1:4" x14ac:dyDescent="0.25">
      <c r="A23" t="s">
        <v>94</v>
      </c>
    </row>
    <row r="24" spans="1:4" x14ac:dyDescent="0.25">
      <c r="A24" t="str">
        <f>"      &lt;text&gt;&lt;![CDATA[&lt;p&gt;"&amp;B24&amp;"&lt;/p&gt;]]&gt;&lt;/text&gt;"</f>
        <v xml:space="preserve">      &lt;text&gt;&lt;![CDATA[&lt;p&gt;Respuesta incorrecta.&lt;/p&gt;]]&gt;&lt;/text&gt;</v>
      </c>
      <c r="B24" t="str">
        <f>R_INCORRECTA</f>
        <v>Respuesta incorrecta.</v>
      </c>
    </row>
    <row r="25" spans="1:4" x14ac:dyDescent="0.25">
      <c r="A25" t="s">
        <v>95</v>
      </c>
    </row>
    <row r="26" spans="1:4" x14ac:dyDescent="0.25">
      <c r="A26" s="57" t="s">
        <v>97</v>
      </c>
    </row>
    <row r="27" spans="1:4" x14ac:dyDescent="0.25">
      <c r="A27" s="73" t="e">
        <f>IF(OR(B28=0,B28=""),"BORRAR",$D$27)</f>
        <v>#N/A</v>
      </c>
      <c r="B27" s="56" t="s">
        <v>163</v>
      </c>
      <c r="D27" s="74" t="s">
        <v>164</v>
      </c>
    </row>
    <row r="28" spans="1:4" x14ac:dyDescent="0.25">
      <c r="A28" t="e">
        <f>IF(A27="BORRAR","BORRAR","      &lt;text&gt;&lt;![CDATA[&lt;p&gt;"&amp;B28&amp;"&lt;/p&gt;]]&gt;&lt;/text&gt;")</f>
        <v>#N/A</v>
      </c>
      <c r="B28" s="75" t="e">
        <f>Pareja_01_1</f>
        <v>#N/A</v>
      </c>
      <c r="D28" s="76"/>
    </row>
    <row r="29" spans="1:4" x14ac:dyDescent="0.25">
      <c r="A29" t="e">
        <f>IF(A27="BORRAR","BORRAR",$D$29)</f>
        <v>#N/A</v>
      </c>
      <c r="B29" s="75"/>
      <c r="D29" s="76" t="s">
        <v>165</v>
      </c>
    </row>
    <row r="30" spans="1:4" x14ac:dyDescent="0.25">
      <c r="A30" t="e">
        <f>IF(A27="BORRAR","BORRAR","        &lt;text&gt;"&amp;B30&amp;"&lt;/text&gt;")</f>
        <v>#N/A</v>
      </c>
      <c r="B30" s="75" t="e">
        <f>Pareja_01_2</f>
        <v>#N/A</v>
      </c>
      <c r="D30" s="76"/>
    </row>
    <row r="31" spans="1:4" x14ac:dyDescent="0.25">
      <c r="A31" t="e">
        <f>IF(A27="BORRAR","BORRAR",$D$31)</f>
        <v>#N/A</v>
      </c>
      <c r="B31" s="75"/>
      <c r="D31" s="76" t="s">
        <v>166</v>
      </c>
    </row>
    <row r="32" spans="1:4" x14ac:dyDescent="0.25">
      <c r="A32" t="e">
        <f>IF(A27="BORRAR","BORRAR",$D$32)</f>
        <v>#N/A</v>
      </c>
      <c r="B32" s="75"/>
      <c r="D32" s="77" t="s">
        <v>167</v>
      </c>
    </row>
    <row r="33" spans="1:3" x14ac:dyDescent="0.25">
      <c r="A33" s="73" t="e">
        <f>IF(OR(B34=0,B34=""),"BORRAR",$D$27)</f>
        <v>#N/A</v>
      </c>
      <c r="B33" s="56" t="s">
        <v>168</v>
      </c>
      <c r="C33" s="57"/>
    </row>
    <row r="34" spans="1:3" x14ac:dyDescent="0.25">
      <c r="A34" t="e">
        <f>IF(A33="BORRAR","BORRAR","      &lt;text&gt;&lt;![CDATA[&lt;p&gt;"&amp;B34&amp;"&lt;/p&gt;]]&gt;&lt;/text&gt;")</f>
        <v>#N/A</v>
      </c>
      <c r="B34" s="75" t="e">
        <f>Pareja_02_1</f>
        <v>#N/A</v>
      </c>
    </row>
    <row r="35" spans="1:3" x14ac:dyDescent="0.25">
      <c r="A35" t="e">
        <f>IF(A33="BORRAR","BORRAR",$D$29)</f>
        <v>#N/A</v>
      </c>
      <c r="B35" s="75"/>
    </row>
    <row r="36" spans="1:3" x14ac:dyDescent="0.25">
      <c r="A36" t="e">
        <f>IF(A33="BORRAR","BORRAR","        &lt;text&gt;"&amp;B36&amp;"&lt;/text&gt;")</f>
        <v>#N/A</v>
      </c>
      <c r="B36" s="75" t="e">
        <f>Pareja_02_2</f>
        <v>#N/A</v>
      </c>
    </row>
    <row r="37" spans="1:3" x14ac:dyDescent="0.25">
      <c r="A37" t="e">
        <f>IF(A33="BORRAR","BORRAR",$D$31)</f>
        <v>#N/A</v>
      </c>
      <c r="B37" s="75"/>
    </row>
    <row r="38" spans="1:3" x14ac:dyDescent="0.25">
      <c r="A38" t="e">
        <f>IF(A33="BORRAR","BORRAR",$D$32)</f>
        <v>#N/A</v>
      </c>
      <c r="B38" s="75"/>
    </row>
    <row r="39" spans="1:3" x14ac:dyDescent="0.25">
      <c r="A39" s="78" t="e">
        <f>IF(OR(B40=0,B40=""),"BORRAR",$D$27)</f>
        <v>#N/A</v>
      </c>
      <c r="B39" s="56" t="s">
        <v>169</v>
      </c>
    </row>
    <row r="40" spans="1:3" x14ac:dyDescent="0.25">
      <c r="A40" t="e">
        <f>IF(A39="BORRAR","BORRAR","      &lt;text&gt;&lt;![CDATA[&lt;p&gt;"&amp;B40&amp;"&lt;/p&gt;]]&gt;&lt;/text&gt;")</f>
        <v>#N/A</v>
      </c>
      <c r="B40" s="75" t="e">
        <f>Pareja_03_1</f>
        <v>#N/A</v>
      </c>
    </row>
    <row r="41" spans="1:3" x14ac:dyDescent="0.25">
      <c r="A41" t="e">
        <f>IF(A39="BORRAR","BORRAR",$D$29)</f>
        <v>#N/A</v>
      </c>
      <c r="B41" s="75"/>
    </row>
    <row r="42" spans="1:3" x14ac:dyDescent="0.25">
      <c r="A42" t="e">
        <f>IF(A39="BORRAR","BORRAR","        &lt;text&gt;"&amp;B42&amp;"&lt;/text&gt;")</f>
        <v>#N/A</v>
      </c>
      <c r="B42" s="75" t="e">
        <f>Pareja_03_2</f>
        <v>#N/A</v>
      </c>
    </row>
    <row r="43" spans="1:3" x14ac:dyDescent="0.25">
      <c r="A43" t="e">
        <f>IF(A39="BORRAR","BORRAR",$D$31)</f>
        <v>#N/A</v>
      </c>
      <c r="B43" s="75"/>
    </row>
    <row r="44" spans="1:3" x14ac:dyDescent="0.25">
      <c r="A44" t="e">
        <f>IF(A39="BORRAR","BORRAR",$D$32)</f>
        <v>#N/A</v>
      </c>
      <c r="B44" s="75"/>
    </row>
    <row r="45" spans="1:3" x14ac:dyDescent="0.25">
      <c r="A45" s="78" t="e">
        <f t="shared" ref="A45" si="0">IF(OR(B46=0,B46=""),"BORRAR",$D$27)</f>
        <v>#N/A</v>
      </c>
      <c r="B45" s="56" t="s">
        <v>170</v>
      </c>
    </row>
    <row r="46" spans="1:3" x14ac:dyDescent="0.25">
      <c r="A46" t="e">
        <f t="shared" ref="A46" si="1">IF(A45="BORRAR","BORRAR","      &lt;text&gt;&lt;![CDATA[&lt;p&gt;"&amp;B46&amp;"&lt;/p&gt;]]&gt;&lt;/text&gt;")</f>
        <v>#N/A</v>
      </c>
      <c r="B46" s="75" t="e">
        <f>Pareja_04_1</f>
        <v>#N/A</v>
      </c>
    </row>
    <row r="47" spans="1:3" x14ac:dyDescent="0.25">
      <c r="A47" t="e">
        <f t="shared" ref="A47" si="2">IF(A45="BORRAR","BORRAR",$D$29)</f>
        <v>#N/A</v>
      </c>
      <c r="B47" s="75"/>
    </row>
    <row r="48" spans="1:3" x14ac:dyDescent="0.25">
      <c r="A48" t="e">
        <f t="shared" ref="A48" si="3">IF(A45="BORRAR","BORRAR","        &lt;text&gt;"&amp;B48&amp;"&lt;/text&gt;")</f>
        <v>#N/A</v>
      </c>
      <c r="B48" s="75" t="e">
        <f>Pareja_04_2</f>
        <v>#N/A</v>
      </c>
    </row>
    <row r="49" spans="1:2" x14ac:dyDescent="0.25">
      <c r="A49" t="e">
        <f t="shared" ref="A49" si="4">IF(A45="BORRAR","BORRAR",$D$31)</f>
        <v>#N/A</v>
      </c>
      <c r="B49" s="75"/>
    </row>
    <row r="50" spans="1:2" x14ac:dyDescent="0.25">
      <c r="A50" t="e">
        <f t="shared" ref="A50" si="5">IF(A45="BORRAR","BORRAR",$D$32)</f>
        <v>#N/A</v>
      </c>
      <c r="B50" s="75"/>
    </row>
    <row r="51" spans="1:2" x14ac:dyDescent="0.25">
      <c r="A51" s="78" t="e">
        <f t="shared" ref="A51" si="6">IF(OR(B52=0,B52=""),"BORRAR",$D$27)</f>
        <v>#N/A</v>
      </c>
      <c r="B51" s="56" t="s">
        <v>171</v>
      </c>
    </row>
    <row r="52" spans="1:2" x14ac:dyDescent="0.25">
      <c r="A52" t="e">
        <f t="shared" ref="A52" si="7">IF(A51="BORRAR","BORRAR","      &lt;text&gt;&lt;![CDATA[&lt;p&gt;"&amp;B52&amp;"&lt;/p&gt;]]&gt;&lt;/text&gt;")</f>
        <v>#N/A</v>
      </c>
      <c r="B52" s="75" t="e">
        <f>Pareja_05_1</f>
        <v>#N/A</v>
      </c>
    </row>
    <row r="53" spans="1:2" x14ac:dyDescent="0.25">
      <c r="A53" t="e">
        <f t="shared" ref="A53" si="8">IF(A51="BORRAR","BORRAR",$D$29)</f>
        <v>#N/A</v>
      </c>
      <c r="B53" s="75"/>
    </row>
    <row r="54" spans="1:2" x14ac:dyDescent="0.25">
      <c r="A54" t="e">
        <f t="shared" ref="A54" si="9">IF(A51="BORRAR","BORRAR","        &lt;text&gt;"&amp;B54&amp;"&lt;/text&gt;")</f>
        <v>#N/A</v>
      </c>
      <c r="B54" s="75" t="e">
        <f>Pareja_05_2</f>
        <v>#N/A</v>
      </c>
    </row>
    <row r="55" spans="1:2" x14ac:dyDescent="0.25">
      <c r="A55" t="e">
        <f t="shared" ref="A55" si="10">IF(A51="BORRAR","BORRAR",$D$31)</f>
        <v>#N/A</v>
      </c>
      <c r="B55" s="75"/>
    </row>
    <row r="56" spans="1:2" x14ac:dyDescent="0.25">
      <c r="A56" t="e">
        <f t="shared" ref="A56" si="11">IF(A51="BORRAR","BORRAR",$D$32)</f>
        <v>#N/A</v>
      </c>
      <c r="B56" s="75"/>
    </row>
    <row r="57" spans="1:2" x14ac:dyDescent="0.25">
      <c r="A57" s="78" t="e">
        <f t="shared" ref="A57" si="12">IF(OR(B58=0,B58=""),"BORRAR",$D$27)</f>
        <v>#N/A</v>
      </c>
      <c r="B57" s="56" t="s">
        <v>172</v>
      </c>
    </row>
    <row r="58" spans="1:2" x14ac:dyDescent="0.25">
      <c r="A58" t="e">
        <f t="shared" ref="A58" si="13">IF(A57="BORRAR","BORRAR","      &lt;text&gt;&lt;![CDATA[&lt;p&gt;"&amp;B58&amp;"&lt;/p&gt;]]&gt;&lt;/text&gt;")</f>
        <v>#N/A</v>
      </c>
      <c r="B58" s="75" t="e">
        <f>Pareja_06_1</f>
        <v>#N/A</v>
      </c>
    </row>
    <row r="59" spans="1:2" x14ac:dyDescent="0.25">
      <c r="A59" t="e">
        <f t="shared" ref="A59" si="14">IF(A57="BORRAR","BORRAR",$D$29)</f>
        <v>#N/A</v>
      </c>
      <c r="B59" s="75"/>
    </row>
    <row r="60" spans="1:2" x14ac:dyDescent="0.25">
      <c r="A60" t="e">
        <f t="shared" ref="A60" si="15">IF(A57="BORRAR","BORRAR","        &lt;text&gt;"&amp;B60&amp;"&lt;/text&gt;")</f>
        <v>#N/A</v>
      </c>
      <c r="B60" s="75" t="e">
        <f>Pareja_06_2</f>
        <v>#N/A</v>
      </c>
    </row>
    <row r="61" spans="1:2" x14ac:dyDescent="0.25">
      <c r="A61" t="e">
        <f t="shared" ref="A61" si="16">IF(A57="BORRAR","BORRAR",$D$31)</f>
        <v>#N/A</v>
      </c>
      <c r="B61" s="75"/>
    </row>
    <row r="62" spans="1:2" x14ac:dyDescent="0.25">
      <c r="A62" t="e">
        <f t="shared" ref="A62" si="17">IF(A57="BORRAR","BORRAR",$D$32)</f>
        <v>#N/A</v>
      </c>
      <c r="B62" s="75"/>
    </row>
    <row r="63" spans="1:2" x14ac:dyDescent="0.25">
      <c r="A63" s="78" t="e">
        <f t="shared" ref="A63" si="18">IF(OR(B64=0,B64=""),"BORRAR",$D$27)</f>
        <v>#N/A</v>
      </c>
      <c r="B63" s="56" t="s">
        <v>173</v>
      </c>
    </row>
    <row r="64" spans="1:2" x14ac:dyDescent="0.25">
      <c r="A64" t="e">
        <f t="shared" ref="A64" si="19">IF(A63="BORRAR","BORRAR","      &lt;text&gt;&lt;![CDATA[&lt;p&gt;"&amp;B64&amp;"&lt;/p&gt;]]&gt;&lt;/text&gt;")</f>
        <v>#N/A</v>
      </c>
      <c r="B64" s="75" t="e">
        <f>Pareja_07_1</f>
        <v>#N/A</v>
      </c>
    </row>
    <row r="65" spans="1:2" x14ac:dyDescent="0.25">
      <c r="A65" t="e">
        <f t="shared" ref="A65" si="20">IF(A63="BORRAR","BORRAR",$D$29)</f>
        <v>#N/A</v>
      </c>
      <c r="B65" s="75"/>
    </row>
    <row r="66" spans="1:2" x14ac:dyDescent="0.25">
      <c r="A66" t="e">
        <f t="shared" ref="A66" si="21">IF(A63="BORRAR","BORRAR","        &lt;text&gt;"&amp;B66&amp;"&lt;/text&gt;")</f>
        <v>#N/A</v>
      </c>
      <c r="B66" s="75" t="e">
        <f>Pareja_07_2</f>
        <v>#N/A</v>
      </c>
    </row>
    <row r="67" spans="1:2" x14ac:dyDescent="0.25">
      <c r="A67" t="e">
        <f t="shared" ref="A67" si="22">IF(A63="BORRAR","BORRAR",$D$31)</f>
        <v>#N/A</v>
      </c>
      <c r="B67" s="75"/>
    </row>
    <row r="68" spans="1:2" x14ac:dyDescent="0.25">
      <c r="A68" t="e">
        <f t="shared" ref="A68" si="23">IF(A63="BORRAR","BORRAR",$D$32)</f>
        <v>#N/A</v>
      </c>
      <c r="B68" s="75"/>
    </row>
    <row r="69" spans="1:2" x14ac:dyDescent="0.25">
      <c r="A69" s="78" t="e">
        <f t="shared" ref="A69" si="24">IF(OR(B70=0,B70=""),"BORRAR",$D$27)</f>
        <v>#N/A</v>
      </c>
      <c r="B69" s="56" t="s">
        <v>174</v>
      </c>
    </row>
    <row r="70" spans="1:2" x14ac:dyDescent="0.25">
      <c r="A70" t="e">
        <f t="shared" ref="A70" si="25">IF(A69="BORRAR","BORRAR","      &lt;text&gt;&lt;![CDATA[&lt;p&gt;"&amp;B70&amp;"&lt;/p&gt;]]&gt;&lt;/text&gt;")</f>
        <v>#N/A</v>
      </c>
      <c r="B70" s="75" t="e">
        <f>Pareja_08_1</f>
        <v>#N/A</v>
      </c>
    </row>
    <row r="71" spans="1:2" x14ac:dyDescent="0.25">
      <c r="A71" t="e">
        <f t="shared" ref="A71" si="26">IF(A69="BORRAR","BORRAR",$D$29)</f>
        <v>#N/A</v>
      </c>
      <c r="B71" s="75"/>
    </row>
    <row r="72" spans="1:2" x14ac:dyDescent="0.25">
      <c r="A72" t="e">
        <f t="shared" ref="A72" si="27">IF(A69="BORRAR","BORRAR","        &lt;text&gt;"&amp;B72&amp;"&lt;/text&gt;")</f>
        <v>#N/A</v>
      </c>
      <c r="B72" s="75" t="e">
        <f>Pareja_08_2</f>
        <v>#N/A</v>
      </c>
    </row>
    <row r="73" spans="1:2" x14ac:dyDescent="0.25">
      <c r="A73" t="e">
        <f t="shared" ref="A73" si="28">IF(A69="BORRAR","BORRAR",$D$31)</f>
        <v>#N/A</v>
      </c>
      <c r="B73" s="75"/>
    </row>
    <row r="74" spans="1:2" x14ac:dyDescent="0.25">
      <c r="A74" t="e">
        <f t="shared" ref="A74" si="29">IF(A69="BORRAR","BORRAR",$D$32)</f>
        <v>#N/A</v>
      </c>
      <c r="B74" s="75"/>
    </row>
    <row r="75" spans="1:2" x14ac:dyDescent="0.25">
      <c r="A75" s="78" t="e">
        <f t="shared" ref="A75" si="30">IF(OR(B76=0,B76=""),"BORRAR",$D$27)</f>
        <v>#N/A</v>
      </c>
      <c r="B75" s="56" t="s">
        <v>175</v>
      </c>
    </row>
    <row r="76" spans="1:2" x14ac:dyDescent="0.25">
      <c r="A76" t="e">
        <f t="shared" ref="A76" si="31">IF(A75="BORRAR","BORRAR","      &lt;text&gt;&lt;![CDATA[&lt;p&gt;"&amp;B76&amp;"&lt;/p&gt;]]&gt;&lt;/text&gt;")</f>
        <v>#N/A</v>
      </c>
      <c r="B76" s="75" t="e">
        <f>Pareja_09_1</f>
        <v>#N/A</v>
      </c>
    </row>
    <row r="77" spans="1:2" x14ac:dyDescent="0.25">
      <c r="A77" t="e">
        <f t="shared" ref="A77" si="32">IF(A75="BORRAR","BORRAR",$D$29)</f>
        <v>#N/A</v>
      </c>
      <c r="B77" s="75"/>
    </row>
    <row r="78" spans="1:2" x14ac:dyDescent="0.25">
      <c r="A78" t="e">
        <f t="shared" ref="A78" si="33">IF(A75="BORRAR","BORRAR","        &lt;text&gt;"&amp;B78&amp;"&lt;/text&gt;")</f>
        <v>#N/A</v>
      </c>
      <c r="B78" s="75" t="e">
        <f>Pareja_09_2</f>
        <v>#N/A</v>
      </c>
    </row>
    <row r="79" spans="1:2" x14ac:dyDescent="0.25">
      <c r="A79" t="e">
        <f t="shared" ref="A79" si="34">IF(A75="BORRAR","BORRAR",$D$31)</f>
        <v>#N/A</v>
      </c>
      <c r="B79" s="75"/>
    </row>
    <row r="80" spans="1:2" x14ac:dyDescent="0.25">
      <c r="A80" t="e">
        <f t="shared" ref="A80" si="35">IF(A75="BORRAR","BORRAR",$D$32)</f>
        <v>#N/A</v>
      </c>
      <c r="B80" s="75"/>
    </row>
    <row r="81" spans="1:2" x14ac:dyDescent="0.25">
      <c r="A81" s="78" t="e">
        <f t="shared" ref="A81" si="36">IF(OR(B82=0,B82=""),"BORRAR",$D$27)</f>
        <v>#N/A</v>
      </c>
      <c r="B81" s="56" t="s">
        <v>176</v>
      </c>
    </row>
    <row r="82" spans="1:2" x14ac:dyDescent="0.25">
      <c r="A82" t="e">
        <f t="shared" ref="A82" si="37">IF(A81="BORRAR","BORRAR","      &lt;text&gt;&lt;![CDATA[&lt;p&gt;"&amp;B82&amp;"&lt;/p&gt;]]&gt;&lt;/text&gt;")</f>
        <v>#N/A</v>
      </c>
      <c r="B82" s="75" t="e">
        <f>Pareja_10_1</f>
        <v>#N/A</v>
      </c>
    </row>
    <row r="83" spans="1:2" x14ac:dyDescent="0.25">
      <c r="A83" t="e">
        <f t="shared" ref="A83" si="38">IF(A81="BORRAR","BORRAR",$D$29)</f>
        <v>#N/A</v>
      </c>
      <c r="B83" s="75"/>
    </row>
    <row r="84" spans="1:2" x14ac:dyDescent="0.25">
      <c r="A84" t="e">
        <f t="shared" ref="A84" si="39">IF(A81="BORRAR","BORRAR","        &lt;text&gt;"&amp;B84&amp;"&lt;/text&gt;")</f>
        <v>#N/A</v>
      </c>
      <c r="B84" s="75" t="e">
        <f>Pareja_10_2</f>
        <v>#N/A</v>
      </c>
    </row>
    <row r="85" spans="1:2" x14ac:dyDescent="0.25">
      <c r="A85" t="e">
        <f t="shared" ref="A85" si="40">IF(A81="BORRAR","BORRAR",$D$31)</f>
        <v>#N/A</v>
      </c>
      <c r="B85" s="75"/>
    </row>
    <row r="86" spans="1:2" x14ac:dyDescent="0.25">
      <c r="A86" t="e">
        <f t="shared" ref="A86" si="41">IF(A81="BORRAR","BORRAR",$D$32)</f>
        <v>#N/A</v>
      </c>
      <c r="B86" s="75"/>
    </row>
    <row r="87" spans="1:2" x14ac:dyDescent="0.25">
      <c r="A87" s="78" t="e">
        <f t="shared" ref="A87" si="42">IF(OR(B88=0,B88=""),"BORRAR",$D$27)</f>
        <v>#N/A</v>
      </c>
      <c r="B87" s="56" t="s">
        <v>177</v>
      </c>
    </row>
    <row r="88" spans="1:2" x14ac:dyDescent="0.25">
      <c r="A88" t="e">
        <f t="shared" ref="A88" si="43">IF(A87="BORRAR","BORRAR","      &lt;text&gt;&lt;![CDATA[&lt;p&gt;"&amp;B88&amp;"&lt;/p&gt;]]&gt;&lt;/text&gt;")</f>
        <v>#N/A</v>
      </c>
      <c r="B88" s="75" t="e">
        <f>Pareja_11_1</f>
        <v>#N/A</v>
      </c>
    </row>
    <row r="89" spans="1:2" x14ac:dyDescent="0.25">
      <c r="A89" t="e">
        <f t="shared" ref="A89" si="44">IF(A87="BORRAR","BORRAR",$D$29)</f>
        <v>#N/A</v>
      </c>
      <c r="B89" s="75"/>
    </row>
    <row r="90" spans="1:2" x14ac:dyDescent="0.25">
      <c r="A90" t="e">
        <f t="shared" ref="A90" si="45">IF(A87="BORRAR","BORRAR","        &lt;text&gt;"&amp;B90&amp;"&lt;/text&gt;")</f>
        <v>#N/A</v>
      </c>
      <c r="B90" s="75" t="e">
        <f>Pareja_11_2</f>
        <v>#N/A</v>
      </c>
    </row>
    <row r="91" spans="1:2" x14ac:dyDescent="0.25">
      <c r="A91" t="e">
        <f t="shared" ref="A91" si="46">IF(A87="BORRAR","BORRAR",$D$31)</f>
        <v>#N/A</v>
      </c>
      <c r="B91" s="75"/>
    </row>
    <row r="92" spans="1:2" x14ac:dyDescent="0.25">
      <c r="A92" t="e">
        <f t="shared" ref="A92" si="47">IF(A87="BORRAR","BORRAR",$D$32)</f>
        <v>#N/A</v>
      </c>
      <c r="B92" s="75"/>
    </row>
    <row r="93" spans="1:2" x14ac:dyDescent="0.25">
      <c r="A93" s="78" t="e">
        <f t="shared" ref="A93" si="48">IF(OR(B94=0,B94=""),"BORRAR",$D$27)</f>
        <v>#N/A</v>
      </c>
      <c r="B93" s="56" t="s">
        <v>178</v>
      </c>
    </row>
    <row r="94" spans="1:2" x14ac:dyDescent="0.25">
      <c r="A94" t="e">
        <f t="shared" ref="A94" si="49">IF(A93="BORRAR","BORRAR","      &lt;text&gt;&lt;![CDATA[&lt;p&gt;"&amp;B94&amp;"&lt;/p&gt;]]&gt;&lt;/text&gt;")</f>
        <v>#N/A</v>
      </c>
      <c r="B94" s="75" t="e">
        <f>Pareja_12_1</f>
        <v>#N/A</v>
      </c>
    </row>
    <row r="95" spans="1:2" x14ac:dyDescent="0.25">
      <c r="A95" t="e">
        <f t="shared" ref="A95" si="50">IF(A93="BORRAR","BORRAR",$D$29)</f>
        <v>#N/A</v>
      </c>
      <c r="B95" s="75"/>
    </row>
    <row r="96" spans="1:2" x14ac:dyDescent="0.25">
      <c r="A96" t="e">
        <f t="shared" ref="A96" si="51">IF(A93="BORRAR","BORRAR","        &lt;text&gt;"&amp;B96&amp;"&lt;/text&gt;")</f>
        <v>#N/A</v>
      </c>
      <c r="B96" s="75" t="e">
        <f>Pareja_12_2</f>
        <v>#N/A</v>
      </c>
    </row>
    <row r="97" spans="1:2" x14ac:dyDescent="0.25">
      <c r="A97" t="e">
        <f t="shared" ref="A97" si="52">IF(A93="BORRAR","BORRAR",$D$31)</f>
        <v>#N/A</v>
      </c>
      <c r="B97" s="75"/>
    </row>
    <row r="98" spans="1:2" x14ac:dyDescent="0.25">
      <c r="A98" t="e">
        <f t="shared" ref="A98" si="53">IF(A93="BORRAR","BORRAR",$D$32)</f>
        <v>#N/A</v>
      </c>
      <c r="B98" s="75"/>
    </row>
  </sheetData>
  <sheetProtection algorithmName="SHA-512" hashValue="5qTnPl3d+4E/+LBIWZMdfRyiu2RKlFnWu/q27I+nB4kwWnpODNzCnksFtSe4cR8hzi/cxF5+qLV10tOMhFMJig==" saltValue="8nBWyV07yheU4mTT9KPy2g==" spinCount="100000" sheet="1" objects="1" scenarios="1" select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Z72"/>
  <sheetViews>
    <sheetView showGridLines="0" showRowColHeaders="0" zoomScale="139" zoomScaleNormal="139" workbookViewId="0">
      <pane xSplit="38" ySplit="73" topLeftCell="AM77"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6" t="str">
        <f>'Formulario OM'!A1</f>
        <v>CÓDIGOS ESPECIALES</v>
      </c>
      <c r="B1" s="443" t="str">
        <f>APP&amp;" - "&amp;Tipo_5</f>
        <v>FastTest PlugIn - Respuesta Corta</v>
      </c>
      <c r="C1" s="444"/>
      <c r="D1" s="444"/>
      <c r="E1" s="444"/>
      <c r="F1" s="444"/>
      <c r="G1" s="444"/>
      <c r="H1" s="444"/>
      <c r="I1" s="444"/>
      <c r="J1" s="444"/>
      <c r="K1" s="444"/>
      <c r="L1" s="300"/>
      <c r="M1" s="300"/>
      <c r="N1" s="300"/>
      <c r="O1" s="300"/>
      <c r="P1" s="300"/>
      <c r="Q1" s="300"/>
      <c r="R1" s="300"/>
      <c r="S1" s="300"/>
      <c r="T1" s="300"/>
      <c r="U1" s="300"/>
      <c r="V1" s="300"/>
      <c r="W1" s="300"/>
      <c r="X1" s="301"/>
      <c r="Y1" s="447" t="str">
        <f>'Formulario OM'!Y1</f>
        <v>NO USAR CORTAR [Ctrl+X]</v>
      </c>
    </row>
    <row r="2" spans="1:25" ht="20.100000000000001" customHeight="1" x14ac:dyDescent="0.25">
      <c r="A2" s="427"/>
      <c r="B2" s="445"/>
      <c r="C2" s="446"/>
      <c r="D2" s="446"/>
      <c r="E2" s="446"/>
      <c r="F2" s="446"/>
      <c r="G2" s="446"/>
      <c r="H2" s="446"/>
      <c r="I2" s="446"/>
      <c r="J2" s="446"/>
      <c r="K2" s="446"/>
      <c r="L2" s="474" t="str">
        <f>'Formulario OM'!L2</f>
        <v>DATOS
GENERALES</v>
      </c>
      <c r="M2" s="467">
        <f>'Formulario OM'!M2</f>
        <v>0</v>
      </c>
      <c r="N2" s="466" t="str">
        <f>'Formulario OM'!N2</f>
        <v>BANCO
PREGUNTAS</v>
      </c>
      <c r="O2" s="465">
        <f>'Formulario OM'!O2</f>
        <v>0</v>
      </c>
      <c r="P2" s="464" t="str">
        <f>'Formulario OM'!P2</f>
        <v>LIMPIAR
DATOS</v>
      </c>
      <c r="Q2" s="465">
        <f>'Formulario OM'!Q2</f>
        <v>0</v>
      </c>
      <c r="R2" s="464" t="str">
        <f>'Formulario OM'!R2</f>
        <v>GUARDAR
PREGUNTA</v>
      </c>
      <c r="S2" s="465">
        <f>'Formulario OM'!S2</f>
        <v>0</v>
      </c>
      <c r="T2" s="464" t="str">
        <f>'Formulario OM'!T2</f>
        <v>BORRAR
PREGUNTA</v>
      </c>
      <c r="U2" s="465">
        <f>'Formulario OM'!U2</f>
        <v>0</v>
      </c>
      <c r="V2" s="464" t="str">
        <f>'Formulario OM'!V2</f>
        <v>DAR
FORMATO</v>
      </c>
      <c r="W2" s="472">
        <f>'Formulario OM'!W2</f>
        <v>0</v>
      </c>
      <c r="X2" s="413" t="s">
        <v>372</v>
      </c>
      <c r="Y2" s="448"/>
    </row>
    <row r="3" spans="1:25"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RC'!A7</f>
        <v>41</v>
      </c>
      <c r="I5" s="157"/>
      <c r="J5" s="158"/>
      <c r="K5" s="137" t="str">
        <f>'Formulario OM'!K5</f>
        <v xml:space="preserve">Pregunta Nº: </v>
      </c>
      <c r="L5" s="174">
        <v>42</v>
      </c>
      <c r="M5" s="158"/>
      <c r="N5" s="158"/>
      <c r="O5" s="157"/>
      <c r="P5" s="157"/>
      <c r="Q5" s="156"/>
      <c r="R5" s="482" t="str">
        <f ca="1">'DATOS GENERALES'!R5</f>
        <v>Rango de preguntas almacenadas de la 0 a la 0</v>
      </c>
      <c r="S5" s="482"/>
      <c r="T5" s="482"/>
      <c r="U5" s="482"/>
      <c r="V5" s="482"/>
      <c r="W5" s="482"/>
      <c r="X5" s="139"/>
      <c r="Y5" s="329"/>
    </row>
    <row r="6" spans="1:25" ht="6" customHeight="1" x14ac:dyDescent="0.25">
      <c r="A6" s="35"/>
      <c r="B6" s="131"/>
      <c r="C6" s="132"/>
      <c r="D6" s="132"/>
      <c r="E6" s="132"/>
      <c r="F6" s="159"/>
      <c r="G6" s="159"/>
      <c r="H6" s="160">
        <f>'Datos RC'!B3</f>
        <v>2</v>
      </c>
      <c r="I6" s="161"/>
      <c r="J6" s="161"/>
      <c r="K6" s="161"/>
      <c r="L6" s="161">
        <f>N_RC</f>
        <v>42</v>
      </c>
      <c r="M6" s="161"/>
      <c r="N6" s="161"/>
      <c r="O6" s="160"/>
      <c r="P6" s="161"/>
      <c r="Q6" s="161"/>
      <c r="R6" s="161"/>
      <c r="S6" s="121"/>
      <c r="T6" s="121"/>
      <c r="U6" s="121"/>
      <c r="V6" s="160"/>
      <c r="W6" s="160"/>
      <c r="X6" s="135"/>
      <c r="Y6" s="328"/>
    </row>
    <row r="7" spans="1:25" x14ac:dyDescent="0.25">
      <c r="A7" s="324" t="str">
        <f>'Formulario OM'!A7</f>
        <v>SUPERÍNDICE</v>
      </c>
      <c r="B7" s="136"/>
      <c r="C7" s="137"/>
      <c r="D7" s="137"/>
      <c r="E7" s="137"/>
      <c r="F7" s="157"/>
      <c r="G7" s="137" t="str">
        <f>'Formulario OM'!G7</f>
        <v xml:space="preserve">Nombre de la pregunta: </v>
      </c>
      <c r="H7" s="471" t="str">
        <f>IFERROR(VLOOKUP(L5,'Datos RC'!$A$7:$AG$500,2,1),"")</f>
        <v>T01 - 41</v>
      </c>
      <c r="I7" s="471"/>
      <c r="J7" s="471"/>
      <c r="K7" s="471"/>
      <c r="L7" s="471"/>
      <c r="M7" s="471"/>
      <c r="N7" s="471"/>
      <c r="O7" s="160"/>
      <c r="P7" s="161"/>
      <c r="Q7" s="157"/>
      <c r="R7" s="157"/>
      <c r="S7" s="121"/>
      <c r="T7" s="121"/>
      <c r="U7" s="121"/>
      <c r="V7" s="157"/>
      <c r="W7" s="160"/>
      <c r="X7" s="139"/>
      <c r="Y7" s="329"/>
    </row>
    <row r="8" spans="1:25" ht="6" customHeight="1" x14ac:dyDescent="0.25">
      <c r="A8" s="36"/>
      <c r="B8" s="131"/>
      <c r="C8" s="132"/>
      <c r="D8" s="132"/>
      <c r="E8" s="132"/>
      <c r="F8" s="159"/>
      <c r="G8" s="161"/>
      <c r="H8" s="161">
        <f>'Datos RC'!G3</f>
        <v>7</v>
      </c>
      <c r="I8" s="160"/>
      <c r="J8" s="160"/>
      <c r="K8" s="160"/>
      <c r="L8" s="160"/>
      <c r="M8" s="161"/>
      <c r="N8" s="161"/>
      <c r="O8" s="121"/>
      <c r="P8" s="121"/>
      <c r="Q8" s="161"/>
      <c r="R8" s="121"/>
      <c r="S8" s="121"/>
      <c r="T8" s="121"/>
      <c r="U8" s="121"/>
      <c r="V8" s="121"/>
      <c r="W8" s="160">
        <f>'Datos RC'!F3</f>
        <v>6</v>
      </c>
      <c r="X8" s="135"/>
      <c r="Y8" s="173"/>
    </row>
    <row r="9" spans="1:25" x14ac:dyDescent="0.25">
      <c r="A9" s="324" t="str">
        <f>'Formulario OM'!A9</f>
        <v>SUBÍNDICE</v>
      </c>
      <c r="B9" s="136"/>
      <c r="C9" s="137"/>
      <c r="D9" s="137"/>
      <c r="E9" s="137"/>
      <c r="F9" s="157"/>
      <c r="G9" s="137" t="str">
        <f>'Formulario OM'!G9</f>
        <v xml:space="preserve">Descripción: </v>
      </c>
      <c r="H9" s="462"/>
      <c r="I9" s="462"/>
      <c r="J9" s="462"/>
      <c r="K9" s="462"/>
      <c r="L9" s="462"/>
      <c r="M9" s="462"/>
      <c r="N9" s="121"/>
      <c r="O9" s="164"/>
      <c r="P9" s="161"/>
      <c r="Q9" s="156"/>
      <c r="R9" s="121"/>
      <c r="S9" s="121"/>
      <c r="T9" s="121"/>
      <c r="U9" s="122"/>
      <c r="V9" s="127" t="s">
        <v>13</v>
      </c>
      <c r="W9" s="6"/>
      <c r="X9" s="139"/>
      <c r="Y9" s="330"/>
    </row>
    <row r="10" spans="1:25" ht="6" customHeight="1" x14ac:dyDescent="0.25">
      <c r="A10" s="35"/>
      <c r="B10" s="131"/>
      <c r="C10" s="132"/>
      <c r="D10" s="132"/>
      <c r="E10" s="132"/>
      <c r="F10" s="159"/>
      <c r="G10" s="159"/>
      <c r="H10" s="160">
        <f>'Datos RC'!H3</f>
        <v>8</v>
      </c>
      <c r="I10" s="161"/>
      <c r="J10" s="161"/>
      <c r="K10" s="161"/>
      <c r="L10" s="161"/>
      <c r="M10" s="161"/>
      <c r="N10" s="161"/>
      <c r="O10" s="161"/>
      <c r="P10" s="161"/>
      <c r="Q10" s="161"/>
      <c r="R10" s="161"/>
      <c r="S10" s="161"/>
      <c r="T10" s="160"/>
      <c r="U10" s="160"/>
      <c r="V10" s="160"/>
      <c r="W10" s="160"/>
      <c r="X10" s="135"/>
      <c r="Y10" s="173"/>
    </row>
    <row r="11" spans="1:25" x14ac:dyDescent="0.25">
      <c r="A11" s="324" t="str">
        <f>'Formulario OM'!A11</f>
        <v xml:space="preserve">SALTO LÍNEA </v>
      </c>
      <c r="B11" s="136"/>
      <c r="C11" s="137"/>
      <c r="D11" s="137"/>
      <c r="E11" s="137"/>
      <c r="F11" s="157"/>
      <c r="G11" s="137" t="str">
        <f>'Formulario OM'!G11</f>
        <v xml:space="preserve">Enunciado de la pregunta: </v>
      </c>
      <c r="H11" s="469"/>
      <c r="I11" s="469"/>
      <c r="J11" s="469"/>
      <c r="K11" s="469"/>
      <c r="L11" s="469"/>
      <c r="M11" s="469"/>
      <c r="N11" s="469"/>
      <c r="O11" s="469"/>
      <c r="P11" s="469"/>
      <c r="Q11" s="469"/>
      <c r="R11" s="469"/>
      <c r="S11" s="469"/>
      <c r="T11" s="469"/>
      <c r="U11" s="469"/>
      <c r="V11" s="469"/>
      <c r="W11" s="469"/>
      <c r="X11" s="139"/>
      <c r="Y11" s="330"/>
    </row>
    <row r="12" spans="1:25" ht="6" customHeight="1" thickBot="1" x14ac:dyDescent="0.3">
      <c r="A12" s="2"/>
      <c r="B12" s="131"/>
      <c r="C12" s="132"/>
      <c r="D12" s="132"/>
      <c r="E12" s="132"/>
      <c r="F12" s="160">
        <f>H10+1</f>
        <v>9</v>
      </c>
      <c r="G12" s="161"/>
      <c r="H12" s="161"/>
      <c r="I12" s="161"/>
      <c r="J12" s="161"/>
      <c r="K12" s="161"/>
      <c r="L12" s="161"/>
      <c r="M12" s="161"/>
      <c r="N12" s="161"/>
      <c r="O12" s="161"/>
      <c r="P12" s="161"/>
      <c r="Q12" s="161">
        <f>F12+1</f>
        <v>10</v>
      </c>
      <c r="R12" s="161"/>
      <c r="S12" s="161"/>
      <c r="T12" s="161">
        <f>Q12+1</f>
        <v>11</v>
      </c>
      <c r="U12" s="161"/>
      <c r="V12" s="160"/>
      <c r="W12" s="160"/>
      <c r="X12" s="135"/>
      <c r="Y12" s="173"/>
    </row>
    <row r="13" spans="1:25" x14ac:dyDescent="0.25">
      <c r="A13" s="324" t="str">
        <f>'Formulario OM'!A13</f>
        <v>CONCATENAR</v>
      </c>
      <c r="B13" s="136"/>
      <c r="C13" s="137"/>
      <c r="D13" s="137"/>
      <c r="E13" s="137" t="s">
        <v>186</v>
      </c>
      <c r="F13" s="481"/>
      <c r="G13" s="481"/>
      <c r="H13" s="481"/>
      <c r="I13" s="481"/>
      <c r="J13" s="481"/>
      <c r="K13" s="481"/>
      <c r="L13" s="481"/>
      <c r="M13" s="481"/>
      <c r="N13" s="481"/>
      <c r="O13" s="161"/>
      <c r="P13" s="166" t="s">
        <v>194</v>
      </c>
      <c r="Q13" s="332"/>
      <c r="R13" s="161"/>
      <c r="S13" s="137" t="s">
        <v>195</v>
      </c>
      <c r="T13" s="485"/>
      <c r="U13" s="485"/>
      <c r="V13" s="485"/>
      <c r="W13" s="485"/>
      <c r="X13" s="139"/>
      <c r="Y13" s="177"/>
    </row>
    <row r="14" spans="1:25" ht="6" customHeight="1" x14ac:dyDescent="0.25">
      <c r="B14" s="131"/>
      <c r="C14" s="132"/>
      <c r="D14" s="132"/>
      <c r="E14" s="132"/>
      <c r="F14" s="160">
        <f>T12+1</f>
        <v>12</v>
      </c>
      <c r="G14" s="160"/>
      <c r="H14" s="160"/>
      <c r="I14" s="160"/>
      <c r="J14" s="161"/>
      <c r="K14" s="161"/>
      <c r="L14" s="161"/>
      <c r="M14" s="161"/>
      <c r="N14" s="161"/>
      <c r="O14" s="161"/>
      <c r="P14" s="161"/>
      <c r="Q14" s="160">
        <f>F14+1</f>
        <v>13</v>
      </c>
      <c r="R14" s="161"/>
      <c r="S14" s="161"/>
      <c r="T14" s="167">
        <f>Q14+1</f>
        <v>14</v>
      </c>
      <c r="U14" s="167"/>
      <c r="V14" s="167"/>
      <c r="W14" s="167"/>
      <c r="X14" s="135"/>
      <c r="Y14" s="173"/>
    </row>
    <row r="15" spans="1:25" x14ac:dyDescent="0.25">
      <c r="B15" s="136"/>
      <c r="C15" s="137"/>
      <c r="D15" s="137"/>
      <c r="E15" s="137" t="s">
        <v>190</v>
      </c>
      <c r="F15" s="476"/>
      <c r="G15" s="476"/>
      <c r="H15" s="476"/>
      <c r="I15" s="476"/>
      <c r="J15" s="476"/>
      <c r="K15" s="476"/>
      <c r="L15" s="476"/>
      <c r="M15" s="476"/>
      <c r="N15" s="476"/>
      <c r="O15" s="161"/>
      <c r="P15" s="137" t="str">
        <f>P13</f>
        <v xml:space="preserve">Puntos: </v>
      </c>
      <c r="Q15" s="331"/>
      <c r="R15" s="161"/>
      <c r="S15" s="137" t="str">
        <f>S13</f>
        <v>Retroalim. :</v>
      </c>
      <c r="T15" s="485"/>
      <c r="U15" s="485"/>
      <c r="V15" s="485"/>
      <c r="W15" s="485"/>
      <c r="X15" s="139"/>
      <c r="Y15" s="330"/>
    </row>
    <row r="16" spans="1:25" ht="6" customHeight="1" thickBot="1" x14ac:dyDescent="0.3">
      <c r="B16" s="131"/>
      <c r="C16" s="132"/>
      <c r="D16" s="132"/>
      <c r="E16" s="132"/>
      <c r="F16" s="167">
        <f>T14+1</f>
        <v>15</v>
      </c>
      <c r="G16" s="167"/>
      <c r="H16" s="167"/>
      <c r="I16" s="167"/>
      <c r="J16" s="161"/>
      <c r="K16" s="161"/>
      <c r="L16" s="161"/>
      <c r="M16" s="161"/>
      <c r="N16" s="161"/>
      <c r="O16" s="161"/>
      <c r="P16" s="161"/>
      <c r="Q16" s="169">
        <f>F16+1</f>
        <v>16</v>
      </c>
      <c r="R16" s="161"/>
      <c r="S16" s="161"/>
      <c r="T16" s="167">
        <f>Q16+1</f>
        <v>17</v>
      </c>
      <c r="U16" s="167"/>
      <c r="V16" s="167"/>
      <c r="W16" s="167"/>
      <c r="X16" s="135"/>
      <c r="Y16" s="173"/>
    </row>
    <row r="17" spans="1:26" ht="15" customHeight="1" x14ac:dyDescent="0.25">
      <c r="A17" s="440" t="str">
        <f>'Formulario OM'!A17</f>
        <v>USAR DATOS
VARIABLES</v>
      </c>
      <c r="B17" s="136"/>
      <c r="C17" s="137"/>
      <c r="D17" s="137"/>
      <c r="E17" s="137" t="s">
        <v>187</v>
      </c>
      <c r="F17" s="476"/>
      <c r="G17" s="476"/>
      <c r="H17" s="476"/>
      <c r="I17" s="476"/>
      <c r="J17" s="476"/>
      <c r="K17" s="476"/>
      <c r="L17" s="476"/>
      <c r="M17" s="476"/>
      <c r="N17" s="476"/>
      <c r="O17" s="161"/>
      <c r="P17" s="137" t="str">
        <f t="shared" ref="P17" si="0">P15</f>
        <v xml:space="preserve">Puntos: </v>
      </c>
      <c r="Q17" s="331"/>
      <c r="R17" s="161"/>
      <c r="S17" s="137" t="str">
        <f t="shared" ref="S17" si="1">S15</f>
        <v>Retroalim. :</v>
      </c>
      <c r="T17" s="485"/>
      <c r="U17" s="485"/>
      <c r="V17" s="485"/>
      <c r="W17" s="485"/>
      <c r="X17" s="139"/>
      <c r="Y17" s="330"/>
    </row>
    <row r="18" spans="1:26" ht="6" customHeight="1" x14ac:dyDescent="0.25">
      <c r="A18" s="441">
        <f>'Formulario OM'!A18</f>
        <v>0</v>
      </c>
      <c r="B18" s="131"/>
      <c r="C18" s="132"/>
      <c r="D18" s="132"/>
      <c r="E18" s="132"/>
      <c r="F18" s="167">
        <f>T16+1</f>
        <v>18</v>
      </c>
      <c r="G18" s="167"/>
      <c r="H18" s="167"/>
      <c r="I18" s="167"/>
      <c r="J18" s="161"/>
      <c r="K18" s="161"/>
      <c r="L18" s="161"/>
      <c r="M18" s="161"/>
      <c r="N18" s="161"/>
      <c r="O18" s="161"/>
      <c r="P18" s="161"/>
      <c r="Q18" s="169">
        <f>F18+1</f>
        <v>19</v>
      </c>
      <c r="R18" s="161"/>
      <c r="S18" s="161"/>
      <c r="T18" s="167">
        <f>Q18+1</f>
        <v>20</v>
      </c>
      <c r="U18" s="167"/>
      <c r="V18" s="167"/>
      <c r="W18" s="167"/>
      <c r="X18" s="135"/>
      <c r="Y18" s="173"/>
    </row>
    <row r="19" spans="1:26" ht="15.75" thickBot="1" x14ac:dyDescent="0.3">
      <c r="A19" s="442">
        <f>'Formulario OM'!A19</f>
        <v>0</v>
      </c>
      <c r="B19" s="136"/>
      <c r="C19" s="137"/>
      <c r="D19" s="137"/>
      <c r="E19" s="137" t="s">
        <v>191</v>
      </c>
      <c r="F19" s="476"/>
      <c r="G19" s="476"/>
      <c r="H19" s="476"/>
      <c r="I19" s="476"/>
      <c r="J19" s="476"/>
      <c r="K19" s="476"/>
      <c r="L19" s="476"/>
      <c r="M19" s="476"/>
      <c r="N19" s="476"/>
      <c r="O19" s="161"/>
      <c r="P19" s="137" t="str">
        <f t="shared" ref="P19" si="2">P17</f>
        <v xml:space="preserve">Puntos: </v>
      </c>
      <c r="Q19" s="331"/>
      <c r="R19" s="161"/>
      <c r="S19" s="137" t="str">
        <f t="shared" ref="S19" si="3">S17</f>
        <v>Retroalim. :</v>
      </c>
      <c r="T19" s="485"/>
      <c r="U19" s="485"/>
      <c r="V19" s="485"/>
      <c r="W19" s="485"/>
      <c r="X19" s="139"/>
      <c r="Y19" s="330"/>
    </row>
    <row r="20" spans="1:26" ht="6" customHeight="1" x14ac:dyDescent="0.25">
      <c r="A20" s="326"/>
      <c r="B20" s="131"/>
      <c r="C20" s="132"/>
      <c r="D20" s="132"/>
      <c r="E20" s="132"/>
      <c r="F20" s="167">
        <f>T18+1</f>
        <v>21</v>
      </c>
      <c r="G20" s="167"/>
      <c r="H20" s="167"/>
      <c r="I20" s="167"/>
      <c r="J20" s="161"/>
      <c r="K20" s="161"/>
      <c r="L20" s="161"/>
      <c r="M20" s="161"/>
      <c r="N20" s="161"/>
      <c r="O20" s="161"/>
      <c r="P20" s="161"/>
      <c r="Q20" s="169">
        <f>F20+1</f>
        <v>22</v>
      </c>
      <c r="R20" s="161"/>
      <c r="S20" s="161"/>
      <c r="T20" s="167">
        <f>Q20+1</f>
        <v>23</v>
      </c>
      <c r="U20" s="167"/>
      <c r="V20" s="167"/>
      <c r="W20" s="167"/>
      <c r="X20" s="135"/>
      <c r="Y20" s="173"/>
    </row>
    <row r="21" spans="1:26" x14ac:dyDescent="0.25">
      <c r="A21" s="324" t="str">
        <f>'Formulario OM'!A21</f>
        <v>ACTIVAR</v>
      </c>
      <c r="B21" s="136"/>
      <c r="C21" s="137"/>
      <c r="D21" s="137"/>
      <c r="E21" s="137" t="s">
        <v>188</v>
      </c>
      <c r="F21" s="476"/>
      <c r="G21" s="476"/>
      <c r="H21" s="476"/>
      <c r="I21" s="476"/>
      <c r="J21" s="476"/>
      <c r="K21" s="476"/>
      <c r="L21" s="476"/>
      <c r="M21" s="476"/>
      <c r="N21" s="476"/>
      <c r="O21" s="161"/>
      <c r="P21" s="137" t="str">
        <f t="shared" ref="P21" si="4">P19</f>
        <v xml:space="preserve">Puntos: </v>
      </c>
      <c r="Q21" s="331"/>
      <c r="R21" s="161"/>
      <c r="S21" s="137" t="str">
        <f t="shared" ref="S21" si="5">S19</f>
        <v>Retroalim. :</v>
      </c>
      <c r="T21" s="485"/>
      <c r="U21" s="485"/>
      <c r="V21" s="485"/>
      <c r="W21" s="485"/>
      <c r="X21" s="139"/>
      <c r="Y21" s="330"/>
    </row>
    <row r="22" spans="1:26" ht="6" customHeight="1" thickBot="1" x14ac:dyDescent="0.3">
      <c r="A22" s="2"/>
      <c r="B22" s="131"/>
      <c r="C22" s="132"/>
      <c r="D22" s="132"/>
      <c r="E22" s="132"/>
      <c r="F22" s="167">
        <f>T20+1</f>
        <v>24</v>
      </c>
      <c r="G22" s="167"/>
      <c r="H22" s="167"/>
      <c r="I22" s="167"/>
      <c r="J22" s="161"/>
      <c r="K22" s="161"/>
      <c r="L22" s="161"/>
      <c r="M22" s="161"/>
      <c r="N22" s="161"/>
      <c r="O22" s="161"/>
      <c r="P22" s="161"/>
      <c r="Q22" s="169">
        <f>F22+1</f>
        <v>25</v>
      </c>
      <c r="R22" s="161"/>
      <c r="S22" s="161"/>
      <c r="T22" s="167">
        <f>Q22+1</f>
        <v>26</v>
      </c>
      <c r="U22" s="167"/>
      <c r="V22" s="167"/>
      <c r="W22" s="167"/>
      <c r="X22" s="135"/>
      <c r="Y22" s="173"/>
      <c r="Z22" s="32"/>
    </row>
    <row r="23" spans="1:26" x14ac:dyDescent="0.25">
      <c r="A23" s="324" t="str">
        <f>'Formulario OM'!A23</f>
        <v>DESACTIVAR</v>
      </c>
      <c r="B23" s="136"/>
      <c r="C23" s="137"/>
      <c r="D23" s="137"/>
      <c r="E23" s="137" t="s">
        <v>192</v>
      </c>
      <c r="F23" s="476"/>
      <c r="G23" s="476"/>
      <c r="H23" s="476"/>
      <c r="I23" s="476"/>
      <c r="J23" s="476"/>
      <c r="K23" s="476"/>
      <c r="L23" s="476"/>
      <c r="M23" s="476"/>
      <c r="N23" s="476"/>
      <c r="O23" s="161"/>
      <c r="P23" s="137" t="str">
        <f t="shared" ref="P23" si="6">P21</f>
        <v xml:space="preserve">Puntos: </v>
      </c>
      <c r="Q23" s="331"/>
      <c r="R23" s="161"/>
      <c r="S23" s="137" t="str">
        <f t="shared" ref="S23" si="7">S21</f>
        <v>Retroalim. :</v>
      </c>
      <c r="T23" s="485"/>
      <c r="U23" s="485"/>
      <c r="V23" s="485"/>
      <c r="W23" s="485"/>
      <c r="X23" s="139"/>
      <c r="Y23" s="330"/>
      <c r="Z23" s="32"/>
    </row>
    <row r="24" spans="1:26" ht="6" customHeight="1" thickBot="1" x14ac:dyDescent="0.3">
      <c r="B24" s="136"/>
      <c r="C24" s="137"/>
      <c r="D24" s="137"/>
      <c r="E24" s="137"/>
      <c r="F24" s="167">
        <f>T22+1</f>
        <v>27</v>
      </c>
      <c r="G24" s="167"/>
      <c r="H24" s="167"/>
      <c r="I24" s="167"/>
      <c r="J24" s="161"/>
      <c r="K24" s="161"/>
      <c r="L24" s="161"/>
      <c r="M24" s="161"/>
      <c r="N24" s="161"/>
      <c r="O24" s="161"/>
      <c r="P24" s="161"/>
      <c r="Q24" s="169">
        <f>F24+1</f>
        <v>28</v>
      </c>
      <c r="R24" s="161"/>
      <c r="S24" s="161"/>
      <c r="T24" s="167">
        <f>Q24+1</f>
        <v>29</v>
      </c>
      <c r="U24" s="167"/>
      <c r="V24" s="167"/>
      <c r="W24" s="167"/>
      <c r="X24" s="139"/>
      <c r="Y24" s="177"/>
      <c r="Z24" s="32"/>
    </row>
    <row r="25" spans="1:26" ht="15" customHeight="1" x14ac:dyDescent="0.25">
      <c r="A25" s="440" t="str">
        <f>'Formulario OM'!A25</f>
        <v>INSERTAR IMÁGENES</v>
      </c>
      <c r="B25" s="136"/>
      <c r="C25" s="137"/>
      <c r="D25" s="137"/>
      <c r="E25" s="137" t="s">
        <v>189</v>
      </c>
      <c r="F25" s="476"/>
      <c r="G25" s="476"/>
      <c r="H25" s="476"/>
      <c r="I25" s="476"/>
      <c r="J25" s="476"/>
      <c r="K25" s="476"/>
      <c r="L25" s="476"/>
      <c r="M25" s="476"/>
      <c r="N25" s="476"/>
      <c r="O25" s="161"/>
      <c r="P25" s="137" t="str">
        <f t="shared" ref="P25" si="8">P23</f>
        <v xml:space="preserve">Puntos: </v>
      </c>
      <c r="Q25" s="331"/>
      <c r="R25" s="161"/>
      <c r="S25" s="137" t="str">
        <f t="shared" ref="S25" si="9">S23</f>
        <v>Retroalim. :</v>
      </c>
      <c r="T25" s="485"/>
      <c r="U25" s="485"/>
      <c r="V25" s="485"/>
      <c r="W25" s="485"/>
      <c r="X25" s="139"/>
      <c r="Y25" s="330"/>
      <c r="Z25" s="32"/>
    </row>
    <row r="26" spans="1:26" ht="6" customHeight="1" x14ac:dyDescent="0.25">
      <c r="A26" s="441">
        <f>'Formulario OM'!A26</f>
        <v>0</v>
      </c>
      <c r="B26" s="136"/>
      <c r="C26" s="140"/>
      <c r="D26" s="140"/>
      <c r="E26" s="140"/>
      <c r="F26" s="167">
        <f>T24+1</f>
        <v>30</v>
      </c>
      <c r="G26" s="167"/>
      <c r="H26" s="167"/>
      <c r="I26" s="167"/>
      <c r="J26" s="161"/>
      <c r="K26" s="161"/>
      <c r="L26" s="161"/>
      <c r="M26" s="161"/>
      <c r="N26" s="161"/>
      <c r="O26" s="161"/>
      <c r="P26" s="161"/>
      <c r="Q26" s="169">
        <f>F26+1</f>
        <v>31</v>
      </c>
      <c r="R26" s="161"/>
      <c r="S26" s="161"/>
      <c r="T26" s="167">
        <f>Q26+1</f>
        <v>32</v>
      </c>
      <c r="U26" s="167"/>
      <c r="V26" s="167"/>
      <c r="W26" s="167"/>
      <c r="X26" s="139"/>
      <c r="Y26" s="173"/>
      <c r="Z26" s="32"/>
    </row>
    <row r="27" spans="1:26" ht="15" customHeight="1" thickBot="1" x14ac:dyDescent="0.3">
      <c r="A27" s="442">
        <f>'Formulario OM'!A27</f>
        <v>0</v>
      </c>
      <c r="B27" s="136"/>
      <c r="C27" s="140"/>
      <c r="D27" s="140"/>
      <c r="E27" s="137" t="s">
        <v>193</v>
      </c>
      <c r="F27" s="476"/>
      <c r="G27" s="476"/>
      <c r="H27" s="476"/>
      <c r="I27" s="476"/>
      <c r="J27" s="476"/>
      <c r="K27" s="476"/>
      <c r="L27" s="476"/>
      <c r="M27" s="476"/>
      <c r="N27" s="476"/>
      <c r="O27" s="161"/>
      <c r="P27" s="137" t="str">
        <f t="shared" ref="P27" si="10">P25</f>
        <v xml:space="preserve">Puntos: </v>
      </c>
      <c r="Q27" s="331"/>
      <c r="R27" s="161"/>
      <c r="S27" s="137" t="str">
        <f t="shared" ref="S27" si="11">S25</f>
        <v>Retroalim. :</v>
      </c>
      <c r="T27" s="485"/>
      <c r="U27" s="485"/>
      <c r="V27" s="485"/>
      <c r="W27" s="485"/>
      <c r="X27" s="139"/>
      <c r="Y27" s="177"/>
      <c r="Z27" s="32"/>
    </row>
    <row r="28" spans="1:26" ht="6" customHeight="1" x14ac:dyDescent="0.25">
      <c r="B28" s="150"/>
      <c r="C28" s="151"/>
      <c r="D28" s="151"/>
      <c r="E28" s="151"/>
      <c r="F28" s="151"/>
      <c r="G28" s="152"/>
      <c r="H28" s="153">
        <f>'Datos RC'!AG3</f>
        <v>33</v>
      </c>
      <c r="I28" s="154"/>
      <c r="J28" s="154"/>
      <c r="K28" s="154"/>
      <c r="L28" s="154"/>
      <c r="M28" s="154"/>
      <c r="N28" s="154"/>
      <c r="O28" s="154"/>
      <c r="P28" s="154"/>
      <c r="Q28" s="154"/>
      <c r="R28" s="154"/>
      <c r="S28" s="154"/>
      <c r="T28" s="154"/>
      <c r="U28" s="154"/>
      <c r="V28" s="154"/>
      <c r="W28" s="154"/>
      <c r="X28" s="155"/>
      <c r="Y28" s="173"/>
      <c r="Z28" s="32"/>
    </row>
    <row r="29" spans="1:26" x14ac:dyDescent="0.25">
      <c r="B29" s="136"/>
      <c r="C29" s="137"/>
      <c r="D29" s="137"/>
      <c r="E29" s="137"/>
      <c r="F29" s="137"/>
      <c r="G29" s="137" t="str">
        <f>'Formulario OM'!G29</f>
        <v xml:space="preserve">Pista 1: </v>
      </c>
      <c r="H29" s="462"/>
      <c r="I29" s="462"/>
      <c r="J29" s="462"/>
      <c r="K29" s="462"/>
      <c r="L29" s="462"/>
      <c r="M29" s="462"/>
      <c r="N29" s="462"/>
      <c r="O29" s="462"/>
      <c r="P29" s="462"/>
      <c r="Q29" s="138"/>
      <c r="R29" s="307"/>
      <c r="S29" s="307"/>
      <c r="T29" s="307"/>
      <c r="U29" s="307"/>
      <c r="V29" s="307"/>
      <c r="W29" s="307"/>
      <c r="X29" s="308"/>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307"/>
      <c r="S30" s="418"/>
      <c r="T30" s="418"/>
      <c r="U30" s="418"/>
      <c r="V30" s="418"/>
      <c r="W30" s="418"/>
      <c r="X30" s="419"/>
      <c r="Y30" s="173"/>
      <c r="Z30" s="32"/>
    </row>
    <row r="31" spans="1:26" x14ac:dyDescent="0.25">
      <c r="B31" s="136"/>
      <c r="C31" s="137"/>
      <c r="D31" s="137"/>
      <c r="E31" s="137"/>
      <c r="F31" s="137"/>
      <c r="G31" s="137" t="str">
        <f>'Formulario OM'!G31</f>
        <v xml:space="preserve">Pista 2: </v>
      </c>
      <c r="H31" s="462"/>
      <c r="I31" s="462"/>
      <c r="J31" s="462"/>
      <c r="K31" s="462"/>
      <c r="L31" s="462"/>
      <c r="M31" s="462"/>
      <c r="N31" s="462"/>
      <c r="O31" s="462"/>
      <c r="P31" s="462"/>
      <c r="Q31" s="138"/>
      <c r="R31" s="307"/>
      <c r="S31" s="418"/>
      <c r="T31" s="418"/>
      <c r="U31" s="418"/>
      <c r="V31" s="418"/>
      <c r="W31" s="418"/>
      <c r="X31" s="419"/>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307"/>
      <c r="S32" s="418"/>
      <c r="T32" s="418"/>
      <c r="U32" s="418"/>
      <c r="V32" s="418"/>
      <c r="W32" s="418"/>
      <c r="X32" s="419"/>
      <c r="Y32" s="173"/>
    </row>
    <row r="33" spans="1:25" x14ac:dyDescent="0.25">
      <c r="B33" s="136"/>
      <c r="C33" s="137"/>
      <c r="D33" s="137"/>
      <c r="E33" s="137"/>
      <c r="F33" s="137"/>
      <c r="G33" s="137" t="str">
        <f>'Formulario OM'!G33</f>
        <v xml:space="preserve">Pista 3: </v>
      </c>
      <c r="H33" s="462"/>
      <c r="I33" s="462"/>
      <c r="J33" s="462"/>
      <c r="K33" s="462"/>
      <c r="L33" s="462"/>
      <c r="M33" s="462"/>
      <c r="N33" s="462"/>
      <c r="O33" s="462"/>
      <c r="P33" s="462"/>
      <c r="Q33" s="138"/>
      <c r="R33" s="307"/>
      <c r="S33" s="418"/>
      <c r="T33" s="418"/>
      <c r="U33" s="418"/>
      <c r="V33" s="418"/>
      <c r="W33" s="418"/>
      <c r="X33" s="419"/>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307"/>
      <c r="S34" s="418"/>
      <c r="T34" s="418"/>
      <c r="U34" s="418"/>
      <c r="V34" s="418"/>
      <c r="W34" s="418"/>
      <c r="X34" s="419"/>
      <c r="Y34" s="173"/>
    </row>
    <row r="35" spans="1:25" x14ac:dyDescent="0.25">
      <c r="B35" s="136"/>
      <c r="C35" s="137"/>
      <c r="D35" s="137"/>
      <c r="E35" s="137"/>
      <c r="F35" s="137"/>
      <c r="G35" s="137" t="str">
        <f>'Formulario OM'!G35</f>
        <v xml:space="preserve">Pista 4: </v>
      </c>
      <c r="H35" s="462"/>
      <c r="I35" s="462"/>
      <c r="J35" s="462"/>
      <c r="K35" s="462"/>
      <c r="L35" s="462"/>
      <c r="M35" s="462"/>
      <c r="N35" s="462"/>
      <c r="O35" s="462"/>
      <c r="P35" s="462"/>
      <c r="Q35" s="138"/>
      <c r="R35" s="307"/>
      <c r="S35" s="418"/>
      <c r="T35" s="418"/>
      <c r="U35" s="418"/>
      <c r="V35" s="418"/>
      <c r="W35" s="418"/>
      <c r="X35" s="419"/>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309"/>
      <c r="S36" s="420"/>
      <c r="T36" s="420"/>
      <c r="U36" s="420"/>
      <c r="V36" s="420"/>
      <c r="W36" s="420"/>
      <c r="X36" s="421"/>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iAVS3sX0N9QCf6+bLsp8fcu5shSrerP3JwRgASHs60v938mlbyif8nM7NfwX79z4Z4ms7SxwbZOjsX2kIr2pqw==" saltValue="8k+aZ0635O/89e3iTQ1WdA==" spinCount="100000" sheet="1" objects="1" scenarios="1" selectLockedCells="1"/>
  <mergeCells count="36">
    <mergeCell ref="A1:A3"/>
    <mergeCell ref="S30:X36"/>
    <mergeCell ref="A17:A19"/>
    <mergeCell ref="Y1:Y3"/>
    <mergeCell ref="F13:N13"/>
    <mergeCell ref="H35:P35"/>
    <mergeCell ref="T23:W23"/>
    <mergeCell ref="F27:N27"/>
    <mergeCell ref="T27:W27"/>
    <mergeCell ref="H29:P29"/>
    <mergeCell ref="H31:P31"/>
    <mergeCell ref="F25:N25"/>
    <mergeCell ref="H33:P33"/>
    <mergeCell ref="T15:W15"/>
    <mergeCell ref="T25:W25"/>
    <mergeCell ref="F15:N15"/>
    <mergeCell ref="L2:M2"/>
    <mergeCell ref="B1:K3"/>
    <mergeCell ref="F17:N17"/>
    <mergeCell ref="T13:W13"/>
    <mergeCell ref="F19:N19"/>
    <mergeCell ref="T17:W17"/>
    <mergeCell ref="T19:W19"/>
    <mergeCell ref="V2:W2"/>
    <mergeCell ref="T2:U2"/>
    <mergeCell ref="R2:S2"/>
    <mergeCell ref="P2:Q2"/>
    <mergeCell ref="N2:O2"/>
    <mergeCell ref="A25:A27"/>
    <mergeCell ref="R5:W5"/>
    <mergeCell ref="H7:N7"/>
    <mergeCell ref="H9:M9"/>
    <mergeCell ref="H11:W11"/>
    <mergeCell ref="F21:N21"/>
    <mergeCell ref="F23:N23"/>
    <mergeCell ref="T21:W21"/>
  </mergeCells>
  <conditionalFormatting sqref="W9">
    <cfRule type="cellIs" dxfId="36" priority="1" operator="equal">
      <formula>""</formula>
    </cfRule>
  </conditionalFormatting>
  <conditionalFormatting sqref="V9:W9">
    <cfRule type="expression" dxfId="35" priority="2" stopIfTrue="1">
      <formula>$B$45&lt;&gt;$B$42</formula>
    </cfRule>
  </conditionalFormatting>
  <dataValidations xWindow="92" yWindow="661" count="14">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Enunciado de la pregunta" prompt="Escribe el enunciado de la pregunta. Si quieres poner CÓDIGOS ESPECIALES, pincha F2 o haz &quot;clic&quot; dos veces con el ratón." sqref="H11"/>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1 - Pareja" prompt="Primer elemento de la pareja" sqref="Q19 Q23 Q27"/>
    <dataValidation allowBlank="1" showInputMessage="1" showErrorMessage="1" promptTitle="G2 - Pareja" prompt="Segundo elemento de la pareja" sqref="Q21 Q25 Q17"/>
    <dataValidation allowBlank="1" showInputMessage="1" showErrorMessage="1" promptTitle="Respuesta" prompt="Posible respuesta corta" sqref="F13:N13 F15:N15 F17:N17 F19:N19 F21:N21 F23:N23 F25:N25 F27:N27"/>
    <dataValidation allowBlank="1" showInputMessage="1" showErrorMessage="1" promptTitle="Puntos" prompt="Puntos para esta respuesta" sqref="Q13 Q15"/>
    <dataValidation allowBlank="1" showInputMessage="1" showErrorMessage="1" promptTitle="Retroalimentación" prompt="Lo que responde si se pone esta respuesta." sqref="T13:W13 T15:W15 T17:W17 T19:W19 T21:W21 T23:W23 T25:W25 T27:W27"/>
    <dataValidation type="list" showInputMessage="1" showErrorMessage="1" errorTitle="Error_cuestionario" error="Debes escribir 0 o 1._x000a__x000a_Pulsa ESC para salir." promptTitle="Coincidencia" prompt="Si quieres que tengan que coincidir las MAYÚSCULAS pon 1." sqref="W9">
      <formula1>"0,1"</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5" r:id="rId6" name="Spinner 1">
              <controlPr defaultSize="0" print="0" autoPict="0" macro="[0]!Ver_Datos_Preguntas" altText="Para consultar los datos de cada pregunta.">
                <anchor moveWithCells="1" sizeWithCells="1">
                  <from>
                    <xdr:col>12</xdr:col>
                    <xdr:colOff>9525</xdr:colOff>
                    <xdr:row>3</xdr:row>
                    <xdr:rowOff>47625</xdr:rowOff>
                  </from>
                  <to>
                    <xdr:col>12</xdr:col>
                    <xdr:colOff>142875</xdr:colOff>
                    <xdr:row>5</xdr:row>
                    <xdr:rowOff>9525</xdr:rowOff>
                  </to>
                </anchor>
              </controlPr>
            </control>
          </mc:Choice>
        </mc:AlternateContent>
        <mc:AlternateContent xmlns:mc="http://schemas.openxmlformats.org/markup-compatibility/2006">
          <mc:Choice Requires="x14">
            <control shapeId="26626"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6627" r:id="rId8" name="Spinner 3">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F7" sqref="F7"/>
      <selection pane="topRight" activeCell="F7" sqref="F7"/>
      <selection pane="bottomLeft" activeCell="F7" sqref="F7"/>
      <selection pane="bottomRight" activeCell="D7" sqref="D7:AJ508"/>
    </sheetView>
  </sheetViews>
  <sheetFormatPr baseColWidth="10" defaultColWidth="11.42578125" defaultRowHeight="15" x14ac:dyDescent="0.25"/>
  <cols>
    <col min="1" max="1" width="3" style="14" hidden="1" customWidth="1"/>
    <col min="2" max="2" width="9.28515625" style="29" customWidth="1"/>
    <col min="3" max="3" width="4.85546875" style="14" customWidth="1"/>
    <col min="4" max="4" width="3.42578125" style="14" hidden="1" customWidth="1"/>
    <col min="5" max="5" width="5.28515625" style="30" hidden="1" customWidth="1"/>
    <col min="6" max="6" width="4.42578125" style="30" customWidth="1"/>
    <col min="7" max="7" width="10" style="30" customWidth="1"/>
    <col min="8" max="8" width="54.7109375" style="14" customWidth="1"/>
    <col min="9" max="14" width="12.5703125" style="14" customWidth="1"/>
    <col min="15" max="29" width="14.28515625" style="14" customWidth="1"/>
    <col min="30" max="31" width="11.42578125" style="14"/>
    <col min="32" max="32" width="12.28515625" style="14" customWidth="1"/>
    <col min="33" max="16384" width="11.42578125" style="14"/>
  </cols>
  <sheetData>
    <row r="1" spans="1:36" hidden="1" x14ac:dyDescent="0.25">
      <c r="A1" s="12">
        <f>MAX(A7:A500)</f>
        <v>41</v>
      </c>
      <c r="B1" s="13" t="str">
        <f>B5</f>
        <v>T01 - 00</v>
      </c>
      <c r="C1" s="13" t="str">
        <f t="shared" ref="C1:AJ1" si="0">C6</f>
        <v>Resp.</v>
      </c>
      <c r="D1" s="13">
        <f t="shared" si="0"/>
        <v>0</v>
      </c>
      <c r="E1" s="13">
        <f t="shared" si="0"/>
        <v>0</v>
      </c>
      <c r="F1" s="13" t="str">
        <f t="shared" si="0"/>
        <v>MAYUSC</v>
      </c>
      <c r="G1" s="13" t="str">
        <f t="shared" si="0"/>
        <v>Descrip.
Pregunta</v>
      </c>
      <c r="H1" s="13" t="str">
        <f t="shared" si="0"/>
        <v>Enunciado  | FastTest PlugIn - Respuesta Corta</v>
      </c>
      <c r="I1" s="13" t="str">
        <f t="shared" si="0"/>
        <v>Respuesta 01</v>
      </c>
      <c r="J1" s="13" t="str">
        <f t="shared" si="0"/>
        <v>Puntos 01</v>
      </c>
      <c r="K1" s="13" t="str">
        <f t="shared" si="0"/>
        <v>Retroalm. 01</v>
      </c>
      <c r="L1" s="13" t="str">
        <f t="shared" si="0"/>
        <v>Respuesta 02</v>
      </c>
      <c r="M1" s="13" t="str">
        <f t="shared" si="0"/>
        <v>Puntos 02</v>
      </c>
      <c r="N1" s="13" t="str">
        <f t="shared" si="0"/>
        <v>Retroalm. 02</v>
      </c>
      <c r="O1" s="13" t="str">
        <f t="shared" si="0"/>
        <v>Respuesta 03</v>
      </c>
      <c r="P1" s="13" t="str">
        <f t="shared" si="0"/>
        <v>Puntos 03</v>
      </c>
      <c r="Q1" s="13" t="str">
        <f t="shared" si="0"/>
        <v>Retroalm. 03</v>
      </c>
      <c r="R1" s="13" t="str">
        <f t="shared" si="0"/>
        <v>Respuesta 04</v>
      </c>
      <c r="S1" s="13" t="str">
        <f t="shared" si="0"/>
        <v>Puntos 04</v>
      </c>
      <c r="T1" s="13" t="str">
        <f t="shared" si="0"/>
        <v>Retroalm. 04</v>
      </c>
      <c r="U1" s="13" t="str">
        <f t="shared" si="0"/>
        <v>Respuesta 05</v>
      </c>
      <c r="V1" s="13" t="str">
        <f t="shared" si="0"/>
        <v>Puntos 05</v>
      </c>
      <c r="W1" s="13" t="str">
        <f t="shared" si="0"/>
        <v>Retroalm. 05</v>
      </c>
      <c r="X1" s="13" t="str">
        <f t="shared" si="0"/>
        <v>Respuesta 06</v>
      </c>
      <c r="Y1" s="13" t="str">
        <f t="shared" si="0"/>
        <v>Puntos 06</v>
      </c>
      <c r="Z1" s="13" t="str">
        <f t="shared" si="0"/>
        <v>Retroalm. 06</v>
      </c>
      <c r="AA1" s="13" t="str">
        <f t="shared" si="0"/>
        <v>Respuesta 07</v>
      </c>
      <c r="AB1" s="13" t="str">
        <f t="shared" si="0"/>
        <v>Puntos 07</v>
      </c>
      <c r="AC1" s="13" t="str">
        <f t="shared" si="0"/>
        <v>Retroalm. 07</v>
      </c>
      <c r="AD1" s="13" t="str">
        <f t="shared" si="0"/>
        <v>Respuesta 08</v>
      </c>
      <c r="AE1" s="13" t="str">
        <f t="shared" si="0"/>
        <v>Puntos 08</v>
      </c>
      <c r="AF1" s="13" t="str">
        <f t="shared" si="0"/>
        <v>Retroalm. 08</v>
      </c>
      <c r="AG1" s="13" t="str">
        <f t="shared" si="0"/>
        <v>Pista 1</v>
      </c>
      <c r="AH1" s="13" t="str">
        <f t="shared" si="0"/>
        <v>Pista 2</v>
      </c>
      <c r="AI1" s="13" t="str">
        <f t="shared" si="0"/>
        <v>Pista 3</v>
      </c>
      <c r="AJ1" s="13" t="str">
        <f t="shared" si="0"/>
        <v>Pista 4</v>
      </c>
    </row>
    <row r="2" spans="1:36" s="18" customFormat="1" hidden="1" x14ac:dyDescent="0.25">
      <c r="A2" s="15">
        <f>PREGUNTA_ACTUAL</f>
        <v>1</v>
      </c>
      <c r="B2" s="89" t="e">
        <f>IF(VLOOKUP($A2,$A$7:C$1124,B3,0)="","",VLOOKUP($A2,$A$7:C$156,B3,0))</f>
        <v>#N/A</v>
      </c>
      <c r="C2" s="17" t="e">
        <f>IF(VLOOKUP($A2,$A$7:D$1124,C3,0)="","",VLOOKUP($A2,$A$7:D$156,C3,0))</f>
        <v>#N/A</v>
      </c>
      <c r="D2" s="17" t="e">
        <f>IF(VLOOKUP($A2,$A$7:E$1124,D3,0)="","",VLOOKUP($A2,$A$7:E$1124,D3,0))</f>
        <v>#N/A</v>
      </c>
      <c r="E2" s="17" t="e">
        <f>IF(VLOOKUP($A2,$A$7:F$1124,E3,0)="","",VLOOKUP($A2,$A$7:F$1124,E3,0))</f>
        <v>#N/A</v>
      </c>
      <c r="F2" s="17" t="e">
        <f>IF(VLOOKUP($A2,$A$7:G$1124,F3,0)="","",VLOOKUP($A2,$A$7:G$1124,F3,0))</f>
        <v>#N/A</v>
      </c>
      <c r="G2" s="17" t="e">
        <f>IF(VLOOKUP($A2,$A$7:H$1124,G3,0)="","",VLOOKUP($A2,$A$7:H$156,G3,0))</f>
        <v>#N/A</v>
      </c>
      <c r="H2" s="17" t="e">
        <f>IF(VLOOKUP($A2,$A$7:I$1124,H3,0)="","",VLOOKUP($A2,$A$7:I$156,H3,0))</f>
        <v>#N/A</v>
      </c>
      <c r="I2" s="17" t="e">
        <f>IF(VLOOKUP($A2,$A$7:J$1124,I3,0)="","",VLOOKUP($A2,$A$7:J$156,I3,0))</f>
        <v>#N/A</v>
      </c>
      <c r="J2" s="17" t="e">
        <f>IF(VLOOKUP($A2,$A$7:K$1124,J3,0)="","",VLOOKUP($A2,$A$7:K$156,J3,0))</f>
        <v>#N/A</v>
      </c>
      <c r="K2" s="17" t="e">
        <f>IF(VLOOKUP($A2,$A$7:L$1124,K3,0)="","",VLOOKUP($A2,$A$7:L$156,K3,0))</f>
        <v>#N/A</v>
      </c>
      <c r="L2" s="17" t="e">
        <f>IF(VLOOKUP($A2,$A$7:M$1124,L3,0)="","",VLOOKUP($A2,$A$7:M$156,L3,0))</f>
        <v>#N/A</v>
      </c>
      <c r="M2" s="17" t="e">
        <f>IF(VLOOKUP($A2,$A$7:N$1124,M3,0)="","",VLOOKUP($A2,$A$7:N$156,M3,0))</f>
        <v>#N/A</v>
      </c>
      <c r="N2" s="17" t="e">
        <f>IF(VLOOKUP($A2,$A$7:O$1124,N3,0)="","",VLOOKUP($A2,$A$7:O$156,N3,0))</f>
        <v>#N/A</v>
      </c>
      <c r="O2" s="17" t="e">
        <f>IF(VLOOKUP($A2,$A$7:P$1124,O3,0)="","",VLOOKUP($A2,$A$7:P$156,O3,0))</f>
        <v>#N/A</v>
      </c>
      <c r="P2" s="17" t="e">
        <f>IF(VLOOKUP($A2,$A$7:Q$1124,P3,0)="","",VLOOKUP($A2,$A$7:Q$156,P3,0))</f>
        <v>#N/A</v>
      </c>
      <c r="Q2" s="17" t="e">
        <f>IF(VLOOKUP($A2,$A$7:R$1124,Q3,0)="","",VLOOKUP($A2,$A$7:R$156,Q3,0))</f>
        <v>#N/A</v>
      </c>
      <c r="R2" s="17" t="e">
        <f>IF(VLOOKUP($A2,$A$7:S$1124,R3,0)="","",VLOOKUP($A2,$A$7:S$156,R3,0))</f>
        <v>#N/A</v>
      </c>
      <c r="S2" s="17" t="e">
        <f>IF(VLOOKUP($A2,$A$7:T$1124,S3,0)="","",VLOOKUP($A2,$A$7:T$156,S3,0))</f>
        <v>#N/A</v>
      </c>
      <c r="T2" s="17" t="e">
        <f>IF(VLOOKUP($A2,$A$7:U$1124,T3,0)="","",VLOOKUP($A2,$A$7:U$156,T3,0))</f>
        <v>#N/A</v>
      </c>
      <c r="U2" s="17" t="e">
        <f>IF(VLOOKUP($A2,$A$7:V$1124,U3,0)="","",VLOOKUP($A2,$A$7:V$156,U3,0))</f>
        <v>#N/A</v>
      </c>
      <c r="V2" s="17" t="e">
        <f>IF(VLOOKUP($A2,$A$7:W$1124,V3,0)="","",VLOOKUP($A2,$A$7:W$156,V3,0))</f>
        <v>#N/A</v>
      </c>
      <c r="W2" s="17" t="e">
        <f>IF(VLOOKUP($A2,$A$7:X$1124,W3,0)="","",VLOOKUP($A2,$A$7:X$156,W3,0))</f>
        <v>#N/A</v>
      </c>
      <c r="X2" s="17" t="e">
        <f>IF(VLOOKUP($A2,$A$7:Y$1124,X3,0)="","",VLOOKUP($A2,$A$7:Y$156,X3,0))</f>
        <v>#N/A</v>
      </c>
      <c r="Y2" s="17" t="e">
        <f>IF(VLOOKUP($A2,$A$7:Z$1124,Y3,0)="","",VLOOKUP($A2,$A$7:Z$156,Y3,0))</f>
        <v>#N/A</v>
      </c>
      <c r="Z2" s="17" t="e">
        <f>IF(VLOOKUP($A2,$A$7:AA$1124,Z3,0)="","",VLOOKUP($A2,$A$7:AA$156,Z3,0))</f>
        <v>#N/A</v>
      </c>
      <c r="AA2" s="17" t="e">
        <f>IF(VLOOKUP($A2,$A$7:AB$1124,AA3,0)="","",VLOOKUP($A2,$A$7:AB$156,AA3,0))</f>
        <v>#N/A</v>
      </c>
      <c r="AB2" s="17" t="e">
        <f>IF(VLOOKUP($A2,$A$7:AC$1124,AB3,0)="","",VLOOKUP($A2,$A$7:AC$156,AB3,0))</f>
        <v>#N/A</v>
      </c>
      <c r="AC2" s="17" t="e">
        <f>IF(VLOOKUP($A2,$A$7:AD$1124,AC3,0)="","",VLOOKUP($A2,$A$7:AD$156,AC3,0))</f>
        <v>#N/A</v>
      </c>
      <c r="AD2" s="17" t="e">
        <f>IF(VLOOKUP($A2,$A$7:AE$1124,AD3,0)="","",VLOOKUP($A2,$A$7:AE$156,AD3,0))</f>
        <v>#N/A</v>
      </c>
      <c r="AE2" s="17" t="e">
        <f>IF(VLOOKUP($A2,$A$7:AF$1124,AE3,0)="","",VLOOKUP($A2,$A$7:AF$156,AE3,0))</f>
        <v>#N/A</v>
      </c>
      <c r="AF2" s="17" t="e">
        <f>IF(VLOOKUP($A2,$A$7:AG$1124,AF3,0)="","",VLOOKUP($A2,$A$7:AG$156,AF3,0))</f>
        <v>#N/A</v>
      </c>
      <c r="AG2" s="17" t="e">
        <f>IF(VLOOKUP($A2,$A$7:AH$1124,AG3,0)="","",VLOOKUP($A2,$A$7:AH$156,AG3,0))</f>
        <v>#N/A</v>
      </c>
      <c r="AH2" s="17" t="e">
        <f>IF(VLOOKUP($A2,$A$7:AI$1124,AH3,0)="","",VLOOKUP($A2,$A$7:AI$156,AH3,0))</f>
        <v>#N/A</v>
      </c>
      <c r="AI2" s="17" t="e">
        <f>IF(VLOOKUP($A2,$A$7:AJ$1124,AI3,0)="","",VLOOKUP($A2,$A$7:AJ$156,AI3,0))</f>
        <v>#N/A</v>
      </c>
      <c r="AJ2" s="17" t="e">
        <f>IF(VLOOKUP($A2,$A$7:AK$1124,AJ3,0)="","",VLOOKUP($A2,$A$7:AK$156,AJ3,0))</f>
        <v>#N/A</v>
      </c>
    </row>
    <row r="3" spans="1:36" s="22" customFormat="1" ht="24.75" customHeight="1" x14ac:dyDescent="0.25">
      <c r="A3" s="19">
        <f>N_INICIAL</f>
        <v>0</v>
      </c>
      <c r="B3" s="20">
        <v>2</v>
      </c>
      <c r="C3" s="21">
        <f t="shared" ref="C3:AJ3" si="1">B3+1</f>
        <v>3</v>
      </c>
      <c r="D3" s="21">
        <f t="shared" si="1"/>
        <v>4</v>
      </c>
      <c r="E3" s="21">
        <f t="shared" si="1"/>
        <v>5</v>
      </c>
      <c r="F3" s="393">
        <f t="shared" si="1"/>
        <v>6</v>
      </c>
      <c r="G3" s="393">
        <f t="shared" si="1"/>
        <v>7</v>
      </c>
      <c r="H3" s="393">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23"/>
      <c r="C4" s="24"/>
      <c r="D4" s="23"/>
      <c r="E4" s="25"/>
      <c r="F4" s="396"/>
      <c r="G4" s="397"/>
      <c r="H4" s="390" t="str">
        <f>'Datos OM'!E4</f>
        <v>DATOS GENERALES | Ir A FORMULARIO | Dar FORMATO</v>
      </c>
      <c r="I4" s="229">
        <f>COUNTA(H7:H500)</f>
        <v>0</v>
      </c>
      <c r="J4" s="336" t="str">
        <f>'Datos E'!$J$4</f>
        <v>Preguntas almacenadas</v>
      </c>
    </row>
    <row r="5" spans="1:36" s="257" customFormat="1" hidden="1" x14ac:dyDescent="0.25">
      <c r="A5" s="28">
        <v>0</v>
      </c>
      <c r="B5" s="243" t="str">
        <f>IF(A5="","",PREF_PREGUNTA&amp;" - "&amp;IF(MAX($A$7:$A$156)&gt;99,IF(A5&lt;100,"0",""),"")&amp;IF(A5&lt;10,"0","")&amp;A5&amp;IF(G5&lt;&gt;""," "&amp;G5,""))</f>
        <v>T01 - 00</v>
      </c>
      <c r="C5" s="158">
        <f>IF(COUNTA(I5:N5)-D5=0,"",COUNTA(I5:N5)-D5)</f>
        <v>6</v>
      </c>
      <c r="D5" s="246"/>
      <c r="E5" s="247"/>
      <c r="F5" s="258">
        <v>1</v>
      </c>
      <c r="G5" s="248" t="str">
        <f>IF('Formulario RC'!H9="","",'Formulario RC'!H9)</f>
        <v/>
      </c>
      <c r="H5" s="241" t="str">
        <f>IF('Formulario RC'!H11="","",'Formulario RC'!H11)</f>
        <v/>
      </c>
      <c r="I5" s="259" t="str">
        <f>IF('Formulario RC'!$F13="","",'Formulario RC'!$F13)</f>
        <v/>
      </c>
      <c r="J5" s="260" t="str">
        <f>IF('Formulario RC'!$Q13="","",'Formulario RC'!$Q13)</f>
        <v/>
      </c>
      <c r="K5" s="260" t="str">
        <f>IF('Formulario RC'!$T13="","",'Formulario RC'!$T13)</f>
        <v/>
      </c>
      <c r="L5" s="261" t="str">
        <f>IF('Formulario RC'!$F15="","",'Formulario RC'!$F15)</f>
        <v/>
      </c>
      <c r="M5" s="262" t="str">
        <f>IF('Formulario RC'!$Q15="","",'Formulario RC'!$Q15)</f>
        <v/>
      </c>
      <c r="N5" s="262" t="str">
        <f>IF('Formulario RC'!$T15="","",'Formulario RC'!$T15)</f>
        <v/>
      </c>
      <c r="O5" s="261" t="str">
        <f>IF('Formulario RC'!$F17="","",'Formulario RC'!$F17)</f>
        <v/>
      </c>
      <c r="P5" s="262" t="str">
        <f>IF('Formulario RC'!$Q17="","",'Formulario RC'!$Q17)</f>
        <v/>
      </c>
      <c r="Q5" s="262" t="str">
        <f>IF('Formulario RC'!$T17="","",'Formulario RC'!$T17)</f>
        <v/>
      </c>
      <c r="R5" s="263" t="str">
        <f>IF('Formulario RC'!$F19="","",'Formulario RC'!$F19)</f>
        <v/>
      </c>
      <c r="S5" s="264" t="str">
        <f>IF('Formulario RC'!$Q19="","",'Formulario RC'!$Q19)</f>
        <v/>
      </c>
      <c r="T5" s="264" t="str">
        <f>IF('Formulario RC'!$T19="","",'Formulario RC'!$T19)</f>
        <v/>
      </c>
      <c r="U5" s="265" t="str">
        <f>IF('Formulario RC'!$F21="","",'Formulario RC'!$F21)</f>
        <v/>
      </c>
      <c r="V5" s="266" t="str">
        <f>IF('Formulario RC'!$Q21="","",'Formulario RC'!$Q21)</f>
        <v/>
      </c>
      <c r="W5" s="266" t="str">
        <f>IF('Formulario RC'!$T21="","",'Formulario RC'!$T21)</f>
        <v/>
      </c>
      <c r="X5" s="267" t="str">
        <f>IF('Formulario RC'!$F23="","",'Formulario RC'!$F23)</f>
        <v/>
      </c>
      <c r="Y5" s="268" t="str">
        <f>IF('Formulario RC'!$Q23="","",'Formulario RC'!$Q23)</f>
        <v/>
      </c>
      <c r="Z5" s="268" t="str">
        <f>IF('Formulario RC'!$T23="","",'Formulario RC'!$T23)</f>
        <v/>
      </c>
      <c r="AA5" s="259" t="str">
        <f>IF('Formulario RC'!$F25="","",'Formulario RC'!$F25)</f>
        <v/>
      </c>
      <c r="AB5" s="260" t="str">
        <f>IF('Formulario RC'!$Q25="","",'Formulario RC'!$Q25)</f>
        <v/>
      </c>
      <c r="AC5" s="260" t="str">
        <f>IF('Formulario RC'!$T25="","",'Formulario RC'!$T25)</f>
        <v/>
      </c>
      <c r="AD5" s="261" t="str">
        <f>IF('Formulario RC'!$F27="","",'Formulario RC'!$F27)</f>
        <v/>
      </c>
      <c r="AE5" s="262" t="str">
        <f>IF('Formulario RC'!$Q27="","",'Formulario RC'!$Q27)</f>
        <v/>
      </c>
      <c r="AF5" s="262" t="str">
        <f>IF('Formulario RC'!$T27="","",'Formulario RC'!$T27)</f>
        <v/>
      </c>
      <c r="AG5" s="269" t="str">
        <f>IF('Formulario RC'!H29="","",'Formulario RC'!H29)</f>
        <v/>
      </c>
      <c r="AH5" s="270" t="str">
        <f>IF('Formulario RC'!H31="","",'Formulario RC'!H31)</f>
        <v/>
      </c>
      <c r="AI5" s="271" t="str">
        <f>IF('Formulario RC'!H33="","",'Formulario RC'!H33)</f>
        <v/>
      </c>
      <c r="AJ5" s="272" t="str">
        <f>IF('Formulario RC'!H35="","",'Formulario RC'!H35)</f>
        <v/>
      </c>
    </row>
    <row r="6" spans="1:36" s="22" customFormat="1" ht="25.5" customHeight="1" x14ac:dyDescent="0.25">
      <c r="A6" s="28">
        <v>0</v>
      </c>
      <c r="B6" s="243" t="s">
        <v>41</v>
      </c>
      <c r="C6" s="96" t="s">
        <v>199</v>
      </c>
      <c r="D6" s="97"/>
      <c r="E6" s="98"/>
      <c r="F6" s="230" t="s">
        <v>273</v>
      </c>
      <c r="G6" s="64" t="s">
        <v>43</v>
      </c>
      <c r="H6" s="348" t="str">
        <f>"Enunciado  | "&amp;'Formulario RC'!B1</f>
        <v>Enunciado  | FastTest PlugIn - Respuesta Corta</v>
      </c>
      <c r="I6" s="339" t="s">
        <v>196</v>
      </c>
      <c r="J6" s="339" t="s">
        <v>197</v>
      </c>
      <c r="K6" s="339" t="s">
        <v>198</v>
      </c>
      <c r="L6" s="340" t="s">
        <v>200</v>
      </c>
      <c r="M6" s="340" t="s">
        <v>201</v>
      </c>
      <c r="N6" s="340" t="s">
        <v>202</v>
      </c>
      <c r="O6" s="340" t="s">
        <v>203</v>
      </c>
      <c r="P6" s="340" t="s">
        <v>204</v>
      </c>
      <c r="Q6" s="340" t="s">
        <v>205</v>
      </c>
      <c r="R6" s="341" t="s">
        <v>206</v>
      </c>
      <c r="S6" s="341" t="s">
        <v>207</v>
      </c>
      <c r="T6" s="341" t="s">
        <v>208</v>
      </c>
      <c r="U6" s="342" t="s">
        <v>209</v>
      </c>
      <c r="V6" s="342" t="s">
        <v>210</v>
      </c>
      <c r="W6" s="342" t="s">
        <v>211</v>
      </c>
      <c r="X6" s="343" t="s">
        <v>212</v>
      </c>
      <c r="Y6" s="343" t="s">
        <v>213</v>
      </c>
      <c r="Z6" s="343" t="s">
        <v>214</v>
      </c>
      <c r="AA6" s="339" t="s">
        <v>215</v>
      </c>
      <c r="AB6" s="339" t="s">
        <v>216</v>
      </c>
      <c r="AC6" s="339" t="s">
        <v>217</v>
      </c>
      <c r="AD6" s="340" t="s">
        <v>218</v>
      </c>
      <c r="AE6" s="340" t="s">
        <v>219</v>
      </c>
      <c r="AF6" s="340" t="s">
        <v>220</v>
      </c>
      <c r="AG6" s="344" t="s">
        <v>54</v>
      </c>
      <c r="AH6" s="345" t="s">
        <v>55</v>
      </c>
      <c r="AI6" s="346" t="s">
        <v>56</v>
      </c>
      <c r="AJ6" s="347" t="s">
        <v>57</v>
      </c>
    </row>
    <row r="7" spans="1:36" s="92" customFormat="1" x14ac:dyDescent="0.25">
      <c r="A7" s="34">
        <v>41</v>
      </c>
      <c r="B7" s="243" t="str">
        <f t="shared" ref="B7:B70" si="2">IF(A7="","",PREF_PREGUNTA&amp;" - "&amp;IF(MAX($A$7:$A$156)&gt;99,IF(A7&lt;100,"0",""),"")&amp;IF(A7&lt;10,"0","")&amp;A7&amp;IF(G7&lt;&gt;""," "&amp;G7,""))</f>
        <v>T01 - 41</v>
      </c>
      <c r="C7" s="158" t="str">
        <f t="shared" ref="C7:C70" si="3">IF(COUNTA(I7:N7)-D7=0,"",COUNTA(I7:N7)-D7)</f>
        <v/>
      </c>
      <c r="D7" s="246"/>
      <c r="E7" s="247"/>
      <c r="F7" s="258"/>
      <c r="G7" s="248"/>
      <c r="H7" s="241"/>
      <c r="I7" s="259"/>
      <c r="J7" s="260"/>
      <c r="K7" s="260"/>
      <c r="L7" s="261"/>
      <c r="M7" s="262"/>
      <c r="N7" s="262"/>
      <c r="O7" s="261"/>
      <c r="P7" s="262"/>
      <c r="Q7" s="262"/>
      <c r="R7" s="263"/>
      <c r="S7" s="264"/>
      <c r="T7" s="264"/>
      <c r="U7" s="265"/>
      <c r="V7" s="266"/>
      <c r="W7" s="266"/>
      <c r="X7" s="267"/>
      <c r="Y7" s="268"/>
      <c r="Z7" s="268"/>
      <c r="AA7" s="259"/>
      <c r="AB7" s="260"/>
      <c r="AC7" s="260"/>
      <c r="AD7" s="261"/>
      <c r="AE7" s="262"/>
      <c r="AF7" s="262"/>
      <c r="AG7" s="269"/>
      <c r="AH7" s="270"/>
      <c r="AI7" s="271"/>
      <c r="AJ7" s="272"/>
    </row>
    <row r="8" spans="1:36" s="92" customFormat="1" x14ac:dyDescent="0.25">
      <c r="A8" s="28" t="str">
        <f>IF(H8&lt;&gt;"",MAX($A$7:A7)+1,"")</f>
        <v/>
      </c>
      <c r="B8" s="243" t="str">
        <f t="shared" si="2"/>
        <v/>
      </c>
      <c r="C8" s="158" t="str">
        <f t="shared" si="3"/>
        <v/>
      </c>
      <c r="D8" s="246"/>
      <c r="E8" s="247"/>
      <c r="F8" s="258"/>
      <c r="G8" s="248"/>
      <c r="H8" s="241"/>
      <c r="I8" s="259"/>
      <c r="J8" s="260"/>
      <c r="K8" s="260"/>
      <c r="L8" s="261"/>
      <c r="M8" s="262"/>
      <c r="N8" s="262"/>
      <c r="O8" s="261"/>
      <c r="P8" s="262"/>
      <c r="Q8" s="262"/>
      <c r="R8" s="263"/>
      <c r="S8" s="264"/>
      <c r="T8" s="264"/>
      <c r="U8" s="265"/>
      <c r="V8" s="266"/>
      <c r="W8" s="266"/>
      <c r="X8" s="267"/>
      <c r="Y8" s="268"/>
      <c r="Z8" s="268"/>
      <c r="AA8" s="259"/>
      <c r="AB8" s="260"/>
      <c r="AC8" s="260"/>
      <c r="AD8" s="261"/>
      <c r="AE8" s="262"/>
      <c r="AF8" s="262"/>
      <c r="AG8" s="269"/>
      <c r="AH8" s="270"/>
      <c r="AI8" s="271"/>
      <c r="AJ8" s="272"/>
    </row>
    <row r="9" spans="1:36" s="92" customFormat="1" x14ac:dyDescent="0.25">
      <c r="A9" s="28" t="str">
        <f>IF(H9&lt;&gt;"",MAX($A$7:A8)+1,"")</f>
        <v/>
      </c>
      <c r="B9" s="243" t="str">
        <f t="shared" si="2"/>
        <v/>
      </c>
      <c r="C9" s="158" t="str">
        <f t="shared" si="3"/>
        <v/>
      </c>
      <c r="D9" s="246"/>
      <c r="E9" s="247"/>
      <c r="F9" s="258"/>
      <c r="G9" s="248"/>
      <c r="H9" s="241"/>
      <c r="I9" s="259"/>
      <c r="J9" s="260"/>
      <c r="K9" s="260"/>
      <c r="L9" s="261"/>
      <c r="M9" s="262"/>
      <c r="N9" s="262"/>
      <c r="O9" s="261"/>
      <c r="P9" s="262"/>
      <c r="Q9" s="262"/>
      <c r="R9" s="263"/>
      <c r="S9" s="264"/>
      <c r="T9" s="264"/>
      <c r="U9" s="265"/>
      <c r="V9" s="266"/>
      <c r="W9" s="266"/>
      <c r="X9" s="267"/>
      <c r="Y9" s="268"/>
      <c r="Z9" s="268"/>
      <c r="AA9" s="259"/>
      <c r="AB9" s="260"/>
      <c r="AC9" s="260"/>
      <c r="AD9" s="261"/>
      <c r="AE9" s="262"/>
      <c r="AF9" s="262"/>
      <c r="AG9" s="269"/>
      <c r="AH9" s="270"/>
      <c r="AI9" s="271"/>
      <c r="AJ9" s="272"/>
    </row>
    <row r="10" spans="1:36" s="92" customFormat="1" x14ac:dyDescent="0.25">
      <c r="A10" s="28" t="str">
        <f>IF(H10&lt;&gt;"",MAX($A$7:A9)+1,"")</f>
        <v/>
      </c>
      <c r="B10" s="243" t="str">
        <f t="shared" si="2"/>
        <v/>
      </c>
      <c r="C10" s="158" t="str">
        <f t="shared" si="3"/>
        <v/>
      </c>
      <c r="D10" s="246"/>
      <c r="E10" s="247"/>
      <c r="F10" s="258"/>
      <c r="G10" s="248"/>
      <c r="H10" s="241"/>
      <c r="I10" s="259"/>
      <c r="J10" s="260"/>
      <c r="K10" s="260"/>
      <c r="L10" s="261"/>
      <c r="M10" s="262"/>
      <c r="N10" s="262"/>
      <c r="O10" s="261"/>
      <c r="P10" s="262"/>
      <c r="Q10" s="262"/>
      <c r="R10" s="263"/>
      <c r="S10" s="264"/>
      <c r="T10" s="264"/>
      <c r="U10" s="265"/>
      <c r="V10" s="266"/>
      <c r="W10" s="266"/>
      <c r="X10" s="267"/>
      <c r="Y10" s="268"/>
      <c r="Z10" s="268"/>
      <c r="AA10" s="259"/>
      <c r="AB10" s="260"/>
      <c r="AC10" s="260"/>
      <c r="AD10" s="261"/>
      <c r="AE10" s="262"/>
      <c r="AF10" s="262"/>
      <c r="AG10" s="269"/>
      <c r="AH10" s="270"/>
      <c r="AI10" s="271"/>
      <c r="AJ10" s="272"/>
    </row>
    <row r="11" spans="1:36" s="92" customFormat="1" x14ac:dyDescent="0.25">
      <c r="A11" s="28" t="str">
        <f>IF(H11&lt;&gt;"",MAX($A$7:A10)+1,"")</f>
        <v/>
      </c>
      <c r="B11" s="243" t="str">
        <f t="shared" si="2"/>
        <v/>
      </c>
      <c r="C11" s="158" t="str">
        <f t="shared" si="3"/>
        <v/>
      </c>
      <c r="D11" s="246"/>
      <c r="E11" s="247"/>
      <c r="F11" s="258"/>
      <c r="G11" s="248"/>
      <c r="H11" s="241"/>
      <c r="I11" s="259"/>
      <c r="J11" s="260"/>
      <c r="K11" s="260"/>
      <c r="L11" s="261"/>
      <c r="M11" s="262"/>
      <c r="N11" s="262"/>
      <c r="O11" s="261"/>
      <c r="P11" s="262"/>
      <c r="Q11" s="262"/>
      <c r="R11" s="263"/>
      <c r="S11" s="264"/>
      <c r="T11" s="264"/>
      <c r="U11" s="265"/>
      <c r="V11" s="266"/>
      <c r="W11" s="266"/>
      <c r="X11" s="267"/>
      <c r="Y11" s="268"/>
      <c r="Z11" s="268"/>
      <c r="AA11" s="259"/>
      <c r="AB11" s="260"/>
      <c r="AC11" s="260"/>
      <c r="AD11" s="261"/>
      <c r="AE11" s="262"/>
      <c r="AF11" s="262"/>
      <c r="AG11" s="269"/>
      <c r="AH11" s="270"/>
      <c r="AI11" s="271"/>
      <c r="AJ11" s="272"/>
    </row>
    <row r="12" spans="1:36" s="92" customFormat="1" x14ac:dyDescent="0.25">
      <c r="A12" s="28" t="str">
        <f>IF(H12&lt;&gt;"",MAX($A$7:A11)+1,"")</f>
        <v/>
      </c>
      <c r="B12" s="243" t="str">
        <f t="shared" si="2"/>
        <v/>
      </c>
      <c r="C12" s="158" t="str">
        <f t="shared" si="3"/>
        <v/>
      </c>
      <c r="D12" s="246"/>
      <c r="E12" s="247"/>
      <c r="F12" s="258"/>
      <c r="G12" s="248"/>
      <c r="H12" s="241"/>
      <c r="I12" s="259"/>
      <c r="J12" s="260"/>
      <c r="K12" s="260"/>
      <c r="L12" s="261"/>
      <c r="M12" s="262"/>
      <c r="N12" s="262"/>
      <c r="O12" s="261"/>
      <c r="P12" s="262"/>
      <c r="Q12" s="262"/>
      <c r="R12" s="263"/>
      <c r="S12" s="264"/>
      <c r="T12" s="264"/>
      <c r="U12" s="265"/>
      <c r="V12" s="266"/>
      <c r="W12" s="266"/>
      <c r="X12" s="267"/>
      <c r="Y12" s="268"/>
      <c r="Z12" s="268"/>
      <c r="AA12" s="259"/>
      <c r="AB12" s="260"/>
      <c r="AC12" s="260"/>
      <c r="AD12" s="261"/>
      <c r="AE12" s="262"/>
      <c r="AF12" s="262"/>
      <c r="AG12" s="269"/>
      <c r="AH12" s="270"/>
      <c r="AI12" s="271"/>
      <c r="AJ12" s="272"/>
    </row>
    <row r="13" spans="1:36" s="92" customFormat="1" x14ac:dyDescent="0.25">
      <c r="A13" s="28" t="str">
        <f>IF(H13&lt;&gt;"",MAX($A$7:A12)+1,"")</f>
        <v/>
      </c>
      <c r="B13" s="243" t="str">
        <f t="shared" si="2"/>
        <v/>
      </c>
      <c r="C13" s="158" t="str">
        <f t="shared" si="3"/>
        <v/>
      </c>
      <c r="D13" s="246"/>
      <c r="E13" s="247"/>
      <c r="F13" s="258"/>
      <c r="G13" s="248"/>
      <c r="H13" s="241"/>
      <c r="I13" s="259"/>
      <c r="J13" s="260"/>
      <c r="K13" s="260"/>
      <c r="L13" s="261"/>
      <c r="M13" s="262"/>
      <c r="N13" s="262"/>
      <c r="O13" s="261"/>
      <c r="P13" s="262"/>
      <c r="Q13" s="262"/>
      <c r="R13" s="263"/>
      <c r="S13" s="264"/>
      <c r="T13" s="264"/>
      <c r="U13" s="265"/>
      <c r="V13" s="266"/>
      <c r="W13" s="266"/>
      <c r="X13" s="267"/>
      <c r="Y13" s="268"/>
      <c r="Z13" s="268"/>
      <c r="AA13" s="259"/>
      <c r="AB13" s="260"/>
      <c r="AC13" s="260"/>
      <c r="AD13" s="261"/>
      <c r="AE13" s="262"/>
      <c r="AF13" s="262"/>
      <c r="AG13" s="269"/>
      <c r="AH13" s="270"/>
      <c r="AI13" s="271"/>
      <c r="AJ13" s="272"/>
    </row>
    <row r="14" spans="1:36" s="92" customFormat="1" x14ac:dyDescent="0.25">
      <c r="A14" s="28" t="str">
        <f>IF(H14&lt;&gt;"",MAX($A$7:A13)+1,"")</f>
        <v/>
      </c>
      <c r="B14" s="243" t="str">
        <f t="shared" si="2"/>
        <v/>
      </c>
      <c r="C14" s="158" t="str">
        <f t="shared" si="3"/>
        <v/>
      </c>
      <c r="D14" s="246"/>
      <c r="E14" s="247"/>
      <c r="F14" s="258"/>
      <c r="G14" s="248"/>
      <c r="H14" s="241"/>
      <c r="I14" s="259"/>
      <c r="J14" s="260"/>
      <c r="K14" s="260"/>
      <c r="L14" s="261"/>
      <c r="M14" s="262"/>
      <c r="N14" s="262"/>
      <c r="O14" s="261"/>
      <c r="P14" s="262"/>
      <c r="Q14" s="262"/>
      <c r="R14" s="263"/>
      <c r="S14" s="264"/>
      <c r="T14" s="264"/>
      <c r="U14" s="265"/>
      <c r="V14" s="266"/>
      <c r="W14" s="266"/>
      <c r="X14" s="267"/>
      <c r="Y14" s="268"/>
      <c r="Z14" s="268"/>
      <c r="AA14" s="259"/>
      <c r="AB14" s="260"/>
      <c r="AC14" s="260"/>
      <c r="AD14" s="261"/>
      <c r="AE14" s="262"/>
      <c r="AF14" s="262"/>
      <c r="AG14" s="269"/>
      <c r="AH14" s="270"/>
      <c r="AI14" s="271"/>
      <c r="AJ14" s="272"/>
    </row>
    <row r="15" spans="1:36" s="92" customFormat="1" x14ac:dyDescent="0.25">
      <c r="A15" s="28" t="str">
        <f>IF(H15&lt;&gt;"",MAX($A$7:A14)+1,"")</f>
        <v/>
      </c>
      <c r="B15" s="243" t="str">
        <f t="shared" si="2"/>
        <v/>
      </c>
      <c r="C15" s="158" t="str">
        <f t="shared" si="3"/>
        <v/>
      </c>
      <c r="D15" s="246"/>
      <c r="E15" s="247"/>
      <c r="F15" s="258"/>
      <c r="G15" s="248"/>
      <c r="H15" s="241"/>
      <c r="I15" s="259"/>
      <c r="J15" s="260"/>
      <c r="K15" s="260"/>
      <c r="L15" s="261"/>
      <c r="M15" s="262"/>
      <c r="N15" s="262"/>
      <c r="O15" s="261"/>
      <c r="P15" s="262"/>
      <c r="Q15" s="262"/>
      <c r="R15" s="263"/>
      <c r="S15" s="264"/>
      <c r="T15" s="264"/>
      <c r="U15" s="265"/>
      <c r="V15" s="266"/>
      <c r="W15" s="266"/>
      <c r="X15" s="267"/>
      <c r="Y15" s="268"/>
      <c r="Z15" s="268"/>
      <c r="AA15" s="259"/>
      <c r="AB15" s="260"/>
      <c r="AC15" s="260"/>
      <c r="AD15" s="261"/>
      <c r="AE15" s="262"/>
      <c r="AF15" s="262"/>
      <c r="AG15" s="269"/>
      <c r="AH15" s="270"/>
      <c r="AI15" s="271"/>
      <c r="AJ15" s="272"/>
    </row>
    <row r="16" spans="1:36" s="92" customFormat="1" x14ac:dyDescent="0.25">
      <c r="A16" s="28" t="str">
        <f>IF(H16&lt;&gt;"",MAX($A$7:A15)+1,"")</f>
        <v/>
      </c>
      <c r="B16" s="243" t="str">
        <f t="shared" si="2"/>
        <v/>
      </c>
      <c r="C16" s="158" t="str">
        <f t="shared" si="3"/>
        <v/>
      </c>
      <c r="D16" s="246"/>
      <c r="E16" s="247"/>
      <c r="F16" s="258"/>
      <c r="G16" s="248"/>
      <c r="H16" s="241"/>
      <c r="I16" s="259"/>
      <c r="J16" s="260"/>
      <c r="K16" s="260"/>
      <c r="L16" s="261"/>
      <c r="M16" s="262"/>
      <c r="N16" s="262"/>
      <c r="O16" s="261"/>
      <c r="P16" s="262"/>
      <c r="Q16" s="262"/>
      <c r="R16" s="263"/>
      <c r="S16" s="264"/>
      <c r="T16" s="264"/>
      <c r="U16" s="265"/>
      <c r="V16" s="266"/>
      <c r="W16" s="266"/>
      <c r="X16" s="267"/>
      <c r="Y16" s="268"/>
      <c r="Z16" s="268"/>
      <c r="AA16" s="259"/>
      <c r="AB16" s="260"/>
      <c r="AC16" s="260"/>
      <c r="AD16" s="261"/>
      <c r="AE16" s="262"/>
      <c r="AF16" s="262"/>
      <c r="AG16" s="269"/>
      <c r="AH16" s="270"/>
      <c r="AI16" s="271"/>
      <c r="AJ16" s="272"/>
    </row>
    <row r="17" spans="1:36" s="92" customFormat="1" x14ac:dyDescent="0.25">
      <c r="A17" s="28" t="str">
        <f>IF(H17&lt;&gt;"",MAX($A$7:A16)+1,"")</f>
        <v/>
      </c>
      <c r="B17" s="243" t="str">
        <f t="shared" si="2"/>
        <v/>
      </c>
      <c r="C17" s="158" t="str">
        <f t="shared" si="3"/>
        <v/>
      </c>
      <c r="D17" s="246"/>
      <c r="E17" s="247"/>
      <c r="F17" s="258"/>
      <c r="G17" s="248"/>
      <c r="H17" s="241"/>
      <c r="I17" s="259"/>
      <c r="J17" s="260"/>
      <c r="K17" s="260"/>
      <c r="L17" s="261"/>
      <c r="M17" s="262"/>
      <c r="N17" s="262"/>
      <c r="O17" s="261"/>
      <c r="P17" s="262"/>
      <c r="Q17" s="262"/>
      <c r="R17" s="263"/>
      <c r="S17" s="264"/>
      <c r="T17" s="264"/>
      <c r="U17" s="265"/>
      <c r="V17" s="266"/>
      <c r="W17" s="266"/>
      <c r="X17" s="267"/>
      <c r="Y17" s="268"/>
      <c r="Z17" s="268"/>
      <c r="AA17" s="259"/>
      <c r="AB17" s="260"/>
      <c r="AC17" s="260"/>
      <c r="AD17" s="261"/>
      <c r="AE17" s="262"/>
      <c r="AF17" s="262"/>
      <c r="AG17" s="269"/>
      <c r="AH17" s="270"/>
      <c r="AI17" s="271"/>
      <c r="AJ17" s="272"/>
    </row>
    <row r="18" spans="1:36" s="92" customFormat="1" x14ac:dyDescent="0.25">
      <c r="A18" s="28" t="str">
        <f>IF(H18&lt;&gt;"",MAX($A$7:A17)+1,"")</f>
        <v/>
      </c>
      <c r="B18" s="243" t="str">
        <f t="shared" si="2"/>
        <v/>
      </c>
      <c r="C18" s="158" t="str">
        <f t="shared" si="3"/>
        <v/>
      </c>
      <c r="D18" s="246"/>
      <c r="E18" s="247"/>
      <c r="F18" s="258"/>
      <c r="G18" s="248"/>
      <c r="H18" s="241"/>
      <c r="I18" s="259"/>
      <c r="J18" s="260"/>
      <c r="K18" s="260"/>
      <c r="L18" s="261"/>
      <c r="M18" s="262"/>
      <c r="N18" s="262"/>
      <c r="O18" s="261"/>
      <c r="P18" s="262"/>
      <c r="Q18" s="262"/>
      <c r="R18" s="263"/>
      <c r="S18" s="264"/>
      <c r="T18" s="264"/>
      <c r="U18" s="265"/>
      <c r="V18" s="266"/>
      <c r="W18" s="266"/>
      <c r="X18" s="267"/>
      <c r="Y18" s="268"/>
      <c r="Z18" s="268"/>
      <c r="AA18" s="259"/>
      <c r="AB18" s="260"/>
      <c r="AC18" s="260"/>
      <c r="AD18" s="261"/>
      <c r="AE18" s="262"/>
      <c r="AF18" s="262"/>
      <c r="AG18" s="269"/>
      <c r="AH18" s="270"/>
      <c r="AI18" s="271"/>
      <c r="AJ18" s="272"/>
    </row>
    <row r="19" spans="1:36" s="92" customFormat="1" x14ac:dyDescent="0.25">
      <c r="A19" s="28" t="str">
        <f>IF(H19&lt;&gt;"",MAX($A$7:A18)+1,"")</f>
        <v/>
      </c>
      <c r="B19" s="243" t="str">
        <f t="shared" si="2"/>
        <v/>
      </c>
      <c r="C19" s="158" t="str">
        <f t="shared" si="3"/>
        <v/>
      </c>
      <c r="D19" s="246"/>
      <c r="E19" s="247"/>
      <c r="F19" s="258"/>
      <c r="G19" s="248"/>
      <c r="H19" s="241"/>
      <c r="I19" s="259"/>
      <c r="J19" s="260"/>
      <c r="K19" s="260"/>
      <c r="L19" s="261"/>
      <c r="M19" s="262"/>
      <c r="N19" s="262"/>
      <c r="O19" s="261"/>
      <c r="P19" s="262"/>
      <c r="Q19" s="262"/>
      <c r="R19" s="263"/>
      <c r="S19" s="264"/>
      <c r="T19" s="264"/>
      <c r="U19" s="265"/>
      <c r="V19" s="266"/>
      <c r="W19" s="266"/>
      <c r="X19" s="267"/>
      <c r="Y19" s="268"/>
      <c r="Z19" s="268"/>
      <c r="AA19" s="259"/>
      <c r="AB19" s="260"/>
      <c r="AC19" s="260"/>
      <c r="AD19" s="261"/>
      <c r="AE19" s="262"/>
      <c r="AF19" s="262"/>
      <c r="AG19" s="269"/>
      <c r="AH19" s="270"/>
      <c r="AI19" s="271"/>
      <c r="AJ19" s="272"/>
    </row>
    <row r="20" spans="1:36" s="92" customFormat="1" x14ac:dyDescent="0.25">
      <c r="A20" s="28" t="str">
        <f>IF(H20&lt;&gt;"",MAX($A$7:A19)+1,"")</f>
        <v/>
      </c>
      <c r="B20" s="243" t="str">
        <f t="shared" si="2"/>
        <v/>
      </c>
      <c r="C20" s="158" t="str">
        <f t="shared" si="3"/>
        <v/>
      </c>
      <c r="D20" s="246"/>
      <c r="E20" s="247"/>
      <c r="F20" s="258"/>
      <c r="G20" s="248"/>
      <c r="H20" s="241"/>
      <c r="I20" s="259"/>
      <c r="J20" s="260"/>
      <c r="K20" s="260"/>
      <c r="L20" s="261"/>
      <c r="M20" s="262"/>
      <c r="N20" s="262"/>
      <c r="O20" s="261"/>
      <c r="P20" s="262"/>
      <c r="Q20" s="262"/>
      <c r="R20" s="263"/>
      <c r="S20" s="264"/>
      <c r="T20" s="264"/>
      <c r="U20" s="265"/>
      <c r="V20" s="266"/>
      <c r="W20" s="266"/>
      <c r="X20" s="267"/>
      <c r="Y20" s="268"/>
      <c r="Z20" s="268"/>
      <c r="AA20" s="259"/>
      <c r="AB20" s="260"/>
      <c r="AC20" s="260"/>
      <c r="AD20" s="261"/>
      <c r="AE20" s="262"/>
      <c r="AF20" s="262"/>
      <c r="AG20" s="269"/>
      <c r="AH20" s="270"/>
      <c r="AI20" s="271"/>
      <c r="AJ20" s="272"/>
    </row>
    <row r="21" spans="1:36" s="92" customFormat="1" x14ac:dyDescent="0.25">
      <c r="A21" s="28" t="str">
        <f>IF(H21&lt;&gt;"",MAX($A$7:A20)+1,"")</f>
        <v/>
      </c>
      <c r="B21" s="243" t="str">
        <f t="shared" si="2"/>
        <v/>
      </c>
      <c r="C21" s="158" t="str">
        <f t="shared" si="3"/>
        <v/>
      </c>
      <c r="D21" s="246"/>
      <c r="E21" s="247"/>
      <c r="F21" s="258"/>
      <c r="G21" s="248"/>
      <c r="H21" s="241"/>
      <c r="I21" s="259"/>
      <c r="J21" s="260"/>
      <c r="K21" s="260"/>
      <c r="L21" s="261"/>
      <c r="M21" s="262"/>
      <c r="N21" s="262"/>
      <c r="O21" s="261"/>
      <c r="P21" s="262"/>
      <c r="Q21" s="262"/>
      <c r="R21" s="263"/>
      <c r="S21" s="264"/>
      <c r="T21" s="264"/>
      <c r="U21" s="265"/>
      <c r="V21" s="266"/>
      <c r="W21" s="266"/>
      <c r="X21" s="267"/>
      <c r="Y21" s="268"/>
      <c r="Z21" s="268"/>
      <c r="AA21" s="259"/>
      <c r="AB21" s="260"/>
      <c r="AC21" s="260"/>
      <c r="AD21" s="261"/>
      <c r="AE21" s="262"/>
      <c r="AF21" s="262"/>
      <c r="AG21" s="269"/>
      <c r="AH21" s="270"/>
      <c r="AI21" s="271"/>
      <c r="AJ21" s="272"/>
    </row>
    <row r="22" spans="1:36" s="92" customFormat="1" x14ac:dyDescent="0.25">
      <c r="A22" s="28" t="str">
        <f>IF(H22&lt;&gt;"",MAX($A$7:A21)+1,"")</f>
        <v/>
      </c>
      <c r="B22" s="243" t="str">
        <f t="shared" si="2"/>
        <v/>
      </c>
      <c r="C22" s="158" t="str">
        <f t="shared" si="3"/>
        <v/>
      </c>
      <c r="D22" s="246"/>
      <c r="E22" s="247"/>
      <c r="F22" s="258"/>
      <c r="G22" s="248"/>
      <c r="H22" s="241"/>
      <c r="I22" s="259"/>
      <c r="J22" s="260"/>
      <c r="K22" s="260"/>
      <c r="L22" s="261"/>
      <c r="M22" s="262"/>
      <c r="N22" s="262"/>
      <c r="O22" s="261"/>
      <c r="P22" s="262"/>
      <c r="Q22" s="262"/>
      <c r="R22" s="263"/>
      <c r="S22" s="264"/>
      <c r="T22" s="264"/>
      <c r="U22" s="265"/>
      <c r="V22" s="266"/>
      <c r="W22" s="266"/>
      <c r="X22" s="267"/>
      <c r="Y22" s="268"/>
      <c r="Z22" s="268"/>
      <c r="AA22" s="259"/>
      <c r="AB22" s="260"/>
      <c r="AC22" s="260"/>
      <c r="AD22" s="261"/>
      <c r="AE22" s="262"/>
      <c r="AF22" s="262"/>
      <c r="AG22" s="269"/>
      <c r="AH22" s="270"/>
      <c r="AI22" s="271"/>
      <c r="AJ22" s="272"/>
    </row>
    <row r="23" spans="1:36" s="92" customFormat="1" x14ac:dyDescent="0.25">
      <c r="A23" s="28" t="str">
        <f>IF(H23&lt;&gt;"",MAX($A$7:A22)+1,"")</f>
        <v/>
      </c>
      <c r="B23" s="243" t="str">
        <f t="shared" si="2"/>
        <v/>
      </c>
      <c r="C23" s="158" t="str">
        <f t="shared" si="3"/>
        <v/>
      </c>
      <c r="D23" s="246"/>
      <c r="E23" s="247"/>
      <c r="F23" s="258"/>
      <c r="G23" s="248"/>
      <c r="H23" s="241"/>
      <c r="I23" s="259"/>
      <c r="J23" s="260"/>
      <c r="K23" s="260"/>
      <c r="L23" s="261"/>
      <c r="M23" s="262"/>
      <c r="N23" s="262"/>
      <c r="O23" s="261"/>
      <c r="P23" s="262"/>
      <c r="Q23" s="262"/>
      <c r="R23" s="263"/>
      <c r="S23" s="264"/>
      <c r="T23" s="264"/>
      <c r="U23" s="265"/>
      <c r="V23" s="266"/>
      <c r="W23" s="266"/>
      <c r="X23" s="267"/>
      <c r="Y23" s="268"/>
      <c r="Z23" s="268"/>
      <c r="AA23" s="259"/>
      <c r="AB23" s="260"/>
      <c r="AC23" s="260"/>
      <c r="AD23" s="261"/>
      <c r="AE23" s="262"/>
      <c r="AF23" s="262"/>
      <c r="AG23" s="269"/>
      <c r="AH23" s="270"/>
      <c r="AI23" s="271"/>
      <c r="AJ23" s="272"/>
    </row>
    <row r="24" spans="1:36" s="92" customFormat="1" x14ac:dyDescent="0.25">
      <c r="A24" s="28" t="str">
        <f>IF(H24&lt;&gt;"",MAX($A$7:A23)+1,"")</f>
        <v/>
      </c>
      <c r="B24" s="243" t="str">
        <f t="shared" si="2"/>
        <v/>
      </c>
      <c r="C24" s="158" t="str">
        <f t="shared" si="3"/>
        <v/>
      </c>
      <c r="D24" s="246"/>
      <c r="E24" s="247"/>
      <c r="F24" s="258"/>
      <c r="G24" s="248"/>
      <c r="H24" s="241"/>
      <c r="I24" s="259"/>
      <c r="J24" s="260"/>
      <c r="K24" s="260"/>
      <c r="L24" s="261"/>
      <c r="M24" s="262"/>
      <c r="N24" s="262"/>
      <c r="O24" s="261"/>
      <c r="P24" s="262"/>
      <c r="Q24" s="262"/>
      <c r="R24" s="263"/>
      <c r="S24" s="264"/>
      <c r="T24" s="264"/>
      <c r="U24" s="265"/>
      <c r="V24" s="266"/>
      <c r="W24" s="266"/>
      <c r="X24" s="267"/>
      <c r="Y24" s="268"/>
      <c r="Z24" s="268"/>
      <c r="AA24" s="259"/>
      <c r="AB24" s="260"/>
      <c r="AC24" s="260"/>
      <c r="AD24" s="261"/>
      <c r="AE24" s="262"/>
      <c r="AF24" s="262"/>
      <c r="AG24" s="269"/>
      <c r="AH24" s="270"/>
      <c r="AI24" s="271"/>
      <c r="AJ24" s="272"/>
    </row>
    <row r="25" spans="1:36" s="92" customFormat="1" x14ac:dyDescent="0.25">
      <c r="A25" s="28" t="str">
        <f>IF(H25&lt;&gt;"",MAX($A$7:A24)+1,"")</f>
        <v/>
      </c>
      <c r="B25" s="243" t="str">
        <f t="shared" si="2"/>
        <v/>
      </c>
      <c r="C25" s="158" t="str">
        <f t="shared" si="3"/>
        <v/>
      </c>
      <c r="D25" s="246"/>
      <c r="E25" s="247"/>
      <c r="F25" s="258"/>
      <c r="G25" s="248"/>
      <c r="H25" s="241"/>
      <c r="I25" s="259"/>
      <c r="J25" s="260"/>
      <c r="K25" s="260"/>
      <c r="L25" s="261"/>
      <c r="M25" s="262"/>
      <c r="N25" s="262"/>
      <c r="O25" s="261"/>
      <c r="P25" s="262"/>
      <c r="Q25" s="262"/>
      <c r="R25" s="263"/>
      <c r="S25" s="264"/>
      <c r="T25" s="264"/>
      <c r="U25" s="265"/>
      <c r="V25" s="266"/>
      <c r="W25" s="266"/>
      <c r="X25" s="267"/>
      <c r="Y25" s="268"/>
      <c r="Z25" s="268"/>
      <c r="AA25" s="259"/>
      <c r="AB25" s="260"/>
      <c r="AC25" s="260"/>
      <c r="AD25" s="261"/>
      <c r="AE25" s="262"/>
      <c r="AF25" s="262"/>
      <c r="AG25" s="269"/>
      <c r="AH25" s="270"/>
      <c r="AI25" s="271"/>
      <c r="AJ25" s="272"/>
    </row>
    <row r="26" spans="1:36" s="92" customFormat="1" x14ac:dyDescent="0.25">
      <c r="A26" s="28" t="str">
        <f>IF(H26&lt;&gt;"",MAX($A$7:A25)+1,"")</f>
        <v/>
      </c>
      <c r="B26" s="243" t="str">
        <f t="shared" si="2"/>
        <v/>
      </c>
      <c r="C26" s="158" t="str">
        <f t="shared" si="3"/>
        <v/>
      </c>
      <c r="D26" s="246"/>
      <c r="E26" s="247"/>
      <c r="F26" s="258"/>
      <c r="G26" s="248"/>
      <c r="H26" s="241"/>
      <c r="I26" s="259"/>
      <c r="J26" s="260"/>
      <c r="K26" s="260"/>
      <c r="L26" s="261"/>
      <c r="M26" s="262"/>
      <c r="N26" s="262"/>
      <c r="O26" s="261"/>
      <c r="P26" s="262"/>
      <c r="Q26" s="262"/>
      <c r="R26" s="263"/>
      <c r="S26" s="264"/>
      <c r="T26" s="264"/>
      <c r="U26" s="265"/>
      <c r="V26" s="266"/>
      <c r="W26" s="266"/>
      <c r="X26" s="267"/>
      <c r="Y26" s="268"/>
      <c r="Z26" s="268"/>
      <c r="AA26" s="259"/>
      <c r="AB26" s="260"/>
      <c r="AC26" s="260"/>
      <c r="AD26" s="261"/>
      <c r="AE26" s="262"/>
      <c r="AF26" s="262"/>
      <c r="AG26" s="269"/>
      <c r="AH26" s="270"/>
      <c r="AI26" s="271"/>
      <c r="AJ26" s="272"/>
    </row>
    <row r="27" spans="1:36" s="92" customFormat="1" x14ac:dyDescent="0.25">
      <c r="A27" s="28" t="str">
        <f>IF(H27&lt;&gt;"",MAX($A$7:A26)+1,"")</f>
        <v/>
      </c>
      <c r="B27" s="243" t="str">
        <f t="shared" si="2"/>
        <v/>
      </c>
      <c r="C27" s="158" t="str">
        <f t="shared" si="3"/>
        <v/>
      </c>
      <c r="D27" s="246"/>
      <c r="E27" s="247"/>
      <c r="F27" s="258"/>
      <c r="G27" s="248"/>
      <c r="H27" s="241"/>
      <c r="I27" s="259"/>
      <c r="J27" s="260"/>
      <c r="K27" s="260"/>
      <c r="L27" s="261"/>
      <c r="M27" s="262"/>
      <c r="N27" s="262"/>
      <c r="O27" s="261"/>
      <c r="P27" s="262"/>
      <c r="Q27" s="262"/>
      <c r="R27" s="263"/>
      <c r="S27" s="264"/>
      <c r="T27" s="264"/>
      <c r="U27" s="265"/>
      <c r="V27" s="266"/>
      <c r="W27" s="266"/>
      <c r="X27" s="267"/>
      <c r="Y27" s="268"/>
      <c r="Z27" s="268"/>
      <c r="AA27" s="259"/>
      <c r="AB27" s="260"/>
      <c r="AC27" s="260"/>
      <c r="AD27" s="261"/>
      <c r="AE27" s="262"/>
      <c r="AF27" s="262"/>
      <c r="AG27" s="269"/>
      <c r="AH27" s="270"/>
      <c r="AI27" s="271"/>
      <c r="AJ27" s="272"/>
    </row>
    <row r="28" spans="1:36" s="92" customFormat="1" x14ac:dyDescent="0.25">
      <c r="A28" s="28" t="str">
        <f>IF(H28&lt;&gt;"",MAX($A$7:A27)+1,"")</f>
        <v/>
      </c>
      <c r="B28" s="243" t="str">
        <f t="shared" si="2"/>
        <v/>
      </c>
      <c r="C28" s="158" t="str">
        <f t="shared" si="3"/>
        <v/>
      </c>
      <c r="D28" s="246"/>
      <c r="E28" s="247"/>
      <c r="F28" s="258"/>
      <c r="G28" s="248"/>
      <c r="H28" s="241"/>
      <c r="I28" s="259"/>
      <c r="J28" s="260"/>
      <c r="K28" s="260"/>
      <c r="L28" s="261"/>
      <c r="M28" s="262"/>
      <c r="N28" s="262"/>
      <c r="O28" s="261"/>
      <c r="P28" s="262"/>
      <c r="Q28" s="262"/>
      <c r="R28" s="263"/>
      <c r="S28" s="264"/>
      <c r="T28" s="264"/>
      <c r="U28" s="265"/>
      <c r="V28" s="266"/>
      <c r="W28" s="266"/>
      <c r="X28" s="267"/>
      <c r="Y28" s="268"/>
      <c r="Z28" s="268"/>
      <c r="AA28" s="259"/>
      <c r="AB28" s="260"/>
      <c r="AC28" s="260"/>
      <c r="AD28" s="261"/>
      <c r="AE28" s="262"/>
      <c r="AF28" s="262"/>
      <c r="AG28" s="269"/>
      <c r="AH28" s="270"/>
      <c r="AI28" s="271"/>
      <c r="AJ28" s="272"/>
    </row>
    <row r="29" spans="1:36" s="92" customFormat="1" x14ac:dyDescent="0.25">
      <c r="A29" s="28" t="str">
        <f>IF(H29&lt;&gt;"",MAX($A$7:A28)+1,"")</f>
        <v/>
      </c>
      <c r="B29" s="243" t="str">
        <f t="shared" si="2"/>
        <v/>
      </c>
      <c r="C29" s="158" t="str">
        <f t="shared" si="3"/>
        <v/>
      </c>
      <c r="D29" s="246"/>
      <c r="E29" s="247"/>
      <c r="F29" s="258"/>
      <c r="G29" s="248"/>
      <c r="H29" s="241"/>
      <c r="I29" s="259"/>
      <c r="J29" s="260"/>
      <c r="K29" s="260"/>
      <c r="L29" s="261"/>
      <c r="M29" s="262"/>
      <c r="N29" s="262"/>
      <c r="O29" s="261"/>
      <c r="P29" s="262"/>
      <c r="Q29" s="262"/>
      <c r="R29" s="263"/>
      <c r="S29" s="264"/>
      <c r="T29" s="264"/>
      <c r="U29" s="265"/>
      <c r="V29" s="266"/>
      <c r="W29" s="266"/>
      <c r="X29" s="267"/>
      <c r="Y29" s="268"/>
      <c r="Z29" s="268"/>
      <c r="AA29" s="259"/>
      <c r="AB29" s="260"/>
      <c r="AC29" s="260"/>
      <c r="AD29" s="261"/>
      <c r="AE29" s="262"/>
      <c r="AF29" s="262"/>
      <c r="AG29" s="269"/>
      <c r="AH29" s="270"/>
      <c r="AI29" s="271"/>
      <c r="AJ29" s="272"/>
    </row>
    <row r="30" spans="1:36" s="92" customFormat="1" x14ac:dyDescent="0.25">
      <c r="A30" s="28" t="str">
        <f>IF(H30&lt;&gt;"",MAX($A$7:A29)+1,"")</f>
        <v/>
      </c>
      <c r="B30" s="243" t="str">
        <f t="shared" si="2"/>
        <v/>
      </c>
      <c r="C30" s="158" t="str">
        <f t="shared" si="3"/>
        <v/>
      </c>
      <c r="D30" s="246"/>
      <c r="E30" s="247"/>
      <c r="F30" s="258"/>
      <c r="G30" s="248"/>
      <c r="H30" s="241"/>
      <c r="I30" s="259"/>
      <c r="J30" s="260"/>
      <c r="K30" s="260"/>
      <c r="L30" s="261"/>
      <c r="M30" s="262"/>
      <c r="N30" s="262"/>
      <c r="O30" s="261"/>
      <c r="P30" s="262"/>
      <c r="Q30" s="262"/>
      <c r="R30" s="263"/>
      <c r="S30" s="264"/>
      <c r="T30" s="264"/>
      <c r="U30" s="265"/>
      <c r="V30" s="266"/>
      <c r="W30" s="266"/>
      <c r="X30" s="267"/>
      <c r="Y30" s="268"/>
      <c r="Z30" s="268"/>
      <c r="AA30" s="259"/>
      <c r="AB30" s="260"/>
      <c r="AC30" s="260"/>
      <c r="AD30" s="261"/>
      <c r="AE30" s="262"/>
      <c r="AF30" s="262"/>
      <c r="AG30" s="269"/>
      <c r="AH30" s="270"/>
      <c r="AI30" s="271"/>
      <c r="AJ30" s="272"/>
    </row>
    <row r="31" spans="1:36" s="92" customFormat="1" x14ac:dyDescent="0.25">
      <c r="A31" s="28" t="str">
        <f>IF(H31&lt;&gt;"",MAX($A$7:A30)+1,"")</f>
        <v/>
      </c>
      <c r="B31" s="243" t="str">
        <f t="shared" si="2"/>
        <v/>
      </c>
      <c r="C31" s="158" t="str">
        <f t="shared" si="3"/>
        <v/>
      </c>
      <c r="D31" s="246"/>
      <c r="E31" s="247"/>
      <c r="F31" s="258"/>
      <c r="G31" s="248"/>
      <c r="H31" s="241"/>
      <c r="I31" s="259"/>
      <c r="J31" s="260"/>
      <c r="K31" s="260"/>
      <c r="L31" s="261"/>
      <c r="M31" s="262"/>
      <c r="N31" s="262"/>
      <c r="O31" s="261"/>
      <c r="P31" s="262"/>
      <c r="Q31" s="262"/>
      <c r="R31" s="263"/>
      <c r="S31" s="264"/>
      <c r="T31" s="264"/>
      <c r="U31" s="265"/>
      <c r="V31" s="266"/>
      <c r="W31" s="266"/>
      <c r="X31" s="267"/>
      <c r="Y31" s="268"/>
      <c r="Z31" s="268"/>
      <c r="AA31" s="259"/>
      <c r="AB31" s="260"/>
      <c r="AC31" s="260"/>
      <c r="AD31" s="261"/>
      <c r="AE31" s="262"/>
      <c r="AF31" s="262"/>
      <c r="AG31" s="269"/>
      <c r="AH31" s="270"/>
      <c r="AI31" s="271"/>
      <c r="AJ31" s="272"/>
    </row>
    <row r="32" spans="1:36" s="92" customFormat="1" x14ac:dyDescent="0.25">
      <c r="A32" s="28" t="str">
        <f>IF(H32&lt;&gt;"",MAX($A$7:A31)+1,"")</f>
        <v/>
      </c>
      <c r="B32" s="243" t="str">
        <f t="shared" si="2"/>
        <v/>
      </c>
      <c r="C32" s="158" t="str">
        <f t="shared" si="3"/>
        <v/>
      </c>
      <c r="D32" s="246"/>
      <c r="E32" s="247"/>
      <c r="F32" s="258"/>
      <c r="G32" s="248"/>
      <c r="H32" s="241"/>
      <c r="I32" s="259"/>
      <c r="J32" s="260"/>
      <c r="K32" s="260"/>
      <c r="L32" s="261"/>
      <c r="M32" s="262"/>
      <c r="N32" s="262"/>
      <c r="O32" s="261"/>
      <c r="P32" s="262"/>
      <c r="Q32" s="262"/>
      <c r="R32" s="263"/>
      <c r="S32" s="264"/>
      <c r="T32" s="264"/>
      <c r="U32" s="265"/>
      <c r="V32" s="266"/>
      <c r="W32" s="266"/>
      <c r="X32" s="267"/>
      <c r="Y32" s="268"/>
      <c r="Z32" s="268"/>
      <c r="AA32" s="259"/>
      <c r="AB32" s="260"/>
      <c r="AC32" s="260"/>
      <c r="AD32" s="261"/>
      <c r="AE32" s="262"/>
      <c r="AF32" s="262"/>
      <c r="AG32" s="269"/>
      <c r="AH32" s="270"/>
      <c r="AI32" s="271"/>
      <c r="AJ32" s="272"/>
    </row>
    <row r="33" spans="1:36" s="92" customFormat="1" x14ac:dyDescent="0.25">
      <c r="A33" s="28" t="str">
        <f>IF(H33&lt;&gt;"",MAX($A$7:A32)+1,"")</f>
        <v/>
      </c>
      <c r="B33" s="243" t="str">
        <f t="shared" si="2"/>
        <v/>
      </c>
      <c r="C33" s="158" t="str">
        <f t="shared" si="3"/>
        <v/>
      </c>
      <c r="D33" s="246"/>
      <c r="E33" s="247"/>
      <c r="F33" s="258"/>
      <c r="G33" s="248"/>
      <c r="H33" s="241"/>
      <c r="I33" s="259"/>
      <c r="J33" s="260"/>
      <c r="K33" s="260"/>
      <c r="L33" s="261"/>
      <c r="M33" s="262"/>
      <c r="N33" s="262"/>
      <c r="O33" s="261"/>
      <c r="P33" s="262"/>
      <c r="Q33" s="262"/>
      <c r="R33" s="263"/>
      <c r="S33" s="264"/>
      <c r="T33" s="264"/>
      <c r="U33" s="265"/>
      <c r="V33" s="266"/>
      <c r="W33" s="266"/>
      <c r="X33" s="267"/>
      <c r="Y33" s="268"/>
      <c r="Z33" s="268"/>
      <c r="AA33" s="259"/>
      <c r="AB33" s="260"/>
      <c r="AC33" s="260"/>
      <c r="AD33" s="261"/>
      <c r="AE33" s="262"/>
      <c r="AF33" s="262"/>
      <c r="AG33" s="269"/>
      <c r="AH33" s="270"/>
      <c r="AI33" s="271"/>
      <c r="AJ33" s="272"/>
    </row>
    <row r="34" spans="1:36" s="92" customFormat="1" x14ac:dyDescent="0.25">
      <c r="A34" s="28" t="str">
        <f>IF(H34&lt;&gt;"",MAX($A$7:A33)+1,"")</f>
        <v/>
      </c>
      <c r="B34" s="243" t="str">
        <f t="shared" si="2"/>
        <v/>
      </c>
      <c r="C34" s="158" t="str">
        <f t="shared" si="3"/>
        <v/>
      </c>
      <c r="D34" s="246"/>
      <c r="E34" s="247"/>
      <c r="F34" s="258"/>
      <c r="G34" s="248"/>
      <c r="H34" s="241"/>
      <c r="I34" s="259"/>
      <c r="J34" s="260"/>
      <c r="K34" s="260"/>
      <c r="L34" s="261"/>
      <c r="M34" s="262"/>
      <c r="N34" s="262"/>
      <c r="O34" s="261"/>
      <c r="P34" s="262"/>
      <c r="Q34" s="262"/>
      <c r="R34" s="263"/>
      <c r="S34" s="264"/>
      <c r="T34" s="264"/>
      <c r="U34" s="265"/>
      <c r="V34" s="266"/>
      <c r="W34" s="266"/>
      <c r="X34" s="267"/>
      <c r="Y34" s="268"/>
      <c r="Z34" s="268"/>
      <c r="AA34" s="259"/>
      <c r="AB34" s="260"/>
      <c r="AC34" s="260"/>
      <c r="AD34" s="261"/>
      <c r="AE34" s="262"/>
      <c r="AF34" s="262"/>
      <c r="AG34" s="269"/>
      <c r="AH34" s="270"/>
      <c r="AI34" s="271"/>
      <c r="AJ34" s="272"/>
    </row>
    <row r="35" spans="1:36" s="92" customFormat="1" x14ac:dyDescent="0.25">
      <c r="A35" s="28" t="str">
        <f>IF(H35&lt;&gt;"",MAX($A$7:A34)+1,"")</f>
        <v/>
      </c>
      <c r="B35" s="243" t="str">
        <f t="shared" si="2"/>
        <v/>
      </c>
      <c r="C35" s="158" t="str">
        <f t="shared" si="3"/>
        <v/>
      </c>
      <c r="D35" s="246"/>
      <c r="E35" s="247"/>
      <c r="F35" s="258"/>
      <c r="G35" s="248"/>
      <c r="H35" s="241"/>
      <c r="I35" s="259"/>
      <c r="J35" s="260"/>
      <c r="K35" s="260"/>
      <c r="L35" s="261"/>
      <c r="M35" s="262"/>
      <c r="N35" s="262"/>
      <c r="O35" s="261"/>
      <c r="P35" s="262"/>
      <c r="Q35" s="262"/>
      <c r="R35" s="263"/>
      <c r="S35" s="264"/>
      <c r="T35" s="264"/>
      <c r="U35" s="265"/>
      <c r="V35" s="266"/>
      <c r="W35" s="266"/>
      <c r="X35" s="267"/>
      <c r="Y35" s="268"/>
      <c r="Z35" s="268"/>
      <c r="AA35" s="259"/>
      <c r="AB35" s="260"/>
      <c r="AC35" s="260"/>
      <c r="AD35" s="261"/>
      <c r="AE35" s="262"/>
      <c r="AF35" s="262"/>
      <c r="AG35" s="269"/>
      <c r="AH35" s="270"/>
      <c r="AI35" s="271"/>
      <c r="AJ35" s="272"/>
    </row>
    <row r="36" spans="1:36" s="92" customFormat="1" x14ac:dyDescent="0.25">
      <c r="A36" s="28" t="str">
        <f>IF(H36&lt;&gt;"",MAX($A$7:A35)+1,"")</f>
        <v/>
      </c>
      <c r="B36" s="243" t="str">
        <f t="shared" si="2"/>
        <v/>
      </c>
      <c r="C36" s="158" t="str">
        <f t="shared" si="3"/>
        <v/>
      </c>
      <c r="D36" s="246"/>
      <c r="E36" s="247"/>
      <c r="F36" s="258"/>
      <c r="G36" s="248"/>
      <c r="H36" s="241"/>
      <c r="I36" s="259"/>
      <c r="J36" s="260"/>
      <c r="K36" s="260"/>
      <c r="L36" s="261"/>
      <c r="M36" s="262"/>
      <c r="N36" s="262"/>
      <c r="O36" s="261"/>
      <c r="P36" s="262"/>
      <c r="Q36" s="262"/>
      <c r="R36" s="263"/>
      <c r="S36" s="264"/>
      <c r="T36" s="264"/>
      <c r="U36" s="265"/>
      <c r="V36" s="266"/>
      <c r="W36" s="266"/>
      <c r="X36" s="267"/>
      <c r="Y36" s="268"/>
      <c r="Z36" s="268"/>
      <c r="AA36" s="259"/>
      <c r="AB36" s="260"/>
      <c r="AC36" s="260"/>
      <c r="AD36" s="261"/>
      <c r="AE36" s="262"/>
      <c r="AF36" s="262"/>
      <c r="AG36" s="269"/>
      <c r="AH36" s="270"/>
      <c r="AI36" s="271"/>
      <c r="AJ36" s="272"/>
    </row>
    <row r="37" spans="1:36" s="92" customFormat="1" x14ac:dyDescent="0.25">
      <c r="A37" s="28" t="str">
        <f>IF(H37&lt;&gt;"",MAX($A$7:A36)+1,"")</f>
        <v/>
      </c>
      <c r="B37" s="243" t="str">
        <f t="shared" si="2"/>
        <v/>
      </c>
      <c r="C37" s="158" t="str">
        <f t="shared" si="3"/>
        <v/>
      </c>
      <c r="D37" s="246"/>
      <c r="E37" s="247"/>
      <c r="F37" s="258"/>
      <c r="G37" s="248"/>
      <c r="H37" s="241"/>
      <c r="I37" s="259"/>
      <c r="J37" s="260"/>
      <c r="K37" s="260"/>
      <c r="L37" s="261"/>
      <c r="M37" s="262"/>
      <c r="N37" s="262"/>
      <c r="O37" s="261"/>
      <c r="P37" s="262"/>
      <c r="Q37" s="262"/>
      <c r="R37" s="263"/>
      <c r="S37" s="264"/>
      <c r="T37" s="264"/>
      <c r="U37" s="265"/>
      <c r="V37" s="266"/>
      <c r="W37" s="266"/>
      <c r="X37" s="267"/>
      <c r="Y37" s="268"/>
      <c r="Z37" s="268"/>
      <c r="AA37" s="259"/>
      <c r="AB37" s="260"/>
      <c r="AC37" s="260"/>
      <c r="AD37" s="261"/>
      <c r="AE37" s="262"/>
      <c r="AF37" s="262"/>
      <c r="AG37" s="269"/>
      <c r="AH37" s="270"/>
      <c r="AI37" s="271"/>
      <c r="AJ37" s="272"/>
    </row>
    <row r="38" spans="1:36" s="92" customFormat="1" x14ac:dyDescent="0.25">
      <c r="A38" s="28" t="str">
        <f>IF(H38&lt;&gt;"",MAX($A$7:A37)+1,"")</f>
        <v/>
      </c>
      <c r="B38" s="243" t="str">
        <f t="shared" si="2"/>
        <v/>
      </c>
      <c r="C38" s="158" t="str">
        <f t="shared" si="3"/>
        <v/>
      </c>
      <c r="D38" s="246"/>
      <c r="E38" s="247"/>
      <c r="F38" s="258"/>
      <c r="G38" s="248"/>
      <c r="H38" s="241"/>
      <c r="I38" s="259"/>
      <c r="J38" s="260"/>
      <c r="K38" s="260"/>
      <c r="L38" s="261"/>
      <c r="M38" s="262"/>
      <c r="N38" s="262"/>
      <c r="O38" s="261"/>
      <c r="P38" s="262"/>
      <c r="Q38" s="262"/>
      <c r="R38" s="263"/>
      <c r="S38" s="264"/>
      <c r="T38" s="264"/>
      <c r="U38" s="265"/>
      <c r="V38" s="266"/>
      <c r="W38" s="266"/>
      <c r="X38" s="267"/>
      <c r="Y38" s="268"/>
      <c r="Z38" s="268"/>
      <c r="AA38" s="259"/>
      <c r="AB38" s="260"/>
      <c r="AC38" s="260"/>
      <c r="AD38" s="261"/>
      <c r="AE38" s="262"/>
      <c r="AF38" s="262"/>
      <c r="AG38" s="269"/>
      <c r="AH38" s="270"/>
      <c r="AI38" s="271"/>
      <c r="AJ38" s="272"/>
    </row>
    <row r="39" spans="1:36" s="92" customFormat="1" x14ac:dyDescent="0.25">
      <c r="A39" s="28" t="str">
        <f>IF(H39&lt;&gt;"",MAX($A$7:A38)+1,"")</f>
        <v/>
      </c>
      <c r="B39" s="243" t="str">
        <f t="shared" si="2"/>
        <v/>
      </c>
      <c r="C39" s="158" t="str">
        <f t="shared" si="3"/>
        <v/>
      </c>
      <c r="D39" s="246"/>
      <c r="E39" s="247"/>
      <c r="F39" s="258"/>
      <c r="G39" s="248"/>
      <c r="H39" s="241"/>
      <c r="I39" s="259"/>
      <c r="J39" s="260"/>
      <c r="K39" s="260"/>
      <c r="L39" s="261"/>
      <c r="M39" s="262"/>
      <c r="N39" s="262"/>
      <c r="O39" s="261"/>
      <c r="P39" s="262"/>
      <c r="Q39" s="262"/>
      <c r="R39" s="263"/>
      <c r="S39" s="264"/>
      <c r="T39" s="264"/>
      <c r="U39" s="265"/>
      <c r="V39" s="266"/>
      <c r="W39" s="266"/>
      <c r="X39" s="267"/>
      <c r="Y39" s="268"/>
      <c r="Z39" s="268"/>
      <c r="AA39" s="259"/>
      <c r="AB39" s="260"/>
      <c r="AC39" s="260"/>
      <c r="AD39" s="261"/>
      <c r="AE39" s="262"/>
      <c r="AF39" s="262"/>
      <c r="AG39" s="269"/>
      <c r="AH39" s="270"/>
      <c r="AI39" s="271"/>
      <c r="AJ39" s="272"/>
    </row>
    <row r="40" spans="1:36" s="92" customFormat="1" x14ac:dyDescent="0.25">
      <c r="A40" s="28" t="str">
        <f>IF(H40&lt;&gt;"",MAX($A$7:A39)+1,"")</f>
        <v/>
      </c>
      <c r="B40" s="243" t="str">
        <f t="shared" si="2"/>
        <v/>
      </c>
      <c r="C40" s="158" t="str">
        <f t="shared" si="3"/>
        <v/>
      </c>
      <c r="D40" s="246"/>
      <c r="E40" s="247"/>
      <c r="F40" s="258"/>
      <c r="G40" s="248"/>
      <c r="H40" s="241"/>
      <c r="I40" s="259"/>
      <c r="J40" s="260"/>
      <c r="K40" s="260"/>
      <c r="L40" s="261"/>
      <c r="M40" s="262"/>
      <c r="N40" s="262"/>
      <c r="O40" s="261"/>
      <c r="P40" s="262"/>
      <c r="Q40" s="262"/>
      <c r="R40" s="263"/>
      <c r="S40" s="264"/>
      <c r="T40" s="264"/>
      <c r="U40" s="265"/>
      <c r="V40" s="266"/>
      <c r="W40" s="266"/>
      <c r="X40" s="267"/>
      <c r="Y40" s="268"/>
      <c r="Z40" s="268"/>
      <c r="AA40" s="259"/>
      <c r="AB40" s="260"/>
      <c r="AC40" s="260"/>
      <c r="AD40" s="261"/>
      <c r="AE40" s="262"/>
      <c r="AF40" s="262"/>
      <c r="AG40" s="269"/>
      <c r="AH40" s="270"/>
      <c r="AI40" s="271"/>
      <c r="AJ40" s="272"/>
    </row>
    <row r="41" spans="1:36" s="92" customFormat="1" x14ac:dyDescent="0.25">
      <c r="A41" s="28" t="str">
        <f>IF(H41&lt;&gt;"",MAX($A$7:A40)+1,"")</f>
        <v/>
      </c>
      <c r="B41" s="243" t="str">
        <f t="shared" si="2"/>
        <v/>
      </c>
      <c r="C41" s="158" t="str">
        <f t="shared" si="3"/>
        <v/>
      </c>
      <c r="D41" s="246"/>
      <c r="E41" s="247"/>
      <c r="F41" s="258"/>
      <c r="G41" s="248"/>
      <c r="H41" s="241"/>
      <c r="I41" s="259"/>
      <c r="J41" s="260"/>
      <c r="K41" s="260"/>
      <c r="L41" s="261"/>
      <c r="M41" s="262"/>
      <c r="N41" s="262"/>
      <c r="O41" s="261"/>
      <c r="P41" s="262"/>
      <c r="Q41" s="262"/>
      <c r="R41" s="263"/>
      <c r="S41" s="264"/>
      <c r="T41" s="264"/>
      <c r="U41" s="265"/>
      <c r="V41" s="266"/>
      <c r="W41" s="266"/>
      <c r="X41" s="267"/>
      <c r="Y41" s="268"/>
      <c r="Z41" s="268"/>
      <c r="AA41" s="259"/>
      <c r="AB41" s="260"/>
      <c r="AC41" s="260"/>
      <c r="AD41" s="261"/>
      <c r="AE41" s="262"/>
      <c r="AF41" s="262"/>
      <c r="AG41" s="269"/>
      <c r="AH41" s="270"/>
      <c r="AI41" s="271"/>
      <c r="AJ41" s="272"/>
    </row>
    <row r="42" spans="1:36" s="92" customFormat="1" x14ac:dyDescent="0.25">
      <c r="A42" s="28" t="str">
        <f>IF(H42&lt;&gt;"",MAX($A$7:A41)+1,"")</f>
        <v/>
      </c>
      <c r="B42" s="243" t="str">
        <f t="shared" si="2"/>
        <v/>
      </c>
      <c r="C42" s="158" t="str">
        <f t="shared" si="3"/>
        <v/>
      </c>
      <c r="D42" s="246"/>
      <c r="E42" s="247"/>
      <c r="F42" s="258"/>
      <c r="G42" s="248"/>
      <c r="H42" s="241"/>
      <c r="I42" s="259"/>
      <c r="J42" s="260"/>
      <c r="K42" s="260"/>
      <c r="L42" s="261"/>
      <c r="M42" s="262"/>
      <c r="N42" s="262"/>
      <c r="O42" s="261"/>
      <c r="P42" s="262"/>
      <c r="Q42" s="262"/>
      <c r="R42" s="263"/>
      <c r="S42" s="264"/>
      <c r="T42" s="264"/>
      <c r="U42" s="265"/>
      <c r="V42" s="266"/>
      <c r="W42" s="266"/>
      <c r="X42" s="267"/>
      <c r="Y42" s="268"/>
      <c r="Z42" s="268"/>
      <c r="AA42" s="259"/>
      <c r="AB42" s="260"/>
      <c r="AC42" s="260"/>
      <c r="AD42" s="261"/>
      <c r="AE42" s="262"/>
      <c r="AF42" s="262"/>
      <c r="AG42" s="269"/>
      <c r="AH42" s="270"/>
      <c r="AI42" s="271"/>
      <c r="AJ42" s="272"/>
    </row>
    <row r="43" spans="1:36" s="92" customFormat="1" x14ac:dyDescent="0.25">
      <c r="A43" s="28" t="str">
        <f>IF(H43&lt;&gt;"",MAX($A$7:A42)+1,"")</f>
        <v/>
      </c>
      <c r="B43" s="243" t="str">
        <f t="shared" si="2"/>
        <v/>
      </c>
      <c r="C43" s="158" t="str">
        <f t="shared" si="3"/>
        <v/>
      </c>
      <c r="D43" s="246"/>
      <c r="E43" s="247"/>
      <c r="F43" s="258"/>
      <c r="G43" s="248"/>
      <c r="H43" s="241"/>
      <c r="I43" s="259"/>
      <c r="J43" s="260"/>
      <c r="K43" s="260"/>
      <c r="L43" s="261"/>
      <c r="M43" s="262"/>
      <c r="N43" s="262"/>
      <c r="O43" s="261"/>
      <c r="P43" s="262"/>
      <c r="Q43" s="262"/>
      <c r="R43" s="263"/>
      <c r="S43" s="264"/>
      <c r="T43" s="264"/>
      <c r="U43" s="265"/>
      <c r="V43" s="266"/>
      <c r="W43" s="266"/>
      <c r="X43" s="267"/>
      <c r="Y43" s="268"/>
      <c r="Z43" s="268"/>
      <c r="AA43" s="259"/>
      <c r="AB43" s="260"/>
      <c r="AC43" s="260"/>
      <c r="AD43" s="261"/>
      <c r="AE43" s="262"/>
      <c r="AF43" s="262"/>
      <c r="AG43" s="269"/>
      <c r="AH43" s="270"/>
      <c r="AI43" s="271"/>
      <c r="AJ43" s="272"/>
    </row>
    <row r="44" spans="1:36" s="92" customFormat="1" x14ac:dyDescent="0.25">
      <c r="A44" s="28" t="str">
        <f>IF(H44&lt;&gt;"",MAX($A$7:A43)+1,"")</f>
        <v/>
      </c>
      <c r="B44" s="243" t="str">
        <f t="shared" si="2"/>
        <v/>
      </c>
      <c r="C44" s="158" t="str">
        <f t="shared" si="3"/>
        <v/>
      </c>
      <c r="D44" s="246"/>
      <c r="E44" s="247"/>
      <c r="F44" s="258"/>
      <c r="G44" s="248"/>
      <c r="H44" s="241"/>
      <c r="I44" s="259"/>
      <c r="J44" s="260"/>
      <c r="K44" s="260"/>
      <c r="L44" s="261"/>
      <c r="M44" s="262"/>
      <c r="N44" s="262"/>
      <c r="O44" s="261"/>
      <c r="P44" s="262"/>
      <c r="Q44" s="262"/>
      <c r="R44" s="263"/>
      <c r="S44" s="264"/>
      <c r="T44" s="264"/>
      <c r="U44" s="265"/>
      <c r="V44" s="266"/>
      <c r="W44" s="266"/>
      <c r="X44" s="267"/>
      <c r="Y44" s="268"/>
      <c r="Z44" s="268"/>
      <c r="AA44" s="259"/>
      <c r="AB44" s="260"/>
      <c r="AC44" s="260"/>
      <c r="AD44" s="261"/>
      <c r="AE44" s="262"/>
      <c r="AF44" s="262"/>
      <c r="AG44" s="269"/>
      <c r="AH44" s="270"/>
      <c r="AI44" s="271"/>
      <c r="AJ44" s="272"/>
    </row>
    <row r="45" spans="1:36" s="92" customFormat="1" x14ac:dyDescent="0.25">
      <c r="A45" s="28" t="str">
        <f>IF(H45&lt;&gt;"",MAX($A$7:A44)+1,"")</f>
        <v/>
      </c>
      <c r="B45" s="243" t="str">
        <f t="shared" si="2"/>
        <v/>
      </c>
      <c r="C45" s="158" t="str">
        <f t="shared" si="3"/>
        <v/>
      </c>
      <c r="D45" s="246"/>
      <c r="E45" s="247"/>
      <c r="F45" s="258"/>
      <c r="G45" s="248"/>
      <c r="H45" s="241"/>
      <c r="I45" s="259"/>
      <c r="J45" s="260"/>
      <c r="K45" s="260"/>
      <c r="L45" s="261"/>
      <c r="M45" s="262"/>
      <c r="N45" s="262"/>
      <c r="O45" s="261"/>
      <c r="P45" s="262"/>
      <c r="Q45" s="262"/>
      <c r="R45" s="263"/>
      <c r="S45" s="264"/>
      <c r="T45" s="264"/>
      <c r="U45" s="265"/>
      <c r="V45" s="266"/>
      <c r="W45" s="266"/>
      <c r="X45" s="267"/>
      <c r="Y45" s="268"/>
      <c r="Z45" s="268"/>
      <c r="AA45" s="259"/>
      <c r="AB45" s="260"/>
      <c r="AC45" s="260"/>
      <c r="AD45" s="261"/>
      <c r="AE45" s="262"/>
      <c r="AF45" s="262"/>
      <c r="AG45" s="269"/>
      <c r="AH45" s="270"/>
      <c r="AI45" s="271"/>
      <c r="AJ45" s="272"/>
    </row>
    <row r="46" spans="1:36" s="92" customFormat="1" x14ac:dyDescent="0.25">
      <c r="A46" s="28" t="str">
        <f>IF(H46&lt;&gt;"",MAX($A$7:A45)+1,"")</f>
        <v/>
      </c>
      <c r="B46" s="243" t="str">
        <f t="shared" si="2"/>
        <v/>
      </c>
      <c r="C46" s="158" t="str">
        <f t="shared" si="3"/>
        <v/>
      </c>
      <c r="D46" s="246"/>
      <c r="E46" s="247"/>
      <c r="F46" s="258"/>
      <c r="G46" s="248"/>
      <c r="H46" s="241"/>
      <c r="I46" s="259"/>
      <c r="J46" s="260"/>
      <c r="K46" s="260"/>
      <c r="L46" s="261"/>
      <c r="M46" s="262"/>
      <c r="N46" s="262"/>
      <c r="O46" s="261"/>
      <c r="P46" s="262"/>
      <c r="Q46" s="262"/>
      <c r="R46" s="263"/>
      <c r="S46" s="264"/>
      <c r="T46" s="264"/>
      <c r="U46" s="265"/>
      <c r="V46" s="266"/>
      <c r="W46" s="266"/>
      <c r="X46" s="267"/>
      <c r="Y46" s="268"/>
      <c r="Z46" s="268"/>
      <c r="AA46" s="259"/>
      <c r="AB46" s="260"/>
      <c r="AC46" s="260"/>
      <c r="AD46" s="261"/>
      <c r="AE46" s="262"/>
      <c r="AF46" s="262"/>
      <c r="AG46" s="269"/>
      <c r="AH46" s="270"/>
      <c r="AI46" s="271"/>
      <c r="AJ46" s="272"/>
    </row>
    <row r="47" spans="1:36" s="92" customFormat="1" x14ac:dyDescent="0.25">
      <c r="A47" s="28" t="str">
        <f>IF(H47&lt;&gt;"",MAX($A$7:A46)+1,"")</f>
        <v/>
      </c>
      <c r="B47" s="243" t="str">
        <f t="shared" si="2"/>
        <v/>
      </c>
      <c r="C47" s="158" t="str">
        <f t="shared" si="3"/>
        <v/>
      </c>
      <c r="D47" s="246"/>
      <c r="E47" s="247"/>
      <c r="F47" s="258"/>
      <c r="G47" s="248"/>
      <c r="H47" s="241"/>
      <c r="I47" s="259"/>
      <c r="J47" s="260"/>
      <c r="K47" s="260"/>
      <c r="L47" s="261"/>
      <c r="M47" s="262"/>
      <c r="N47" s="262"/>
      <c r="O47" s="261"/>
      <c r="P47" s="262"/>
      <c r="Q47" s="262"/>
      <c r="R47" s="263"/>
      <c r="S47" s="264"/>
      <c r="T47" s="264"/>
      <c r="U47" s="265"/>
      <c r="V47" s="266"/>
      <c r="W47" s="266"/>
      <c r="X47" s="267"/>
      <c r="Y47" s="268"/>
      <c r="Z47" s="268"/>
      <c r="AA47" s="259"/>
      <c r="AB47" s="260"/>
      <c r="AC47" s="260"/>
      <c r="AD47" s="261"/>
      <c r="AE47" s="262"/>
      <c r="AF47" s="262"/>
      <c r="AG47" s="269"/>
      <c r="AH47" s="270"/>
      <c r="AI47" s="271"/>
      <c r="AJ47" s="272"/>
    </row>
    <row r="48" spans="1:36" s="92" customFormat="1" x14ac:dyDescent="0.25">
      <c r="A48" s="28" t="str">
        <f>IF(H48&lt;&gt;"",MAX($A$7:A47)+1,"")</f>
        <v/>
      </c>
      <c r="B48" s="243" t="str">
        <f t="shared" si="2"/>
        <v/>
      </c>
      <c r="C48" s="158" t="str">
        <f t="shared" si="3"/>
        <v/>
      </c>
      <c r="D48" s="246"/>
      <c r="E48" s="247"/>
      <c r="F48" s="258"/>
      <c r="G48" s="248"/>
      <c r="H48" s="241"/>
      <c r="I48" s="259"/>
      <c r="J48" s="260"/>
      <c r="K48" s="260"/>
      <c r="L48" s="261"/>
      <c r="M48" s="262"/>
      <c r="N48" s="262"/>
      <c r="O48" s="261"/>
      <c r="P48" s="262"/>
      <c r="Q48" s="262"/>
      <c r="R48" s="263"/>
      <c r="S48" s="264"/>
      <c r="T48" s="264"/>
      <c r="U48" s="265"/>
      <c r="V48" s="266"/>
      <c r="W48" s="266"/>
      <c r="X48" s="267"/>
      <c r="Y48" s="268"/>
      <c r="Z48" s="268"/>
      <c r="AA48" s="259"/>
      <c r="AB48" s="260"/>
      <c r="AC48" s="260"/>
      <c r="AD48" s="261"/>
      <c r="AE48" s="262"/>
      <c r="AF48" s="262"/>
      <c r="AG48" s="269"/>
      <c r="AH48" s="270"/>
      <c r="AI48" s="271"/>
      <c r="AJ48" s="272"/>
    </row>
    <row r="49" spans="1:36" s="92" customFormat="1" x14ac:dyDescent="0.25">
      <c r="A49" s="28" t="str">
        <f>IF(H49&lt;&gt;"",MAX($A$7:A48)+1,"")</f>
        <v/>
      </c>
      <c r="B49" s="243" t="str">
        <f t="shared" si="2"/>
        <v/>
      </c>
      <c r="C49" s="158" t="str">
        <f t="shared" si="3"/>
        <v/>
      </c>
      <c r="D49" s="246"/>
      <c r="E49" s="247"/>
      <c r="F49" s="258"/>
      <c r="G49" s="248"/>
      <c r="H49" s="241"/>
      <c r="I49" s="259"/>
      <c r="J49" s="260"/>
      <c r="K49" s="260"/>
      <c r="L49" s="261"/>
      <c r="M49" s="262"/>
      <c r="N49" s="262"/>
      <c r="O49" s="261"/>
      <c r="P49" s="262"/>
      <c r="Q49" s="262"/>
      <c r="R49" s="263"/>
      <c r="S49" s="264"/>
      <c r="T49" s="264"/>
      <c r="U49" s="265"/>
      <c r="V49" s="266"/>
      <c r="W49" s="266"/>
      <c r="X49" s="267"/>
      <c r="Y49" s="268"/>
      <c r="Z49" s="268"/>
      <c r="AA49" s="259"/>
      <c r="AB49" s="260"/>
      <c r="AC49" s="260"/>
      <c r="AD49" s="261"/>
      <c r="AE49" s="262"/>
      <c r="AF49" s="262"/>
      <c r="AG49" s="269"/>
      <c r="AH49" s="270"/>
      <c r="AI49" s="271"/>
      <c r="AJ49" s="272"/>
    </row>
    <row r="50" spans="1:36" s="92" customFormat="1" x14ac:dyDescent="0.25">
      <c r="A50" s="28" t="str">
        <f>IF(H50&lt;&gt;"",MAX($A$7:A49)+1,"")</f>
        <v/>
      </c>
      <c r="B50" s="243" t="str">
        <f t="shared" si="2"/>
        <v/>
      </c>
      <c r="C50" s="158" t="str">
        <f t="shared" si="3"/>
        <v/>
      </c>
      <c r="D50" s="246"/>
      <c r="E50" s="247"/>
      <c r="F50" s="258"/>
      <c r="G50" s="248"/>
      <c r="H50" s="241"/>
      <c r="I50" s="259"/>
      <c r="J50" s="260"/>
      <c r="K50" s="260"/>
      <c r="L50" s="261"/>
      <c r="M50" s="262"/>
      <c r="N50" s="262"/>
      <c r="O50" s="261"/>
      <c r="P50" s="262"/>
      <c r="Q50" s="262"/>
      <c r="R50" s="263"/>
      <c r="S50" s="264"/>
      <c r="T50" s="264"/>
      <c r="U50" s="265"/>
      <c r="V50" s="266"/>
      <c r="W50" s="266"/>
      <c r="X50" s="267"/>
      <c r="Y50" s="268"/>
      <c r="Z50" s="268"/>
      <c r="AA50" s="259"/>
      <c r="AB50" s="260"/>
      <c r="AC50" s="260"/>
      <c r="AD50" s="261"/>
      <c r="AE50" s="262"/>
      <c r="AF50" s="262"/>
      <c r="AG50" s="269"/>
      <c r="AH50" s="270"/>
      <c r="AI50" s="271"/>
      <c r="AJ50" s="272"/>
    </row>
    <row r="51" spans="1:36" s="92" customFormat="1" x14ac:dyDescent="0.25">
      <c r="A51" s="28" t="str">
        <f>IF(H51&lt;&gt;"",MAX($A$7:A50)+1,"")</f>
        <v/>
      </c>
      <c r="B51" s="243" t="str">
        <f t="shared" si="2"/>
        <v/>
      </c>
      <c r="C51" s="158" t="str">
        <f t="shared" si="3"/>
        <v/>
      </c>
      <c r="D51" s="246"/>
      <c r="E51" s="247"/>
      <c r="F51" s="258"/>
      <c r="G51" s="248"/>
      <c r="H51" s="241"/>
      <c r="I51" s="259"/>
      <c r="J51" s="260"/>
      <c r="K51" s="260"/>
      <c r="L51" s="261"/>
      <c r="M51" s="262"/>
      <c r="N51" s="262"/>
      <c r="O51" s="261"/>
      <c r="P51" s="262"/>
      <c r="Q51" s="262"/>
      <c r="R51" s="263"/>
      <c r="S51" s="264"/>
      <c r="T51" s="264"/>
      <c r="U51" s="265"/>
      <c r="V51" s="266"/>
      <c r="W51" s="266"/>
      <c r="X51" s="267"/>
      <c r="Y51" s="268"/>
      <c r="Z51" s="268"/>
      <c r="AA51" s="259"/>
      <c r="AB51" s="260"/>
      <c r="AC51" s="260"/>
      <c r="AD51" s="261"/>
      <c r="AE51" s="262"/>
      <c r="AF51" s="262"/>
      <c r="AG51" s="269"/>
      <c r="AH51" s="270"/>
      <c r="AI51" s="271"/>
      <c r="AJ51" s="272"/>
    </row>
    <row r="52" spans="1:36" s="92" customFormat="1" x14ac:dyDescent="0.25">
      <c r="A52" s="28" t="str">
        <f>IF(H52&lt;&gt;"",MAX($A$7:A51)+1,"")</f>
        <v/>
      </c>
      <c r="B52" s="243" t="str">
        <f t="shared" si="2"/>
        <v/>
      </c>
      <c r="C52" s="158" t="str">
        <f t="shared" si="3"/>
        <v/>
      </c>
      <c r="D52" s="246"/>
      <c r="E52" s="247"/>
      <c r="F52" s="258"/>
      <c r="G52" s="248"/>
      <c r="H52" s="241"/>
      <c r="I52" s="259"/>
      <c r="J52" s="260"/>
      <c r="K52" s="260"/>
      <c r="L52" s="261"/>
      <c r="M52" s="262"/>
      <c r="N52" s="262"/>
      <c r="O52" s="261"/>
      <c r="P52" s="262"/>
      <c r="Q52" s="262"/>
      <c r="R52" s="263"/>
      <c r="S52" s="264"/>
      <c r="T52" s="264"/>
      <c r="U52" s="265"/>
      <c r="V52" s="266"/>
      <c r="W52" s="266"/>
      <c r="X52" s="267"/>
      <c r="Y52" s="268"/>
      <c r="Z52" s="268"/>
      <c r="AA52" s="259"/>
      <c r="AB52" s="260"/>
      <c r="AC52" s="260"/>
      <c r="AD52" s="261"/>
      <c r="AE52" s="262"/>
      <c r="AF52" s="262"/>
      <c r="AG52" s="269"/>
      <c r="AH52" s="270"/>
      <c r="AI52" s="271"/>
      <c r="AJ52" s="272"/>
    </row>
    <row r="53" spans="1:36" s="92" customFormat="1" x14ac:dyDescent="0.25">
      <c r="A53" s="28" t="str">
        <f>IF(H53&lt;&gt;"",MAX($A$7:A52)+1,"")</f>
        <v/>
      </c>
      <c r="B53" s="243" t="str">
        <f t="shared" si="2"/>
        <v/>
      </c>
      <c r="C53" s="158" t="str">
        <f t="shared" si="3"/>
        <v/>
      </c>
      <c r="D53" s="246"/>
      <c r="E53" s="247"/>
      <c r="F53" s="258"/>
      <c r="G53" s="248"/>
      <c r="H53" s="241"/>
      <c r="I53" s="259"/>
      <c r="J53" s="260"/>
      <c r="K53" s="260"/>
      <c r="L53" s="261"/>
      <c r="M53" s="262"/>
      <c r="N53" s="262"/>
      <c r="O53" s="261"/>
      <c r="P53" s="262"/>
      <c r="Q53" s="262"/>
      <c r="R53" s="263"/>
      <c r="S53" s="264"/>
      <c r="T53" s="264"/>
      <c r="U53" s="265"/>
      <c r="V53" s="266"/>
      <c r="W53" s="266"/>
      <c r="X53" s="267"/>
      <c r="Y53" s="268"/>
      <c r="Z53" s="268"/>
      <c r="AA53" s="259"/>
      <c r="AB53" s="260"/>
      <c r="AC53" s="260"/>
      <c r="AD53" s="261"/>
      <c r="AE53" s="262"/>
      <c r="AF53" s="262"/>
      <c r="AG53" s="269"/>
      <c r="AH53" s="270"/>
      <c r="AI53" s="271"/>
      <c r="AJ53" s="272"/>
    </row>
    <row r="54" spans="1:36" s="92" customFormat="1" x14ac:dyDescent="0.25">
      <c r="A54" s="28" t="str">
        <f>IF(H54&lt;&gt;"",MAX($A$7:A53)+1,"")</f>
        <v/>
      </c>
      <c r="B54" s="243" t="str">
        <f t="shared" si="2"/>
        <v/>
      </c>
      <c r="C54" s="158" t="str">
        <f t="shared" si="3"/>
        <v/>
      </c>
      <c r="D54" s="246"/>
      <c r="E54" s="247"/>
      <c r="F54" s="258"/>
      <c r="G54" s="248"/>
      <c r="H54" s="241"/>
      <c r="I54" s="259"/>
      <c r="J54" s="260"/>
      <c r="K54" s="260"/>
      <c r="L54" s="261"/>
      <c r="M54" s="262"/>
      <c r="N54" s="262"/>
      <c r="O54" s="261"/>
      <c r="P54" s="262"/>
      <c r="Q54" s="262"/>
      <c r="R54" s="263"/>
      <c r="S54" s="264"/>
      <c r="T54" s="264"/>
      <c r="U54" s="265"/>
      <c r="V54" s="266"/>
      <c r="W54" s="266"/>
      <c r="X54" s="267"/>
      <c r="Y54" s="268"/>
      <c r="Z54" s="268"/>
      <c r="AA54" s="259"/>
      <c r="AB54" s="260"/>
      <c r="AC54" s="260"/>
      <c r="AD54" s="261"/>
      <c r="AE54" s="262"/>
      <c r="AF54" s="262"/>
      <c r="AG54" s="269"/>
      <c r="AH54" s="270"/>
      <c r="AI54" s="271"/>
      <c r="AJ54" s="272"/>
    </row>
    <row r="55" spans="1:36" s="92" customFormat="1" x14ac:dyDescent="0.25">
      <c r="A55" s="28" t="str">
        <f>IF(H55&lt;&gt;"",MAX($A$7:A54)+1,"")</f>
        <v/>
      </c>
      <c r="B55" s="243" t="str">
        <f t="shared" si="2"/>
        <v/>
      </c>
      <c r="C55" s="158" t="str">
        <f t="shared" si="3"/>
        <v/>
      </c>
      <c r="D55" s="246"/>
      <c r="E55" s="247"/>
      <c r="F55" s="258"/>
      <c r="G55" s="248"/>
      <c r="H55" s="241"/>
      <c r="I55" s="259"/>
      <c r="J55" s="260"/>
      <c r="K55" s="260"/>
      <c r="L55" s="261"/>
      <c r="M55" s="262"/>
      <c r="N55" s="262"/>
      <c r="O55" s="261"/>
      <c r="P55" s="262"/>
      <c r="Q55" s="262"/>
      <c r="R55" s="263"/>
      <c r="S55" s="264"/>
      <c r="T55" s="264"/>
      <c r="U55" s="265"/>
      <c r="V55" s="266"/>
      <c r="W55" s="266"/>
      <c r="X55" s="267"/>
      <c r="Y55" s="268"/>
      <c r="Z55" s="268"/>
      <c r="AA55" s="259"/>
      <c r="AB55" s="260"/>
      <c r="AC55" s="260"/>
      <c r="AD55" s="261"/>
      <c r="AE55" s="262"/>
      <c r="AF55" s="262"/>
      <c r="AG55" s="269"/>
      <c r="AH55" s="270"/>
      <c r="AI55" s="271"/>
      <c r="AJ55" s="272"/>
    </row>
    <row r="56" spans="1:36" s="92" customFormat="1" x14ac:dyDescent="0.25">
      <c r="A56" s="28" t="str">
        <f>IF(H56&lt;&gt;"",MAX($A$7:A55)+1,"")</f>
        <v/>
      </c>
      <c r="B56" s="243" t="str">
        <f t="shared" si="2"/>
        <v/>
      </c>
      <c r="C56" s="158" t="str">
        <f t="shared" si="3"/>
        <v/>
      </c>
      <c r="D56" s="246"/>
      <c r="E56" s="247"/>
      <c r="F56" s="258"/>
      <c r="G56" s="248"/>
      <c r="H56" s="241"/>
      <c r="I56" s="259"/>
      <c r="J56" s="260"/>
      <c r="K56" s="260"/>
      <c r="L56" s="261"/>
      <c r="M56" s="262"/>
      <c r="N56" s="262"/>
      <c r="O56" s="261"/>
      <c r="P56" s="262"/>
      <c r="Q56" s="262"/>
      <c r="R56" s="263"/>
      <c r="S56" s="264"/>
      <c r="T56" s="264"/>
      <c r="U56" s="265"/>
      <c r="V56" s="266"/>
      <c r="W56" s="266"/>
      <c r="X56" s="267"/>
      <c r="Y56" s="268"/>
      <c r="Z56" s="268"/>
      <c r="AA56" s="259"/>
      <c r="AB56" s="260"/>
      <c r="AC56" s="260"/>
      <c r="AD56" s="261"/>
      <c r="AE56" s="262"/>
      <c r="AF56" s="262"/>
      <c r="AG56" s="269"/>
      <c r="AH56" s="270"/>
      <c r="AI56" s="271"/>
      <c r="AJ56" s="272"/>
    </row>
    <row r="57" spans="1:36" s="92" customFormat="1" x14ac:dyDescent="0.25">
      <c r="A57" s="28" t="str">
        <f>IF(H57&lt;&gt;"",MAX($A$7:A56)+1,"")</f>
        <v/>
      </c>
      <c r="B57" s="243" t="str">
        <f t="shared" si="2"/>
        <v/>
      </c>
      <c r="C57" s="158" t="str">
        <f t="shared" si="3"/>
        <v/>
      </c>
      <c r="D57" s="246"/>
      <c r="E57" s="247"/>
      <c r="F57" s="258"/>
      <c r="G57" s="248"/>
      <c r="H57" s="241"/>
      <c r="I57" s="259"/>
      <c r="J57" s="260"/>
      <c r="K57" s="260"/>
      <c r="L57" s="261"/>
      <c r="M57" s="262"/>
      <c r="N57" s="262"/>
      <c r="O57" s="261"/>
      <c r="P57" s="262"/>
      <c r="Q57" s="262"/>
      <c r="R57" s="263"/>
      <c r="S57" s="264"/>
      <c r="T57" s="264"/>
      <c r="U57" s="265"/>
      <c r="V57" s="266"/>
      <c r="W57" s="266"/>
      <c r="X57" s="267"/>
      <c r="Y57" s="268"/>
      <c r="Z57" s="268"/>
      <c r="AA57" s="259"/>
      <c r="AB57" s="260"/>
      <c r="AC57" s="260"/>
      <c r="AD57" s="261"/>
      <c r="AE57" s="262"/>
      <c r="AF57" s="262"/>
      <c r="AG57" s="269"/>
      <c r="AH57" s="270"/>
      <c r="AI57" s="271"/>
      <c r="AJ57" s="272"/>
    </row>
    <row r="58" spans="1:36" s="92" customFormat="1" x14ac:dyDescent="0.25">
      <c r="A58" s="28" t="str">
        <f>IF(H58&lt;&gt;"",MAX($A$7:A57)+1,"")</f>
        <v/>
      </c>
      <c r="B58" s="243" t="str">
        <f t="shared" si="2"/>
        <v/>
      </c>
      <c r="C58" s="158" t="str">
        <f t="shared" si="3"/>
        <v/>
      </c>
      <c r="D58" s="246"/>
      <c r="E58" s="247"/>
      <c r="F58" s="258"/>
      <c r="G58" s="248"/>
      <c r="H58" s="241"/>
      <c r="I58" s="259"/>
      <c r="J58" s="260"/>
      <c r="K58" s="260"/>
      <c r="L58" s="261"/>
      <c r="M58" s="262"/>
      <c r="N58" s="262"/>
      <c r="O58" s="261"/>
      <c r="P58" s="262"/>
      <c r="Q58" s="262"/>
      <c r="R58" s="263"/>
      <c r="S58" s="264"/>
      <c r="T58" s="264"/>
      <c r="U58" s="265"/>
      <c r="V58" s="266"/>
      <c r="W58" s="266"/>
      <c r="X58" s="267"/>
      <c r="Y58" s="268"/>
      <c r="Z58" s="268"/>
      <c r="AA58" s="259"/>
      <c r="AB58" s="260"/>
      <c r="AC58" s="260"/>
      <c r="AD58" s="261"/>
      <c r="AE58" s="262"/>
      <c r="AF58" s="262"/>
      <c r="AG58" s="269"/>
      <c r="AH58" s="270"/>
      <c r="AI58" s="271"/>
      <c r="AJ58" s="272"/>
    </row>
    <row r="59" spans="1:36" s="92" customFormat="1" x14ac:dyDescent="0.25">
      <c r="A59" s="28" t="str">
        <f>IF(H59&lt;&gt;"",MAX($A$7:A58)+1,"")</f>
        <v/>
      </c>
      <c r="B59" s="243" t="str">
        <f t="shared" si="2"/>
        <v/>
      </c>
      <c r="C59" s="158" t="str">
        <f t="shared" si="3"/>
        <v/>
      </c>
      <c r="D59" s="246"/>
      <c r="E59" s="247"/>
      <c r="F59" s="258"/>
      <c r="G59" s="248"/>
      <c r="H59" s="241"/>
      <c r="I59" s="259"/>
      <c r="J59" s="260"/>
      <c r="K59" s="260"/>
      <c r="L59" s="261"/>
      <c r="M59" s="262"/>
      <c r="N59" s="262"/>
      <c r="O59" s="261"/>
      <c r="P59" s="262"/>
      <c r="Q59" s="262"/>
      <c r="R59" s="263"/>
      <c r="S59" s="264"/>
      <c r="T59" s="264"/>
      <c r="U59" s="265"/>
      <c r="V59" s="266"/>
      <c r="W59" s="266"/>
      <c r="X59" s="267"/>
      <c r="Y59" s="268"/>
      <c r="Z59" s="268"/>
      <c r="AA59" s="259"/>
      <c r="AB59" s="260"/>
      <c r="AC59" s="260"/>
      <c r="AD59" s="261"/>
      <c r="AE59" s="262"/>
      <c r="AF59" s="262"/>
      <c r="AG59" s="269"/>
      <c r="AH59" s="270"/>
      <c r="AI59" s="271"/>
      <c r="AJ59" s="272"/>
    </row>
    <row r="60" spans="1:36" s="92" customFormat="1" x14ac:dyDescent="0.25">
      <c r="A60" s="28" t="str">
        <f>IF(H60&lt;&gt;"",MAX($A$7:A59)+1,"")</f>
        <v/>
      </c>
      <c r="B60" s="243" t="str">
        <f t="shared" si="2"/>
        <v/>
      </c>
      <c r="C60" s="158" t="str">
        <f t="shared" si="3"/>
        <v/>
      </c>
      <c r="D60" s="246"/>
      <c r="E60" s="247"/>
      <c r="F60" s="258"/>
      <c r="G60" s="248"/>
      <c r="H60" s="241"/>
      <c r="I60" s="259"/>
      <c r="J60" s="260"/>
      <c r="K60" s="260"/>
      <c r="L60" s="261"/>
      <c r="M60" s="262"/>
      <c r="N60" s="262"/>
      <c r="O60" s="261"/>
      <c r="P60" s="262"/>
      <c r="Q60" s="262"/>
      <c r="R60" s="263"/>
      <c r="S60" s="264"/>
      <c r="T60" s="264"/>
      <c r="U60" s="265"/>
      <c r="V60" s="266"/>
      <c r="W60" s="266"/>
      <c r="X60" s="267"/>
      <c r="Y60" s="268"/>
      <c r="Z60" s="268"/>
      <c r="AA60" s="259"/>
      <c r="AB60" s="260"/>
      <c r="AC60" s="260"/>
      <c r="AD60" s="261"/>
      <c r="AE60" s="262"/>
      <c r="AF60" s="262"/>
      <c r="AG60" s="269"/>
      <c r="AH60" s="270"/>
      <c r="AI60" s="271"/>
      <c r="AJ60" s="272"/>
    </row>
    <row r="61" spans="1:36" s="92" customFormat="1" x14ac:dyDescent="0.25">
      <c r="A61" s="28" t="str">
        <f>IF(H61&lt;&gt;"",MAX($A$7:A60)+1,"")</f>
        <v/>
      </c>
      <c r="B61" s="243" t="str">
        <f t="shared" si="2"/>
        <v/>
      </c>
      <c r="C61" s="158" t="str">
        <f t="shared" si="3"/>
        <v/>
      </c>
      <c r="D61" s="246"/>
      <c r="E61" s="247"/>
      <c r="F61" s="258"/>
      <c r="G61" s="248"/>
      <c r="H61" s="241"/>
      <c r="I61" s="259"/>
      <c r="J61" s="260"/>
      <c r="K61" s="260"/>
      <c r="L61" s="261"/>
      <c r="M61" s="262"/>
      <c r="N61" s="262"/>
      <c r="O61" s="261"/>
      <c r="P61" s="262"/>
      <c r="Q61" s="262"/>
      <c r="R61" s="263"/>
      <c r="S61" s="264"/>
      <c r="T61" s="264"/>
      <c r="U61" s="265"/>
      <c r="V61" s="266"/>
      <c r="W61" s="266"/>
      <c r="X61" s="267"/>
      <c r="Y61" s="268"/>
      <c r="Z61" s="268"/>
      <c r="AA61" s="259"/>
      <c r="AB61" s="260"/>
      <c r="AC61" s="260"/>
      <c r="AD61" s="261"/>
      <c r="AE61" s="262"/>
      <c r="AF61" s="262"/>
      <c r="AG61" s="269"/>
      <c r="AH61" s="270"/>
      <c r="AI61" s="271"/>
      <c r="AJ61" s="272"/>
    </row>
    <row r="62" spans="1:36" s="92" customFormat="1" x14ac:dyDescent="0.25">
      <c r="A62" s="28" t="str">
        <f>IF(H62&lt;&gt;"",MAX($A$7:A61)+1,"")</f>
        <v/>
      </c>
      <c r="B62" s="243" t="str">
        <f t="shared" si="2"/>
        <v/>
      </c>
      <c r="C62" s="158" t="str">
        <f t="shared" si="3"/>
        <v/>
      </c>
      <c r="D62" s="246"/>
      <c r="E62" s="247"/>
      <c r="F62" s="258"/>
      <c r="G62" s="248"/>
      <c r="H62" s="241"/>
      <c r="I62" s="259"/>
      <c r="J62" s="260"/>
      <c r="K62" s="260"/>
      <c r="L62" s="261"/>
      <c r="M62" s="262"/>
      <c r="N62" s="262"/>
      <c r="O62" s="261"/>
      <c r="P62" s="262"/>
      <c r="Q62" s="262"/>
      <c r="R62" s="263"/>
      <c r="S62" s="264"/>
      <c r="T62" s="264"/>
      <c r="U62" s="265"/>
      <c r="V62" s="266"/>
      <c r="W62" s="266"/>
      <c r="X62" s="267"/>
      <c r="Y62" s="268"/>
      <c r="Z62" s="268"/>
      <c r="AA62" s="259"/>
      <c r="AB62" s="260"/>
      <c r="AC62" s="260"/>
      <c r="AD62" s="261"/>
      <c r="AE62" s="262"/>
      <c r="AF62" s="262"/>
      <c r="AG62" s="269"/>
      <c r="AH62" s="270"/>
      <c r="AI62" s="271"/>
      <c r="AJ62" s="272"/>
    </row>
    <row r="63" spans="1:36" s="92" customFormat="1" x14ac:dyDescent="0.25">
      <c r="A63" s="28" t="str">
        <f>IF(H63&lt;&gt;"",MAX($A$7:A62)+1,"")</f>
        <v/>
      </c>
      <c r="B63" s="243" t="str">
        <f t="shared" si="2"/>
        <v/>
      </c>
      <c r="C63" s="158" t="str">
        <f t="shared" si="3"/>
        <v/>
      </c>
      <c r="D63" s="246"/>
      <c r="E63" s="247"/>
      <c r="F63" s="258"/>
      <c r="G63" s="248"/>
      <c r="H63" s="241"/>
      <c r="I63" s="259"/>
      <c r="J63" s="260"/>
      <c r="K63" s="260"/>
      <c r="L63" s="261"/>
      <c r="M63" s="262"/>
      <c r="N63" s="262"/>
      <c r="O63" s="261"/>
      <c r="P63" s="262"/>
      <c r="Q63" s="262"/>
      <c r="R63" s="263"/>
      <c r="S63" s="264"/>
      <c r="T63" s="264"/>
      <c r="U63" s="265"/>
      <c r="V63" s="266"/>
      <c r="W63" s="266"/>
      <c r="X63" s="267"/>
      <c r="Y63" s="268"/>
      <c r="Z63" s="268"/>
      <c r="AA63" s="259"/>
      <c r="AB63" s="260"/>
      <c r="AC63" s="260"/>
      <c r="AD63" s="261"/>
      <c r="AE63" s="262"/>
      <c r="AF63" s="262"/>
      <c r="AG63" s="269"/>
      <c r="AH63" s="270"/>
      <c r="AI63" s="271"/>
      <c r="AJ63" s="272"/>
    </row>
    <row r="64" spans="1:36" s="92" customFormat="1" x14ac:dyDescent="0.25">
      <c r="A64" s="28" t="str">
        <f>IF(H64&lt;&gt;"",MAX($A$7:A63)+1,"")</f>
        <v/>
      </c>
      <c r="B64" s="243" t="str">
        <f t="shared" si="2"/>
        <v/>
      </c>
      <c r="C64" s="158" t="str">
        <f t="shared" si="3"/>
        <v/>
      </c>
      <c r="D64" s="246"/>
      <c r="E64" s="247"/>
      <c r="F64" s="258"/>
      <c r="G64" s="248"/>
      <c r="H64" s="241"/>
      <c r="I64" s="259"/>
      <c r="J64" s="260"/>
      <c r="K64" s="260"/>
      <c r="L64" s="261"/>
      <c r="M64" s="262"/>
      <c r="N64" s="262"/>
      <c r="O64" s="261"/>
      <c r="P64" s="262"/>
      <c r="Q64" s="262"/>
      <c r="R64" s="263"/>
      <c r="S64" s="264"/>
      <c r="T64" s="264"/>
      <c r="U64" s="265"/>
      <c r="V64" s="266"/>
      <c r="W64" s="266"/>
      <c r="X64" s="267"/>
      <c r="Y64" s="268"/>
      <c r="Z64" s="268"/>
      <c r="AA64" s="259"/>
      <c r="AB64" s="260"/>
      <c r="AC64" s="260"/>
      <c r="AD64" s="261"/>
      <c r="AE64" s="262"/>
      <c r="AF64" s="262"/>
      <c r="AG64" s="269"/>
      <c r="AH64" s="270"/>
      <c r="AI64" s="271"/>
      <c r="AJ64" s="272"/>
    </row>
    <row r="65" spans="1:36" s="92" customFormat="1" x14ac:dyDescent="0.25">
      <c r="A65" s="28" t="str">
        <f>IF(H65&lt;&gt;"",MAX($A$7:A64)+1,"")</f>
        <v/>
      </c>
      <c r="B65" s="243" t="str">
        <f t="shared" si="2"/>
        <v/>
      </c>
      <c r="C65" s="158" t="str">
        <f t="shared" si="3"/>
        <v/>
      </c>
      <c r="D65" s="246"/>
      <c r="E65" s="247"/>
      <c r="F65" s="258"/>
      <c r="G65" s="248"/>
      <c r="H65" s="241"/>
      <c r="I65" s="259"/>
      <c r="J65" s="260"/>
      <c r="K65" s="260"/>
      <c r="L65" s="261"/>
      <c r="M65" s="262"/>
      <c r="N65" s="262"/>
      <c r="O65" s="261"/>
      <c r="P65" s="262"/>
      <c r="Q65" s="262"/>
      <c r="R65" s="263"/>
      <c r="S65" s="264"/>
      <c r="T65" s="264"/>
      <c r="U65" s="265"/>
      <c r="V65" s="266"/>
      <c r="W65" s="266"/>
      <c r="X65" s="267"/>
      <c r="Y65" s="268"/>
      <c r="Z65" s="268"/>
      <c r="AA65" s="259"/>
      <c r="AB65" s="260"/>
      <c r="AC65" s="260"/>
      <c r="AD65" s="261"/>
      <c r="AE65" s="262"/>
      <c r="AF65" s="262"/>
      <c r="AG65" s="269"/>
      <c r="AH65" s="270"/>
      <c r="AI65" s="271"/>
      <c r="AJ65" s="272"/>
    </row>
    <row r="66" spans="1:36" s="92" customFormat="1" x14ac:dyDescent="0.25">
      <c r="A66" s="28" t="str">
        <f>IF(H66&lt;&gt;"",MAX($A$7:A65)+1,"")</f>
        <v/>
      </c>
      <c r="B66" s="243" t="str">
        <f t="shared" si="2"/>
        <v/>
      </c>
      <c r="C66" s="158" t="str">
        <f t="shared" si="3"/>
        <v/>
      </c>
      <c r="D66" s="246"/>
      <c r="E66" s="247"/>
      <c r="F66" s="258"/>
      <c r="G66" s="248"/>
      <c r="H66" s="241"/>
      <c r="I66" s="259"/>
      <c r="J66" s="260"/>
      <c r="K66" s="260"/>
      <c r="L66" s="261"/>
      <c r="M66" s="262"/>
      <c r="N66" s="262"/>
      <c r="O66" s="261"/>
      <c r="P66" s="262"/>
      <c r="Q66" s="262"/>
      <c r="R66" s="263"/>
      <c r="S66" s="264"/>
      <c r="T66" s="264"/>
      <c r="U66" s="265"/>
      <c r="V66" s="266"/>
      <c r="W66" s="266"/>
      <c r="X66" s="267"/>
      <c r="Y66" s="268"/>
      <c r="Z66" s="268"/>
      <c r="AA66" s="259"/>
      <c r="AB66" s="260"/>
      <c r="AC66" s="260"/>
      <c r="AD66" s="261"/>
      <c r="AE66" s="262"/>
      <c r="AF66" s="262"/>
      <c r="AG66" s="269"/>
      <c r="AH66" s="270"/>
      <c r="AI66" s="271"/>
      <c r="AJ66" s="272"/>
    </row>
    <row r="67" spans="1:36" s="92" customFormat="1" x14ac:dyDescent="0.25">
      <c r="A67" s="28" t="str">
        <f>IF(H67&lt;&gt;"",MAX($A$7:A66)+1,"")</f>
        <v/>
      </c>
      <c r="B67" s="243" t="str">
        <f t="shared" si="2"/>
        <v/>
      </c>
      <c r="C67" s="158" t="str">
        <f t="shared" si="3"/>
        <v/>
      </c>
      <c r="D67" s="246"/>
      <c r="E67" s="247"/>
      <c r="F67" s="258"/>
      <c r="G67" s="248"/>
      <c r="H67" s="241"/>
      <c r="I67" s="259"/>
      <c r="J67" s="260"/>
      <c r="K67" s="260"/>
      <c r="L67" s="261"/>
      <c r="M67" s="262"/>
      <c r="N67" s="262"/>
      <c r="O67" s="261"/>
      <c r="P67" s="262"/>
      <c r="Q67" s="262"/>
      <c r="R67" s="263"/>
      <c r="S67" s="264"/>
      <c r="T67" s="264"/>
      <c r="U67" s="265"/>
      <c r="V67" s="266"/>
      <c r="W67" s="266"/>
      <c r="X67" s="267"/>
      <c r="Y67" s="268"/>
      <c r="Z67" s="268"/>
      <c r="AA67" s="259"/>
      <c r="AB67" s="260"/>
      <c r="AC67" s="260"/>
      <c r="AD67" s="261"/>
      <c r="AE67" s="262"/>
      <c r="AF67" s="262"/>
      <c r="AG67" s="269"/>
      <c r="AH67" s="270"/>
      <c r="AI67" s="271"/>
      <c r="AJ67" s="272"/>
    </row>
    <row r="68" spans="1:36" s="92" customFormat="1" x14ac:dyDescent="0.25">
      <c r="A68" s="28" t="str">
        <f>IF(H68&lt;&gt;"",MAX($A$7:A67)+1,"")</f>
        <v/>
      </c>
      <c r="B68" s="243" t="str">
        <f t="shared" si="2"/>
        <v/>
      </c>
      <c r="C68" s="158" t="str">
        <f t="shared" si="3"/>
        <v/>
      </c>
      <c r="D68" s="246"/>
      <c r="E68" s="247"/>
      <c r="F68" s="258"/>
      <c r="G68" s="248"/>
      <c r="H68" s="241"/>
      <c r="I68" s="259"/>
      <c r="J68" s="260"/>
      <c r="K68" s="260"/>
      <c r="L68" s="261"/>
      <c r="M68" s="262"/>
      <c r="N68" s="262"/>
      <c r="O68" s="261"/>
      <c r="P68" s="262"/>
      <c r="Q68" s="262"/>
      <c r="R68" s="263"/>
      <c r="S68" s="264"/>
      <c r="T68" s="264"/>
      <c r="U68" s="265"/>
      <c r="V68" s="266"/>
      <c r="W68" s="266"/>
      <c r="X68" s="267"/>
      <c r="Y68" s="268"/>
      <c r="Z68" s="268"/>
      <c r="AA68" s="259"/>
      <c r="AB68" s="260"/>
      <c r="AC68" s="260"/>
      <c r="AD68" s="261"/>
      <c r="AE68" s="262"/>
      <c r="AF68" s="262"/>
      <c r="AG68" s="269"/>
      <c r="AH68" s="270"/>
      <c r="AI68" s="271"/>
      <c r="AJ68" s="272"/>
    </row>
    <row r="69" spans="1:36" s="92" customFormat="1" x14ac:dyDescent="0.25">
      <c r="A69" s="28" t="str">
        <f>IF(H69&lt;&gt;"",MAX($A$7:A68)+1,"")</f>
        <v/>
      </c>
      <c r="B69" s="243" t="str">
        <f t="shared" si="2"/>
        <v/>
      </c>
      <c r="C69" s="158" t="str">
        <f t="shared" si="3"/>
        <v/>
      </c>
      <c r="D69" s="246"/>
      <c r="E69" s="247"/>
      <c r="F69" s="258"/>
      <c r="G69" s="248"/>
      <c r="H69" s="241"/>
      <c r="I69" s="259"/>
      <c r="J69" s="260"/>
      <c r="K69" s="260"/>
      <c r="L69" s="261"/>
      <c r="M69" s="262"/>
      <c r="N69" s="262"/>
      <c r="O69" s="261"/>
      <c r="P69" s="262"/>
      <c r="Q69" s="262"/>
      <c r="R69" s="263"/>
      <c r="S69" s="264"/>
      <c r="T69" s="264"/>
      <c r="U69" s="265"/>
      <c r="V69" s="266"/>
      <c r="W69" s="266"/>
      <c r="X69" s="267"/>
      <c r="Y69" s="268"/>
      <c r="Z69" s="268"/>
      <c r="AA69" s="259"/>
      <c r="AB69" s="260"/>
      <c r="AC69" s="260"/>
      <c r="AD69" s="261"/>
      <c r="AE69" s="262"/>
      <c r="AF69" s="262"/>
      <c r="AG69" s="269"/>
      <c r="AH69" s="270"/>
      <c r="AI69" s="271"/>
      <c r="AJ69" s="272"/>
    </row>
    <row r="70" spans="1:36" s="92" customFormat="1" x14ac:dyDescent="0.25">
      <c r="A70" s="28" t="str">
        <f>IF(H70&lt;&gt;"",MAX($A$7:A69)+1,"")</f>
        <v/>
      </c>
      <c r="B70" s="243" t="str">
        <f t="shared" si="2"/>
        <v/>
      </c>
      <c r="C70" s="158" t="str">
        <f t="shared" si="3"/>
        <v/>
      </c>
      <c r="D70" s="246"/>
      <c r="E70" s="247"/>
      <c r="F70" s="258"/>
      <c r="G70" s="248"/>
      <c r="H70" s="241"/>
      <c r="I70" s="259"/>
      <c r="J70" s="260"/>
      <c r="K70" s="260"/>
      <c r="L70" s="261"/>
      <c r="M70" s="262"/>
      <c r="N70" s="262"/>
      <c r="O70" s="261"/>
      <c r="P70" s="262"/>
      <c r="Q70" s="262"/>
      <c r="R70" s="263"/>
      <c r="S70" s="264"/>
      <c r="T70" s="264"/>
      <c r="U70" s="265"/>
      <c r="V70" s="266"/>
      <c r="W70" s="266"/>
      <c r="X70" s="267"/>
      <c r="Y70" s="268"/>
      <c r="Z70" s="268"/>
      <c r="AA70" s="259"/>
      <c r="AB70" s="260"/>
      <c r="AC70" s="260"/>
      <c r="AD70" s="261"/>
      <c r="AE70" s="262"/>
      <c r="AF70" s="262"/>
      <c r="AG70" s="269"/>
      <c r="AH70" s="270"/>
      <c r="AI70" s="271"/>
      <c r="AJ70" s="272"/>
    </row>
    <row r="71" spans="1:36" s="92" customFormat="1" x14ac:dyDescent="0.25">
      <c r="A71" s="28" t="str">
        <f>IF(H71&lt;&gt;"",MAX($A$7:A70)+1,"")</f>
        <v/>
      </c>
      <c r="B71" s="243" t="str">
        <f t="shared" ref="B71:B134" si="4">IF(A71="","",PREF_PREGUNTA&amp;" - "&amp;IF(MAX($A$7:$A$156)&gt;99,IF(A71&lt;100,"0",""),"")&amp;IF(A71&lt;10,"0","")&amp;A71&amp;IF(G71&lt;&gt;""," "&amp;G71,""))</f>
        <v/>
      </c>
      <c r="C71" s="158" t="str">
        <f t="shared" ref="C71:C134" si="5">IF(COUNTA(I71:N71)-D71=0,"",COUNTA(I71:N71)-D71)</f>
        <v/>
      </c>
      <c r="D71" s="246"/>
      <c r="E71" s="247"/>
      <c r="F71" s="258"/>
      <c r="G71" s="248"/>
      <c r="H71" s="241"/>
      <c r="I71" s="259"/>
      <c r="J71" s="260"/>
      <c r="K71" s="260"/>
      <c r="L71" s="261"/>
      <c r="M71" s="262"/>
      <c r="N71" s="262"/>
      <c r="O71" s="261"/>
      <c r="P71" s="262"/>
      <c r="Q71" s="262"/>
      <c r="R71" s="263"/>
      <c r="S71" s="264"/>
      <c r="T71" s="264"/>
      <c r="U71" s="265"/>
      <c r="V71" s="266"/>
      <c r="W71" s="266"/>
      <c r="X71" s="267"/>
      <c r="Y71" s="268"/>
      <c r="Z71" s="268"/>
      <c r="AA71" s="259"/>
      <c r="AB71" s="260"/>
      <c r="AC71" s="260"/>
      <c r="AD71" s="261"/>
      <c r="AE71" s="262"/>
      <c r="AF71" s="262"/>
      <c r="AG71" s="269"/>
      <c r="AH71" s="270"/>
      <c r="AI71" s="271"/>
      <c r="AJ71" s="272"/>
    </row>
    <row r="72" spans="1:36" s="92" customFormat="1" x14ac:dyDescent="0.25">
      <c r="A72" s="28" t="str">
        <f>IF(H72&lt;&gt;"",MAX($A$7:A71)+1,"")</f>
        <v/>
      </c>
      <c r="B72" s="243" t="str">
        <f t="shared" si="4"/>
        <v/>
      </c>
      <c r="C72" s="158" t="str">
        <f t="shared" si="5"/>
        <v/>
      </c>
      <c r="D72" s="246"/>
      <c r="E72" s="247"/>
      <c r="F72" s="258"/>
      <c r="G72" s="248"/>
      <c r="H72" s="241"/>
      <c r="I72" s="259"/>
      <c r="J72" s="260"/>
      <c r="K72" s="260"/>
      <c r="L72" s="261"/>
      <c r="M72" s="262"/>
      <c r="N72" s="262"/>
      <c r="O72" s="261"/>
      <c r="P72" s="262"/>
      <c r="Q72" s="262"/>
      <c r="R72" s="263"/>
      <c r="S72" s="264"/>
      <c r="T72" s="264"/>
      <c r="U72" s="265"/>
      <c r="V72" s="266"/>
      <c r="W72" s="266"/>
      <c r="X72" s="267"/>
      <c r="Y72" s="268"/>
      <c r="Z72" s="268"/>
      <c r="AA72" s="259"/>
      <c r="AB72" s="260"/>
      <c r="AC72" s="260"/>
      <c r="AD72" s="261"/>
      <c r="AE72" s="262"/>
      <c r="AF72" s="262"/>
      <c r="AG72" s="269"/>
      <c r="AH72" s="270"/>
      <c r="AI72" s="271"/>
      <c r="AJ72" s="272"/>
    </row>
    <row r="73" spans="1:36" s="92" customFormat="1" x14ac:dyDescent="0.25">
      <c r="A73" s="28" t="str">
        <f>IF(H73&lt;&gt;"",MAX($A$7:A72)+1,"")</f>
        <v/>
      </c>
      <c r="B73" s="243" t="str">
        <f t="shared" si="4"/>
        <v/>
      </c>
      <c r="C73" s="158" t="str">
        <f t="shared" si="5"/>
        <v/>
      </c>
      <c r="D73" s="246"/>
      <c r="E73" s="247"/>
      <c r="F73" s="258"/>
      <c r="G73" s="248"/>
      <c r="H73" s="241"/>
      <c r="I73" s="259"/>
      <c r="J73" s="260"/>
      <c r="K73" s="260"/>
      <c r="L73" s="261"/>
      <c r="M73" s="262"/>
      <c r="N73" s="262"/>
      <c r="O73" s="261"/>
      <c r="P73" s="262"/>
      <c r="Q73" s="262"/>
      <c r="R73" s="263"/>
      <c r="S73" s="264"/>
      <c r="T73" s="264"/>
      <c r="U73" s="265"/>
      <c r="V73" s="266"/>
      <c r="W73" s="266"/>
      <c r="X73" s="267"/>
      <c r="Y73" s="268"/>
      <c r="Z73" s="268"/>
      <c r="AA73" s="259"/>
      <c r="AB73" s="260"/>
      <c r="AC73" s="260"/>
      <c r="AD73" s="261"/>
      <c r="AE73" s="262"/>
      <c r="AF73" s="262"/>
      <c r="AG73" s="269"/>
      <c r="AH73" s="270"/>
      <c r="AI73" s="271"/>
      <c r="AJ73" s="272"/>
    </row>
    <row r="74" spans="1:36" s="92" customFormat="1" x14ac:dyDescent="0.25">
      <c r="A74" s="28" t="str">
        <f>IF(H74&lt;&gt;"",MAX($A$7:A73)+1,"")</f>
        <v/>
      </c>
      <c r="B74" s="243" t="str">
        <f t="shared" si="4"/>
        <v/>
      </c>
      <c r="C74" s="158" t="str">
        <f t="shared" si="5"/>
        <v/>
      </c>
      <c r="D74" s="246"/>
      <c r="E74" s="247"/>
      <c r="F74" s="258"/>
      <c r="G74" s="248"/>
      <c r="H74" s="241"/>
      <c r="I74" s="259"/>
      <c r="J74" s="260"/>
      <c r="K74" s="260"/>
      <c r="L74" s="261"/>
      <c r="M74" s="262"/>
      <c r="N74" s="262"/>
      <c r="O74" s="261"/>
      <c r="P74" s="262"/>
      <c r="Q74" s="262"/>
      <c r="R74" s="263"/>
      <c r="S74" s="264"/>
      <c r="T74" s="264"/>
      <c r="U74" s="265"/>
      <c r="V74" s="266"/>
      <c r="W74" s="266"/>
      <c r="X74" s="267"/>
      <c r="Y74" s="268"/>
      <c r="Z74" s="268"/>
      <c r="AA74" s="259"/>
      <c r="AB74" s="260"/>
      <c r="AC74" s="260"/>
      <c r="AD74" s="261"/>
      <c r="AE74" s="262"/>
      <c r="AF74" s="262"/>
      <c r="AG74" s="269"/>
      <c r="AH74" s="270"/>
      <c r="AI74" s="271"/>
      <c r="AJ74" s="272"/>
    </row>
    <row r="75" spans="1:36" s="92" customFormat="1" x14ac:dyDescent="0.25">
      <c r="A75" s="28" t="str">
        <f>IF(H75&lt;&gt;"",MAX($A$7:A74)+1,"")</f>
        <v/>
      </c>
      <c r="B75" s="243" t="str">
        <f t="shared" si="4"/>
        <v/>
      </c>
      <c r="C75" s="158" t="str">
        <f t="shared" si="5"/>
        <v/>
      </c>
      <c r="D75" s="246"/>
      <c r="E75" s="247"/>
      <c r="F75" s="258"/>
      <c r="G75" s="248"/>
      <c r="H75" s="241"/>
      <c r="I75" s="259"/>
      <c r="J75" s="260"/>
      <c r="K75" s="260"/>
      <c r="L75" s="261"/>
      <c r="M75" s="262"/>
      <c r="N75" s="262"/>
      <c r="O75" s="261"/>
      <c r="P75" s="262"/>
      <c r="Q75" s="262"/>
      <c r="R75" s="263"/>
      <c r="S75" s="264"/>
      <c r="T75" s="264"/>
      <c r="U75" s="265"/>
      <c r="V75" s="266"/>
      <c r="W75" s="266"/>
      <c r="X75" s="267"/>
      <c r="Y75" s="268"/>
      <c r="Z75" s="268"/>
      <c r="AA75" s="259"/>
      <c r="AB75" s="260"/>
      <c r="AC75" s="260"/>
      <c r="AD75" s="261"/>
      <c r="AE75" s="262"/>
      <c r="AF75" s="262"/>
      <c r="AG75" s="269"/>
      <c r="AH75" s="270"/>
      <c r="AI75" s="271"/>
      <c r="AJ75" s="272"/>
    </row>
    <row r="76" spans="1:36" s="92" customFormat="1" x14ac:dyDescent="0.25">
      <c r="A76" s="28" t="str">
        <f>IF(H76&lt;&gt;"",MAX($A$7:A75)+1,"")</f>
        <v/>
      </c>
      <c r="B76" s="243" t="str">
        <f t="shared" si="4"/>
        <v/>
      </c>
      <c r="C76" s="158" t="str">
        <f t="shared" si="5"/>
        <v/>
      </c>
      <c r="D76" s="246"/>
      <c r="E76" s="247"/>
      <c r="F76" s="258"/>
      <c r="G76" s="248"/>
      <c r="H76" s="241"/>
      <c r="I76" s="259"/>
      <c r="J76" s="260"/>
      <c r="K76" s="260"/>
      <c r="L76" s="261"/>
      <c r="M76" s="262"/>
      <c r="N76" s="262"/>
      <c r="O76" s="261"/>
      <c r="P76" s="262"/>
      <c r="Q76" s="262"/>
      <c r="R76" s="263"/>
      <c r="S76" s="264"/>
      <c r="T76" s="264"/>
      <c r="U76" s="265"/>
      <c r="V76" s="266"/>
      <c r="W76" s="266"/>
      <c r="X76" s="267"/>
      <c r="Y76" s="268"/>
      <c r="Z76" s="268"/>
      <c r="AA76" s="259"/>
      <c r="AB76" s="260"/>
      <c r="AC76" s="260"/>
      <c r="AD76" s="261"/>
      <c r="AE76" s="262"/>
      <c r="AF76" s="262"/>
      <c r="AG76" s="269"/>
      <c r="AH76" s="270"/>
      <c r="AI76" s="271"/>
      <c r="AJ76" s="272"/>
    </row>
    <row r="77" spans="1:36" s="92" customFormat="1" x14ac:dyDescent="0.25">
      <c r="A77" s="28" t="str">
        <f>IF(H77&lt;&gt;"",MAX($A$7:A76)+1,"")</f>
        <v/>
      </c>
      <c r="B77" s="243" t="str">
        <f t="shared" si="4"/>
        <v/>
      </c>
      <c r="C77" s="158" t="str">
        <f t="shared" si="5"/>
        <v/>
      </c>
      <c r="D77" s="246"/>
      <c r="E77" s="247"/>
      <c r="F77" s="258"/>
      <c r="G77" s="248"/>
      <c r="H77" s="241"/>
      <c r="I77" s="259"/>
      <c r="J77" s="260"/>
      <c r="K77" s="260"/>
      <c r="L77" s="261"/>
      <c r="M77" s="262"/>
      <c r="N77" s="262"/>
      <c r="O77" s="261"/>
      <c r="P77" s="262"/>
      <c r="Q77" s="262"/>
      <c r="R77" s="263"/>
      <c r="S77" s="264"/>
      <c r="T77" s="264"/>
      <c r="U77" s="265"/>
      <c r="V77" s="266"/>
      <c r="W77" s="266"/>
      <c r="X77" s="267"/>
      <c r="Y77" s="268"/>
      <c r="Z77" s="268"/>
      <c r="AA77" s="259"/>
      <c r="AB77" s="260"/>
      <c r="AC77" s="260"/>
      <c r="AD77" s="261"/>
      <c r="AE77" s="262"/>
      <c r="AF77" s="262"/>
      <c r="AG77" s="269"/>
      <c r="AH77" s="270"/>
      <c r="AI77" s="271"/>
      <c r="AJ77" s="272"/>
    </row>
    <row r="78" spans="1:36" s="92" customFormat="1" x14ac:dyDescent="0.25">
      <c r="A78" s="28" t="str">
        <f>IF(H78&lt;&gt;"",MAX($A$7:A77)+1,"")</f>
        <v/>
      </c>
      <c r="B78" s="243" t="str">
        <f t="shared" si="4"/>
        <v/>
      </c>
      <c r="C78" s="158" t="str">
        <f t="shared" si="5"/>
        <v/>
      </c>
      <c r="D78" s="246"/>
      <c r="E78" s="247"/>
      <c r="F78" s="258"/>
      <c r="G78" s="248"/>
      <c r="H78" s="241"/>
      <c r="I78" s="259"/>
      <c r="J78" s="260"/>
      <c r="K78" s="260"/>
      <c r="L78" s="261"/>
      <c r="M78" s="262"/>
      <c r="N78" s="262"/>
      <c r="O78" s="261"/>
      <c r="P78" s="262"/>
      <c r="Q78" s="262"/>
      <c r="R78" s="263"/>
      <c r="S78" s="264"/>
      <c r="T78" s="264"/>
      <c r="U78" s="265"/>
      <c r="V78" s="266"/>
      <c r="W78" s="266"/>
      <c r="X78" s="267"/>
      <c r="Y78" s="268"/>
      <c r="Z78" s="268"/>
      <c r="AA78" s="259"/>
      <c r="AB78" s="260"/>
      <c r="AC78" s="260"/>
      <c r="AD78" s="261"/>
      <c r="AE78" s="262"/>
      <c r="AF78" s="262"/>
      <c r="AG78" s="269"/>
      <c r="AH78" s="270"/>
      <c r="AI78" s="271"/>
      <c r="AJ78" s="272"/>
    </row>
    <row r="79" spans="1:36" s="92" customFormat="1" x14ac:dyDescent="0.25">
      <c r="A79" s="28" t="str">
        <f>IF(H79&lt;&gt;"",MAX($A$7:A78)+1,"")</f>
        <v/>
      </c>
      <c r="B79" s="243" t="str">
        <f t="shared" si="4"/>
        <v/>
      </c>
      <c r="C79" s="158" t="str">
        <f t="shared" si="5"/>
        <v/>
      </c>
      <c r="D79" s="246"/>
      <c r="E79" s="247"/>
      <c r="F79" s="258"/>
      <c r="G79" s="248"/>
      <c r="H79" s="241"/>
      <c r="I79" s="259"/>
      <c r="J79" s="260"/>
      <c r="K79" s="260"/>
      <c r="L79" s="261"/>
      <c r="M79" s="262"/>
      <c r="N79" s="262"/>
      <c r="O79" s="261"/>
      <c r="P79" s="262"/>
      <c r="Q79" s="262"/>
      <c r="R79" s="263"/>
      <c r="S79" s="264"/>
      <c r="T79" s="264"/>
      <c r="U79" s="265"/>
      <c r="V79" s="266"/>
      <c r="W79" s="266"/>
      <c r="X79" s="267"/>
      <c r="Y79" s="268"/>
      <c r="Z79" s="268"/>
      <c r="AA79" s="259"/>
      <c r="AB79" s="260"/>
      <c r="AC79" s="260"/>
      <c r="AD79" s="261"/>
      <c r="AE79" s="262"/>
      <c r="AF79" s="262"/>
      <c r="AG79" s="269"/>
      <c r="AH79" s="270"/>
      <c r="AI79" s="271"/>
      <c r="AJ79" s="272"/>
    </row>
    <row r="80" spans="1:36" s="92" customFormat="1" x14ac:dyDescent="0.25">
      <c r="A80" s="28" t="str">
        <f>IF(H80&lt;&gt;"",MAX($A$7:A79)+1,"")</f>
        <v/>
      </c>
      <c r="B80" s="243" t="str">
        <f t="shared" si="4"/>
        <v/>
      </c>
      <c r="C80" s="158" t="str">
        <f t="shared" si="5"/>
        <v/>
      </c>
      <c r="D80" s="246"/>
      <c r="E80" s="247"/>
      <c r="F80" s="258"/>
      <c r="G80" s="248"/>
      <c r="H80" s="241"/>
      <c r="I80" s="259"/>
      <c r="J80" s="260"/>
      <c r="K80" s="260"/>
      <c r="L80" s="261"/>
      <c r="M80" s="262"/>
      <c r="N80" s="262"/>
      <c r="O80" s="261"/>
      <c r="P80" s="262"/>
      <c r="Q80" s="262"/>
      <c r="R80" s="263"/>
      <c r="S80" s="264"/>
      <c r="T80" s="264"/>
      <c r="U80" s="265"/>
      <c r="V80" s="266"/>
      <c r="W80" s="266"/>
      <c r="X80" s="267"/>
      <c r="Y80" s="268"/>
      <c r="Z80" s="268"/>
      <c r="AA80" s="259"/>
      <c r="AB80" s="260"/>
      <c r="AC80" s="260"/>
      <c r="AD80" s="261"/>
      <c r="AE80" s="262"/>
      <c r="AF80" s="262"/>
      <c r="AG80" s="269"/>
      <c r="AH80" s="270"/>
      <c r="AI80" s="271"/>
      <c r="AJ80" s="272"/>
    </row>
    <row r="81" spans="1:36" s="92" customFormat="1" x14ac:dyDescent="0.25">
      <c r="A81" s="28" t="str">
        <f>IF(H81&lt;&gt;"",MAX($A$7:A80)+1,"")</f>
        <v/>
      </c>
      <c r="B81" s="243" t="str">
        <f t="shared" si="4"/>
        <v/>
      </c>
      <c r="C81" s="158" t="str">
        <f t="shared" si="5"/>
        <v/>
      </c>
      <c r="D81" s="246"/>
      <c r="E81" s="247"/>
      <c r="F81" s="258"/>
      <c r="G81" s="248"/>
      <c r="H81" s="241"/>
      <c r="I81" s="259"/>
      <c r="J81" s="260"/>
      <c r="K81" s="260"/>
      <c r="L81" s="261"/>
      <c r="M81" s="262"/>
      <c r="N81" s="262"/>
      <c r="O81" s="261"/>
      <c r="P81" s="262"/>
      <c r="Q81" s="262"/>
      <c r="R81" s="263"/>
      <c r="S81" s="264"/>
      <c r="T81" s="264"/>
      <c r="U81" s="265"/>
      <c r="V81" s="266"/>
      <c r="W81" s="266"/>
      <c r="X81" s="267"/>
      <c r="Y81" s="268"/>
      <c r="Z81" s="268"/>
      <c r="AA81" s="259"/>
      <c r="AB81" s="260"/>
      <c r="AC81" s="260"/>
      <c r="AD81" s="261"/>
      <c r="AE81" s="262"/>
      <c r="AF81" s="262"/>
      <c r="AG81" s="269"/>
      <c r="AH81" s="270"/>
      <c r="AI81" s="271"/>
      <c r="AJ81" s="272"/>
    </row>
    <row r="82" spans="1:36" s="92" customFormat="1" x14ac:dyDescent="0.25">
      <c r="A82" s="28" t="str">
        <f>IF(H82&lt;&gt;"",MAX($A$7:A81)+1,"")</f>
        <v/>
      </c>
      <c r="B82" s="243" t="str">
        <f t="shared" si="4"/>
        <v/>
      </c>
      <c r="C82" s="158" t="str">
        <f t="shared" si="5"/>
        <v/>
      </c>
      <c r="D82" s="246"/>
      <c r="E82" s="247"/>
      <c r="F82" s="258"/>
      <c r="G82" s="248"/>
      <c r="H82" s="241"/>
      <c r="I82" s="259"/>
      <c r="J82" s="260"/>
      <c r="K82" s="260"/>
      <c r="L82" s="261"/>
      <c r="M82" s="262"/>
      <c r="N82" s="262"/>
      <c r="O82" s="261"/>
      <c r="P82" s="262"/>
      <c r="Q82" s="262"/>
      <c r="R82" s="263"/>
      <c r="S82" s="264"/>
      <c r="T82" s="264"/>
      <c r="U82" s="265"/>
      <c r="V82" s="266"/>
      <c r="W82" s="266"/>
      <c r="X82" s="267"/>
      <c r="Y82" s="268"/>
      <c r="Z82" s="268"/>
      <c r="AA82" s="259"/>
      <c r="AB82" s="260"/>
      <c r="AC82" s="260"/>
      <c r="AD82" s="261"/>
      <c r="AE82" s="262"/>
      <c r="AF82" s="262"/>
      <c r="AG82" s="269"/>
      <c r="AH82" s="270"/>
      <c r="AI82" s="271"/>
      <c r="AJ82" s="272"/>
    </row>
    <row r="83" spans="1:36" s="92" customFormat="1" x14ac:dyDescent="0.25">
      <c r="A83" s="28" t="str">
        <f>IF(H83&lt;&gt;"",MAX($A$7:A82)+1,"")</f>
        <v/>
      </c>
      <c r="B83" s="243" t="str">
        <f t="shared" si="4"/>
        <v/>
      </c>
      <c r="C83" s="158" t="str">
        <f t="shared" si="5"/>
        <v/>
      </c>
      <c r="D83" s="246"/>
      <c r="E83" s="247"/>
      <c r="F83" s="258"/>
      <c r="G83" s="248"/>
      <c r="H83" s="241"/>
      <c r="I83" s="259"/>
      <c r="J83" s="260"/>
      <c r="K83" s="260"/>
      <c r="L83" s="261"/>
      <c r="M83" s="262"/>
      <c r="N83" s="262"/>
      <c r="O83" s="261"/>
      <c r="P83" s="262"/>
      <c r="Q83" s="262"/>
      <c r="R83" s="263"/>
      <c r="S83" s="264"/>
      <c r="T83" s="264"/>
      <c r="U83" s="265"/>
      <c r="V83" s="266"/>
      <c r="W83" s="266"/>
      <c r="X83" s="267"/>
      <c r="Y83" s="268"/>
      <c r="Z83" s="268"/>
      <c r="AA83" s="259"/>
      <c r="AB83" s="260"/>
      <c r="AC83" s="260"/>
      <c r="AD83" s="261"/>
      <c r="AE83" s="262"/>
      <c r="AF83" s="262"/>
      <c r="AG83" s="269"/>
      <c r="AH83" s="270"/>
      <c r="AI83" s="271"/>
      <c r="AJ83" s="272"/>
    </row>
    <row r="84" spans="1:36" s="92" customFormat="1" x14ac:dyDescent="0.25">
      <c r="A84" s="28" t="str">
        <f>IF(H84&lt;&gt;"",MAX($A$7:A83)+1,"")</f>
        <v/>
      </c>
      <c r="B84" s="243" t="str">
        <f t="shared" si="4"/>
        <v/>
      </c>
      <c r="C84" s="158" t="str">
        <f t="shared" si="5"/>
        <v/>
      </c>
      <c r="D84" s="246"/>
      <c r="E84" s="247"/>
      <c r="F84" s="258"/>
      <c r="G84" s="248"/>
      <c r="H84" s="241"/>
      <c r="I84" s="259"/>
      <c r="J84" s="260"/>
      <c r="K84" s="260"/>
      <c r="L84" s="261"/>
      <c r="M84" s="262"/>
      <c r="N84" s="262"/>
      <c r="O84" s="261"/>
      <c r="P84" s="262"/>
      <c r="Q84" s="262"/>
      <c r="R84" s="263"/>
      <c r="S84" s="264"/>
      <c r="T84" s="264"/>
      <c r="U84" s="265"/>
      <c r="V84" s="266"/>
      <c r="W84" s="266"/>
      <c r="X84" s="267"/>
      <c r="Y84" s="268"/>
      <c r="Z84" s="268"/>
      <c r="AA84" s="259"/>
      <c r="AB84" s="260"/>
      <c r="AC84" s="260"/>
      <c r="AD84" s="261"/>
      <c r="AE84" s="262"/>
      <c r="AF84" s="262"/>
      <c r="AG84" s="269"/>
      <c r="AH84" s="270"/>
      <c r="AI84" s="271"/>
      <c r="AJ84" s="272"/>
    </row>
    <row r="85" spans="1:36" s="92" customFormat="1" x14ac:dyDescent="0.25">
      <c r="A85" s="28" t="str">
        <f>IF(H85&lt;&gt;"",MAX($A$7:A84)+1,"")</f>
        <v/>
      </c>
      <c r="B85" s="243" t="str">
        <f t="shared" si="4"/>
        <v/>
      </c>
      <c r="C85" s="158" t="str">
        <f t="shared" si="5"/>
        <v/>
      </c>
      <c r="D85" s="246"/>
      <c r="E85" s="247"/>
      <c r="F85" s="258"/>
      <c r="G85" s="248"/>
      <c r="H85" s="241"/>
      <c r="I85" s="259"/>
      <c r="J85" s="260"/>
      <c r="K85" s="260"/>
      <c r="L85" s="261"/>
      <c r="M85" s="262"/>
      <c r="N85" s="262"/>
      <c r="O85" s="261"/>
      <c r="P85" s="262"/>
      <c r="Q85" s="262"/>
      <c r="R85" s="263"/>
      <c r="S85" s="264"/>
      <c r="T85" s="264"/>
      <c r="U85" s="265"/>
      <c r="V85" s="266"/>
      <c r="W85" s="266"/>
      <c r="X85" s="267"/>
      <c r="Y85" s="268"/>
      <c r="Z85" s="268"/>
      <c r="AA85" s="259"/>
      <c r="AB85" s="260"/>
      <c r="AC85" s="260"/>
      <c r="AD85" s="261"/>
      <c r="AE85" s="262"/>
      <c r="AF85" s="262"/>
      <c r="AG85" s="269"/>
      <c r="AH85" s="270"/>
      <c r="AI85" s="271"/>
      <c r="AJ85" s="272"/>
    </row>
    <row r="86" spans="1:36" s="92" customFormat="1" x14ac:dyDescent="0.25">
      <c r="A86" s="28" t="str">
        <f>IF(H86&lt;&gt;"",MAX($A$7:A85)+1,"")</f>
        <v/>
      </c>
      <c r="B86" s="243" t="str">
        <f t="shared" si="4"/>
        <v/>
      </c>
      <c r="C86" s="158" t="str">
        <f t="shared" si="5"/>
        <v/>
      </c>
      <c r="D86" s="246"/>
      <c r="E86" s="247"/>
      <c r="F86" s="258"/>
      <c r="G86" s="248"/>
      <c r="H86" s="241"/>
      <c r="I86" s="259"/>
      <c r="J86" s="260"/>
      <c r="K86" s="260"/>
      <c r="L86" s="261"/>
      <c r="M86" s="262"/>
      <c r="N86" s="262"/>
      <c r="O86" s="261"/>
      <c r="P86" s="262"/>
      <c r="Q86" s="262"/>
      <c r="R86" s="263"/>
      <c r="S86" s="264"/>
      <c r="T86" s="264"/>
      <c r="U86" s="265"/>
      <c r="V86" s="266"/>
      <c r="W86" s="266"/>
      <c r="X86" s="267"/>
      <c r="Y86" s="268"/>
      <c r="Z86" s="268"/>
      <c r="AA86" s="259"/>
      <c r="AB86" s="260"/>
      <c r="AC86" s="260"/>
      <c r="AD86" s="261"/>
      <c r="AE86" s="262"/>
      <c r="AF86" s="262"/>
      <c r="AG86" s="269"/>
      <c r="AH86" s="270"/>
      <c r="AI86" s="271"/>
      <c r="AJ86" s="272"/>
    </row>
    <row r="87" spans="1:36" s="92" customFormat="1" x14ac:dyDescent="0.25">
      <c r="A87" s="28" t="str">
        <f>IF(H87&lt;&gt;"",MAX($A$7:A86)+1,"")</f>
        <v/>
      </c>
      <c r="B87" s="243" t="str">
        <f t="shared" si="4"/>
        <v/>
      </c>
      <c r="C87" s="158" t="str">
        <f t="shared" si="5"/>
        <v/>
      </c>
      <c r="D87" s="246"/>
      <c r="E87" s="247"/>
      <c r="F87" s="258"/>
      <c r="G87" s="248"/>
      <c r="H87" s="241"/>
      <c r="I87" s="259"/>
      <c r="J87" s="260"/>
      <c r="K87" s="260"/>
      <c r="L87" s="261"/>
      <c r="M87" s="262"/>
      <c r="N87" s="262"/>
      <c r="O87" s="261"/>
      <c r="P87" s="262"/>
      <c r="Q87" s="262"/>
      <c r="R87" s="263"/>
      <c r="S87" s="264"/>
      <c r="T87" s="264"/>
      <c r="U87" s="265"/>
      <c r="V87" s="266"/>
      <c r="W87" s="266"/>
      <c r="X87" s="267"/>
      <c r="Y87" s="268"/>
      <c r="Z87" s="268"/>
      <c r="AA87" s="259"/>
      <c r="AB87" s="260"/>
      <c r="AC87" s="260"/>
      <c r="AD87" s="261"/>
      <c r="AE87" s="262"/>
      <c r="AF87" s="262"/>
      <c r="AG87" s="269"/>
      <c r="AH87" s="270"/>
      <c r="AI87" s="271"/>
      <c r="AJ87" s="272"/>
    </row>
    <row r="88" spans="1:36" s="92" customFormat="1" x14ac:dyDescent="0.25">
      <c r="A88" s="28" t="str">
        <f>IF(H88&lt;&gt;"",MAX($A$7:A87)+1,"")</f>
        <v/>
      </c>
      <c r="B88" s="243" t="str">
        <f t="shared" si="4"/>
        <v/>
      </c>
      <c r="C88" s="158" t="str">
        <f t="shared" si="5"/>
        <v/>
      </c>
      <c r="D88" s="246"/>
      <c r="E88" s="247"/>
      <c r="F88" s="258"/>
      <c r="G88" s="248"/>
      <c r="H88" s="241"/>
      <c r="I88" s="259"/>
      <c r="J88" s="260"/>
      <c r="K88" s="260"/>
      <c r="L88" s="261"/>
      <c r="M88" s="262"/>
      <c r="N88" s="262"/>
      <c r="O88" s="261"/>
      <c r="P88" s="262"/>
      <c r="Q88" s="262"/>
      <c r="R88" s="263"/>
      <c r="S88" s="264"/>
      <c r="T88" s="264"/>
      <c r="U88" s="265"/>
      <c r="V88" s="266"/>
      <c r="W88" s="266"/>
      <c r="X88" s="267"/>
      <c r="Y88" s="268"/>
      <c r="Z88" s="268"/>
      <c r="AA88" s="259"/>
      <c r="AB88" s="260"/>
      <c r="AC88" s="260"/>
      <c r="AD88" s="261"/>
      <c r="AE88" s="262"/>
      <c r="AF88" s="262"/>
      <c r="AG88" s="269"/>
      <c r="AH88" s="270"/>
      <c r="AI88" s="271"/>
      <c r="AJ88" s="272"/>
    </row>
    <row r="89" spans="1:36" s="92" customFormat="1" x14ac:dyDescent="0.25">
      <c r="A89" s="28" t="str">
        <f>IF(H89&lt;&gt;"",MAX($A$7:A88)+1,"")</f>
        <v/>
      </c>
      <c r="B89" s="243" t="str">
        <f t="shared" si="4"/>
        <v/>
      </c>
      <c r="C89" s="158" t="str">
        <f t="shared" si="5"/>
        <v/>
      </c>
      <c r="D89" s="246"/>
      <c r="E89" s="247"/>
      <c r="F89" s="258"/>
      <c r="G89" s="248"/>
      <c r="H89" s="241"/>
      <c r="I89" s="259"/>
      <c r="J89" s="260"/>
      <c r="K89" s="260"/>
      <c r="L89" s="261"/>
      <c r="M89" s="262"/>
      <c r="N89" s="262"/>
      <c r="O89" s="261"/>
      <c r="P89" s="262"/>
      <c r="Q89" s="262"/>
      <c r="R89" s="263"/>
      <c r="S89" s="264"/>
      <c r="T89" s="264"/>
      <c r="U89" s="265"/>
      <c r="V89" s="266"/>
      <c r="W89" s="266"/>
      <c r="X89" s="267"/>
      <c r="Y89" s="268"/>
      <c r="Z89" s="268"/>
      <c r="AA89" s="259"/>
      <c r="AB89" s="260"/>
      <c r="AC89" s="260"/>
      <c r="AD89" s="261"/>
      <c r="AE89" s="262"/>
      <c r="AF89" s="262"/>
      <c r="AG89" s="269"/>
      <c r="AH89" s="270"/>
      <c r="AI89" s="271"/>
      <c r="AJ89" s="272"/>
    </row>
    <row r="90" spans="1:36" s="92" customFormat="1" x14ac:dyDescent="0.25">
      <c r="A90" s="28" t="str">
        <f>IF(H90&lt;&gt;"",MAX($A$7:A89)+1,"")</f>
        <v/>
      </c>
      <c r="B90" s="243" t="str">
        <f t="shared" si="4"/>
        <v/>
      </c>
      <c r="C90" s="158" t="str">
        <f t="shared" si="5"/>
        <v/>
      </c>
      <c r="D90" s="246"/>
      <c r="E90" s="247"/>
      <c r="F90" s="258"/>
      <c r="G90" s="248"/>
      <c r="H90" s="241"/>
      <c r="I90" s="259"/>
      <c r="J90" s="260"/>
      <c r="K90" s="260"/>
      <c r="L90" s="261"/>
      <c r="M90" s="262"/>
      <c r="N90" s="262"/>
      <c r="O90" s="261"/>
      <c r="P90" s="262"/>
      <c r="Q90" s="262"/>
      <c r="R90" s="263"/>
      <c r="S90" s="264"/>
      <c r="T90" s="264"/>
      <c r="U90" s="265"/>
      <c r="V90" s="266"/>
      <c r="W90" s="266"/>
      <c r="X90" s="267"/>
      <c r="Y90" s="268"/>
      <c r="Z90" s="268"/>
      <c r="AA90" s="259"/>
      <c r="AB90" s="260"/>
      <c r="AC90" s="260"/>
      <c r="AD90" s="261"/>
      <c r="AE90" s="262"/>
      <c r="AF90" s="262"/>
      <c r="AG90" s="269"/>
      <c r="AH90" s="270"/>
      <c r="AI90" s="271"/>
      <c r="AJ90" s="272"/>
    </row>
    <row r="91" spans="1:36" s="92" customFormat="1" x14ac:dyDescent="0.25">
      <c r="A91" s="28" t="str">
        <f>IF(H91&lt;&gt;"",MAX($A$7:A90)+1,"")</f>
        <v/>
      </c>
      <c r="B91" s="243" t="str">
        <f t="shared" si="4"/>
        <v/>
      </c>
      <c r="C91" s="158" t="str">
        <f t="shared" si="5"/>
        <v/>
      </c>
      <c r="D91" s="246"/>
      <c r="E91" s="247"/>
      <c r="F91" s="258"/>
      <c r="G91" s="248"/>
      <c r="H91" s="241"/>
      <c r="I91" s="259"/>
      <c r="J91" s="260"/>
      <c r="K91" s="260"/>
      <c r="L91" s="261"/>
      <c r="M91" s="262"/>
      <c r="N91" s="262"/>
      <c r="O91" s="261"/>
      <c r="P91" s="262"/>
      <c r="Q91" s="262"/>
      <c r="R91" s="263"/>
      <c r="S91" s="264"/>
      <c r="T91" s="264"/>
      <c r="U91" s="265"/>
      <c r="V91" s="266"/>
      <c r="W91" s="266"/>
      <c r="X91" s="267"/>
      <c r="Y91" s="268"/>
      <c r="Z91" s="268"/>
      <c r="AA91" s="259"/>
      <c r="AB91" s="260"/>
      <c r="AC91" s="260"/>
      <c r="AD91" s="261"/>
      <c r="AE91" s="262"/>
      <c r="AF91" s="262"/>
      <c r="AG91" s="269"/>
      <c r="AH91" s="270"/>
      <c r="AI91" s="271"/>
      <c r="AJ91" s="272"/>
    </row>
    <row r="92" spans="1:36" s="92" customFormat="1" x14ac:dyDescent="0.25">
      <c r="A92" s="28" t="str">
        <f>IF(H92&lt;&gt;"",MAX($A$7:A91)+1,"")</f>
        <v/>
      </c>
      <c r="B92" s="243" t="str">
        <f t="shared" si="4"/>
        <v/>
      </c>
      <c r="C92" s="158" t="str">
        <f t="shared" si="5"/>
        <v/>
      </c>
      <c r="D92" s="246"/>
      <c r="E92" s="247"/>
      <c r="F92" s="258"/>
      <c r="G92" s="248"/>
      <c r="H92" s="241"/>
      <c r="I92" s="259"/>
      <c r="J92" s="260"/>
      <c r="K92" s="260"/>
      <c r="L92" s="261"/>
      <c r="M92" s="262"/>
      <c r="N92" s="262"/>
      <c r="O92" s="261"/>
      <c r="P92" s="262"/>
      <c r="Q92" s="262"/>
      <c r="R92" s="263"/>
      <c r="S92" s="264"/>
      <c r="T92" s="264"/>
      <c r="U92" s="265"/>
      <c r="V92" s="266"/>
      <c r="W92" s="266"/>
      <c r="X92" s="267"/>
      <c r="Y92" s="268"/>
      <c r="Z92" s="268"/>
      <c r="AA92" s="259"/>
      <c r="AB92" s="260"/>
      <c r="AC92" s="260"/>
      <c r="AD92" s="261"/>
      <c r="AE92" s="262"/>
      <c r="AF92" s="262"/>
      <c r="AG92" s="269"/>
      <c r="AH92" s="270"/>
      <c r="AI92" s="271"/>
      <c r="AJ92" s="272"/>
    </row>
    <row r="93" spans="1:36" s="92" customFormat="1" x14ac:dyDescent="0.25">
      <c r="A93" s="28" t="str">
        <f>IF(H93&lt;&gt;"",MAX($A$7:A92)+1,"")</f>
        <v/>
      </c>
      <c r="B93" s="243" t="str">
        <f t="shared" si="4"/>
        <v/>
      </c>
      <c r="C93" s="158" t="str">
        <f t="shared" si="5"/>
        <v/>
      </c>
      <c r="D93" s="246"/>
      <c r="E93" s="247"/>
      <c r="F93" s="258"/>
      <c r="G93" s="248"/>
      <c r="H93" s="241"/>
      <c r="I93" s="259"/>
      <c r="J93" s="260"/>
      <c r="K93" s="260"/>
      <c r="L93" s="261"/>
      <c r="M93" s="262"/>
      <c r="N93" s="262"/>
      <c r="O93" s="261"/>
      <c r="P93" s="262"/>
      <c r="Q93" s="262"/>
      <c r="R93" s="263"/>
      <c r="S93" s="264"/>
      <c r="T93" s="264"/>
      <c r="U93" s="265"/>
      <c r="V93" s="266"/>
      <c r="W93" s="266"/>
      <c r="X93" s="267"/>
      <c r="Y93" s="268"/>
      <c r="Z93" s="268"/>
      <c r="AA93" s="259"/>
      <c r="AB93" s="260"/>
      <c r="AC93" s="260"/>
      <c r="AD93" s="261"/>
      <c r="AE93" s="262"/>
      <c r="AF93" s="262"/>
      <c r="AG93" s="269"/>
      <c r="AH93" s="270"/>
      <c r="AI93" s="271"/>
      <c r="AJ93" s="272"/>
    </row>
    <row r="94" spans="1:36" s="92" customFormat="1" x14ac:dyDescent="0.25">
      <c r="A94" s="28" t="str">
        <f>IF(H94&lt;&gt;"",MAX($A$7:A93)+1,"")</f>
        <v/>
      </c>
      <c r="B94" s="243" t="str">
        <f t="shared" si="4"/>
        <v/>
      </c>
      <c r="C94" s="158" t="str">
        <f t="shared" si="5"/>
        <v/>
      </c>
      <c r="D94" s="246"/>
      <c r="E94" s="247"/>
      <c r="F94" s="258"/>
      <c r="G94" s="248"/>
      <c r="H94" s="241"/>
      <c r="I94" s="259"/>
      <c r="J94" s="260"/>
      <c r="K94" s="260"/>
      <c r="L94" s="261"/>
      <c r="M94" s="262"/>
      <c r="N94" s="262"/>
      <c r="O94" s="261"/>
      <c r="P94" s="262"/>
      <c r="Q94" s="262"/>
      <c r="R94" s="263"/>
      <c r="S94" s="264"/>
      <c r="T94" s="264"/>
      <c r="U94" s="265"/>
      <c r="V94" s="266"/>
      <c r="W94" s="266"/>
      <c r="X94" s="267"/>
      <c r="Y94" s="268"/>
      <c r="Z94" s="268"/>
      <c r="AA94" s="259"/>
      <c r="AB94" s="260"/>
      <c r="AC94" s="260"/>
      <c r="AD94" s="261"/>
      <c r="AE94" s="262"/>
      <c r="AF94" s="262"/>
      <c r="AG94" s="269"/>
      <c r="AH94" s="270"/>
      <c r="AI94" s="271"/>
      <c r="AJ94" s="272"/>
    </row>
    <row r="95" spans="1:36" s="92" customFormat="1" x14ac:dyDescent="0.25">
      <c r="A95" s="28" t="str">
        <f>IF(H95&lt;&gt;"",MAX($A$7:A94)+1,"")</f>
        <v/>
      </c>
      <c r="B95" s="243" t="str">
        <f t="shared" si="4"/>
        <v/>
      </c>
      <c r="C95" s="158" t="str">
        <f t="shared" si="5"/>
        <v/>
      </c>
      <c r="D95" s="246"/>
      <c r="E95" s="247"/>
      <c r="F95" s="258"/>
      <c r="G95" s="248"/>
      <c r="H95" s="241"/>
      <c r="I95" s="259"/>
      <c r="J95" s="260"/>
      <c r="K95" s="260"/>
      <c r="L95" s="261"/>
      <c r="M95" s="262"/>
      <c r="N95" s="262"/>
      <c r="O95" s="261"/>
      <c r="P95" s="262"/>
      <c r="Q95" s="262"/>
      <c r="R95" s="263"/>
      <c r="S95" s="264"/>
      <c r="T95" s="264"/>
      <c r="U95" s="265"/>
      <c r="V95" s="266"/>
      <c r="W95" s="266"/>
      <c r="X95" s="267"/>
      <c r="Y95" s="268"/>
      <c r="Z95" s="268"/>
      <c r="AA95" s="259"/>
      <c r="AB95" s="260"/>
      <c r="AC95" s="260"/>
      <c r="AD95" s="261"/>
      <c r="AE95" s="262"/>
      <c r="AF95" s="262"/>
      <c r="AG95" s="269"/>
      <c r="AH95" s="270"/>
      <c r="AI95" s="271"/>
      <c r="AJ95" s="272"/>
    </row>
    <row r="96" spans="1:36" s="92" customFormat="1" x14ac:dyDescent="0.25">
      <c r="A96" s="28" t="str">
        <f>IF(H96&lt;&gt;"",MAX($A$7:A95)+1,"")</f>
        <v/>
      </c>
      <c r="B96" s="243" t="str">
        <f t="shared" si="4"/>
        <v/>
      </c>
      <c r="C96" s="158" t="str">
        <f t="shared" si="5"/>
        <v/>
      </c>
      <c r="D96" s="246"/>
      <c r="E96" s="247"/>
      <c r="F96" s="258"/>
      <c r="G96" s="248"/>
      <c r="H96" s="241"/>
      <c r="I96" s="259"/>
      <c r="J96" s="260"/>
      <c r="K96" s="260"/>
      <c r="L96" s="261"/>
      <c r="M96" s="262"/>
      <c r="N96" s="262"/>
      <c r="O96" s="261"/>
      <c r="P96" s="262"/>
      <c r="Q96" s="262"/>
      <c r="R96" s="263"/>
      <c r="S96" s="264"/>
      <c r="T96" s="264"/>
      <c r="U96" s="265"/>
      <c r="V96" s="266"/>
      <c r="W96" s="266"/>
      <c r="X96" s="267"/>
      <c r="Y96" s="268"/>
      <c r="Z96" s="268"/>
      <c r="AA96" s="259"/>
      <c r="AB96" s="260"/>
      <c r="AC96" s="260"/>
      <c r="AD96" s="261"/>
      <c r="AE96" s="262"/>
      <c r="AF96" s="262"/>
      <c r="AG96" s="269"/>
      <c r="AH96" s="270"/>
      <c r="AI96" s="271"/>
      <c r="AJ96" s="272"/>
    </row>
    <row r="97" spans="1:36" s="92" customFormat="1" x14ac:dyDescent="0.25">
      <c r="A97" s="28" t="str">
        <f>IF(H97&lt;&gt;"",MAX($A$7:A96)+1,"")</f>
        <v/>
      </c>
      <c r="B97" s="243" t="str">
        <f t="shared" si="4"/>
        <v/>
      </c>
      <c r="C97" s="158" t="str">
        <f t="shared" si="5"/>
        <v/>
      </c>
      <c r="D97" s="246"/>
      <c r="E97" s="247"/>
      <c r="F97" s="258"/>
      <c r="G97" s="248"/>
      <c r="H97" s="241"/>
      <c r="I97" s="259"/>
      <c r="J97" s="260"/>
      <c r="K97" s="260"/>
      <c r="L97" s="261"/>
      <c r="M97" s="262"/>
      <c r="N97" s="262"/>
      <c r="O97" s="261"/>
      <c r="P97" s="262"/>
      <c r="Q97" s="262"/>
      <c r="R97" s="263"/>
      <c r="S97" s="264"/>
      <c r="T97" s="264"/>
      <c r="U97" s="265"/>
      <c r="V97" s="266"/>
      <c r="W97" s="266"/>
      <c r="X97" s="267"/>
      <c r="Y97" s="268"/>
      <c r="Z97" s="268"/>
      <c r="AA97" s="259"/>
      <c r="AB97" s="260"/>
      <c r="AC97" s="260"/>
      <c r="AD97" s="261"/>
      <c r="AE97" s="262"/>
      <c r="AF97" s="262"/>
      <c r="AG97" s="269"/>
      <c r="AH97" s="270"/>
      <c r="AI97" s="271"/>
      <c r="AJ97" s="272"/>
    </row>
    <row r="98" spans="1:36" s="92" customFormat="1" x14ac:dyDescent="0.25">
      <c r="A98" s="28" t="str">
        <f>IF(H98&lt;&gt;"",MAX($A$7:A97)+1,"")</f>
        <v/>
      </c>
      <c r="B98" s="243" t="str">
        <f t="shared" si="4"/>
        <v/>
      </c>
      <c r="C98" s="158" t="str">
        <f t="shared" si="5"/>
        <v/>
      </c>
      <c r="D98" s="246"/>
      <c r="E98" s="247"/>
      <c r="F98" s="258"/>
      <c r="G98" s="248"/>
      <c r="H98" s="241"/>
      <c r="I98" s="259"/>
      <c r="J98" s="260"/>
      <c r="K98" s="260"/>
      <c r="L98" s="261"/>
      <c r="M98" s="262"/>
      <c r="N98" s="262"/>
      <c r="O98" s="261"/>
      <c r="P98" s="262"/>
      <c r="Q98" s="262"/>
      <c r="R98" s="263"/>
      <c r="S98" s="264"/>
      <c r="T98" s="264"/>
      <c r="U98" s="265"/>
      <c r="V98" s="266"/>
      <c r="W98" s="266"/>
      <c r="X98" s="267"/>
      <c r="Y98" s="268"/>
      <c r="Z98" s="268"/>
      <c r="AA98" s="259"/>
      <c r="AB98" s="260"/>
      <c r="AC98" s="260"/>
      <c r="AD98" s="261"/>
      <c r="AE98" s="262"/>
      <c r="AF98" s="262"/>
      <c r="AG98" s="269"/>
      <c r="AH98" s="270"/>
      <c r="AI98" s="271"/>
      <c r="AJ98" s="272"/>
    </row>
    <row r="99" spans="1:36" s="92" customFormat="1" x14ac:dyDescent="0.25">
      <c r="A99" s="28" t="str">
        <f>IF(H99&lt;&gt;"",MAX($A$7:A98)+1,"")</f>
        <v/>
      </c>
      <c r="B99" s="243" t="str">
        <f t="shared" si="4"/>
        <v/>
      </c>
      <c r="C99" s="158" t="str">
        <f t="shared" si="5"/>
        <v/>
      </c>
      <c r="D99" s="246"/>
      <c r="E99" s="247"/>
      <c r="F99" s="258"/>
      <c r="G99" s="248"/>
      <c r="H99" s="241"/>
      <c r="I99" s="259"/>
      <c r="J99" s="260"/>
      <c r="K99" s="260"/>
      <c r="L99" s="261"/>
      <c r="M99" s="262"/>
      <c r="N99" s="262"/>
      <c r="O99" s="261"/>
      <c r="P99" s="262"/>
      <c r="Q99" s="262"/>
      <c r="R99" s="263"/>
      <c r="S99" s="264"/>
      <c r="T99" s="264"/>
      <c r="U99" s="265"/>
      <c r="V99" s="266"/>
      <c r="W99" s="266"/>
      <c r="X99" s="267"/>
      <c r="Y99" s="268"/>
      <c r="Z99" s="268"/>
      <c r="AA99" s="259"/>
      <c r="AB99" s="260"/>
      <c r="AC99" s="260"/>
      <c r="AD99" s="261"/>
      <c r="AE99" s="262"/>
      <c r="AF99" s="262"/>
      <c r="AG99" s="269"/>
      <c r="AH99" s="270"/>
      <c r="AI99" s="271"/>
      <c r="AJ99" s="272"/>
    </row>
    <row r="100" spans="1:36" s="92" customFormat="1" x14ac:dyDescent="0.25">
      <c r="A100" s="28" t="str">
        <f>IF(H100&lt;&gt;"",MAX($A$7:A99)+1,"")</f>
        <v/>
      </c>
      <c r="B100" s="243" t="str">
        <f t="shared" si="4"/>
        <v/>
      </c>
      <c r="C100" s="158" t="str">
        <f t="shared" si="5"/>
        <v/>
      </c>
      <c r="D100" s="246"/>
      <c r="E100" s="247"/>
      <c r="F100" s="258"/>
      <c r="G100" s="248"/>
      <c r="H100" s="241"/>
      <c r="I100" s="259"/>
      <c r="J100" s="260"/>
      <c r="K100" s="260"/>
      <c r="L100" s="261"/>
      <c r="M100" s="262"/>
      <c r="N100" s="262"/>
      <c r="O100" s="261"/>
      <c r="P100" s="262"/>
      <c r="Q100" s="262"/>
      <c r="R100" s="263"/>
      <c r="S100" s="264"/>
      <c r="T100" s="264"/>
      <c r="U100" s="265"/>
      <c r="V100" s="266"/>
      <c r="W100" s="266"/>
      <c r="X100" s="267"/>
      <c r="Y100" s="268"/>
      <c r="Z100" s="268"/>
      <c r="AA100" s="259"/>
      <c r="AB100" s="260"/>
      <c r="AC100" s="260"/>
      <c r="AD100" s="261"/>
      <c r="AE100" s="262"/>
      <c r="AF100" s="262"/>
      <c r="AG100" s="269"/>
      <c r="AH100" s="270"/>
      <c r="AI100" s="271"/>
      <c r="AJ100" s="272"/>
    </row>
    <row r="101" spans="1:36" s="92" customFormat="1" x14ac:dyDescent="0.25">
      <c r="A101" s="28" t="str">
        <f>IF(H101&lt;&gt;"",MAX($A$7:A100)+1,"")</f>
        <v/>
      </c>
      <c r="B101" s="243" t="str">
        <f t="shared" si="4"/>
        <v/>
      </c>
      <c r="C101" s="158" t="str">
        <f t="shared" si="5"/>
        <v/>
      </c>
      <c r="D101" s="246"/>
      <c r="E101" s="247"/>
      <c r="F101" s="258"/>
      <c r="G101" s="248"/>
      <c r="H101" s="241"/>
      <c r="I101" s="259"/>
      <c r="J101" s="260"/>
      <c r="K101" s="260"/>
      <c r="L101" s="261"/>
      <c r="M101" s="262"/>
      <c r="N101" s="262"/>
      <c r="O101" s="261"/>
      <c r="P101" s="262"/>
      <c r="Q101" s="262"/>
      <c r="R101" s="263"/>
      <c r="S101" s="264"/>
      <c r="T101" s="264"/>
      <c r="U101" s="265"/>
      <c r="V101" s="266"/>
      <c r="W101" s="266"/>
      <c r="X101" s="267"/>
      <c r="Y101" s="268"/>
      <c r="Z101" s="268"/>
      <c r="AA101" s="259"/>
      <c r="AB101" s="260"/>
      <c r="AC101" s="260"/>
      <c r="AD101" s="261"/>
      <c r="AE101" s="262"/>
      <c r="AF101" s="262"/>
      <c r="AG101" s="269"/>
      <c r="AH101" s="270"/>
      <c r="AI101" s="271"/>
      <c r="AJ101" s="272"/>
    </row>
    <row r="102" spans="1:36" s="92" customFormat="1" x14ac:dyDescent="0.25">
      <c r="A102" s="28" t="str">
        <f>IF(H102&lt;&gt;"",MAX($A$7:A101)+1,"")</f>
        <v/>
      </c>
      <c r="B102" s="243" t="str">
        <f t="shared" si="4"/>
        <v/>
      </c>
      <c r="C102" s="158" t="str">
        <f t="shared" si="5"/>
        <v/>
      </c>
      <c r="D102" s="246"/>
      <c r="E102" s="247"/>
      <c r="F102" s="258"/>
      <c r="G102" s="248"/>
      <c r="H102" s="241"/>
      <c r="I102" s="259"/>
      <c r="J102" s="260"/>
      <c r="K102" s="260"/>
      <c r="L102" s="261"/>
      <c r="M102" s="262"/>
      <c r="N102" s="262"/>
      <c r="O102" s="261"/>
      <c r="P102" s="262"/>
      <c r="Q102" s="262"/>
      <c r="R102" s="263"/>
      <c r="S102" s="264"/>
      <c r="T102" s="264"/>
      <c r="U102" s="265"/>
      <c r="V102" s="266"/>
      <c r="W102" s="266"/>
      <c r="X102" s="267"/>
      <c r="Y102" s="268"/>
      <c r="Z102" s="268"/>
      <c r="AA102" s="259"/>
      <c r="AB102" s="260"/>
      <c r="AC102" s="260"/>
      <c r="AD102" s="261"/>
      <c r="AE102" s="262"/>
      <c r="AF102" s="262"/>
      <c r="AG102" s="269"/>
      <c r="AH102" s="270"/>
      <c r="AI102" s="271"/>
      <c r="AJ102" s="272"/>
    </row>
    <row r="103" spans="1:36" s="92" customFormat="1" x14ac:dyDescent="0.25">
      <c r="A103" s="28" t="str">
        <f>IF(H103&lt;&gt;"",MAX($A$7:A102)+1,"")</f>
        <v/>
      </c>
      <c r="B103" s="243" t="str">
        <f t="shared" si="4"/>
        <v/>
      </c>
      <c r="C103" s="158" t="str">
        <f t="shared" si="5"/>
        <v/>
      </c>
      <c r="D103" s="246"/>
      <c r="E103" s="247"/>
      <c r="F103" s="258"/>
      <c r="G103" s="248"/>
      <c r="H103" s="241"/>
      <c r="I103" s="259"/>
      <c r="J103" s="260"/>
      <c r="K103" s="260"/>
      <c r="L103" s="261"/>
      <c r="M103" s="262"/>
      <c r="N103" s="262"/>
      <c r="O103" s="261"/>
      <c r="P103" s="262"/>
      <c r="Q103" s="262"/>
      <c r="R103" s="263"/>
      <c r="S103" s="264"/>
      <c r="T103" s="264"/>
      <c r="U103" s="265"/>
      <c r="V103" s="266"/>
      <c r="W103" s="266"/>
      <c r="X103" s="267"/>
      <c r="Y103" s="268"/>
      <c r="Z103" s="268"/>
      <c r="AA103" s="259"/>
      <c r="AB103" s="260"/>
      <c r="AC103" s="260"/>
      <c r="AD103" s="261"/>
      <c r="AE103" s="262"/>
      <c r="AF103" s="262"/>
      <c r="AG103" s="269"/>
      <c r="AH103" s="270"/>
      <c r="AI103" s="271"/>
      <c r="AJ103" s="272"/>
    </row>
    <row r="104" spans="1:36" s="92" customFormat="1" x14ac:dyDescent="0.25">
      <c r="A104" s="28" t="str">
        <f>IF(H104&lt;&gt;"",MAX($A$7:A103)+1,"")</f>
        <v/>
      </c>
      <c r="B104" s="243" t="str">
        <f t="shared" si="4"/>
        <v/>
      </c>
      <c r="C104" s="158" t="str">
        <f t="shared" si="5"/>
        <v/>
      </c>
      <c r="D104" s="246"/>
      <c r="E104" s="247"/>
      <c r="F104" s="258"/>
      <c r="G104" s="248"/>
      <c r="H104" s="241"/>
      <c r="I104" s="259"/>
      <c r="J104" s="260"/>
      <c r="K104" s="260"/>
      <c r="L104" s="261"/>
      <c r="M104" s="262"/>
      <c r="N104" s="262"/>
      <c r="O104" s="261"/>
      <c r="P104" s="262"/>
      <c r="Q104" s="262"/>
      <c r="R104" s="263"/>
      <c r="S104" s="264"/>
      <c r="T104" s="264"/>
      <c r="U104" s="265"/>
      <c r="V104" s="266"/>
      <c r="W104" s="266"/>
      <c r="X104" s="267"/>
      <c r="Y104" s="268"/>
      <c r="Z104" s="268"/>
      <c r="AA104" s="259"/>
      <c r="AB104" s="260"/>
      <c r="AC104" s="260"/>
      <c r="AD104" s="261"/>
      <c r="AE104" s="262"/>
      <c r="AF104" s="262"/>
      <c r="AG104" s="269"/>
      <c r="AH104" s="270"/>
      <c r="AI104" s="271"/>
      <c r="AJ104" s="272"/>
    </row>
    <row r="105" spans="1:36" s="92" customFormat="1" x14ac:dyDescent="0.25">
      <c r="A105" s="28" t="str">
        <f>IF(H105&lt;&gt;"",MAX($A$7:A104)+1,"")</f>
        <v/>
      </c>
      <c r="B105" s="243" t="str">
        <f t="shared" si="4"/>
        <v/>
      </c>
      <c r="C105" s="158" t="str">
        <f t="shared" si="5"/>
        <v/>
      </c>
      <c r="D105" s="246"/>
      <c r="E105" s="247"/>
      <c r="F105" s="258"/>
      <c r="G105" s="248"/>
      <c r="H105" s="241"/>
      <c r="I105" s="259"/>
      <c r="J105" s="260"/>
      <c r="K105" s="260"/>
      <c r="L105" s="261"/>
      <c r="M105" s="262"/>
      <c r="N105" s="262"/>
      <c r="O105" s="261"/>
      <c r="P105" s="262"/>
      <c r="Q105" s="262"/>
      <c r="R105" s="263"/>
      <c r="S105" s="264"/>
      <c r="T105" s="264"/>
      <c r="U105" s="265"/>
      <c r="V105" s="266"/>
      <c r="W105" s="266"/>
      <c r="X105" s="267"/>
      <c r="Y105" s="268"/>
      <c r="Z105" s="268"/>
      <c r="AA105" s="259"/>
      <c r="AB105" s="260"/>
      <c r="AC105" s="260"/>
      <c r="AD105" s="261"/>
      <c r="AE105" s="262"/>
      <c r="AF105" s="262"/>
      <c r="AG105" s="269"/>
      <c r="AH105" s="270"/>
      <c r="AI105" s="271"/>
      <c r="AJ105" s="272"/>
    </row>
    <row r="106" spans="1:36" s="92" customFormat="1" x14ac:dyDescent="0.25">
      <c r="A106" s="28" t="str">
        <f>IF(H106&lt;&gt;"",MAX($A$7:A105)+1,"")</f>
        <v/>
      </c>
      <c r="B106" s="243" t="str">
        <f t="shared" si="4"/>
        <v/>
      </c>
      <c r="C106" s="158" t="str">
        <f t="shared" si="5"/>
        <v/>
      </c>
      <c r="D106" s="246"/>
      <c r="E106" s="247"/>
      <c r="F106" s="258"/>
      <c r="G106" s="248"/>
      <c r="H106" s="241"/>
      <c r="I106" s="259"/>
      <c r="J106" s="260"/>
      <c r="K106" s="260"/>
      <c r="L106" s="261"/>
      <c r="M106" s="262"/>
      <c r="N106" s="262"/>
      <c r="O106" s="261"/>
      <c r="P106" s="262"/>
      <c r="Q106" s="262"/>
      <c r="R106" s="263"/>
      <c r="S106" s="264"/>
      <c r="T106" s="264"/>
      <c r="U106" s="265"/>
      <c r="V106" s="266"/>
      <c r="W106" s="266"/>
      <c r="X106" s="267"/>
      <c r="Y106" s="268"/>
      <c r="Z106" s="268"/>
      <c r="AA106" s="259"/>
      <c r="AB106" s="260"/>
      <c r="AC106" s="260"/>
      <c r="AD106" s="261"/>
      <c r="AE106" s="262"/>
      <c r="AF106" s="262"/>
      <c r="AG106" s="269"/>
      <c r="AH106" s="270"/>
      <c r="AI106" s="271"/>
      <c r="AJ106" s="272"/>
    </row>
    <row r="107" spans="1:36" s="92" customFormat="1" x14ac:dyDescent="0.25">
      <c r="A107" s="28" t="str">
        <f>IF(H107&lt;&gt;"",MAX($A$7:A106)+1,"")</f>
        <v/>
      </c>
      <c r="B107" s="243" t="str">
        <f t="shared" si="4"/>
        <v/>
      </c>
      <c r="C107" s="158" t="str">
        <f t="shared" si="5"/>
        <v/>
      </c>
      <c r="D107" s="246"/>
      <c r="E107" s="247"/>
      <c r="F107" s="258"/>
      <c r="G107" s="248"/>
      <c r="H107" s="241"/>
      <c r="I107" s="259"/>
      <c r="J107" s="260"/>
      <c r="K107" s="260"/>
      <c r="L107" s="261"/>
      <c r="M107" s="262"/>
      <c r="N107" s="262"/>
      <c r="O107" s="261"/>
      <c r="P107" s="262"/>
      <c r="Q107" s="262"/>
      <c r="R107" s="263"/>
      <c r="S107" s="264"/>
      <c r="T107" s="264"/>
      <c r="U107" s="265"/>
      <c r="V107" s="266"/>
      <c r="W107" s="266"/>
      <c r="X107" s="267"/>
      <c r="Y107" s="268"/>
      <c r="Z107" s="268"/>
      <c r="AA107" s="259"/>
      <c r="AB107" s="260"/>
      <c r="AC107" s="260"/>
      <c r="AD107" s="261"/>
      <c r="AE107" s="262"/>
      <c r="AF107" s="262"/>
      <c r="AG107" s="269"/>
      <c r="AH107" s="270"/>
      <c r="AI107" s="271"/>
      <c r="AJ107" s="272"/>
    </row>
    <row r="108" spans="1:36" s="92" customFormat="1" x14ac:dyDescent="0.25">
      <c r="A108" s="28" t="str">
        <f>IF(H108&lt;&gt;"",MAX($A$7:A107)+1,"")</f>
        <v/>
      </c>
      <c r="B108" s="243" t="str">
        <f t="shared" si="4"/>
        <v/>
      </c>
      <c r="C108" s="158" t="str">
        <f t="shared" si="5"/>
        <v/>
      </c>
      <c r="D108" s="246"/>
      <c r="E108" s="247"/>
      <c r="F108" s="258"/>
      <c r="G108" s="248"/>
      <c r="H108" s="241"/>
      <c r="I108" s="259"/>
      <c r="J108" s="260"/>
      <c r="K108" s="260"/>
      <c r="L108" s="261"/>
      <c r="M108" s="262"/>
      <c r="N108" s="262"/>
      <c r="O108" s="261"/>
      <c r="P108" s="262"/>
      <c r="Q108" s="262"/>
      <c r="R108" s="263"/>
      <c r="S108" s="264"/>
      <c r="T108" s="264"/>
      <c r="U108" s="265"/>
      <c r="V108" s="266"/>
      <c r="W108" s="266"/>
      <c r="X108" s="267"/>
      <c r="Y108" s="268"/>
      <c r="Z108" s="268"/>
      <c r="AA108" s="259"/>
      <c r="AB108" s="260"/>
      <c r="AC108" s="260"/>
      <c r="AD108" s="261"/>
      <c r="AE108" s="262"/>
      <c r="AF108" s="262"/>
      <c r="AG108" s="269"/>
      <c r="AH108" s="270"/>
      <c r="AI108" s="271"/>
      <c r="AJ108" s="272"/>
    </row>
    <row r="109" spans="1:36" s="92" customFormat="1" x14ac:dyDescent="0.25">
      <c r="A109" s="28" t="str">
        <f>IF(H109&lt;&gt;"",MAX($A$7:A108)+1,"")</f>
        <v/>
      </c>
      <c r="B109" s="243" t="str">
        <f t="shared" si="4"/>
        <v/>
      </c>
      <c r="C109" s="158" t="str">
        <f t="shared" si="5"/>
        <v/>
      </c>
      <c r="D109" s="246"/>
      <c r="E109" s="247"/>
      <c r="F109" s="258"/>
      <c r="G109" s="248"/>
      <c r="H109" s="241"/>
      <c r="I109" s="259"/>
      <c r="J109" s="260"/>
      <c r="K109" s="260"/>
      <c r="L109" s="261"/>
      <c r="M109" s="262"/>
      <c r="N109" s="262"/>
      <c r="O109" s="261"/>
      <c r="P109" s="262"/>
      <c r="Q109" s="262"/>
      <c r="R109" s="263"/>
      <c r="S109" s="264"/>
      <c r="T109" s="264"/>
      <c r="U109" s="265"/>
      <c r="V109" s="266"/>
      <c r="W109" s="266"/>
      <c r="X109" s="267"/>
      <c r="Y109" s="268"/>
      <c r="Z109" s="268"/>
      <c r="AA109" s="259"/>
      <c r="AB109" s="260"/>
      <c r="AC109" s="260"/>
      <c r="AD109" s="261"/>
      <c r="AE109" s="262"/>
      <c r="AF109" s="262"/>
      <c r="AG109" s="269"/>
      <c r="AH109" s="270"/>
      <c r="AI109" s="271"/>
      <c r="AJ109" s="272"/>
    </row>
    <row r="110" spans="1:36" s="92" customFormat="1" x14ac:dyDescent="0.25">
      <c r="A110" s="28" t="str">
        <f>IF(H110&lt;&gt;"",MAX($A$7:A109)+1,"")</f>
        <v/>
      </c>
      <c r="B110" s="243" t="str">
        <f t="shared" si="4"/>
        <v/>
      </c>
      <c r="C110" s="158" t="str">
        <f t="shared" si="5"/>
        <v/>
      </c>
      <c r="D110" s="246"/>
      <c r="E110" s="247"/>
      <c r="F110" s="258"/>
      <c r="G110" s="248"/>
      <c r="H110" s="241"/>
      <c r="I110" s="259"/>
      <c r="J110" s="260"/>
      <c r="K110" s="260"/>
      <c r="L110" s="261"/>
      <c r="M110" s="262"/>
      <c r="N110" s="262"/>
      <c r="O110" s="261"/>
      <c r="P110" s="262"/>
      <c r="Q110" s="262"/>
      <c r="R110" s="263"/>
      <c r="S110" s="264"/>
      <c r="T110" s="264"/>
      <c r="U110" s="265"/>
      <c r="V110" s="266"/>
      <c r="W110" s="266"/>
      <c r="X110" s="267"/>
      <c r="Y110" s="268"/>
      <c r="Z110" s="268"/>
      <c r="AA110" s="259"/>
      <c r="AB110" s="260"/>
      <c r="AC110" s="260"/>
      <c r="AD110" s="261"/>
      <c r="AE110" s="262"/>
      <c r="AF110" s="262"/>
      <c r="AG110" s="269"/>
      <c r="AH110" s="270"/>
      <c r="AI110" s="271"/>
      <c r="AJ110" s="272"/>
    </row>
    <row r="111" spans="1:36" s="92" customFormat="1" x14ac:dyDescent="0.25">
      <c r="A111" s="28" t="str">
        <f>IF(H111&lt;&gt;"",MAX($A$7:A110)+1,"")</f>
        <v/>
      </c>
      <c r="B111" s="243" t="str">
        <f t="shared" si="4"/>
        <v/>
      </c>
      <c r="C111" s="158" t="str">
        <f t="shared" si="5"/>
        <v/>
      </c>
      <c r="D111" s="246"/>
      <c r="E111" s="247"/>
      <c r="F111" s="258"/>
      <c r="G111" s="248"/>
      <c r="H111" s="241"/>
      <c r="I111" s="259"/>
      <c r="J111" s="260"/>
      <c r="K111" s="260"/>
      <c r="L111" s="261"/>
      <c r="M111" s="262"/>
      <c r="N111" s="262"/>
      <c r="O111" s="261"/>
      <c r="P111" s="262"/>
      <c r="Q111" s="262"/>
      <c r="R111" s="263"/>
      <c r="S111" s="264"/>
      <c r="T111" s="264"/>
      <c r="U111" s="265"/>
      <c r="V111" s="266"/>
      <c r="W111" s="266"/>
      <c r="X111" s="267"/>
      <c r="Y111" s="268"/>
      <c r="Z111" s="268"/>
      <c r="AA111" s="259"/>
      <c r="AB111" s="260"/>
      <c r="AC111" s="260"/>
      <c r="AD111" s="261"/>
      <c r="AE111" s="262"/>
      <c r="AF111" s="262"/>
      <c r="AG111" s="269"/>
      <c r="AH111" s="270"/>
      <c r="AI111" s="271"/>
      <c r="AJ111" s="272"/>
    </row>
    <row r="112" spans="1:36" s="92" customFormat="1" x14ac:dyDescent="0.25">
      <c r="A112" s="28" t="str">
        <f>IF(H112&lt;&gt;"",MAX($A$7:A111)+1,"")</f>
        <v/>
      </c>
      <c r="B112" s="243" t="str">
        <f t="shared" si="4"/>
        <v/>
      </c>
      <c r="C112" s="158" t="str">
        <f t="shared" si="5"/>
        <v/>
      </c>
      <c r="D112" s="246"/>
      <c r="E112" s="247"/>
      <c r="F112" s="258"/>
      <c r="G112" s="248"/>
      <c r="H112" s="241"/>
      <c r="I112" s="259"/>
      <c r="J112" s="260"/>
      <c r="K112" s="260"/>
      <c r="L112" s="261"/>
      <c r="M112" s="262"/>
      <c r="N112" s="262"/>
      <c r="O112" s="261"/>
      <c r="P112" s="262"/>
      <c r="Q112" s="262"/>
      <c r="R112" s="263"/>
      <c r="S112" s="264"/>
      <c r="T112" s="264"/>
      <c r="U112" s="265"/>
      <c r="V112" s="266"/>
      <c r="W112" s="266"/>
      <c r="X112" s="267"/>
      <c r="Y112" s="268"/>
      <c r="Z112" s="268"/>
      <c r="AA112" s="259"/>
      <c r="AB112" s="260"/>
      <c r="AC112" s="260"/>
      <c r="AD112" s="261"/>
      <c r="AE112" s="262"/>
      <c r="AF112" s="262"/>
      <c r="AG112" s="269"/>
      <c r="AH112" s="270"/>
      <c r="AI112" s="271"/>
      <c r="AJ112" s="272"/>
    </row>
    <row r="113" spans="1:36" s="92" customFormat="1" x14ac:dyDescent="0.25">
      <c r="A113" s="28" t="str">
        <f>IF(H113&lt;&gt;"",MAX($A$7:A112)+1,"")</f>
        <v/>
      </c>
      <c r="B113" s="243" t="str">
        <f t="shared" si="4"/>
        <v/>
      </c>
      <c r="C113" s="158" t="str">
        <f t="shared" si="5"/>
        <v/>
      </c>
      <c r="D113" s="246"/>
      <c r="E113" s="247"/>
      <c r="F113" s="258"/>
      <c r="G113" s="248"/>
      <c r="H113" s="241"/>
      <c r="I113" s="259"/>
      <c r="J113" s="260"/>
      <c r="K113" s="260"/>
      <c r="L113" s="261"/>
      <c r="M113" s="262"/>
      <c r="N113" s="262"/>
      <c r="O113" s="261"/>
      <c r="P113" s="262"/>
      <c r="Q113" s="262"/>
      <c r="R113" s="263"/>
      <c r="S113" s="264"/>
      <c r="T113" s="264"/>
      <c r="U113" s="265"/>
      <c r="V113" s="266"/>
      <c r="W113" s="266"/>
      <c r="X113" s="267"/>
      <c r="Y113" s="268"/>
      <c r="Z113" s="268"/>
      <c r="AA113" s="259"/>
      <c r="AB113" s="260"/>
      <c r="AC113" s="260"/>
      <c r="AD113" s="261"/>
      <c r="AE113" s="262"/>
      <c r="AF113" s="262"/>
      <c r="AG113" s="269"/>
      <c r="AH113" s="270"/>
      <c r="AI113" s="271"/>
      <c r="AJ113" s="272"/>
    </row>
    <row r="114" spans="1:36" s="92" customFormat="1" x14ac:dyDescent="0.25">
      <c r="A114" s="28" t="str">
        <f>IF(H114&lt;&gt;"",MAX($A$7:A113)+1,"")</f>
        <v/>
      </c>
      <c r="B114" s="243" t="str">
        <f t="shared" si="4"/>
        <v/>
      </c>
      <c r="C114" s="158" t="str">
        <f t="shared" si="5"/>
        <v/>
      </c>
      <c r="D114" s="246"/>
      <c r="E114" s="247"/>
      <c r="F114" s="258"/>
      <c r="G114" s="248"/>
      <c r="H114" s="241"/>
      <c r="I114" s="259"/>
      <c r="J114" s="260"/>
      <c r="K114" s="260"/>
      <c r="L114" s="261"/>
      <c r="M114" s="262"/>
      <c r="N114" s="262"/>
      <c r="O114" s="261"/>
      <c r="P114" s="262"/>
      <c r="Q114" s="262"/>
      <c r="R114" s="263"/>
      <c r="S114" s="264"/>
      <c r="T114" s="264"/>
      <c r="U114" s="265"/>
      <c r="V114" s="266"/>
      <c r="W114" s="266"/>
      <c r="X114" s="267"/>
      <c r="Y114" s="268"/>
      <c r="Z114" s="268"/>
      <c r="AA114" s="259"/>
      <c r="AB114" s="260"/>
      <c r="AC114" s="260"/>
      <c r="AD114" s="261"/>
      <c r="AE114" s="262"/>
      <c r="AF114" s="262"/>
      <c r="AG114" s="269"/>
      <c r="AH114" s="270"/>
      <c r="AI114" s="271"/>
      <c r="AJ114" s="272"/>
    </row>
    <row r="115" spans="1:36" s="92" customFormat="1" x14ac:dyDescent="0.25">
      <c r="A115" s="28" t="str">
        <f>IF(H115&lt;&gt;"",MAX($A$7:A114)+1,"")</f>
        <v/>
      </c>
      <c r="B115" s="243" t="str">
        <f t="shared" si="4"/>
        <v/>
      </c>
      <c r="C115" s="158" t="str">
        <f t="shared" si="5"/>
        <v/>
      </c>
      <c r="D115" s="246"/>
      <c r="E115" s="247"/>
      <c r="F115" s="258"/>
      <c r="G115" s="248"/>
      <c r="H115" s="241"/>
      <c r="I115" s="259"/>
      <c r="J115" s="260"/>
      <c r="K115" s="260"/>
      <c r="L115" s="261"/>
      <c r="M115" s="262"/>
      <c r="N115" s="262"/>
      <c r="O115" s="261"/>
      <c r="P115" s="262"/>
      <c r="Q115" s="262"/>
      <c r="R115" s="263"/>
      <c r="S115" s="264"/>
      <c r="T115" s="264"/>
      <c r="U115" s="265"/>
      <c r="V115" s="266"/>
      <c r="W115" s="266"/>
      <c r="X115" s="267"/>
      <c r="Y115" s="268"/>
      <c r="Z115" s="268"/>
      <c r="AA115" s="259"/>
      <c r="AB115" s="260"/>
      <c r="AC115" s="260"/>
      <c r="AD115" s="261"/>
      <c r="AE115" s="262"/>
      <c r="AF115" s="262"/>
      <c r="AG115" s="269"/>
      <c r="AH115" s="270"/>
      <c r="AI115" s="271"/>
      <c r="AJ115" s="272"/>
    </row>
    <row r="116" spans="1:36" s="92" customFormat="1" x14ac:dyDescent="0.25">
      <c r="A116" s="28" t="str">
        <f>IF(H116&lt;&gt;"",MAX($A$7:A115)+1,"")</f>
        <v/>
      </c>
      <c r="B116" s="243" t="str">
        <f t="shared" si="4"/>
        <v/>
      </c>
      <c r="C116" s="158" t="str">
        <f t="shared" si="5"/>
        <v/>
      </c>
      <c r="D116" s="246"/>
      <c r="E116" s="247"/>
      <c r="F116" s="258"/>
      <c r="G116" s="248"/>
      <c r="H116" s="241"/>
      <c r="I116" s="259"/>
      <c r="J116" s="260"/>
      <c r="K116" s="260"/>
      <c r="L116" s="261"/>
      <c r="M116" s="262"/>
      <c r="N116" s="262"/>
      <c r="O116" s="261"/>
      <c r="P116" s="262"/>
      <c r="Q116" s="262"/>
      <c r="R116" s="263"/>
      <c r="S116" s="264"/>
      <c r="T116" s="264"/>
      <c r="U116" s="265"/>
      <c r="V116" s="266"/>
      <c r="W116" s="266"/>
      <c r="X116" s="267"/>
      <c r="Y116" s="268"/>
      <c r="Z116" s="268"/>
      <c r="AA116" s="259"/>
      <c r="AB116" s="260"/>
      <c r="AC116" s="260"/>
      <c r="AD116" s="261"/>
      <c r="AE116" s="262"/>
      <c r="AF116" s="262"/>
      <c r="AG116" s="269"/>
      <c r="AH116" s="270"/>
      <c r="AI116" s="271"/>
      <c r="AJ116" s="272"/>
    </row>
    <row r="117" spans="1:36" s="92" customFormat="1" x14ac:dyDescent="0.25">
      <c r="A117" s="28" t="str">
        <f>IF(H117&lt;&gt;"",MAX($A$7:A116)+1,"")</f>
        <v/>
      </c>
      <c r="B117" s="243" t="str">
        <f t="shared" si="4"/>
        <v/>
      </c>
      <c r="C117" s="158" t="str">
        <f t="shared" si="5"/>
        <v/>
      </c>
      <c r="D117" s="246"/>
      <c r="E117" s="247"/>
      <c r="F117" s="258"/>
      <c r="G117" s="248"/>
      <c r="H117" s="241"/>
      <c r="I117" s="259"/>
      <c r="J117" s="260"/>
      <c r="K117" s="260"/>
      <c r="L117" s="261"/>
      <c r="M117" s="262"/>
      <c r="N117" s="262"/>
      <c r="O117" s="261"/>
      <c r="P117" s="262"/>
      <c r="Q117" s="262"/>
      <c r="R117" s="263"/>
      <c r="S117" s="264"/>
      <c r="T117" s="264"/>
      <c r="U117" s="265"/>
      <c r="V117" s="266"/>
      <c r="W117" s="266"/>
      <c r="X117" s="267"/>
      <c r="Y117" s="268"/>
      <c r="Z117" s="268"/>
      <c r="AA117" s="259"/>
      <c r="AB117" s="260"/>
      <c r="AC117" s="260"/>
      <c r="AD117" s="261"/>
      <c r="AE117" s="262"/>
      <c r="AF117" s="262"/>
      <c r="AG117" s="269"/>
      <c r="AH117" s="270"/>
      <c r="AI117" s="271"/>
      <c r="AJ117" s="272"/>
    </row>
    <row r="118" spans="1:36" s="92" customFormat="1" x14ac:dyDescent="0.25">
      <c r="A118" s="28" t="str">
        <f>IF(H118&lt;&gt;"",MAX($A$7:A117)+1,"")</f>
        <v/>
      </c>
      <c r="B118" s="243" t="str">
        <f t="shared" si="4"/>
        <v/>
      </c>
      <c r="C118" s="158" t="str">
        <f t="shared" si="5"/>
        <v/>
      </c>
      <c r="D118" s="246"/>
      <c r="E118" s="247"/>
      <c r="F118" s="258"/>
      <c r="G118" s="248"/>
      <c r="H118" s="241"/>
      <c r="I118" s="259"/>
      <c r="J118" s="260"/>
      <c r="K118" s="260"/>
      <c r="L118" s="261"/>
      <c r="M118" s="262"/>
      <c r="N118" s="262"/>
      <c r="O118" s="261"/>
      <c r="P118" s="262"/>
      <c r="Q118" s="262"/>
      <c r="R118" s="263"/>
      <c r="S118" s="264"/>
      <c r="T118" s="264"/>
      <c r="U118" s="265"/>
      <c r="V118" s="266"/>
      <c r="W118" s="266"/>
      <c r="X118" s="267"/>
      <c r="Y118" s="268"/>
      <c r="Z118" s="268"/>
      <c r="AA118" s="259"/>
      <c r="AB118" s="260"/>
      <c r="AC118" s="260"/>
      <c r="AD118" s="261"/>
      <c r="AE118" s="262"/>
      <c r="AF118" s="262"/>
      <c r="AG118" s="269"/>
      <c r="AH118" s="270"/>
      <c r="AI118" s="271"/>
      <c r="AJ118" s="272"/>
    </row>
    <row r="119" spans="1:36" s="92" customFormat="1" x14ac:dyDescent="0.25">
      <c r="A119" s="28" t="str">
        <f>IF(H119&lt;&gt;"",MAX($A$7:A118)+1,"")</f>
        <v/>
      </c>
      <c r="B119" s="243" t="str">
        <f t="shared" si="4"/>
        <v/>
      </c>
      <c r="C119" s="158" t="str">
        <f t="shared" si="5"/>
        <v/>
      </c>
      <c r="D119" s="246"/>
      <c r="E119" s="247"/>
      <c r="F119" s="258"/>
      <c r="G119" s="248"/>
      <c r="H119" s="241"/>
      <c r="I119" s="259"/>
      <c r="J119" s="260"/>
      <c r="K119" s="260"/>
      <c r="L119" s="261"/>
      <c r="M119" s="262"/>
      <c r="N119" s="262"/>
      <c r="O119" s="261"/>
      <c r="P119" s="262"/>
      <c r="Q119" s="262"/>
      <c r="R119" s="263"/>
      <c r="S119" s="264"/>
      <c r="T119" s="264"/>
      <c r="U119" s="265"/>
      <c r="V119" s="266"/>
      <c r="W119" s="266"/>
      <c r="X119" s="267"/>
      <c r="Y119" s="268"/>
      <c r="Z119" s="268"/>
      <c r="AA119" s="259"/>
      <c r="AB119" s="260"/>
      <c r="AC119" s="260"/>
      <c r="AD119" s="261"/>
      <c r="AE119" s="262"/>
      <c r="AF119" s="262"/>
      <c r="AG119" s="269"/>
      <c r="AH119" s="270"/>
      <c r="AI119" s="271"/>
      <c r="AJ119" s="272"/>
    </row>
    <row r="120" spans="1:36" s="92" customFormat="1" x14ac:dyDescent="0.25">
      <c r="A120" s="28" t="str">
        <f>IF(H120&lt;&gt;"",MAX($A$7:A119)+1,"")</f>
        <v/>
      </c>
      <c r="B120" s="243" t="str">
        <f t="shared" si="4"/>
        <v/>
      </c>
      <c r="C120" s="158" t="str">
        <f t="shared" si="5"/>
        <v/>
      </c>
      <c r="D120" s="246"/>
      <c r="E120" s="247"/>
      <c r="F120" s="258"/>
      <c r="G120" s="248"/>
      <c r="H120" s="241"/>
      <c r="I120" s="259"/>
      <c r="J120" s="260"/>
      <c r="K120" s="260"/>
      <c r="L120" s="261"/>
      <c r="M120" s="262"/>
      <c r="N120" s="262"/>
      <c r="O120" s="261"/>
      <c r="P120" s="262"/>
      <c r="Q120" s="262"/>
      <c r="R120" s="263"/>
      <c r="S120" s="264"/>
      <c r="T120" s="264"/>
      <c r="U120" s="265"/>
      <c r="V120" s="266"/>
      <c r="W120" s="266"/>
      <c r="X120" s="267"/>
      <c r="Y120" s="268"/>
      <c r="Z120" s="268"/>
      <c r="AA120" s="259"/>
      <c r="AB120" s="260"/>
      <c r="AC120" s="260"/>
      <c r="AD120" s="261"/>
      <c r="AE120" s="262"/>
      <c r="AF120" s="262"/>
      <c r="AG120" s="269"/>
      <c r="AH120" s="270"/>
      <c r="AI120" s="271"/>
      <c r="AJ120" s="272"/>
    </row>
    <row r="121" spans="1:36" s="92" customFormat="1" x14ac:dyDescent="0.25">
      <c r="A121" s="28" t="str">
        <f>IF(H121&lt;&gt;"",MAX($A$7:A120)+1,"")</f>
        <v/>
      </c>
      <c r="B121" s="243" t="str">
        <f t="shared" si="4"/>
        <v/>
      </c>
      <c r="C121" s="158" t="str">
        <f t="shared" si="5"/>
        <v/>
      </c>
      <c r="D121" s="246"/>
      <c r="E121" s="247"/>
      <c r="F121" s="258"/>
      <c r="G121" s="248"/>
      <c r="H121" s="241"/>
      <c r="I121" s="259"/>
      <c r="J121" s="260"/>
      <c r="K121" s="260"/>
      <c r="L121" s="261"/>
      <c r="M121" s="262"/>
      <c r="N121" s="262"/>
      <c r="O121" s="261"/>
      <c r="P121" s="262"/>
      <c r="Q121" s="262"/>
      <c r="R121" s="263"/>
      <c r="S121" s="264"/>
      <c r="T121" s="264"/>
      <c r="U121" s="265"/>
      <c r="V121" s="266"/>
      <c r="W121" s="266"/>
      <c r="X121" s="267"/>
      <c r="Y121" s="268"/>
      <c r="Z121" s="268"/>
      <c r="AA121" s="259"/>
      <c r="AB121" s="260"/>
      <c r="AC121" s="260"/>
      <c r="AD121" s="261"/>
      <c r="AE121" s="262"/>
      <c r="AF121" s="262"/>
      <c r="AG121" s="269"/>
      <c r="AH121" s="270"/>
      <c r="AI121" s="271"/>
      <c r="AJ121" s="272"/>
    </row>
    <row r="122" spans="1:36" s="92" customFormat="1" x14ac:dyDescent="0.25">
      <c r="A122" s="28" t="str">
        <f>IF(H122&lt;&gt;"",MAX($A$7:A121)+1,"")</f>
        <v/>
      </c>
      <c r="B122" s="243" t="str">
        <f t="shared" si="4"/>
        <v/>
      </c>
      <c r="C122" s="158" t="str">
        <f t="shared" si="5"/>
        <v/>
      </c>
      <c r="D122" s="246"/>
      <c r="E122" s="247"/>
      <c r="F122" s="258"/>
      <c r="G122" s="248"/>
      <c r="H122" s="241"/>
      <c r="I122" s="259"/>
      <c r="J122" s="260"/>
      <c r="K122" s="260"/>
      <c r="L122" s="261"/>
      <c r="M122" s="262"/>
      <c r="N122" s="262"/>
      <c r="O122" s="261"/>
      <c r="P122" s="262"/>
      <c r="Q122" s="262"/>
      <c r="R122" s="263"/>
      <c r="S122" s="264"/>
      <c r="T122" s="264"/>
      <c r="U122" s="265"/>
      <c r="V122" s="266"/>
      <c r="W122" s="266"/>
      <c r="X122" s="267"/>
      <c r="Y122" s="268"/>
      <c r="Z122" s="268"/>
      <c r="AA122" s="259"/>
      <c r="AB122" s="260"/>
      <c r="AC122" s="260"/>
      <c r="AD122" s="261"/>
      <c r="AE122" s="262"/>
      <c r="AF122" s="262"/>
      <c r="AG122" s="269"/>
      <c r="AH122" s="270"/>
      <c r="AI122" s="271"/>
      <c r="AJ122" s="272"/>
    </row>
    <row r="123" spans="1:36" s="92" customFormat="1" x14ac:dyDescent="0.25">
      <c r="A123" s="28" t="str">
        <f>IF(H123&lt;&gt;"",MAX($A$7:A122)+1,"")</f>
        <v/>
      </c>
      <c r="B123" s="243" t="str">
        <f t="shared" si="4"/>
        <v/>
      </c>
      <c r="C123" s="158" t="str">
        <f t="shared" si="5"/>
        <v/>
      </c>
      <c r="D123" s="246"/>
      <c r="E123" s="247"/>
      <c r="F123" s="258"/>
      <c r="G123" s="248"/>
      <c r="H123" s="241"/>
      <c r="I123" s="259"/>
      <c r="J123" s="260"/>
      <c r="K123" s="260"/>
      <c r="L123" s="261"/>
      <c r="M123" s="262"/>
      <c r="N123" s="262"/>
      <c r="O123" s="261"/>
      <c r="P123" s="262"/>
      <c r="Q123" s="262"/>
      <c r="R123" s="263"/>
      <c r="S123" s="264"/>
      <c r="T123" s="264"/>
      <c r="U123" s="265"/>
      <c r="V123" s="266"/>
      <c r="W123" s="266"/>
      <c r="X123" s="267"/>
      <c r="Y123" s="268"/>
      <c r="Z123" s="268"/>
      <c r="AA123" s="259"/>
      <c r="AB123" s="260"/>
      <c r="AC123" s="260"/>
      <c r="AD123" s="261"/>
      <c r="AE123" s="262"/>
      <c r="AF123" s="262"/>
      <c r="AG123" s="269"/>
      <c r="AH123" s="270"/>
      <c r="AI123" s="271"/>
      <c r="AJ123" s="272"/>
    </row>
    <row r="124" spans="1:36" s="92" customFormat="1" x14ac:dyDescent="0.25">
      <c r="A124" s="28" t="str">
        <f>IF(H124&lt;&gt;"",MAX($A$7:A123)+1,"")</f>
        <v/>
      </c>
      <c r="B124" s="243" t="str">
        <f t="shared" si="4"/>
        <v/>
      </c>
      <c r="C124" s="158" t="str">
        <f t="shared" si="5"/>
        <v/>
      </c>
      <c r="D124" s="246"/>
      <c r="E124" s="247"/>
      <c r="F124" s="258"/>
      <c r="G124" s="248"/>
      <c r="H124" s="241"/>
      <c r="I124" s="259"/>
      <c r="J124" s="260"/>
      <c r="K124" s="260"/>
      <c r="L124" s="261"/>
      <c r="M124" s="262"/>
      <c r="N124" s="262"/>
      <c r="O124" s="261"/>
      <c r="P124" s="262"/>
      <c r="Q124" s="262"/>
      <c r="R124" s="263"/>
      <c r="S124" s="264"/>
      <c r="T124" s="264"/>
      <c r="U124" s="265"/>
      <c r="V124" s="266"/>
      <c r="W124" s="266"/>
      <c r="X124" s="267"/>
      <c r="Y124" s="268"/>
      <c r="Z124" s="268"/>
      <c r="AA124" s="259"/>
      <c r="AB124" s="260"/>
      <c r="AC124" s="260"/>
      <c r="AD124" s="261"/>
      <c r="AE124" s="262"/>
      <c r="AF124" s="262"/>
      <c r="AG124" s="269"/>
      <c r="AH124" s="270"/>
      <c r="AI124" s="271"/>
      <c r="AJ124" s="272"/>
    </row>
    <row r="125" spans="1:36" s="92" customFormat="1" x14ac:dyDescent="0.25">
      <c r="A125" s="28" t="str">
        <f>IF(H125&lt;&gt;"",MAX($A$7:A124)+1,"")</f>
        <v/>
      </c>
      <c r="B125" s="243" t="str">
        <f t="shared" si="4"/>
        <v/>
      </c>
      <c r="C125" s="158" t="str">
        <f t="shared" si="5"/>
        <v/>
      </c>
      <c r="D125" s="246"/>
      <c r="E125" s="247"/>
      <c r="F125" s="258"/>
      <c r="G125" s="248"/>
      <c r="H125" s="241"/>
      <c r="I125" s="259"/>
      <c r="J125" s="260"/>
      <c r="K125" s="260"/>
      <c r="L125" s="261"/>
      <c r="M125" s="262"/>
      <c r="N125" s="262"/>
      <c r="O125" s="261"/>
      <c r="P125" s="262"/>
      <c r="Q125" s="262"/>
      <c r="R125" s="263"/>
      <c r="S125" s="264"/>
      <c r="T125" s="264"/>
      <c r="U125" s="265"/>
      <c r="V125" s="266"/>
      <c r="W125" s="266"/>
      <c r="X125" s="267"/>
      <c r="Y125" s="268"/>
      <c r="Z125" s="268"/>
      <c r="AA125" s="259"/>
      <c r="AB125" s="260"/>
      <c r="AC125" s="260"/>
      <c r="AD125" s="261"/>
      <c r="AE125" s="262"/>
      <c r="AF125" s="262"/>
      <c r="AG125" s="269"/>
      <c r="AH125" s="270"/>
      <c r="AI125" s="271"/>
      <c r="AJ125" s="272"/>
    </row>
    <row r="126" spans="1:36" s="92" customFormat="1" x14ac:dyDescent="0.25">
      <c r="A126" s="28" t="str">
        <f>IF(H126&lt;&gt;"",MAX($A$7:A125)+1,"")</f>
        <v/>
      </c>
      <c r="B126" s="243" t="str">
        <f t="shared" si="4"/>
        <v/>
      </c>
      <c r="C126" s="158" t="str">
        <f t="shared" si="5"/>
        <v/>
      </c>
      <c r="D126" s="246"/>
      <c r="E126" s="247"/>
      <c r="F126" s="258"/>
      <c r="G126" s="248"/>
      <c r="H126" s="241"/>
      <c r="I126" s="259"/>
      <c r="J126" s="260"/>
      <c r="K126" s="260"/>
      <c r="L126" s="261"/>
      <c r="M126" s="262"/>
      <c r="N126" s="262"/>
      <c r="O126" s="261"/>
      <c r="P126" s="262"/>
      <c r="Q126" s="262"/>
      <c r="R126" s="263"/>
      <c r="S126" s="264"/>
      <c r="T126" s="264"/>
      <c r="U126" s="265"/>
      <c r="V126" s="266"/>
      <c r="W126" s="266"/>
      <c r="X126" s="267"/>
      <c r="Y126" s="268"/>
      <c r="Z126" s="268"/>
      <c r="AA126" s="259"/>
      <c r="AB126" s="260"/>
      <c r="AC126" s="260"/>
      <c r="AD126" s="261"/>
      <c r="AE126" s="262"/>
      <c r="AF126" s="262"/>
      <c r="AG126" s="269"/>
      <c r="AH126" s="270"/>
      <c r="AI126" s="271"/>
      <c r="AJ126" s="272"/>
    </row>
    <row r="127" spans="1:36" s="92" customFormat="1" x14ac:dyDescent="0.25">
      <c r="A127" s="28" t="str">
        <f>IF(H127&lt;&gt;"",MAX($A$7:A126)+1,"")</f>
        <v/>
      </c>
      <c r="B127" s="243" t="str">
        <f t="shared" si="4"/>
        <v/>
      </c>
      <c r="C127" s="158" t="str">
        <f t="shared" si="5"/>
        <v/>
      </c>
      <c r="D127" s="246"/>
      <c r="E127" s="247"/>
      <c r="F127" s="258"/>
      <c r="G127" s="248"/>
      <c r="H127" s="241"/>
      <c r="I127" s="259"/>
      <c r="J127" s="260"/>
      <c r="K127" s="260"/>
      <c r="L127" s="261"/>
      <c r="M127" s="262"/>
      <c r="N127" s="262"/>
      <c r="O127" s="261"/>
      <c r="P127" s="262"/>
      <c r="Q127" s="262"/>
      <c r="R127" s="263"/>
      <c r="S127" s="264"/>
      <c r="T127" s="264"/>
      <c r="U127" s="265"/>
      <c r="V127" s="266"/>
      <c r="W127" s="266"/>
      <c r="X127" s="267"/>
      <c r="Y127" s="268"/>
      <c r="Z127" s="268"/>
      <c r="AA127" s="259"/>
      <c r="AB127" s="260"/>
      <c r="AC127" s="260"/>
      <c r="AD127" s="261"/>
      <c r="AE127" s="262"/>
      <c r="AF127" s="262"/>
      <c r="AG127" s="269"/>
      <c r="AH127" s="270"/>
      <c r="AI127" s="271"/>
      <c r="AJ127" s="272"/>
    </row>
    <row r="128" spans="1:36" s="92" customFormat="1" x14ac:dyDescent="0.25">
      <c r="A128" s="28" t="str">
        <f>IF(H128&lt;&gt;"",MAX($A$7:A127)+1,"")</f>
        <v/>
      </c>
      <c r="B128" s="243" t="str">
        <f t="shared" si="4"/>
        <v/>
      </c>
      <c r="C128" s="158" t="str">
        <f t="shared" si="5"/>
        <v/>
      </c>
      <c r="D128" s="246"/>
      <c r="E128" s="247"/>
      <c r="F128" s="258"/>
      <c r="G128" s="248"/>
      <c r="H128" s="241"/>
      <c r="I128" s="259"/>
      <c r="J128" s="260"/>
      <c r="K128" s="260"/>
      <c r="L128" s="261"/>
      <c r="M128" s="262"/>
      <c r="N128" s="262"/>
      <c r="O128" s="261"/>
      <c r="P128" s="262"/>
      <c r="Q128" s="262"/>
      <c r="R128" s="263"/>
      <c r="S128" s="264"/>
      <c r="T128" s="264"/>
      <c r="U128" s="265"/>
      <c r="V128" s="266"/>
      <c r="W128" s="266"/>
      <c r="X128" s="267"/>
      <c r="Y128" s="268"/>
      <c r="Z128" s="268"/>
      <c r="AA128" s="259"/>
      <c r="AB128" s="260"/>
      <c r="AC128" s="260"/>
      <c r="AD128" s="261"/>
      <c r="AE128" s="262"/>
      <c r="AF128" s="262"/>
      <c r="AG128" s="269"/>
      <c r="AH128" s="270"/>
      <c r="AI128" s="271"/>
      <c r="AJ128" s="272"/>
    </row>
    <row r="129" spans="1:36" s="92" customFormat="1" x14ac:dyDescent="0.25">
      <c r="A129" s="28" t="str">
        <f>IF(H129&lt;&gt;"",MAX($A$7:A128)+1,"")</f>
        <v/>
      </c>
      <c r="B129" s="243" t="str">
        <f t="shared" si="4"/>
        <v/>
      </c>
      <c r="C129" s="158" t="str">
        <f t="shared" si="5"/>
        <v/>
      </c>
      <c r="D129" s="246"/>
      <c r="E129" s="247"/>
      <c r="F129" s="258"/>
      <c r="G129" s="248"/>
      <c r="H129" s="241"/>
      <c r="I129" s="259"/>
      <c r="J129" s="260"/>
      <c r="K129" s="260"/>
      <c r="L129" s="261"/>
      <c r="M129" s="262"/>
      <c r="N129" s="262"/>
      <c r="O129" s="261"/>
      <c r="P129" s="262"/>
      <c r="Q129" s="262"/>
      <c r="R129" s="263"/>
      <c r="S129" s="264"/>
      <c r="T129" s="264"/>
      <c r="U129" s="265"/>
      <c r="V129" s="266"/>
      <c r="W129" s="266"/>
      <c r="X129" s="267"/>
      <c r="Y129" s="268"/>
      <c r="Z129" s="268"/>
      <c r="AA129" s="259"/>
      <c r="AB129" s="260"/>
      <c r="AC129" s="260"/>
      <c r="AD129" s="261"/>
      <c r="AE129" s="262"/>
      <c r="AF129" s="262"/>
      <c r="AG129" s="269"/>
      <c r="AH129" s="270"/>
      <c r="AI129" s="271"/>
      <c r="AJ129" s="272"/>
    </row>
    <row r="130" spans="1:36" s="92" customFormat="1" x14ac:dyDescent="0.25">
      <c r="A130" s="28" t="str">
        <f>IF(H130&lt;&gt;"",MAX($A$7:A129)+1,"")</f>
        <v/>
      </c>
      <c r="B130" s="243" t="str">
        <f t="shared" si="4"/>
        <v/>
      </c>
      <c r="C130" s="158" t="str">
        <f t="shared" si="5"/>
        <v/>
      </c>
      <c r="D130" s="246"/>
      <c r="E130" s="247"/>
      <c r="F130" s="258"/>
      <c r="G130" s="248"/>
      <c r="H130" s="241"/>
      <c r="I130" s="259"/>
      <c r="J130" s="260"/>
      <c r="K130" s="260"/>
      <c r="L130" s="261"/>
      <c r="M130" s="262"/>
      <c r="N130" s="262"/>
      <c r="O130" s="261"/>
      <c r="P130" s="262"/>
      <c r="Q130" s="262"/>
      <c r="R130" s="263"/>
      <c r="S130" s="264"/>
      <c r="T130" s="264"/>
      <c r="U130" s="265"/>
      <c r="V130" s="266"/>
      <c r="W130" s="266"/>
      <c r="X130" s="267"/>
      <c r="Y130" s="268"/>
      <c r="Z130" s="268"/>
      <c r="AA130" s="259"/>
      <c r="AB130" s="260"/>
      <c r="AC130" s="260"/>
      <c r="AD130" s="261"/>
      <c r="AE130" s="262"/>
      <c r="AF130" s="262"/>
      <c r="AG130" s="269"/>
      <c r="AH130" s="270"/>
      <c r="AI130" s="271"/>
      <c r="AJ130" s="272"/>
    </row>
    <row r="131" spans="1:36" s="92" customFormat="1" x14ac:dyDescent="0.25">
      <c r="A131" s="28" t="str">
        <f>IF(H131&lt;&gt;"",MAX($A$7:A130)+1,"")</f>
        <v/>
      </c>
      <c r="B131" s="243" t="str">
        <f t="shared" si="4"/>
        <v/>
      </c>
      <c r="C131" s="158" t="str">
        <f t="shared" si="5"/>
        <v/>
      </c>
      <c r="D131" s="246"/>
      <c r="E131" s="247"/>
      <c r="F131" s="258"/>
      <c r="G131" s="248"/>
      <c r="H131" s="241"/>
      <c r="I131" s="259"/>
      <c r="J131" s="260"/>
      <c r="K131" s="260"/>
      <c r="L131" s="261"/>
      <c r="M131" s="262"/>
      <c r="N131" s="262"/>
      <c r="O131" s="261"/>
      <c r="P131" s="262"/>
      <c r="Q131" s="262"/>
      <c r="R131" s="263"/>
      <c r="S131" s="264"/>
      <c r="T131" s="264"/>
      <c r="U131" s="265"/>
      <c r="V131" s="266"/>
      <c r="W131" s="266"/>
      <c r="X131" s="267"/>
      <c r="Y131" s="268"/>
      <c r="Z131" s="268"/>
      <c r="AA131" s="259"/>
      <c r="AB131" s="260"/>
      <c r="AC131" s="260"/>
      <c r="AD131" s="261"/>
      <c r="AE131" s="262"/>
      <c r="AF131" s="262"/>
      <c r="AG131" s="269"/>
      <c r="AH131" s="270"/>
      <c r="AI131" s="271"/>
      <c r="AJ131" s="272"/>
    </row>
    <row r="132" spans="1:36" s="92" customFormat="1" x14ac:dyDescent="0.25">
      <c r="A132" s="28" t="str">
        <f>IF(H132&lt;&gt;"",MAX($A$7:A131)+1,"")</f>
        <v/>
      </c>
      <c r="B132" s="243" t="str">
        <f t="shared" si="4"/>
        <v/>
      </c>
      <c r="C132" s="158" t="str">
        <f t="shared" si="5"/>
        <v/>
      </c>
      <c r="D132" s="246"/>
      <c r="E132" s="247"/>
      <c r="F132" s="258"/>
      <c r="G132" s="248"/>
      <c r="H132" s="241"/>
      <c r="I132" s="259"/>
      <c r="J132" s="260"/>
      <c r="K132" s="260"/>
      <c r="L132" s="261"/>
      <c r="M132" s="262"/>
      <c r="N132" s="262"/>
      <c r="O132" s="261"/>
      <c r="P132" s="262"/>
      <c r="Q132" s="262"/>
      <c r="R132" s="263"/>
      <c r="S132" s="264"/>
      <c r="T132" s="264"/>
      <c r="U132" s="265"/>
      <c r="V132" s="266"/>
      <c r="W132" s="266"/>
      <c r="X132" s="267"/>
      <c r="Y132" s="268"/>
      <c r="Z132" s="268"/>
      <c r="AA132" s="259"/>
      <c r="AB132" s="260"/>
      <c r="AC132" s="260"/>
      <c r="AD132" s="261"/>
      <c r="AE132" s="262"/>
      <c r="AF132" s="262"/>
      <c r="AG132" s="269"/>
      <c r="AH132" s="270"/>
      <c r="AI132" s="271"/>
      <c r="AJ132" s="272"/>
    </row>
    <row r="133" spans="1:36" s="92" customFormat="1" x14ac:dyDescent="0.25">
      <c r="A133" s="28" t="str">
        <f>IF(H133&lt;&gt;"",MAX($A$7:A132)+1,"")</f>
        <v/>
      </c>
      <c r="B133" s="243" t="str">
        <f t="shared" si="4"/>
        <v/>
      </c>
      <c r="C133" s="158" t="str">
        <f t="shared" si="5"/>
        <v/>
      </c>
      <c r="D133" s="246"/>
      <c r="E133" s="247"/>
      <c r="F133" s="258"/>
      <c r="G133" s="248"/>
      <c r="H133" s="241"/>
      <c r="I133" s="259"/>
      <c r="J133" s="260"/>
      <c r="K133" s="260"/>
      <c r="L133" s="261"/>
      <c r="M133" s="262"/>
      <c r="N133" s="262"/>
      <c r="O133" s="261"/>
      <c r="P133" s="262"/>
      <c r="Q133" s="262"/>
      <c r="R133" s="263"/>
      <c r="S133" s="264"/>
      <c r="T133" s="264"/>
      <c r="U133" s="265"/>
      <c r="V133" s="266"/>
      <c r="W133" s="266"/>
      <c r="X133" s="267"/>
      <c r="Y133" s="268"/>
      <c r="Z133" s="268"/>
      <c r="AA133" s="259"/>
      <c r="AB133" s="260"/>
      <c r="AC133" s="260"/>
      <c r="AD133" s="261"/>
      <c r="AE133" s="262"/>
      <c r="AF133" s="262"/>
      <c r="AG133" s="269"/>
      <c r="AH133" s="270"/>
      <c r="AI133" s="271"/>
      <c r="AJ133" s="272"/>
    </row>
    <row r="134" spans="1:36" s="92" customFormat="1" x14ac:dyDescent="0.25">
      <c r="A134" s="28" t="str">
        <f>IF(H134&lt;&gt;"",MAX($A$7:A133)+1,"")</f>
        <v/>
      </c>
      <c r="B134" s="243" t="str">
        <f t="shared" si="4"/>
        <v/>
      </c>
      <c r="C134" s="158" t="str">
        <f t="shared" si="5"/>
        <v/>
      </c>
      <c r="D134" s="246"/>
      <c r="E134" s="247"/>
      <c r="F134" s="258"/>
      <c r="G134" s="248"/>
      <c r="H134" s="241"/>
      <c r="I134" s="259"/>
      <c r="J134" s="260"/>
      <c r="K134" s="260"/>
      <c r="L134" s="261"/>
      <c r="M134" s="262"/>
      <c r="N134" s="262"/>
      <c r="O134" s="261"/>
      <c r="P134" s="262"/>
      <c r="Q134" s="262"/>
      <c r="R134" s="263"/>
      <c r="S134" s="264"/>
      <c r="T134" s="264"/>
      <c r="U134" s="265"/>
      <c r="V134" s="266"/>
      <c r="W134" s="266"/>
      <c r="X134" s="267"/>
      <c r="Y134" s="268"/>
      <c r="Z134" s="268"/>
      <c r="AA134" s="259"/>
      <c r="AB134" s="260"/>
      <c r="AC134" s="260"/>
      <c r="AD134" s="261"/>
      <c r="AE134" s="262"/>
      <c r="AF134" s="262"/>
      <c r="AG134" s="269"/>
      <c r="AH134" s="270"/>
      <c r="AI134" s="271"/>
      <c r="AJ134" s="272"/>
    </row>
    <row r="135" spans="1:36" s="92" customFormat="1" x14ac:dyDescent="0.25">
      <c r="A135" s="28" t="str">
        <f>IF(H135&lt;&gt;"",MAX($A$7:A134)+1,"")</f>
        <v/>
      </c>
      <c r="B135" s="243" t="str">
        <f t="shared" ref="B135:B198" si="6">IF(A135="","",PREF_PREGUNTA&amp;" - "&amp;IF(MAX($A$7:$A$156)&gt;99,IF(A135&lt;100,"0",""),"")&amp;IF(A135&lt;10,"0","")&amp;A135&amp;IF(G135&lt;&gt;""," "&amp;G135,""))</f>
        <v/>
      </c>
      <c r="C135" s="158" t="str">
        <f t="shared" ref="C135:C198" si="7">IF(COUNTA(I135:N135)-D135=0,"",COUNTA(I135:N135)-D135)</f>
        <v/>
      </c>
      <c r="D135" s="246"/>
      <c r="E135" s="247"/>
      <c r="F135" s="258"/>
      <c r="G135" s="248"/>
      <c r="H135" s="241"/>
      <c r="I135" s="259"/>
      <c r="J135" s="260"/>
      <c r="K135" s="260"/>
      <c r="L135" s="261"/>
      <c r="M135" s="262"/>
      <c r="N135" s="262"/>
      <c r="O135" s="261"/>
      <c r="P135" s="262"/>
      <c r="Q135" s="262"/>
      <c r="R135" s="263"/>
      <c r="S135" s="264"/>
      <c r="T135" s="264"/>
      <c r="U135" s="265"/>
      <c r="V135" s="266"/>
      <c r="W135" s="266"/>
      <c r="X135" s="267"/>
      <c r="Y135" s="268"/>
      <c r="Z135" s="268"/>
      <c r="AA135" s="259"/>
      <c r="AB135" s="260"/>
      <c r="AC135" s="260"/>
      <c r="AD135" s="261"/>
      <c r="AE135" s="262"/>
      <c r="AF135" s="262"/>
      <c r="AG135" s="269"/>
      <c r="AH135" s="270"/>
      <c r="AI135" s="271"/>
      <c r="AJ135" s="272"/>
    </row>
    <row r="136" spans="1:36" s="92" customFormat="1" x14ac:dyDescent="0.25">
      <c r="A136" s="28" t="str">
        <f>IF(H136&lt;&gt;"",MAX($A$7:A135)+1,"")</f>
        <v/>
      </c>
      <c r="B136" s="243" t="str">
        <f t="shared" si="6"/>
        <v/>
      </c>
      <c r="C136" s="158" t="str">
        <f t="shared" si="7"/>
        <v/>
      </c>
      <c r="D136" s="246"/>
      <c r="E136" s="247"/>
      <c r="F136" s="258"/>
      <c r="G136" s="248"/>
      <c r="H136" s="241"/>
      <c r="I136" s="259"/>
      <c r="J136" s="260"/>
      <c r="K136" s="260"/>
      <c r="L136" s="261"/>
      <c r="M136" s="262"/>
      <c r="N136" s="262"/>
      <c r="O136" s="261"/>
      <c r="P136" s="262"/>
      <c r="Q136" s="262"/>
      <c r="R136" s="263"/>
      <c r="S136" s="264"/>
      <c r="T136" s="264"/>
      <c r="U136" s="265"/>
      <c r="V136" s="266"/>
      <c r="W136" s="266"/>
      <c r="X136" s="267"/>
      <c r="Y136" s="268"/>
      <c r="Z136" s="268"/>
      <c r="AA136" s="259"/>
      <c r="AB136" s="260"/>
      <c r="AC136" s="260"/>
      <c r="AD136" s="261"/>
      <c r="AE136" s="262"/>
      <c r="AF136" s="262"/>
      <c r="AG136" s="269"/>
      <c r="AH136" s="270"/>
      <c r="AI136" s="271"/>
      <c r="AJ136" s="272"/>
    </row>
    <row r="137" spans="1:36" s="92" customFormat="1" x14ac:dyDescent="0.25">
      <c r="A137" s="28" t="str">
        <f>IF(H137&lt;&gt;"",MAX($A$7:A136)+1,"")</f>
        <v/>
      </c>
      <c r="B137" s="243" t="str">
        <f t="shared" si="6"/>
        <v/>
      </c>
      <c r="C137" s="158" t="str">
        <f t="shared" si="7"/>
        <v/>
      </c>
      <c r="D137" s="246"/>
      <c r="E137" s="247"/>
      <c r="F137" s="258"/>
      <c r="G137" s="248"/>
      <c r="H137" s="241"/>
      <c r="I137" s="259"/>
      <c r="J137" s="260"/>
      <c r="K137" s="260"/>
      <c r="L137" s="261"/>
      <c r="M137" s="262"/>
      <c r="N137" s="262"/>
      <c r="O137" s="261"/>
      <c r="P137" s="262"/>
      <c r="Q137" s="262"/>
      <c r="R137" s="263"/>
      <c r="S137" s="264"/>
      <c r="T137" s="264"/>
      <c r="U137" s="265"/>
      <c r="V137" s="266"/>
      <c r="W137" s="266"/>
      <c r="X137" s="267"/>
      <c r="Y137" s="268"/>
      <c r="Z137" s="268"/>
      <c r="AA137" s="259"/>
      <c r="AB137" s="260"/>
      <c r="AC137" s="260"/>
      <c r="AD137" s="261"/>
      <c r="AE137" s="262"/>
      <c r="AF137" s="262"/>
      <c r="AG137" s="269"/>
      <c r="AH137" s="270"/>
      <c r="AI137" s="271"/>
      <c r="AJ137" s="272"/>
    </row>
    <row r="138" spans="1:36" s="92" customFormat="1" x14ac:dyDescent="0.25">
      <c r="A138" s="28" t="str">
        <f>IF(H138&lt;&gt;"",MAX($A$7:A137)+1,"")</f>
        <v/>
      </c>
      <c r="B138" s="243" t="str">
        <f t="shared" si="6"/>
        <v/>
      </c>
      <c r="C138" s="158" t="str">
        <f t="shared" si="7"/>
        <v/>
      </c>
      <c r="D138" s="246"/>
      <c r="E138" s="247"/>
      <c r="F138" s="258"/>
      <c r="G138" s="248"/>
      <c r="H138" s="241"/>
      <c r="I138" s="259"/>
      <c r="J138" s="260"/>
      <c r="K138" s="260"/>
      <c r="L138" s="261"/>
      <c r="M138" s="262"/>
      <c r="N138" s="262"/>
      <c r="O138" s="261"/>
      <c r="P138" s="262"/>
      <c r="Q138" s="262"/>
      <c r="R138" s="263"/>
      <c r="S138" s="264"/>
      <c r="T138" s="264"/>
      <c r="U138" s="265"/>
      <c r="V138" s="266"/>
      <c r="W138" s="266"/>
      <c r="X138" s="267"/>
      <c r="Y138" s="268"/>
      <c r="Z138" s="268"/>
      <c r="AA138" s="259"/>
      <c r="AB138" s="260"/>
      <c r="AC138" s="260"/>
      <c r="AD138" s="261"/>
      <c r="AE138" s="262"/>
      <c r="AF138" s="262"/>
      <c r="AG138" s="269"/>
      <c r="AH138" s="270"/>
      <c r="AI138" s="271"/>
      <c r="AJ138" s="272"/>
    </row>
    <row r="139" spans="1:36" s="92" customFormat="1" x14ac:dyDescent="0.25">
      <c r="A139" s="28" t="str">
        <f>IF(H139&lt;&gt;"",MAX($A$7:A138)+1,"")</f>
        <v/>
      </c>
      <c r="B139" s="243" t="str">
        <f t="shared" si="6"/>
        <v/>
      </c>
      <c r="C139" s="158" t="str">
        <f t="shared" si="7"/>
        <v/>
      </c>
      <c r="D139" s="246"/>
      <c r="E139" s="247"/>
      <c r="F139" s="258"/>
      <c r="G139" s="248"/>
      <c r="H139" s="241"/>
      <c r="I139" s="259"/>
      <c r="J139" s="260"/>
      <c r="K139" s="260"/>
      <c r="L139" s="261"/>
      <c r="M139" s="262"/>
      <c r="N139" s="262"/>
      <c r="O139" s="261"/>
      <c r="P139" s="262"/>
      <c r="Q139" s="262"/>
      <c r="R139" s="263"/>
      <c r="S139" s="264"/>
      <c r="T139" s="264"/>
      <c r="U139" s="265"/>
      <c r="V139" s="266"/>
      <c r="W139" s="266"/>
      <c r="X139" s="267"/>
      <c r="Y139" s="268"/>
      <c r="Z139" s="268"/>
      <c r="AA139" s="259"/>
      <c r="AB139" s="260"/>
      <c r="AC139" s="260"/>
      <c r="AD139" s="261"/>
      <c r="AE139" s="262"/>
      <c r="AF139" s="262"/>
      <c r="AG139" s="269"/>
      <c r="AH139" s="270"/>
      <c r="AI139" s="271"/>
      <c r="AJ139" s="272"/>
    </row>
    <row r="140" spans="1:36" s="92" customFormat="1" x14ac:dyDescent="0.25">
      <c r="A140" s="28" t="str">
        <f>IF(H140&lt;&gt;"",MAX($A$7:A139)+1,"")</f>
        <v/>
      </c>
      <c r="B140" s="243" t="str">
        <f t="shared" si="6"/>
        <v/>
      </c>
      <c r="C140" s="158" t="str">
        <f t="shared" si="7"/>
        <v/>
      </c>
      <c r="D140" s="246"/>
      <c r="E140" s="247"/>
      <c r="F140" s="258"/>
      <c r="G140" s="248"/>
      <c r="H140" s="241"/>
      <c r="I140" s="259"/>
      <c r="J140" s="260"/>
      <c r="K140" s="260"/>
      <c r="L140" s="261"/>
      <c r="M140" s="262"/>
      <c r="N140" s="262"/>
      <c r="O140" s="261"/>
      <c r="P140" s="262"/>
      <c r="Q140" s="262"/>
      <c r="R140" s="263"/>
      <c r="S140" s="264"/>
      <c r="T140" s="264"/>
      <c r="U140" s="265"/>
      <c r="V140" s="266"/>
      <c r="W140" s="266"/>
      <c r="X140" s="267"/>
      <c r="Y140" s="268"/>
      <c r="Z140" s="268"/>
      <c r="AA140" s="259"/>
      <c r="AB140" s="260"/>
      <c r="AC140" s="260"/>
      <c r="AD140" s="261"/>
      <c r="AE140" s="262"/>
      <c r="AF140" s="262"/>
      <c r="AG140" s="269"/>
      <c r="AH140" s="270"/>
      <c r="AI140" s="271"/>
      <c r="AJ140" s="272"/>
    </row>
    <row r="141" spans="1:36" s="92" customFormat="1" x14ac:dyDescent="0.25">
      <c r="A141" s="28" t="str">
        <f>IF(H141&lt;&gt;"",MAX($A$7:A140)+1,"")</f>
        <v/>
      </c>
      <c r="B141" s="243" t="str">
        <f t="shared" si="6"/>
        <v/>
      </c>
      <c r="C141" s="158" t="str">
        <f t="shared" si="7"/>
        <v/>
      </c>
      <c r="D141" s="246"/>
      <c r="E141" s="247"/>
      <c r="F141" s="258"/>
      <c r="G141" s="248"/>
      <c r="H141" s="241"/>
      <c r="I141" s="259"/>
      <c r="J141" s="260"/>
      <c r="K141" s="260"/>
      <c r="L141" s="261"/>
      <c r="M141" s="262"/>
      <c r="N141" s="262"/>
      <c r="O141" s="261"/>
      <c r="P141" s="262"/>
      <c r="Q141" s="262"/>
      <c r="R141" s="263"/>
      <c r="S141" s="264"/>
      <c r="T141" s="264"/>
      <c r="U141" s="265"/>
      <c r="V141" s="266"/>
      <c r="W141" s="266"/>
      <c r="X141" s="267"/>
      <c r="Y141" s="268"/>
      <c r="Z141" s="268"/>
      <c r="AA141" s="259"/>
      <c r="AB141" s="260"/>
      <c r="AC141" s="260"/>
      <c r="AD141" s="261"/>
      <c r="AE141" s="262"/>
      <c r="AF141" s="262"/>
      <c r="AG141" s="269"/>
      <c r="AH141" s="270"/>
      <c r="AI141" s="271"/>
      <c r="AJ141" s="272"/>
    </row>
    <row r="142" spans="1:36" s="92" customFormat="1" x14ac:dyDescent="0.25">
      <c r="A142" s="28" t="str">
        <f>IF(H142&lt;&gt;"",MAX($A$7:A141)+1,"")</f>
        <v/>
      </c>
      <c r="B142" s="243" t="str">
        <f t="shared" si="6"/>
        <v/>
      </c>
      <c r="C142" s="158" t="str">
        <f t="shared" si="7"/>
        <v/>
      </c>
      <c r="D142" s="246"/>
      <c r="E142" s="247"/>
      <c r="F142" s="258"/>
      <c r="G142" s="248"/>
      <c r="H142" s="241"/>
      <c r="I142" s="259"/>
      <c r="J142" s="260"/>
      <c r="K142" s="260"/>
      <c r="L142" s="261"/>
      <c r="M142" s="262"/>
      <c r="N142" s="262"/>
      <c r="O142" s="261"/>
      <c r="P142" s="262"/>
      <c r="Q142" s="262"/>
      <c r="R142" s="263"/>
      <c r="S142" s="264"/>
      <c r="T142" s="264"/>
      <c r="U142" s="265"/>
      <c r="V142" s="266"/>
      <c r="W142" s="266"/>
      <c r="X142" s="267"/>
      <c r="Y142" s="268"/>
      <c r="Z142" s="268"/>
      <c r="AA142" s="259"/>
      <c r="AB142" s="260"/>
      <c r="AC142" s="260"/>
      <c r="AD142" s="261"/>
      <c r="AE142" s="262"/>
      <c r="AF142" s="262"/>
      <c r="AG142" s="269"/>
      <c r="AH142" s="270"/>
      <c r="AI142" s="271"/>
      <c r="AJ142" s="272"/>
    </row>
    <row r="143" spans="1:36" s="92" customFormat="1" x14ac:dyDescent="0.25">
      <c r="A143" s="28" t="str">
        <f>IF(H143&lt;&gt;"",MAX($A$7:A142)+1,"")</f>
        <v/>
      </c>
      <c r="B143" s="243" t="str">
        <f t="shared" si="6"/>
        <v/>
      </c>
      <c r="C143" s="158" t="str">
        <f t="shared" si="7"/>
        <v/>
      </c>
      <c r="D143" s="246"/>
      <c r="E143" s="247"/>
      <c r="F143" s="258"/>
      <c r="G143" s="248"/>
      <c r="H143" s="241"/>
      <c r="I143" s="259"/>
      <c r="J143" s="260"/>
      <c r="K143" s="260"/>
      <c r="L143" s="261"/>
      <c r="M143" s="262"/>
      <c r="N143" s="262"/>
      <c r="O143" s="261"/>
      <c r="P143" s="262"/>
      <c r="Q143" s="262"/>
      <c r="R143" s="263"/>
      <c r="S143" s="264"/>
      <c r="T143" s="264"/>
      <c r="U143" s="265"/>
      <c r="V143" s="266"/>
      <c r="W143" s="266"/>
      <c r="X143" s="267"/>
      <c r="Y143" s="268"/>
      <c r="Z143" s="268"/>
      <c r="AA143" s="259"/>
      <c r="AB143" s="260"/>
      <c r="AC143" s="260"/>
      <c r="AD143" s="261"/>
      <c r="AE143" s="262"/>
      <c r="AF143" s="262"/>
      <c r="AG143" s="269"/>
      <c r="AH143" s="270"/>
      <c r="AI143" s="271"/>
      <c r="AJ143" s="272"/>
    </row>
    <row r="144" spans="1:36" s="92" customFormat="1" x14ac:dyDescent="0.25">
      <c r="A144" s="28" t="str">
        <f>IF(H144&lt;&gt;"",MAX($A$7:A143)+1,"")</f>
        <v/>
      </c>
      <c r="B144" s="243" t="str">
        <f t="shared" si="6"/>
        <v/>
      </c>
      <c r="C144" s="158" t="str">
        <f t="shared" si="7"/>
        <v/>
      </c>
      <c r="D144" s="246"/>
      <c r="E144" s="247"/>
      <c r="F144" s="258"/>
      <c r="G144" s="248"/>
      <c r="H144" s="241"/>
      <c r="I144" s="259"/>
      <c r="J144" s="260"/>
      <c r="K144" s="260"/>
      <c r="L144" s="261"/>
      <c r="M144" s="262"/>
      <c r="N144" s="262"/>
      <c r="O144" s="261"/>
      <c r="P144" s="262"/>
      <c r="Q144" s="262"/>
      <c r="R144" s="263"/>
      <c r="S144" s="264"/>
      <c r="T144" s="264"/>
      <c r="U144" s="265"/>
      <c r="V144" s="266"/>
      <c r="W144" s="266"/>
      <c r="X144" s="267"/>
      <c r="Y144" s="268"/>
      <c r="Z144" s="268"/>
      <c r="AA144" s="259"/>
      <c r="AB144" s="260"/>
      <c r="AC144" s="260"/>
      <c r="AD144" s="261"/>
      <c r="AE144" s="262"/>
      <c r="AF144" s="262"/>
      <c r="AG144" s="269"/>
      <c r="AH144" s="270"/>
      <c r="AI144" s="271"/>
      <c r="AJ144" s="272"/>
    </row>
    <row r="145" spans="1:36" s="92" customFormat="1" x14ac:dyDescent="0.25">
      <c r="A145" s="28" t="str">
        <f>IF(H145&lt;&gt;"",MAX($A$7:A144)+1,"")</f>
        <v/>
      </c>
      <c r="B145" s="243" t="str">
        <f t="shared" si="6"/>
        <v/>
      </c>
      <c r="C145" s="158" t="str">
        <f t="shared" si="7"/>
        <v/>
      </c>
      <c r="D145" s="246"/>
      <c r="E145" s="247"/>
      <c r="F145" s="258"/>
      <c r="G145" s="248"/>
      <c r="H145" s="241"/>
      <c r="I145" s="259"/>
      <c r="J145" s="260"/>
      <c r="K145" s="260"/>
      <c r="L145" s="261"/>
      <c r="M145" s="262"/>
      <c r="N145" s="262"/>
      <c r="O145" s="261"/>
      <c r="P145" s="262"/>
      <c r="Q145" s="262"/>
      <c r="R145" s="263"/>
      <c r="S145" s="264"/>
      <c r="T145" s="264"/>
      <c r="U145" s="265"/>
      <c r="V145" s="266"/>
      <c r="W145" s="266"/>
      <c r="X145" s="267"/>
      <c r="Y145" s="268"/>
      <c r="Z145" s="268"/>
      <c r="AA145" s="259"/>
      <c r="AB145" s="260"/>
      <c r="AC145" s="260"/>
      <c r="AD145" s="261"/>
      <c r="AE145" s="262"/>
      <c r="AF145" s="262"/>
      <c r="AG145" s="269"/>
      <c r="AH145" s="270"/>
      <c r="AI145" s="271"/>
      <c r="AJ145" s="272"/>
    </row>
    <row r="146" spans="1:36" s="92" customFormat="1" x14ac:dyDescent="0.25">
      <c r="A146" s="28" t="str">
        <f>IF(H146&lt;&gt;"",MAX($A$7:A145)+1,"")</f>
        <v/>
      </c>
      <c r="B146" s="243" t="str">
        <f t="shared" si="6"/>
        <v/>
      </c>
      <c r="C146" s="158" t="str">
        <f t="shared" si="7"/>
        <v/>
      </c>
      <c r="D146" s="246"/>
      <c r="E146" s="247"/>
      <c r="F146" s="258"/>
      <c r="G146" s="248"/>
      <c r="H146" s="241"/>
      <c r="I146" s="259"/>
      <c r="J146" s="260"/>
      <c r="K146" s="260"/>
      <c r="L146" s="261"/>
      <c r="M146" s="262"/>
      <c r="N146" s="262"/>
      <c r="O146" s="261"/>
      <c r="P146" s="262"/>
      <c r="Q146" s="262"/>
      <c r="R146" s="263"/>
      <c r="S146" s="264"/>
      <c r="T146" s="264"/>
      <c r="U146" s="265"/>
      <c r="V146" s="266"/>
      <c r="W146" s="266"/>
      <c r="X146" s="267"/>
      <c r="Y146" s="268"/>
      <c r="Z146" s="268"/>
      <c r="AA146" s="259"/>
      <c r="AB146" s="260"/>
      <c r="AC146" s="260"/>
      <c r="AD146" s="261"/>
      <c r="AE146" s="262"/>
      <c r="AF146" s="262"/>
      <c r="AG146" s="269"/>
      <c r="AH146" s="270"/>
      <c r="AI146" s="271"/>
      <c r="AJ146" s="272"/>
    </row>
    <row r="147" spans="1:36" s="92" customFormat="1" x14ac:dyDescent="0.25">
      <c r="A147" s="28" t="str">
        <f>IF(H147&lt;&gt;"",MAX($A$7:A146)+1,"")</f>
        <v/>
      </c>
      <c r="B147" s="243" t="str">
        <f t="shared" si="6"/>
        <v/>
      </c>
      <c r="C147" s="158" t="str">
        <f t="shared" si="7"/>
        <v/>
      </c>
      <c r="D147" s="246"/>
      <c r="E147" s="247"/>
      <c r="F147" s="258"/>
      <c r="G147" s="248"/>
      <c r="H147" s="241"/>
      <c r="I147" s="259"/>
      <c r="J147" s="260"/>
      <c r="K147" s="260"/>
      <c r="L147" s="261"/>
      <c r="M147" s="262"/>
      <c r="N147" s="262"/>
      <c r="O147" s="261"/>
      <c r="P147" s="262"/>
      <c r="Q147" s="262"/>
      <c r="R147" s="263"/>
      <c r="S147" s="264"/>
      <c r="T147" s="264"/>
      <c r="U147" s="265"/>
      <c r="V147" s="266"/>
      <c r="W147" s="266"/>
      <c r="X147" s="267"/>
      <c r="Y147" s="268"/>
      <c r="Z147" s="268"/>
      <c r="AA147" s="259"/>
      <c r="AB147" s="260"/>
      <c r="AC147" s="260"/>
      <c r="AD147" s="261"/>
      <c r="AE147" s="262"/>
      <c r="AF147" s="262"/>
      <c r="AG147" s="269"/>
      <c r="AH147" s="270"/>
      <c r="AI147" s="271"/>
      <c r="AJ147" s="272"/>
    </row>
    <row r="148" spans="1:36" s="92" customFormat="1" x14ac:dyDescent="0.25">
      <c r="A148" s="28" t="str">
        <f>IF(H148&lt;&gt;"",MAX($A$7:A147)+1,"")</f>
        <v/>
      </c>
      <c r="B148" s="243" t="str">
        <f t="shared" si="6"/>
        <v/>
      </c>
      <c r="C148" s="158" t="str">
        <f t="shared" si="7"/>
        <v/>
      </c>
      <c r="D148" s="246"/>
      <c r="E148" s="247"/>
      <c r="F148" s="258"/>
      <c r="G148" s="248"/>
      <c r="H148" s="241"/>
      <c r="I148" s="259"/>
      <c r="J148" s="260"/>
      <c r="K148" s="260"/>
      <c r="L148" s="261"/>
      <c r="M148" s="262"/>
      <c r="N148" s="262"/>
      <c r="O148" s="261"/>
      <c r="P148" s="262"/>
      <c r="Q148" s="262"/>
      <c r="R148" s="263"/>
      <c r="S148" s="264"/>
      <c r="T148" s="264"/>
      <c r="U148" s="265"/>
      <c r="V148" s="266"/>
      <c r="W148" s="266"/>
      <c r="X148" s="267"/>
      <c r="Y148" s="268"/>
      <c r="Z148" s="268"/>
      <c r="AA148" s="259"/>
      <c r="AB148" s="260"/>
      <c r="AC148" s="260"/>
      <c r="AD148" s="261"/>
      <c r="AE148" s="262"/>
      <c r="AF148" s="262"/>
      <c r="AG148" s="269"/>
      <c r="AH148" s="270"/>
      <c r="AI148" s="271"/>
      <c r="AJ148" s="272"/>
    </row>
    <row r="149" spans="1:36" s="92" customFormat="1" x14ac:dyDescent="0.25">
      <c r="A149" s="28" t="str">
        <f>IF(H149&lt;&gt;"",MAX($A$7:A148)+1,"")</f>
        <v/>
      </c>
      <c r="B149" s="243" t="str">
        <f t="shared" si="6"/>
        <v/>
      </c>
      <c r="C149" s="158" t="str">
        <f t="shared" si="7"/>
        <v/>
      </c>
      <c r="D149" s="246"/>
      <c r="E149" s="247"/>
      <c r="F149" s="258"/>
      <c r="G149" s="248"/>
      <c r="H149" s="241"/>
      <c r="I149" s="259"/>
      <c r="J149" s="260"/>
      <c r="K149" s="260"/>
      <c r="L149" s="261"/>
      <c r="M149" s="262"/>
      <c r="N149" s="262"/>
      <c r="O149" s="261"/>
      <c r="P149" s="262"/>
      <c r="Q149" s="262"/>
      <c r="R149" s="263"/>
      <c r="S149" s="264"/>
      <c r="T149" s="264"/>
      <c r="U149" s="265"/>
      <c r="V149" s="266"/>
      <c r="W149" s="266"/>
      <c r="X149" s="267"/>
      <c r="Y149" s="268"/>
      <c r="Z149" s="268"/>
      <c r="AA149" s="259"/>
      <c r="AB149" s="260"/>
      <c r="AC149" s="260"/>
      <c r="AD149" s="261"/>
      <c r="AE149" s="262"/>
      <c r="AF149" s="262"/>
      <c r="AG149" s="269"/>
      <c r="AH149" s="270"/>
      <c r="AI149" s="271"/>
      <c r="AJ149" s="272"/>
    </row>
    <row r="150" spans="1:36" s="92" customFormat="1" x14ac:dyDescent="0.25">
      <c r="A150" s="28" t="str">
        <f>IF(H150&lt;&gt;"",MAX($A$7:A149)+1,"")</f>
        <v/>
      </c>
      <c r="B150" s="243" t="str">
        <f t="shared" si="6"/>
        <v/>
      </c>
      <c r="C150" s="158" t="str">
        <f t="shared" si="7"/>
        <v/>
      </c>
      <c r="D150" s="246"/>
      <c r="E150" s="247"/>
      <c r="F150" s="258"/>
      <c r="G150" s="248"/>
      <c r="H150" s="241"/>
      <c r="I150" s="259"/>
      <c r="J150" s="260"/>
      <c r="K150" s="260"/>
      <c r="L150" s="261"/>
      <c r="M150" s="262"/>
      <c r="N150" s="262"/>
      <c r="O150" s="261"/>
      <c r="P150" s="262"/>
      <c r="Q150" s="262"/>
      <c r="R150" s="263"/>
      <c r="S150" s="264"/>
      <c r="T150" s="264"/>
      <c r="U150" s="265"/>
      <c r="V150" s="266"/>
      <c r="W150" s="266"/>
      <c r="X150" s="267"/>
      <c r="Y150" s="268"/>
      <c r="Z150" s="268"/>
      <c r="AA150" s="259"/>
      <c r="AB150" s="260"/>
      <c r="AC150" s="260"/>
      <c r="AD150" s="261"/>
      <c r="AE150" s="262"/>
      <c r="AF150" s="262"/>
      <c r="AG150" s="269"/>
      <c r="AH150" s="270"/>
      <c r="AI150" s="271"/>
      <c r="AJ150" s="272"/>
    </row>
    <row r="151" spans="1:36" s="92" customFormat="1" x14ac:dyDescent="0.25">
      <c r="A151" s="28" t="str">
        <f>IF(H151&lt;&gt;"",MAX($A$7:A150)+1,"")</f>
        <v/>
      </c>
      <c r="B151" s="243" t="str">
        <f t="shared" si="6"/>
        <v/>
      </c>
      <c r="C151" s="158" t="str">
        <f t="shared" si="7"/>
        <v/>
      </c>
      <c r="D151" s="246"/>
      <c r="E151" s="247"/>
      <c r="F151" s="258"/>
      <c r="G151" s="248"/>
      <c r="H151" s="241"/>
      <c r="I151" s="259"/>
      <c r="J151" s="260"/>
      <c r="K151" s="260"/>
      <c r="L151" s="261"/>
      <c r="M151" s="262"/>
      <c r="N151" s="262"/>
      <c r="O151" s="261"/>
      <c r="P151" s="262"/>
      <c r="Q151" s="262"/>
      <c r="R151" s="263"/>
      <c r="S151" s="264"/>
      <c r="T151" s="264"/>
      <c r="U151" s="265"/>
      <c r="V151" s="266"/>
      <c r="W151" s="266"/>
      <c r="X151" s="267"/>
      <c r="Y151" s="268"/>
      <c r="Z151" s="268"/>
      <c r="AA151" s="259"/>
      <c r="AB151" s="260"/>
      <c r="AC151" s="260"/>
      <c r="AD151" s="261"/>
      <c r="AE151" s="262"/>
      <c r="AF151" s="262"/>
      <c r="AG151" s="269"/>
      <c r="AH151" s="270"/>
      <c r="AI151" s="271"/>
      <c r="AJ151" s="272"/>
    </row>
    <row r="152" spans="1:36" s="92" customFormat="1" x14ac:dyDescent="0.25">
      <c r="A152" s="28" t="str">
        <f>IF(H152&lt;&gt;"",MAX($A$7:A151)+1,"")</f>
        <v/>
      </c>
      <c r="B152" s="243" t="str">
        <f t="shared" si="6"/>
        <v/>
      </c>
      <c r="C152" s="158" t="str">
        <f t="shared" si="7"/>
        <v/>
      </c>
      <c r="D152" s="246"/>
      <c r="E152" s="247"/>
      <c r="F152" s="258"/>
      <c r="G152" s="248"/>
      <c r="H152" s="241"/>
      <c r="I152" s="259"/>
      <c r="J152" s="260"/>
      <c r="K152" s="260"/>
      <c r="L152" s="261"/>
      <c r="M152" s="262"/>
      <c r="N152" s="262"/>
      <c r="O152" s="261"/>
      <c r="P152" s="262"/>
      <c r="Q152" s="262"/>
      <c r="R152" s="263"/>
      <c r="S152" s="264"/>
      <c r="T152" s="264"/>
      <c r="U152" s="265"/>
      <c r="V152" s="266"/>
      <c r="W152" s="266"/>
      <c r="X152" s="267"/>
      <c r="Y152" s="268"/>
      <c r="Z152" s="268"/>
      <c r="AA152" s="259"/>
      <c r="AB152" s="260"/>
      <c r="AC152" s="260"/>
      <c r="AD152" s="261"/>
      <c r="AE152" s="262"/>
      <c r="AF152" s="262"/>
      <c r="AG152" s="269"/>
      <c r="AH152" s="270"/>
      <c r="AI152" s="271"/>
      <c r="AJ152" s="272"/>
    </row>
    <row r="153" spans="1:36" s="92" customFormat="1" x14ac:dyDescent="0.25">
      <c r="A153" s="28" t="str">
        <f>IF(H153&lt;&gt;"",MAX($A$7:A152)+1,"")</f>
        <v/>
      </c>
      <c r="B153" s="243" t="str">
        <f t="shared" si="6"/>
        <v/>
      </c>
      <c r="C153" s="158" t="str">
        <f t="shared" si="7"/>
        <v/>
      </c>
      <c r="D153" s="246"/>
      <c r="E153" s="247"/>
      <c r="F153" s="258"/>
      <c r="G153" s="248"/>
      <c r="H153" s="241"/>
      <c r="I153" s="259"/>
      <c r="J153" s="260"/>
      <c r="K153" s="260"/>
      <c r="L153" s="261"/>
      <c r="M153" s="262"/>
      <c r="N153" s="262"/>
      <c r="O153" s="261"/>
      <c r="P153" s="262"/>
      <c r="Q153" s="262"/>
      <c r="R153" s="263"/>
      <c r="S153" s="264"/>
      <c r="T153" s="264"/>
      <c r="U153" s="265"/>
      <c r="V153" s="266"/>
      <c r="W153" s="266"/>
      <c r="X153" s="267"/>
      <c r="Y153" s="268"/>
      <c r="Z153" s="268"/>
      <c r="AA153" s="259"/>
      <c r="AB153" s="260"/>
      <c r="AC153" s="260"/>
      <c r="AD153" s="261"/>
      <c r="AE153" s="262"/>
      <c r="AF153" s="262"/>
      <c r="AG153" s="269"/>
      <c r="AH153" s="270"/>
      <c r="AI153" s="271"/>
      <c r="AJ153" s="272"/>
    </row>
    <row r="154" spans="1:36" s="92" customFormat="1" x14ac:dyDescent="0.25">
      <c r="A154" s="28" t="str">
        <f>IF(H154&lt;&gt;"",MAX($A$7:A153)+1,"")</f>
        <v/>
      </c>
      <c r="B154" s="243" t="str">
        <f t="shared" si="6"/>
        <v/>
      </c>
      <c r="C154" s="158" t="str">
        <f t="shared" si="7"/>
        <v/>
      </c>
      <c r="D154" s="246"/>
      <c r="E154" s="247"/>
      <c r="F154" s="258"/>
      <c r="G154" s="248"/>
      <c r="H154" s="241"/>
      <c r="I154" s="259"/>
      <c r="J154" s="260"/>
      <c r="K154" s="260"/>
      <c r="L154" s="261"/>
      <c r="M154" s="262"/>
      <c r="N154" s="262"/>
      <c r="O154" s="261"/>
      <c r="P154" s="262"/>
      <c r="Q154" s="262"/>
      <c r="R154" s="263"/>
      <c r="S154" s="264"/>
      <c r="T154" s="264"/>
      <c r="U154" s="265"/>
      <c r="V154" s="266"/>
      <c r="W154" s="266"/>
      <c r="X154" s="267"/>
      <c r="Y154" s="268"/>
      <c r="Z154" s="268"/>
      <c r="AA154" s="259"/>
      <c r="AB154" s="260"/>
      <c r="AC154" s="260"/>
      <c r="AD154" s="261"/>
      <c r="AE154" s="262"/>
      <c r="AF154" s="262"/>
      <c r="AG154" s="269"/>
      <c r="AH154" s="270"/>
      <c r="AI154" s="271"/>
      <c r="AJ154" s="272"/>
    </row>
    <row r="155" spans="1:36" s="92" customFormat="1" x14ac:dyDescent="0.25">
      <c r="A155" s="28" t="str">
        <f>IF(H155&lt;&gt;"",MAX($A$7:A154)+1,"")</f>
        <v/>
      </c>
      <c r="B155" s="243" t="str">
        <f t="shared" si="6"/>
        <v/>
      </c>
      <c r="C155" s="158" t="str">
        <f t="shared" si="7"/>
        <v/>
      </c>
      <c r="D155" s="246"/>
      <c r="E155" s="247"/>
      <c r="F155" s="258"/>
      <c r="G155" s="248"/>
      <c r="H155" s="241"/>
      <c r="I155" s="259"/>
      <c r="J155" s="260"/>
      <c r="K155" s="260"/>
      <c r="L155" s="261"/>
      <c r="M155" s="262"/>
      <c r="N155" s="262"/>
      <c r="O155" s="261"/>
      <c r="P155" s="262"/>
      <c r="Q155" s="262"/>
      <c r="R155" s="263"/>
      <c r="S155" s="264"/>
      <c r="T155" s="264"/>
      <c r="U155" s="265"/>
      <c r="V155" s="266"/>
      <c r="W155" s="266"/>
      <c r="X155" s="267"/>
      <c r="Y155" s="268"/>
      <c r="Z155" s="268"/>
      <c r="AA155" s="259"/>
      <c r="AB155" s="260"/>
      <c r="AC155" s="260"/>
      <c r="AD155" s="261"/>
      <c r="AE155" s="262"/>
      <c r="AF155" s="262"/>
      <c r="AG155" s="269"/>
      <c r="AH155" s="270"/>
      <c r="AI155" s="271"/>
      <c r="AJ155" s="272"/>
    </row>
    <row r="156" spans="1:36" s="92" customFormat="1" x14ac:dyDescent="0.25">
      <c r="A156" s="28" t="str">
        <f>IF(H156&lt;&gt;"",MAX($A$7:A155)+1,"")</f>
        <v/>
      </c>
      <c r="B156" s="243" t="str">
        <f t="shared" si="6"/>
        <v/>
      </c>
      <c r="C156" s="158" t="str">
        <f t="shared" si="7"/>
        <v/>
      </c>
      <c r="D156" s="246"/>
      <c r="E156" s="247"/>
      <c r="F156" s="258"/>
      <c r="G156" s="248"/>
      <c r="H156" s="241"/>
      <c r="I156" s="259"/>
      <c r="J156" s="260"/>
      <c r="K156" s="260"/>
      <c r="L156" s="261"/>
      <c r="M156" s="262"/>
      <c r="N156" s="262"/>
      <c r="O156" s="261"/>
      <c r="P156" s="262"/>
      <c r="Q156" s="262"/>
      <c r="R156" s="263"/>
      <c r="S156" s="264"/>
      <c r="T156" s="264"/>
      <c r="U156" s="265"/>
      <c r="V156" s="266"/>
      <c r="W156" s="266"/>
      <c r="X156" s="267"/>
      <c r="Y156" s="268"/>
      <c r="Z156" s="268"/>
      <c r="AA156" s="259"/>
      <c r="AB156" s="260"/>
      <c r="AC156" s="260"/>
      <c r="AD156" s="261"/>
      <c r="AE156" s="262"/>
      <c r="AF156" s="262"/>
      <c r="AG156" s="269"/>
      <c r="AH156" s="270"/>
      <c r="AI156" s="271"/>
      <c r="AJ156" s="272"/>
    </row>
    <row r="157" spans="1:36" s="22" customFormat="1" x14ac:dyDescent="0.25">
      <c r="A157" s="28" t="str">
        <f>IF(H157&lt;&gt;"",MAX($A$7:A156)+1,"")</f>
        <v/>
      </c>
      <c r="B157" s="243" t="str">
        <f t="shared" si="6"/>
        <v/>
      </c>
      <c r="C157" s="158" t="str">
        <f t="shared" si="7"/>
        <v/>
      </c>
      <c r="D157" s="246"/>
      <c r="E157" s="247"/>
      <c r="F157" s="258"/>
      <c r="G157" s="248"/>
      <c r="H157" s="241"/>
      <c r="I157" s="259"/>
      <c r="J157" s="260"/>
      <c r="K157" s="260"/>
      <c r="L157" s="261"/>
      <c r="M157" s="262"/>
      <c r="N157" s="262"/>
      <c r="O157" s="261"/>
      <c r="P157" s="262"/>
      <c r="Q157" s="262"/>
      <c r="R157" s="263"/>
      <c r="S157" s="264"/>
      <c r="T157" s="264"/>
      <c r="U157" s="265"/>
      <c r="V157" s="266"/>
      <c r="W157" s="266"/>
      <c r="X157" s="267"/>
      <c r="Y157" s="268"/>
      <c r="Z157" s="268"/>
      <c r="AA157" s="259"/>
      <c r="AB157" s="260"/>
      <c r="AC157" s="260"/>
      <c r="AD157" s="261"/>
      <c r="AE157" s="262"/>
      <c r="AF157" s="262"/>
      <c r="AG157" s="269"/>
      <c r="AH157" s="270"/>
      <c r="AI157" s="271"/>
      <c r="AJ157" s="272"/>
    </row>
    <row r="158" spans="1:36" s="22" customFormat="1" x14ac:dyDescent="0.25">
      <c r="A158" s="28" t="str">
        <f>IF(H158&lt;&gt;"",MAX($A$7:A157)+1,"")</f>
        <v/>
      </c>
      <c r="B158" s="243" t="str">
        <f t="shared" si="6"/>
        <v/>
      </c>
      <c r="C158" s="158" t="str">
        <f t="shared" si="7"/>
        <v/>
      </c>
      <c r="D158" s="246"/>
      <c r="E158" s="247"/>
      <c r="F158" s="258"/>
      <c r="G158" s="248"/>
      <c r="H158" s="241"/>
      <c r="I158" s="259"/>
      <c r="J158" s="260"/>
      <c r="K158" s="260"/>
      <c r="L158" s="261"/>
      <c r="M158" s="262"/>
      <c r="N158" s="262"/>
      <c r="O158" s="261"/>
      <c r="P158" s="262"/>
      <c r="Q158" s="262"/>
      <c r="R158" s="263"/>
      <c r="S158" s="264"/>
      <c r="T158" s="264"/>
      <c r="U158" s="265"/>
      <c r="V158" s="266"/>
      <c r="W158" s="266"/>
      <c r="X158" s="267"/>
      <c r="Y158" s="268"/>
      <c r="Z158" s="268"/>
      <c r="AA158" s="259"/>
      <c r="AB158" s="260"/>
      <c r="AC158" s="260"/>
      <c r="AD158" s="261"/>
      <c r="AE158" s="262"/>
      <c r="AF158" s="262"/>
      <c r="AG158" s="269"/>
      <c r="AH158" s="270"/>
      <c r="AI158" s="271"/>
      <c r="AJ158" s="272"/>
    </row>
    <row r="159" spans="1:36" s="22" customFormat="1" x14ac:dyDescent="0.25">
      <c r="A159" s="28" t="str">
        <f>IF(H159&lt;&gt;"",MAX($A$7:A158)+1,"")</f>
        <v/>
      </c>
      <c r="B159" s="243" t="str">
        <f t="shared" si="6"/>
        <v/>
      </c>
      <c r="C159" s="158" t="str">
        <f t="shared" si="7"/>
        <v/>
      </c>
      <c r="D159" s="246"/>
      <c r="E159" s="247"/>
      <c r="F159" s="258"/>
      <c r="G159" s="248"/>
      <c r="H159" s="241"/>
      <c r="I159" s="259"/>
      <c r="J159" s="260"/>
      <c r="K159" s="260"/>
      <c r="L159" s="261"/>
      <c r="M159" s="262"/>
      <c r="N159" s="262"/>
      <c r="O159" s="261"/>
      <c r="P159" s="262"/>
      <c r="Q159" s="262"/>
      <c r="R159" s="263"/>
      <c r="S159" s="264"/>
      <c r="T159" s="264"/>
      <c r="U159" s="265"/>
      <c r="V159" s="266"/>
      <c r="W159" s="266"/>
      <c r="X159" s="267"/>
      <c r="Y159" s="268"/>
      <c r="Z159" s="268"/>
      <c r="AA159" s="259"/>
      <c r="AB159" s="260"/>
      <c r="AC159" s="260"/>
      <c r="AD159" s="261"/>
      <c r="AE159" s="262"/>
      <c r="AF159" s="262"/>
      <c r="AG159" s="269"/>
      <c r="AH159" s="270"/>
      <c r="AI159" s="271"/>
      <c r="AJ159" s="272"/>
    </row>
    <row r="160" spans="1:36" s="22" customFormat="1" x14ac:dyDescent="0.25">
      <c r="A160" s="28" t="str">
        <f>IF(H160&lt;&gt;"",MAX($A$7:A159)+1,"")</f>
        <v/>
      </c>
      <c r="B160" s="243" t="str">
        <f t="shared" si="6"/>
        <v/>
      </c>
      <c r="C160" s="158" t="str">
        <f t="shared" si="7"/>
        <v/>
      </c>
      <c r="D160" s="246"/>
      <c r="E160" s="247"/>
      <c r="F160" s="258"/>
      <c r="G160" s="248"/>
      <c r="H160" s="241"/>
      <c r="I160" s="259"/>
      <c r="J160" s="260"/>
      <c r="K160" s="260"/>
      <c r="L160" s="261"/>
      <c r="M160" s="262"/>
      <c r="N160" s="262"/>
      <c r="O160" s="261"/>
      <c r="P160" s="262"/>
      <c r="Q160" s="262"/>
      <c r="R160" s="263"/>
      <c r="S160" s="264"/>
      <c r="T160" s="264"/>
      <c r="U160" s="265"/>
      <c r="V160" s="266"/>
      <c r="W160" s="266"/>
      <c r="X160" s="267"/>
      <c r="Y160" s="268"/>
      <c r="Z160" s="268"/>
      <c r="AA160" s="259"/>
      <c r="AB160" s="260"/>
      <c r="AC160" s="260"/>
      <c r="AD160" s="261"/>
      <c r="AE160" s="262"/>
      <c r="AF160" s="262"/>
      <c r="AG160" s="269"/>
      <c r="AH160" s="270"/>
      <c r="AI160" s="271"/>
      <c r="AJ160" s="272"/>
    </row>
    <row r="161" spans="1:36" s="22" customFormat="1" x14ac:dyDescent="0.25">
      <c r="A161" s="28" t="str">
        <f>IF(H161&lt;&gt;"",MAX($A$7:A160)+1,"")</f>
        <v/>
      </c>
      <c r="B161" s="243" t="str">
        <f t="shared" si="6"/>
        <v/>
      </c>
      <c r="C161" s="158" t="str">
        <f t="shared" si="7"/>
        <v/>
      </c>
      <c r="D161" s="246"/>
      <c r="E161" s="247"/>
      <c r="F161" s="258"/>
      <c r="G161" s="248"/>
      <c r="H161" s="241"/>
      <c r="I161" s="259"/>
      <c r="J161" s="260"/>
      <c r="K161" s="260"/>
      <c r="L161" s="261"/>
      <c r="M161" s="262"/>
      <c r="N161" s="262"/>
      <c r="O161" s="261"/>
      <c r="P161" s="262"/>
      <c r="Q161" s="262"/>
      <c r="R161" s="263"/>
      <c r="S161" s="264"/>
      <c r="T161" s="264"/>
      <c r="U161" s="265"/>
      <c r="V161" s="266"/>
      <c r="W161" s="266"/>
      <c r="X161" s="267"/>
      <c r="Y161" s="268"/>
      <c r="Z161" s="268"/>
      <c r="AA161" s="259"/>
      <c r="AB161" s="260"/>
      <c r="AC161" s="260"/>
      <c r="AD161" s="261"/>
      <c r="AE161" s="262"/>
      <c r="AF161" s="262"/>
      <c r="AG161" s="269"/>
      <c r="AH161" s="270"/>
      <c r="AI161" s="271"/>
      <c r="AJ161" s="272"/>
    </row>
    <row r="162" spans="1:36" s="22" customFormat="1" x14ac:dyDescent="0.25">
      <c r="A162" s="28" t="str">
        <f>IF(H162&lt;&gt;"",MAX($A$7:A161)+1,"")</f>
        <v/>
      </c>
      <c r="B162" s="243" t="str">
        <f t="shared" si="6"/>
        <v/>
      </c>
      <c r="C162" s="158" t="str">
        <f t="shared" si="7"/>
        <v/>
      </c>
      <c r="D162" s="246"/>
      <c r="E162" s="247"/>
      <c r="F162" s="258"/>
      <c r="G162" s="248"/>
      <c r="H162" s="241"/>
      <c r="I162" s="259"/>
      <c r="J162" s="260"/>
      <c r="K162" s="260"/>
      <c r="L162" s="261"/>
      <c r="M162" s="262"/>
      <c r="N162" s="262"/>
      <c r="O162" s="261"/>
      <c r="P162" s="262"/>
      <c r="Q162" s="262"/>
      <c r="R162" s="263"/>
      <c r="S162" s="264"/>
      <c r="T162" s="264"/>
      <c r="U162" s="265"/>
      <c r="V162" s="266"/>
      <c r="W162" s="266"/>
      <c r="X162" s="267"/>
      <c r="Y162" s="268"/>
      <c r="Z162" s="268"/>
      <c r="AA162" s="259"/>
      <c r="AB162" s="260"/>
      <c r="AC162" s="260"/>
      <c r="AD162" s="261"/>
      <c r="AE162" s="262"/>
      <c r="AF162" s="262"/>
      <c r="AG162" s="269"/>
      <c r="AH162" s="270"/>
      <c r="AI162" s="271"/>
      <c r="AJ162" s="272"/>
    </row>
    <row r="163" spans="1:36" s="22" customFormat="1" x14ac:dyDescent="0.25">
      <c r="A163" s="28" t="str">
        <f>IF(H163&lt;&gt;"",MAX($A$7:A162)+1,"")</f>
        <v/>
      </c>
      <c r="B163" s="243" t="str">
        <f t="shared" si="6"/>
        <v/>
      </c>
      <c r="C163" s="158" t="str">
        <f t="shared" si="7"/>
        <v/>
      </c>
      <c r="D163" s="246"/>
      <c r="E163" s="247"/>
      <c r="F163" s="258"/>
      <c r="G163" s="248"/>
      <c r="H163" s="241"/>
      <c r="I163" s="259"/>
      <c r="J163" s="260"/>
      <c r="K163" s="260"/>
      <c r="L163" s="261"/>
      <c r="M163" s="262"/>
      <c r="N163" s="262"/>
      <c r="O163" s="261"/>
      <c r="P163" s="262"/>
      <c r="Q163" s="262"/>
      <c r="R163" s="263"/>
      <c r="S163" s="264"/>
      <c r="T163" s="264"/>
      <c r="U163" s="265"/>
      <c r="V163" s="266"/>
      <c r="W163" s="266"/>
      <c r="X163" s="267"/>
      <c r="Y163" s="268"/>
      <c r="Z163" s="268"/>
      <c r="AA163" s="259"/>
      <c r="AB163" s="260"/>
      <c r="AC163" s="260"/>
      <c r="AD163" s="261"/>
      <c r="AE163" s="262"/>
      <c r="AF163" s="262"/>
      <c r="AG163" s="269"/>
      <c r="AH163" s="270"/>
      <c r="AI163" s="271"/>
      <c r="AJ163" s="272"/>
    </row>
    <row r="164" spans="1:36" s="22" customFormat="1" x14ac:dyDescent="0.25">
      <c r="A164" s="28" t="str">
        <f>IF(H164&lt;&gt;"",MAX($A$7:A163)+1,"")</f>
        <v/>
      </c>
      <c r="B164" s="243" t="str">
        <f t="shared" si="6"/>
        <v/>
      </c>
      <c r="C164" s="158" t="str">
        <f t="shared" si="7"/>
        <v/>
      </c>
      <c r="D164" s="246"/>
      <c r="E164" s="247"/>
      <c r="F164" s="258"/>
      <c r="G164" s="248"/>
      <c r="H164" s="241"/>
      <c r="I164" s="259"/>
      <c r="J164" s="260"/>
      <c r="K164" s="260"/>
      <c r="L164" s="261"/>
      <c r="M164" s="262"/>
      <c r="N164" s="262"/>
      <c r="O164" s="261"/>
      <c r="P164" s="262"/>
      <c r="Q164" s="262"/>
      <c r="R164" s="263"/>
      <c r="S164" s="264"/>
      <c r="T164" s="264"/>
      <c r="U164" s="265"/>
      <c r="V164" s="266"/>
      <c r="W164" s="266"/>
      <c r="X164" s="267"/>
      <c r="Y164" s="268"/>
      <c r="Z164" s="268"/>
      <c r="AA164" s="259"/>
      <c r="AB164" s="260"/>
      <c r="AC164" s="260"/>
      <c r="AD164" s="261"/>
      <c r="AE164" s="262"/>
      <c r="AF164" s="262"/>
      <c r="AG164" s="269"/>
      <c r="AH164" s="270"/>
      <c r="AI164" s="271"/>
      <c r="AJ164" s="272"/>
    </row>
    <row r="165" spans="1:36" s="22" customFormat="1" x14ac:dyDescent="0.25">
      <c r="A165" s="28" t="str">
        <f>IF(H165&lt;&gt;"",MAX($A$7:A164)+1,"")</f>
        <v/>
      </c>
      <c r="B165" s="243" t="str">
        <f t="shared" si="6"/>
        <v/>
      </c>
      <c r="C165" s="158" t="str">
        <f t="shared" si="7"/>
        <v/>
      </c>
      <c r="D165" s="246"/>
      <c r="E165" s="247"/>
      <c r="F165" s="258"/>
      <c r="G165" s="248"/>
      <c r="H165" s="241"/>
      <c r="I165" s="259"/>
      <c r="J165" s="260"/>
      <c r="K165" s="260"/>
      <c r="L165" s="261"/>
      <c r="M165" s="262"/>
      <c r="N165" s="262"/>
      <c r="O165" s="261"/>
      <c r="P165" s="262"/>
      <c r="Q165" s="262"/>
      <c r="R165" s="263"/>
      <c r="S165" s="264"/>
      <c r="T165" s="264"/>
      <c r="U165" s="265"/>
      <c r="V165" s="266"/>
      <c r="W165" s="266"/>
      <c r="X165" s="267"/>
      <c r="Y165" s="268"/>
      <c r="Z165" s="268"/>
      <c r="AA165" s="259"/>
      <c r="AB165" s="260"/>
      <c r="AC165" s="260"/>
      <c r="AD165" s="261"/>
      <c r="AE165" s="262"/>
      <c r="AF165" s="262"/>
      <c r="AG165" s="269"/>
      <c r="AH165" s="270"/>
      <c r="AI165" s="271"/>
      <c r="AJ165" s="272"/>
    </row>
    <row r="166" spans="1:36" s="22" customFormat="1" x14ac:dyDescent="0.25">
      <c r="A166" s="28" t="str">
        <f>IF(H166&lt;&gt;"",MAX($A$7:A165)+1,"")</f>
        <v/>
      </c>
      <c r="B166" s="243" t="str">
        <f t="shared" si="6"/>
        <v/>
      </c>
      <c r="C166" s="158" t="str">
        <f t="shared" si="7"/>
        <v/>
      </c>
      <c r="D166" s="246"/>
      <c r="E166" s="247"/>
      <c r="F166" s="258"/>
      <c r="G166" s="248"/>
      <c r="H166" s="241"/>
      <c r="I166" s="259"/>
      <c r="J166" s="260"/>
      <c r="K166" s="260"/>
      <c r="L166" s="261"/>
      <c r="M166" s="262"/>
      <c r="N166" s="262"/>
      <c r="O166" s="261"/>
      <c r="P166" s="262"/>
      <c r="Q166" s="262"/>
      <c r="R166" s="263"/>
      <c r="S166" s="264"/>
      <c r="T166" s="264"/>
      <c r="U166" s="265"/>
      <c r="V166" s="266"/>
      <c r="W166" s="266"/>
      <c r="X166" s="267"/>
      <c r="Y166" s="268"/>
      <c r="Z166" s="268"/>
      <c r="AA166" s="259"/>
      <c r="AB166" s="260"/>
      <c r="AC166" s="260"/>
      <c r="AD166" s="261"/>
      <c r="AE166" s="262"/>
      <c r="AF166" s="262"/>
      <c r="AG166" s="269"/>
      <c r="AH166" s="270"/>
      <c r="AI166" s="271"/>
      <c r="AJ166" s="272"/>
    </row>
    <row r="167" spans="1:36" s="22" customFormat="1" x14ac:dyDescent="0.25">
      <c r="A167" s="28" t="str">
        <f>IF(H167&lt;&gt;"",MAX($A$7:A166)+1,"")</f>
        <v/>
      </c>
      <c r="B167" s="243" t="str">
        <f t="shared" si="6"/>
        <v/>
      </c>
      <c r="C167" s="158" t="str">
        <f t="shared" si="7"/>
        <v/>
      </c>
      <c r="D167" s="246"/>
      <c r="E167" s="247"/>
      <c r="F167" s="258"/>
      <c r="G167" s="248"/>
      <c r="H167" s="241"/>
      <c r="I167" s="259"/>
      <c r="J167" s="260"/>
      <c r="K167" s="260"/>
      <c r="L167" s="261"/>
      <c r="M167" s="262"/>
      <c r="N167" s="262"/>
      <c r="O167" s="261"/>
      <c r="P167" s="262"/>
      <c r="Q167" s="262"/>
      <c r="R167" s="263"/>
      <c r="S167" s="264"/>
      <c r="T167" s="264"/>
      <c r="U167" s="265"/>
      <c r="V167" s="266"/>
      <c r="W167" s="266"/>
      <c r="X167" s="267"/>
      <c r="Y167" s="268"/>
      <c r="Z167" s="268"/>
      <c r="AA167" s="259"/>
      <c r="AB167" s="260"/>
      <c r="AC167" s="260"/>
      <c r="AD167" s="261"/>
      <c r="AE167" s="262"/>
      <c r="AF167" s="262"/>
      <c r="AG167" s="269"/>
      <c r="AH167" s="270"/>
      <c r="AI167" s="271"/>
      <c r="AJ167" s="272"/>
    </row>
    <row r="168" spans="1:36" s="22" customFormat="1" x14ac:dyDescent="0.25">
      <c r="A168" s="28" t="str">
        <f>IF(H168&lt;&gt;"",MAX($A$7:A167)+1,"")</f>
        <v/>
      </c>
      <c r="B168" s="243" t="str">
        <f t="shared" si="6"/>
        <v/>
      </c>
      <c r="C168" s="158" t="str">
        <f t="shared" si="7"/>
        <v/>
      </c>
      <c r="D168" s="246"/>
      <c r="E168" s="247"/>
      <c r="F168" s="258"/>
      <c r="G168" s="248"/>
      <c r="H168" s="241"/>
      <c r="I168" s="259"/>
      <c r="J168" s="260"/>
      <c r="K168" s="260"/>
      <c r="L168" s="261"/>
      <c r="M168" s="262"/>
      <c r="N168" s="262"/>
      <c r="O168" s="261"/>
      <c r="P168" s="262"/>
      <c r="Q168" s="262"/>
      <c r="R168" s="263"/>
      <c r="S168" s="264"/>
      <c r="T168" s="264"/>
      <c r="U168" s="265"/>
      <c r="V168" s="266"/>
      <c r="W168" s="266"/>
      <c r="X168" s="267"/>
      <c r="Y168" s="268"/>
      <c r="Z168" s="268"/>
      <c r="AA168" s="259"/>
      <c r="AB168" s="260"/>
      <c r="AC168" s="260"/>
      <c r="AD168" s="261"/>
      <c r="AE168" s="262"/>
      <c r="AF168" s="262"/>
      <c r="AG168" s="269"/>
      <c r="AH168" s="270"/>
      <c r="AI168" s="271"/>
      <c r="AJ168" s="272"/>
    </row>
    <row r="169" spans="1:36" s="22" customFormat="1" x14ac:dyDescent="0.25">
      <c r="A169" s="28" t="str">
        <f>IF(H169&lt;&gt;"",MAX($A$7:A168)+1,"")</f>
        <v/>
      </c>
      <c r="B169" s="243" t="str">
        <f t="shared" si="6"/>
        <v/>
      </c>
      <c r="C169" s="158" t="str">
        <f t="shared" si="7"/>
        <v/>
      </c>
      <c r="D169" s="246"/>
      <c r="E169" s="247"/>
      <c r="F169" s="258"/>
      <c r="G169" s="248"/>
      <c r="H169" s="241"/>
      <c r="I169" s="259"/>
      <c r="J169" s="260"/>
      <c r="K169" s="260"/>
      <c r="L169" s="261"/>
      <c r="M169" s="262"/>
      <c r="N169" s="262"/>
      <c r="O169" s="261"/>
      <c r="P169" s="262"/>
      <c r="Q169" s="262"/>
      <c r="R169" s="263"/>
      <c r="S169" s="264"/>
      <c r="T169" s="264"/>
      <c r="U169" s="265"/>
      <c r="V169" s="266"/>
      <c r="W169" s="266"/>
      <c r="X169" s="267"/>
      <c r="Y169" s="268"/>
      <c r="Z169" s="268"/>
      <c r="AA169" s="259"/>
      <c r="AB169" s="260"/>
      <c r="AC169" s="260"/>
      <c r="AD169" s="261"/>
      <c r="AE169" s="262"/>
      <c r="AF169" s="262"/>
      <c r="AG169" s="269"/>
      <c r="AH169" s="270"/>
      <c r="AI169" s="271"/>
      <c r="AJ169" s="272"/>
    </row>
    <row r="170" spans="1:36" s="22" customFormat="1" x14ac:dyDescent="0.25">
      <c r="A170" s="28" t="str">
        <f>IF(H170&lt;&gt;"",MAX($A$7:A169)+1,"")</f>
        <v/>
      </c>
      <c r="B170" s="243" t="str">
        <f t="shared" si="6"/>
        <v/>
      </c>
      <c r="C170" s="158" t="str">
        <f t="shared" si="7"/>
        <v/>
      </c>
      <c r="D170" s="246"/>
      <c r="E170" s="247"/>
      <c r="F170" s="258"/>
      <c r="G170" s="248"/>
      <c r="H170" s="241"/>
      <c r="I170" s="259"/>
      <c r="J170" s="260"/>
      <c r="K170" s="260"/>
      <c r="L170" s="261"/>
      <c r="M170" s="262"/>
      <c r="N170" s="262"/>
      <c r="O170" s="261"/>
      <c r="P170" s="262"/>
      <c r="Q170" s="262"/>
      <c r="R170" s="263"/>
      <c r="S170" s="264"/>
      <c r="T170" s="264"/>
      <c r="U170" s="265"/>
      <c r="V170" s="266"/>
      <c r="W170" s="266"/>
      <c r="X170" s="267"/>
      <c r="Y170" s="268"/>
      <c r="Z170" s="268"/>
      <c r="AA170" s="259"/>
      <c r="AB170" s="260"/>
      <c r="AC170" s="260"/>
      <c r="AD170" s="261"/>
      <c r="AE170" s="262"/>
      <c r="AF170" s="262"/>
      <c r="AG170" s="269"/>
      <c r="AH170" s="270"/>
      <c r="AI170" s="271"/>
      <c r="AJ170" s="272"/>
    </row>
    <row r="171" spans="1:36" s="22" customFormat="1" x14ac:dyDescent="0.25">
      <c r="A171" s="28" t="str">
        <f>IF(H171&lt;&gt;"",MAX($A$7:A170)+1,"")</f>
        <v/>
      </c>
      <c r="B171" s="243" t="str">
        <f t="shared" si="6"/>
        <v/>
      </c>
      <c r="C171" s="158" t="str">
        <f t="shared" si="7"/>
        <v/>
      </c>
      <c r="D171" s="246"/>
      <c r="E171" s="247"/>
      <c r="F171" s="258"/>
      <c r="G171" s="248"/>
      <c r="H171" s="241"/>
      <c r="I171" s="259"/>
      <c r="J171" s="260"/>
      <c r="K171" s="260"/>
      <c r="L171" s="261"/>
      <c r="M171" s="262"/>
      <c r="N171" s="262"/>
      <c r="O171" s="261"/>
      <c r="P171" s="262"/>
      <c r="Q171" s="262"/>
      <c r="R171" s="263"/>
      <c r="S171" s="264"/>
      <c r="T171" s="264"/>
      <c r="U171" s="265"/>
      <c r="V171" s="266"/>
      <c r="W171" s="266"/>
      <c r="X171" s="267"/>
      <c r="Y171" s="268"/>
      <c r="Z171" s="268"/>
      <c r="AA171" s="259"/>
      <c r="AB171" s="260"/>
      <c r="AC171" s="260"/>
      <c r="AD171" s="261"/>
      <c r="AE171" s="262"/>
      <c r="AF171" s="262"/>
      <c r="AG171" s="269"/>
      <c r="AH171" s="270"/>
      <c r="AI171" s="271"/>
      <c r="AJ171" s="272"/>
    </row>
    <row r="172" spans="1:36" s="22" customFormat="1" x14ac:dyDescent="0.25">
      <c r="A172" s="28" t="str">
        <f>IF(H172&lt;&gt;"",MAX($A$7:A171)+1,"")</f>
        <v/>
      </c>
      <c r="B172" s="243" t="str">
        <f t="shared" si="6"/>
        <v/>
      </c>
      <c r="C172" s="158" t="str">
        <f t="shared" si="7"/>
        <v/>
      </c>
      <c r="D172" s="246"/>
      <c r="E172" s="247"/>
      <c r="F172" s="258"/>
      <c r="G172" s="248"/>
      <c r="H172" s="241"/>
      <c r="I172" s="259"/>
      <c r="J172" s="260"/>
      <c r="K172" s="260"/>
      <c r="L172" s="261"/>
      <c r="M172" s="262"/>
      <c r="N172" s="262"/>
      <c r="O172" s="261"/>
      <c r="P172" s="262"/>
      <c r="Q172" s="262"/>
      <c r="R172" s="263"/>
      <c r="S172" s="264"/>
      <c r="T172" s="264"/>
      <c r="U172" s="265"/>
      <c r="V172" s="266"/>
      <c r="W172" s="266"/>
      <c r="X172" s="267"/>
      <c r="Y172" s="268"/>
      <c r="Z172" s="268"/>
      <c r="AA172" s="259"/>
      <c r="AB172" s="260"/>
      <c r="AC172" s="260"/>
      <c r="AD172" s="261"/>
      <c r="AE172" s="262"/>
      <c r="AF172" s="262"/>
      <c r="AG172" s="269"/>
      <c r="AH172" s="270"/>
      <c r="AI172" s="271"/>
      <c r="AJ172" s="272"/>
    </row>
    <row r="173" spans="1:36" x14ac:dyDescent="0.25">
      <c r="A173" s="28" t="str">
        <f>IF(H173&lt;&gt;"",MAX($A$7:A172)+1,"")</f>
        <v/>
      </c>
      <c r="B173" s="243" t="str">
        <f t="shared" si="6"/>
        <v/>
      </c>
      <c r="C173" s="158" t="str">
        <f t="shared" si="7"/>
        <v/>
      </c>
      <c r="D173" s="246"/>
      <c r="E173" s="247"/>
      <c r="F173" s="258"/>
      <c r="G173" s="248"/>
      <c r="H173" s="241"/>
      <c r="I173" s="259"/>
      <c r="J173" s="260"/>
      <c r="K173" s="260"/>
      <c r="L173" s="261"/>
      <c r="M173" s="262"/>
      <c r="N173" s="262"/>
      <c r="O173" s="261"/>
      <c r="P173" s="262"/>
      <c r="Q173" s="262"/>
      <c r="R173" s="263"/>
      <c r="S173" s="264"/>
      <c r="T173" s="264"/>
      <c r="U173" s="265"/>
      <c r="V173" s="266"/>
      <c r="W173" s="266"/>
      <c r="X173" s="267"/>
      <c r="Y173" s="268"/>
      <c r="Z173" s="268"/>
      <c r="AA173" s="259"/>
      <c r="AB173" s="260"/>
      <c r="AC173" s="260"/>
      <c r="AD173" s="261"/>
      <c r="AE173" s="262"/>
      <c r="AF173" s="262"/>
      <c r="AG173" s="269"/>
      <c r="AH173" s="270"/>
      <c r="AI173" s="271"/>
      <c r="AJ173" s="272"/>
    </row>
    <row r="174" spans="1:36" x14ac:dyDescent="0.25">
      <c r="A174" s="28" t="str">
        <f>IF(H174&lt;&gt;"",MAX($A$7:A173)+1,"")</f>
        <v/>
      </c>
      <c r="B174" s="243" t="str">
        <f t="shared" si="6"/>
        <v/>
      </c>
      <c r="C174" s="158" t="str">
        <f t="shared" si="7"/>
        <v/>
      </c>
      <c r="D174" s="246"/>
      <c r="E174" s="247"/>
      <c r="F174" s="258"/>
      <c r="G174" s="248"/>
      <c r="H174" s="241"/>
      <c r="I174" s="259"/>
      <c r="J174" s="260"/>
      <c r="K174" s="260"/>
      <c r="L174" s="261"/>
      <c r="M174" s="262"/>
      <c r="N174" s="262"/>
      <c r="O174" s="261"/>
      <c r="P174" s="262"/>
      <c r="Q174" s="262"/>
      <c r="R174" s="263"/>
      <c r="S174" s="264"/>
      <c r="T174" s="264"/>
      <c r="U174" s="265"/>
      <c r="V174" s="266"/>
      <c r="W174" s="266"/>
      <c r="X174" s="267"/>
      <c r="Y174" s="268"/>
      <c r="Z174" s="268"/>
      <c r="AA174" s="259"/>
      <c r="AB174" s="260"/>
      <c r="AC174" s="260"/>
      <c r="AD174" s="261"/>
      <c r="AE174" s="262"/>
      <c r="AF174" s="262"/>
      <c r="AG174" s="269"/>
      <c r="AH174" s="270"/>
      <c r="AI174" s="271"/>
      <c r="AJ174" s="272"/>
    </row>
    <row r="175" spans="1:36" x14ac:dyDescent="0.25">
      <c r="A175" s="28" t="str">
        <f>IF(H175&lt;&gt;"",MAX($A$7:A174)+1,"")</f>
        <v/>
      </c>
      <c r="B175" s="243" t="str">
        <f t="shared" si="6"/>
        <v/>
      </c>
      <c r="C175" s="158" t="str">
        <f t="shared" si="7"/>
        <v/>
      </c>
      <c r="D175" s="246"/>
      <c r="E175" s="247"/>
      <c r="F175" s="258"/>
      <c r="G175" s="248"/>
      <c r="H175" s="241"/>
      <c r="I175" s="259"/>
      <c r="J175" s="260"/>
      <c r="K175" s="260"/>
      <c r="L175" s="261"/>
      <c r="M175" s="262"/>
      <c r="N175" s="262"/>
      <c r="O175" s="261"/>
      <c r="P175" s="262"/>
      <c r="Q175" s="262"/>
      <c r="R175" s="263"/>
      <c r="S175" s="264"/>
      <c r="T175" s="264"/>
      <c r="U175" s="265"/>
      <c r="V175" s="266"/>
      <c r="W175" s="266"/>
      <c r="X175" s="267"/>
      <c r="Y175" s="268"/>
      <c r="Z175" s="268"/>
      <c r="AA175" s="259"/>
      <c r="AB175" s="260"/>
      <c r="AC175" s="260"/>
      <c r="AD175" s="261"/>
      <c r="AE175" s="262"/>
      <c r="AF175" s="262"/>
      <c r="AG175" s="269"/>
      <c r="AH175" s="270"/>
      <c r="AI175" s="271"/>
      <c r="AJ175" s="272"/>
    </row>
    <row r="176" spans="1:36" x14ac:dyDescent="0.25">
      <c r="A176" s="28" t="str">
        <f>IF(H176&lt;&gt;"",MAX($A$7:A175)+1,"")</f>
        <v/>
      </c>
      <c r="B176" s="243" t="str">
        <f t="shared" si="6"/>
        <v/>
      </c>
      <c r="C176" s="158" t="str">
        <f t="shared" si="7"/>
        <v/>
      </c>
      <c r="D176" s="246"/>
      <c r="E176" s="247"/>
      <c r="F176" s="258"/>
      <c r="G176" s="248"/>
      <c r="H176" s="241"/>
      <c r="I176" s="259"/>
      <c r="J176" s="260"/>
      <c r="K176" s="260"/>
      <c r="L176" s="261"/>
      <c r="M176" s="262"/>
      <c r="N176" s="262"/>
      <c r="O176" s="261"/>
      <c r="P176" s="262"/>
      <c r="Q176" s="262"/>
      <c r="R176" s="263"/>
      <c r="S176" s="264"/>
      <c r="T176" s="264"/>
      <c r="U176" s="265"/>
      <c r="V176" s="266"/>
      <c r="W176" s="266"/>
      <c r="X176" s="267"/>
      <c r="Y176" s="268"/>
      <c r="Z176" s="268"/>
      <c r="AA176" s="259"/>
      <c r="AB176" s="260"/>
      <c r="AC176" s="260"/>
      <c r="AD176" s="261"/>
      <c r="AE176" s="262"/>
      <c r="AF176" s="262"/>
      <c r="AG176" s="269"/>
      <c r="AH176" s="270"/>
      <c r="AI176" s="271"/>
      <c r="AJ176" s="272"/>
    </row>
    <row r="177" spans="1:36" x14ac:dyDescent="0.25">
      <c r="A177" s="28" t="str">
        <f>IF(H177&lt;&gt;"",MAX($A$7:A176)+1,"")</f>
        <v/>
      </c>
      <c r="B177" s="243" t="str">
        <f t="shared" si="6"/>
        <v/>
      </c>
      <c r="C177" s="158" t="str">
        <f t="shared" si="7"/>
        <v/>
      </c>
      <c r="D177" s="246"/>
      <c r="E177" s="247"/>
      <c r="F177" s="258"/>
      <c r="G177" s="248"/>
      <c r="H177" s="241"/>
      <c r="I177" s="259"/>
      <c r="J177" s="260"/>
      <c r="K177" s="260"/>
      <c r="L177" s="261"/>
      <c r="M177" s="262"/>
      <c r="N177" s="262"/>
      <c r="O177" s="261"/>
      <c r="P177" s="262"/>
      <c r="Q177" s="262"/>
      <c r="R177" s="263"/>
      <c r="S177" s="264"/>
      <c r="T177" s="264"/>
      <c r="U177" s="265"/>
      <c r="V177" s="266"/>
      <c r="W177" s="266"/>
      <c r="X177" s="267"/>
      <c r="Y177" s="268"/>
      <c r="Z177" s="268"/>
      <c r="AA177" s="259"/>
      <c r="AB177" s="260"/>
      <c r="AC177" s="260"/>
      <c r="AD177" s="261"/>
      <c r="AE177" s="262"/>
      <c r="AF177" s="262"/>
      <c r="AG177" s="269"/>
      <c r="AH177" s="270"/>
      <c r="AI177" s="271"/>
      <c r="AJ177" s="272"/>
    </row>
    <row r="178" spans="1:36" x14ac:dyDescent="0.25">
      <c r="A178" s="28" t="str">
        <f>IF(H178&lt;&gt;"",MAX($A$7:A177)+1,"")</f>
        <v/>
      </c>
      <c r="B178" s="243" t="str">
        <f t="shared" si="6"/>
        <v/>
      </c>
      <c r="C178" s="158" t="str">
        <f t="shared" si="7"/>
        <v/>
      </c>
      <c r="D178" s="246"/>
      <c r="E178" s="247"/>
      <c r="F178" s="258"/>
      <c r="G178" s="248"/>
      <c r="H178" s="241"/>
      <c r="I178" s="259"/>
      <c r="J178" s="260"/>
      <c r="K178" s="260"/>
      <c r="L178" s="261"/>
      <c r="M178" s="262"/>
      <c r="N178" s="262"/>
      <c r="O178" s="261"/>
      <c r="P178" s="262"/>
      <c r="Q178" s="262"/>
      <c r="R178" s="263"/>
      <c r="S178" s="264"/>
      <c r="T178" s="264"/>
      <c r="U178" s="265"/>
      <c r="V178" s="266"/>
      <c r="W178" s="266"/>
      <c r="X178" s="267"/>
      <c r="Y178" s="268"/>
      <c r="Z178" s="268"/>
      <c r="AA178" s="259"/>
      <c r="AB178" s="260"/>
      <c r="AC178" s="260"/>
      <c r="AD178" s="261"/>
      <c r="AE178" s="262"/>
      <c r="AF178" s="262"/>
      <c r="AG178" s="269"/>
      <c r="AH178" s="270"/>
      <c r="AI178" s="271"/>
      <c r="AJ178" s="272"/>
    </row>
    <row r="179" spans="1:36" x14ac:dyDescent="0.25">
      <c r="A179" s="28" t="str">
        <f>IF(H179&lt;&gt;"",MAX($A$7:A178)+1,"")</f>
        <v/>
      </c>
      <c r="B179" s="243" t="str">
        <f t="shared" si="6"/>
        <v/>
      </c>
      <c r="C179" s="158" t="str">
        <f t="shared" si="7"/>
        <v/>
      </c>
      <c r="D179" s="246"/>
      <c r="E179" s="247"/>
      <c r="F179" s="258"/>
      <c r="G179" s="248"/>
      <c r="H179" s="241"/>
      <c r="I179" s="259"/>
      <c r="J179" s="260"/>
      <c r="K179" s="260"/>
      <c r="L179" s="261"/>
      <c r="M179" s="262"/>
      <c r="N179" s="262"/>
      <c r="O179" s="261"/>
      <c r="P179" s="262"/>
      <c r="Q179" s="262"/>
      <c r="R179" s="263"/>
      <c r="S179" s="264"/>
      <c r="T179" s="264"/>
      <c r="U179" s="265"/>
      <c r="V179" s="266"/>
      <c r="W179" s="266"/>
      <c r="X179" s="267"/>
      <c r="Y179" s="268"/>
      <c r="Z179" s="268"/>
      <c r="AA179" s="259"/>
      <c r="AB179" s="260"/>
      <c r="AC179" s="260"/>
      <c r="AD179" s="261"/>
      <c r="AE179" s="262"/>
      <c r="AF179" s="262"/>
      <c r="AG179" s="269"/>
      <c r="AH179" s="270"/>
      <c r="AI179" s="271"/>
      <c r="AJ179" s="272"/>
    </row>
    <row r="180" spans="1:36" x14ac:dyDescent="0.25">
      <c r="A180" s="28" t="str">
        <f>IF(H180&lt;&gt;"",MAX($A$7:A179)+1,"")</f>
        <v/>
      </c>
      <c r="B180" s="243" t="str">
        <f t="shared" si="6"/>
        <v/>
      </c>
      <c r="C180" s="158" t="str">
        <f t="shared" si="7"/>
        <v/>
      </c>
      <c r="D180" s="246"/>
      <c r="E180" s="247"/>
      <c r="F180" s="258"/>
      <c r="G180" s="248"/>
      <c r="H180" s="241"/>
      <c r="I180" s="259"/>
      <c r="J180" s="260"/>
      <c r="K180" s="260"/>
      <c r="L180" s="261"/>
      <c r="M180" s="262"/>
      <c r="N180" s="262"/>
      <c r="O180" s="261"/>
      <c r="P180" s="262"/>
      <c r="Q180" s="262"/>
      <c r="R180" s="263"/>
      <c r="S180" s="264"/>
      <c r="T180" s="264"/>
      <c r="U180" s="265"/>
      <c r="V180" s="266"/>
      <c r="W180" s="266"/>
      <c r="X180" s="267"/>
      <c r="Y180" s="268"/>
      <c r="Z180" s="268"/>
      <c r="AA180" s="259"/>
      <c r="AB180" s="260"/>
      <c r="AC180" s="260"/>
      <c r="AD180" s="261"/>
      <c r="AE180" s="262"/>
      <c r="AF180" s="262"/>
      <c r="AG180" s="269"/>
      <c r="AH180" s="270"/>
      <c r="AI180" s="271"/>
      <c r="AJ180" s="272"/>
    </row>
    <row r="181" spans="1:36" x14ac:dyDescent="0.25">
      <c r="A181" s="28" t="str">
        <f>IF(H181&lt;&gt;"",MAX($A$7:A180)+1,"")</f>
        <v/>
      </c>
      <c r="B181" s="243" t="str">
        <f t="shared" si="6"/>
        <v/>
      </c>
      <c r="C181" s="158" t="str">
        <f t="shared" si="7"/>
        <v/>
      </c>
      <c r="D181" s="246"/>
      <c r="E181" s="247"/>
      <c r="F181" s="258"/>
      <c r="G181" s="248"/>
      <c r="H181" s="241"/>
      <c r="I181" s="259"/>
      <c r="J181" s="260"/>
      <c r="K181" s="260"/>
      <c r="L181" s="261"/>
      <c r="M181" s="262"/>
      <c r="N181" s="262"/>
      <c r="O181" s="261"/>
      <c r="P181" s="262"/>
      <c r="Q181" s="262"/>
      <c r="R181" s="263"/>
      <c r="S181" s="264"/>
      <c r="T181" s="264"/>
      <c r="U181" s="265"/>
      <c r="V181" s="266"/>
      <c r="W181" s="266"/>
      <c r="X181" s="267"/>
      <c r="Y181" s="268"/>
      <c r="Z181" s="268"/>
      <c r="AA181" s="259"/>
      <c r="AB181" s="260"/>
      <c r="AC181" s="260"/>
      <c r="AD181" s="261"/>
      <c r="AE181" s="262"/>
      <c r="AF181" s="262"/>
      <c r="AG181" s="269"/>
      <c r="AH181" s="270"/>
      <c r="AI181" s="271"/>
      <c r="AJ181" s="272"/>
    </row>
    <row r="182" spans="1:36" x14ac:dyDescent="0.25">
      <c r="A182" s="28" t="str">
        <f>IF(H182&lt;&gt;"",MAX($A$7:A181)+1,"")</f>
        <v/>
      </c>
      <c r="B182" s="243" t="str">
        <f t="shared" si="6"/>
        <v/>
      </c>
      <c r="C182" s="158" t="str">
        <f t="shared" si="7"/>
        <v/>
      </c>
      <c r="D182" s="246"/>
      <c r="E182" s="247"/>
      <c r="F182" s="258"/>
      <c r="G182" s="248"/>
      <c r="H182" s="241"/>
      <c r="I182" s="259"/>
      <c r="J182" s="260"/>
      <c r="K182" s="260"/>
      <c r="L182" s="261"/>
      <c r="M182" s="262"/>
      <c r="N182" s="262"/>
      <c r="O182" s="261"/>
      <c r="P182" s="262"/>
      <c r="Q182" s="262"/>
      <c r="R182" s="263"/>
      <c r="S182" s="264"/>
      <c r="T182" s="264"/>
      <c r="U182" s="265"/>
      <c r="V182" s="266"/>
      <c r="W182" s="266"/>
      <c r="X182" s="267"/>
      <c r="Y182" s="268"/>
      <c r="Z182" s="268"/>
      <c r="AA182" s="259"/>
      <c r="AB182" s="260"/>
      <c r="AC182" s="260"/>
      <c r="AD182" s="261"/>
      <c r="AE182" s="262"/>
      <c r="AF182" s="262"/>
      <c r="AG182" s="269"/>
      <c r="AH182" s="270"/>
      <c r="AI182" s="271"/>
      <c r="AJ182" s="272"/>
    </row>
    <row r="183" spans="1:36" x14ac:dyDescent="0.25">
      <c r="A183" s="28" t="str">
        <f>IF(H183&lt;&gt;"",MAX($A$7:A182)+1,"")</f>
        <v/>
      </c>
      <c r="B183" s="243" t="str">
        <f t="shared" si="6"/>
        <v/>
      </c>
      <c r="C183" s="158" t="str">
        <f t="shared" si="7"/>
        <v/>
      </c>
      <c r="D183" s="246"/>
      <c r="E183" s="247"/>
      <c r="F183" s="258"/>
      <c r="G183" s="248"/>
      <c r="H183" s="241"/>
      <c r="I183" s="259"/>
      <c r="J183" s="260"/>
      <c r="K183" s="260"/>
      <c r="L183" s="261"/>
      <c r="M183" s="262"/>
      <c r="N183" s="262"/>
      <c r="O183" s="261"/>
      <c r="P183" s="262"/>
      <c r="Q183" s="262"/>
      <c r="R183" s="263"/>
      <c r="S183" s="264"/>
      <c r="T183" s="264"/>
      <c r="U183" s="265"/>
      <c r="V183" s="266"/>
      <c r="W183" s="266"/>
      <c r="X183" s="267"/>
      <c r="Y183" s="268"/>
      <c r="Z183" s="268"/>
      <c r="AA183" s="259"/>
      <c r="AB183" s="260"/>
      <c r="AC183" s="260"/>
      <c r="AD183" s="261"/>
      <c r="AE183" s="262"/>
      <c r="AF183" s="262"/>
      <c r="AG183" s="269"/>
      <c r="AH183" s="270"/>
      <c r="AI183" s="271"/>
      <c r="AJ183" s="272"/>
    </row>
    <row r="184" spans="1:36" x14ac:dyDescent="0.25">
      <c r="A184" s="28" t="str">
        <f>IF(H184&lt;&gt;"",MAX($A$7:A183)+1,"")</f>
        <v/>
      </c>
      <c r="B184" s="243" t="str">
        <f t="shared" si="6"/>
        <v/>
      </c>
      <c r="C184" s="158" t="str">
        <f t="shared" si="7"/>
        <v/>
      </c>
      <c r="D184" s="246"/>
      <c r="E184" s="247"/>
      <c r="F184" s="258"/>
      <c r="G184" s="248"/>
      <c r="H184" s="241"/>
      <c r="I184" s="259"/>
      <c r="J184" s="260"/>
      <c r="K184" s="260"/>
      <c r="L184" s="261"/>
      <c r="M184" s="262"/>
      <c r="N184" s="262"/>
      <c r="O184" s="261"/>
      <c r="P184" s="262"/>
      <c r="Q184" s="262"/>
      <c r="R184" s="263"/>
      <c r="S184" s="264"/>
      <c r="T184" s="264"/>
      <c r="U184" s="265"/>
      <c r="V184" s="266"/>
      <c r="W184" s="266"/>
      <c r="X184" s="267"/>
      <c r="Y184" s="268"/>
      <c r="Z184" s="268"/>
      <c r="AA184" s="259"/>
      <c r="AB184" s="260"/>
      <c r="AC184" s="260"/>
      <c r="AD184" s="261"/>
      <c r="AE184" s="262"/>
      <c r="AF184" s="262"/>
      <c r="AG184" s="269"/>
      <c r="AH184" s="270"/>
      <c r="AI184" s="271"/>
      <c r="AJ184" s="272"/>
    </row>
    <row r="185" spans="1:36" x14ac:dyDescent="0.25">
      <c r="A185" s="28" t="str">
        <f>IF(H185&lt;&gt;"",MAX($A$7:A184)+1,"")</f>
        <v/>
      </c>
      <c r="B185" s="243" t="str">
        <f t="shared" si="6"/>
        <v/>
      </c>
      <c r="C185" s="158" t="str">
        <f t="shared" si="7"/>
        <v/>
      </c>
      <c r="D185" s="246"/>
      <c r="E185" s="247"/>
      <c r="F185" s="258"/>
      <c r="G185" s="248"/>
      <c r="H185" s="241"/>
      <c r="I185" s="259"/>
      <c r="J185" s="260"/>
      <c r="K185" s="260"/>
      <c r="L185" s="261"/>
      <c r="M185" s="262"/>
      <c r="N185" s="262"/>
      <c r="O185" s="261"/>
      <c r="P185" s="262"/>
      <c r="Q185" s="262"/>
      <c r="R185" s="263"/>
      <c r="S185" s="264"/>
      <c r="T185" s="264"/>
      <c r="U185" s="265"/>
      <c r="V185" s="266"/>
      <c r="W185" s="266"/>
      <c r="X185" s="267"/>
      <c r="Y185" s="268"/>
      <c r="Z185" s="268"/>
      <c r="AA185" s="259"/>
      <c r="AB185" s="260"/>
      <c r="AC185" s="260"/>
      <c r="AD185" s="261"/>
      <c r="AE185" s="262"/>
      <c r="AF185" s="262"/>
      <c r="AG185" s="269"/>
      <c r="AH185" s="270"/>
      <c r="AI185" s="271"/>
      <c r="AJ185" s="272"/>
    </row>
    <row r="186" spans="1:36" x14ac:dyDescent="0.25">
      <c r="A186" s="28" t="str">
        <f>IF(H186&lt;&gt;"",MAX($A$7:A185)+1,"")</f>
        <v/>
      </c>
      <c r="B186" s="243" t="str">
        <f t="shared" si="6"/>
        <v/>
      </c>
      <c r="C186" s="158" t="str">
        <f t="shared" si="7"/>
        <v/>
      </c>
      <c r="D186" s="246"/>
      <c r="E186" s="247"/>
      <c r="F186" s="258"/>
      <c r="G186" s="248"/>
      <c r="H186" s="241"/>
      <c r="I186" s="259"/>
      <c r="J186" s="260"/>
      <c r="K186" s="260"/>
      <c r="L186" s="261"/>
      <c r="M186" s="262"/>
      <c r="N186" s="262"/>
      <c r="O186" s="261"/>
      <c r="P186" s="262"/>
      <c r="Q186" s="262"/>
      <c r="R186" s="263"/>
      <c r="S186" s="264"/>
      <c r="T186" s="264"/>
      <c r="U186" s="265"/>
      <c r="V186" s="266"/>
      <c r="W186" s="266"/>
      <c r="X186" s="267"/>
      <c r="Y186" s="268"/>
      <c r="Z186" s="268"/>
      <c r="AA186" s="259"/>
      <c r="AB186" s="260"/>
      <c r="AC186" s="260"/>
      <c r="AD186" s="261"/>
      <c r="AE186" s="262"/>
      <c r="AF186" s="262"/>
      <c r="AG186" s="269"/>
      <c r="AH186" s="270"/>
      <c r="AI186" s="271"/>
      <c r="AJ186" s="272"/>
    </row>
    <row r="187" spans="1:36" x14ac:dyDescent="0.25">
      <c r="A187" s="28" t="str">
        <f>IF(H187&lt;&gt;"",MAX($A$7:A186)+1,"")</f>
        <v/>
      </c>
      <c r="B187" s="243" t="str">
        <f t="shared" si="6"/>
        <v/>
      </c>
      <c r="C187" s="158" t="str">
        <f t="shared" si="7"/>
        <v/>
      </c>
      <c r="D187" s="246"/>
      <c r="E187" s="247"/>
      <c r="F187" s="258"/>
      <c r="G187" s="248"/>
      <c r="H187" s="241"/>
      <c r="I187" s="259"/>
      <c r="J187" s="260"/>
      <c r="K187" s="260"/>
      <c r="L187" s="261"/>
      <c r="M187" s="262"/>
      <c r="N187" s="262"/>
      <c r="O187" s="261"/>
      <c r="P187" s="262"/>
      <c r="Q187" s="262"/>
      <c r="R187" s="263"/>
      <c r="S187" s="264"/>
      <c r="T187" s="264"/>
      <c r="U187" s="265"/>
      <c r="V187" s="266"/>
      <c r="W187" s="266"/>
      <c r="X187" s="267"/>
      <c r="Y187" s="268"/>
      <c r="Z187" s="268"/>
      <c r="AA187" s="259"/>
      <c r="AB187" s="260"/>
      <c r="AC187" s="260"/>
      <c r="AD187" s="261"/>
      <c r="AE187" s="262"/>
      <c r="AF187" s="262"/>
      <c r="AG187" s="269"/>
      <c r="AH187" s="270"/>
      <c r="AI187" s="271"/>
      <c r="AJ187" s="272"/>
    </row>
    <row r="188" spans="1:36" x14ac:dyDescent="0.25">
      <c r="A188" s="28" t="str">
        <f>IF(H188&lt;&gt;"",MAX($A$7:A187)+1,"")</f>
        <v/>
      </c>
      <c r="B188" s="243" t="str">
        <f t="shared" si="6"/>
        <v/>
      </c>
      <c r="C188" s="158" t="str">
        <f t="shared" si="7"/>
        <v/>
      </c>
      <c r="D188" s="246"/>
      <c r="E188" s="247"/>
      <c r="F188" s="258"/>
      <c r="G188" s="248"/>
      <c r="H188" s="241"/>
      <c r="I188" s="259"/>
      <c r="J188" s="260"/>
      <c r="K188" s="260"/>
      <c r="L188" s="261"/>
      <c r="M188" s="262"/>
      <c r="N188" s="262"/>
      <c r="O188" s="261"/>
      <c r="P188" s="262"/>
      <c r="Q188" s="262"/>
      <c r="R188" s="263"/>
      <c r="S188" s="264"/>
      <c r="T188" s="264"/>
      <c r="U188" s="265"/>
      <c r="V188" s="266"/>
      <c r="W188" s="266"/>
      <c r="X188" s="267"/>
      <c r="Y188" s="268"/>
      <c r="Z188" s="268"/>
      <c r="AA188" s="259"/>
      <c r="AB188" s="260"/>
      <c r="AC188" s="260"/>
      <c r="AD188" s="261"/>
      <c r="AE188" s="262"/>
      <c r="AF188" s="262"/>
      <c r="AG188" s="269"/>
      <c r="AH188" s="270"/>
      <c r="AI188" s="271"/>
      <c r="AJ188" s="272"/>
    </row>
    <row r="189" spans="1:36" x14ac:dyDescent="0.25">
      <c r="A189" s="28" t="str">
        <f>IF(H189&lt;&gt;"",MAX($A$7:A188)+1,"")</f>
        <v/>
      </c>
      <c r="B189" s="243" t="str">
        <f t="shared" si="6"/>
        <v/>
      </c>
      <c r="C189" s="158" t="str">
        <f t="shared" si="7"/>
        <v/>
      </c>
      <c r="D189" s="246"/>
      <c r="E189" s="247"/>
      <c r="F189" s="258"/>
      <c r="G189" s="248"/>
      <c r="H189" s="241"/>
      <c r="I189" s="259"/>
      <c r="J189" s="260"/>
      <c r="K189" s="260"/>
      <c r="L189" s="261"/>
      <c r="M189" s="262"/>
      <c r="N189" s="262"/>
      <c r="O189" s="261"/>
      <c r="P189" s="262"/>
      <c r="Q189" s="262"/>
      <c r="R189" s="263"/>
      <c r="S189" s="264"/>
      <c r="T189" s="264"/>
      <c r="U189" s="265"/>
      <c r="V189" s="266"/>
      <c r="W189" s="266"/>
      <c r="X189" s="267"/>
      <c r="Y189" s="268"/>
      <c r="Z189" s="268"/>
      <c r="AA189" s="259"/>
      <c r="AB189" s="260"/>
      <c r="AC189" s="260"/>
      <c r="AD189" s="261"/>
      <c r="AE189" s="262"/>
      <c r="AF189" s="262"/>
      <c r="AG189" s="269"/>
      <c r="AH189" s="270"/>
      <c r="AI189" s="271"/>
      <c r="AJ189" s="272"/>
    </row>
    <row r="190" spans="1:36" x14ac:dyDescent="0.25">
      <c r="A190" s="28" t="str">
        <f>IF(H190&lt;&gt;"",MAX($A$7:A189)+1,"")</f>
        <v/>
      </c>
      <c r="B190" s="243" t="str">
        <f t="shared" si="6"/>
        <v/>
      </c>
      <c r="C190" s="158" t="str">
        <f t="shared" si="7"/>
        <v/>
      </c>
      <c r="D190" s="246"/>
      <c r="E190" s="247"/>
      <c r="F190" s="258"/>
      <c r="G190" s="248"/>
      <c r="H190" s="241"/>
      <c r="I190" s="259"/>
      <c r="J190" s="260"/>
      <c r="K190" s="260"/>
      <c r="L190" s="261"/>
      <c r="M190" s="262"/>
      <c r="N190" s="262"/>
      <c r="O190" s="261"/>
      <c r="P190" s="262"/>
      <c r="Q190" s="262"/>
      <c r="R190" s="263"/>
      <c r="S190" s="264"/>
      <c r="T190" s="264"/>
      <c r="U190" s="265"/>
      <c r="V190" s="266"/>
      <c r="W190" s="266"/>
      <c r="X190" s="267"/>
      <c r="Y190" s="268"/>
      <c r="Z190" s="268"/>
      <c r="AA190" s="259"/>
      <c r="AB190" s="260"/>
      <c r="AC190" s="260"/>
      <c r="AD190" s="261"/>
      <c r="AE190" s="262"/>
      <c r="AF190" s="262"/>
      <c r="AG190" s="269"/>
      <c r="AH190" s="270"/>
      <c r="AI190" s="271"/>
      <c r="AJ190" s="272"/>
    </row>
    <row r="191" spans="1:36" x14ac:dyDescent="0.25">
      <c r="A191" s="28" t="str">
        <f>IF(H191&lt;&gt;"",MAX($A$7:A190)+1,"")</f>
        <v/>
      </c>
      <c r="B191" s="243" t="str">
        <f t="shared" si="6"/>
        <v/>
      </c>
      <c r="C191" s="158" t="str">
        <f t="shared" si="7"/>
        <v/>
      </c>
      <c r="D191" s="246"/>
      <c r="E191" s="247"/>
      <c r="F191" s="258"/>
      <c r="G191" s="248"/>
      <c r="H191" s="241"/>
      <c r="I191" s="259"/>
      <c r="J191" s="260"/>
      <c r="K191" s="260"/>
      <c r="L191" s="261"/>
      <c r="M191" s="262"/>
      <c r="N191" s="262"/>
      <c r="O191" s="261"/>
      <c r="P191" s="262"/>
      <c r="Q191" s="262"/>
      <c r="R191" s="263"/>
      <c r="S191" s="264"/>
      <c r="T191" s="264"/>
      <c r="U191" s="265"/>
      <c r="V191" s="266"/>
      <c r="W191" s="266"/>
      <c r="X191" s="267"/>
      <c r="Y191" s="268"/>
      <c r="Z191" s="268"/>
      <c r="AA191" s="259"/>
      <c r="AB191" s="260"/>
      <c r="AC191" s="260"/>
      <c r="AD191" s="261"/>
      <c r="AE191" s="262"/>
      <c r="AF191" s="262"/>
      <c r="AG191" s="269"/>
      <c r="AH191" s="270"/>
      <c r="AI191" s="271"/>
      <c r="AJ191" s="272"/>
    </row>
    <row r="192" spans="1:36" x14ac:dyDescent="0.25">
      <c r="A192" s="28" t="str">
        <f>IF(H192&lt;&gt;"",MAX($A$7:A191)+1,"")</f>
        <v/>
      </c>
      <c r="B192" s="243" t="str">
        <f t="shared" si="6"/>
        <v/>
      </c>
      <c r="C192" s="158" t="str">
        <f t="shared" si="7"/>
        <v/>
      </c>
      <c r="D192" s="246"/>
      <c r="E192" s="247"/>
      <c r="F192" s="258"/>
      <c r="G192" s="248"/>
      <c r="H192" s="241"/>
      <c r="I192" s="259"/>
      <c r="J192" s="260"/>
      <c r="K192" s="260"/>
      <c r="L192" s="261"/>
      <c r="M192" s="262"/>
      <c r="N192" s="262"/>
      <c r="O192" s="261"/>
      <c r="P192" s="262"/>
      <c r="Q192" s="262"/>
      <c r="R192" s="263"/>
      <c r="S192" s="264"/>
      <c r="T192" s="264"/>
      <c r="U192" s="265"/>
      <c r="V192" s="266"/>
      <c r="W192" s="266"/>
      <c r="X192" s="267"/>
      <c r="Y192" s="268"/>
      <c r="Z192" s="268"/>
      <c r="AA192" s="259"/>
      <c r="AB192" s="260"/>
      <c r="AC192" s="260"/>
      <c r="AD192" s="261"/>
      <c r="AE192" s="262"/>
      <c r="AF192" s="262"/>
      <c r="AG192" s="269"/>
      <c r="AH192" s="270"/>
      <c r="AI192" s="271"/>
      <c r="AJ192" s="272"/>
    </row>
    <row r="193" spans="1:36" x14ac:dyDescent="0.25">
      <c r="A193" s="28" t="str">
        <f>IF(H193&lt;&gt;"",MAX($A$7:A192)+1,"")</f>
        <v/>
      </c>
      <c r="B193" s="243" t="str">
        <f t="shared" si="6"/>
        <v/>
      </c>
      <c r="C193" s="158" t="str">
        <f t="shared" si="7"/>
        <v/>
      </c>
      <c r="D193" s="246"/>
      <c r="E193" s="247"/>
      <c r="F193" s="258"/>
      <c r="G193" s="248"/>
      <c r="H193" s="241"/>
      <c r="I193" s="259"/>
      <c r="J193" s="260"/>
      <c r="K193" s="260"/>
      <c r="L193" s="261"/>
      <c r="M193" s="262"/>
      <c r="N193" s="262"/>
      <c r="O193" s="261"/>
      <c r="P193" s="262"/>
      <c r="Q193" s="262"/>
      <c r="R193" s="263"/>
      <c r="S193" s="264"/>
      <c r="T193" s="264"/>
      <c r="U193" s="265"/>
      <c r="V193" s="266"/>
      <c r="W193" s="266"/>
      <c r="X193" s="267"/>
      <c r="Y193" s="268"/>
      <c r="Z193" s="268"/>
      <c r="AA193" s="259"/>
      <c r="AB193" s="260"/>
      <c r="AC193" s="260"/>
      <c r="AD193" s="261"/>
      <c r="AE193" s="262"/>
      <c r="AF193" s="262"/>
      <c r="AG193" s="269"/>
      <c r="AH193" s="270"/>
      <c r="AI193" s="271"/>
      <c r="AJ193" s="272"/>
    </row>
    <row r="194" spans="1:36" x14ac:dyDescent="0.25">
      <c r="A194" s="28" t="str">
        <f>IF(H194&lt;&gt;"",MAX($A$7:A193)+1,"")</f>
        <v/>
      </c>
      <c r="B194" s="243" t="str">
        <f t="shared" si="6"/>
        <v/>
      </c>
      <c r="C194" s="158" t="str">
        <f t="shared" si="7"/>
        <v/>
      </c>
      <c r="D194" s="246"/>
      <c r="E194" s="247"/>
      <c r="F194" s="258"/>
      <c r="G194" s="248"/>
      <c r="H194" s="241"/>
      <c r="I194" s="259"/>
      <c r="J194" s="260"/>
      <c r="K194" s="260"/>
      <c r="L194" s="261"/>
      <c r="M194" s="262"/>
      <c r="N194" s="262"/>
      <c r="O194" s="261"/>
      <c r="P194" s="262"/>
      <c r="Q194" s="262"/>
      <c r="R194" s="263"/>
      <c r="S194" s="264"/>
      <c r="T194" s="264"/>
      <c r="U194" s="265"/>
      <c r="V194" s="266"/>
      <c r="W194" s="266"/>
      <c r="X194" s="267"/>
      <c r="Y194" s="268"/>
      <c r="Z194" s="268"/>
      <c r="AA194" s="259"/>
      <c r="AB194" s="260"/>
      <c r="AC194" s="260"/>
      <c r="AD194" s="261"/>
      <c r="AE194" s="262"/>
      <c r="AF194" s="262"/>
      <c r="AG194" s="269"/>
      <c r="AH194" s="270"/>
      <c r="AI194" s="271"/>
      <c r="AJ194" s="272"/>
    </row>
    <row r="195" spans="1:36" x14ac:dyDescent="0.25">
      <c r="A195" s="28" t="str">
        <f>IF(H195&lt;&gt;"",MAX($A$7:A194)+1,"")</f>
        <v/>
      </c>
      <c r="B195" s="243" t="str">
        <f t="shared" si="6"/>
        <v/>
      </c>
      <c r="C195" s="158" t="str">
        <f t="shared" si="7"/>
        <v/>
      </c>
      <c r="D195" s="246"/>
      <c r="E195" s="247"/>
      <c r="F195" s="258"/>
      <c r="G195" s="248"/>
      <c r="H195" s="241"/>
      <c r="I195" s="259"/>
      <c r="J195" s="260"/>
      <c r="K195" s="260"/>
      <c r="L195" s="261"/>
      <c r="M195" s="262"/>
      <c r="N195" s="262"/>
      <c r="O195" s="261"/>
      <c r="P195" s="262"/>
      <c r="Q195" s="262"/>
      <c r="R195" s="263"/>
      <c r="S195" s="264"/>
      <c r="T195" s="264"/>
      <c r="U195" s="265"/>
      <c r="V195" s="266"/>
      <c r="W195" s="266"/>
      <c r="X195" s="267"/>
      <c r="Y195" s="268"/>
      <c r="Z195" s="268"/>
      <c r="AA195" s="259"/>
      <c r="AB195" s="260"/>
      <c r="AC195" s="260"/>
      <c r="AD195" s="261"/>
      <c r="AE195" s="262"/>
      <c r="AF195" s="262"/>
      <c r="AG195" s="269"/>
      <c r="AH195" s="270"/>
      <c r="AI195" s="271"/>
      <c r="AJ195" s="272"/>
    </row>
    <row r="196" spans="1:36" x14ac:dyDescent="0.25">
      <c r="A196" s="28" t="str">
        <f>IF(H196&lt;&gt;"",MAX($A$7:A195)+1,"")</f>
        <v/>
      </c>
      <c r="B196" s="243" t="str">
        <f t="shared" si="6"/>
        <v/>
      </c>
      <c r="C196" s="158" t="str">
        <f t="shared" si="7"/>
        <v/>
      </c>
      <c r="D196" s="246"/>
      <c r="E196" s="247"/>
      <c r="F196" s="258"/>
      <c r="G196" s="248"/>
      <c r="H196" s="241"/>
      <c r="I196" s="259"/>
      <c r="J196" s="260"/>
      <c r="K196" s="260"/>
      <c r="L196" s="261"/>
      <c r="M196" s="262"/>
      <c r="N196" s="262"/>
      <c r="O196" s="261"/>
      <c r="P196" s="262"/>
      <c r="Q196" s="262"/>
      <c r="R196" s="263"/>
      <c r="S196" s="264"/>
      <c r="T196" s="264"/>
      <c r="U196" s="265"/>
      <c r="V196" s="266"/>
      <c r="W196" s="266"/>
      <c r="X196" s="267"/>
      <c r="Y196" s="268"/>
      <c r="Z196" s="268"/>
      <c r="AA196" s="259"/>
      <c r="AB196" s="260"/>
      <c r="AC196" s="260"/>
      <c r="AD196" s="261"/>
      <c r="AE196" s="262"/>
      <c r="AF196" s="262"/>
      <c r="AG196" s="269"/>
      <c r="AH196" s="270"/>
      <c r="AI196" s="271"/>
      <c r="AJ196" s="272"/>
    </row>
    <row r="197" spans="1:36" x14ac:dyDescent="0.25">
      <c r="A197" s="28" t="str">
        <f>IF(H197&lt;&gt;"",MAX($A$7:A196)+1,"")</f>
        <v/>
      </c>
      <c r="B197" s="243" t="str">
        <f t="shared" si="6"/>
        <v/>
      </c>
      <c r="C197" s="158" t="str">
        <f t="shared" si="7"/>
        <v/>
      </c>
      <c r="D197" s="246"/>
      <c r="E197" s="247"/>
      <c r="F197" s="258"/>
      <c r="G197" s="248"/>
      <c r="H197" s="241"/>
      <c r="I197" s="259"/>
      <c r="J197" s="260"/>
      <c r="K197" s="260"/>
      <c r="L197" s="261"/>
      <c r="M197" s="262"/>
      <c r="N197" s="262"/>
      <c r="O197" s="261"/>
      <c r="P197" s="262"/>
      <c r="Q197" s="262"/>
      <c r="R197" s="263"/>
      <c r="S197" s="264"/>
      <c r="T197" s="264"/>
      <c r="U197" s="265"/>
      <c r="V197" s="266"/>
      <c r="W197" s="266"/>
      <c r="X197" s="267"/>
      <c r="Y197" s="268"/>
      <c r="Z197" s="268"/>
      <c r="AA197" s="259"/>
      <c r="AB197" s="260"/>
      <c r="AC197" s="260"/>
      <c r="AD197" s="261"/>
      <c r="AE197" s="262"/>
      <c r="AF197" s="262"/>
      <c r="AG197" s="269"/>
      <c r="AH197" s="270"/>
      <c r="AI197" s="271"/>
      <c r="AJ197" s="272"/>
    </row>
    <row r="198" spans="1:36" x14ac:dyDescent="0.25">
      <c r="A198" s="28" t="str">
        <f>IF(H198&lt;&gt;"",MAX($A$7:A197)+1,"")</f>
        <v/>
      </c>
      <c r="B198" s="243" t="str">
        <f t="shared" si="6"/>
        <v/>
      </c>
      <c r="C198" s="158" t="str">
        <f t="shared" si="7"/>
        <v/>
      </c>
      <c r="D198" s="246"/>
      <c r="E198" s="247"/>
      <c r="F198" s="258"/>
      <c r="G198" s="248"/>
      <c r="H198" s="241"/>
      <c r="I198" s="259"/>
      <c r="J198" s="260"/>
      <c r="K198" s="260"/>
      <c r="L198" s="261"/>
      <c r="M198" s="262"/>
      <c r="N198" s="262"/>
      <c r="O198" s="261"/>
      <c r="P198" s="262"/>
      <c r="Q198" s="262"/>
      <c r="R198" s="263"/>
      <c r="S198" s="264"/>
      <c r="T198" s="264"/>
      <c r="U198" s="265"/>
      <c r="V198" s="266"/>
      <c r="W198" s="266"/>
      <c r="X198" s="267"/>
      <c r="Y198" s="268"/>
      <c r="Z198" s="268"/>
      <c r="AA198" s="259"/>
      <c r="AB198" s="260"/>
      <c r="AC198" s="260"/>
      <c r="AD198" s="261"/>
      <c r="AE198" s="262"/>
      <c r="AF198" s="262"/>
      <c r="AG198" s="269"/>
      <c r="AH198" s="270"/>
      <c r="AI198" s="271"/>
      <c r="AJ198" s="272"/>
    </row>
    <row r="199" spans="1:36" x14ac:dyDescent="0.25">
      <c r="A199" s="28" t="str">
        <f>IF(H199&lt;&gt;"",MAX($A$7:A198)+1,"")</f>
        <v/>
      </c>
      <c r="B199" s="243" t="str">
        <f t="shared" ref="B199:B262" si="8">IF(A199="","",PREF_PREGUNTA&amp;" - "&amp;IF(MAX($A$7:$A$156)&gt;99,IF(A199&lt;100,"0",""),"")&amp;IF(A199&lt;10,"0","")&amp;A199&amp;IF(G199&lt;&gt;""," "&amp;G199,""))</f>
        <v/>
      </c>
      <c r="C199" s="158" t="str">
        <f t="shared" ref="C199:C262" si="9">IF(COUNTA(I199:N199)-D199=0,"",COUNTA(I199:N199)-D199)</f>
        <v/>
      </c>
      <c r="D199" s="246"/>
      <c r="E199" s="247"/>
      <c r="F199" s="258"/>
      <c r="G199" s="248"/>
      <c r="H199" s="241"/>
      <c r="I199" s="259"/>
      <c r="J199" s="260"/>
      <c r="K199" s="260"/>
      <c r="L199" s="261"/>
      <c r="M199" s="262"/>
      <c r="N199" s="262"/>
      <c r="O199" s="261"/>
      <c r="P199" s="262"/>
      <c r="Q199" s="262"/>
      <c r="R199" s="263"/>
      <c r="S199" s="264"/>
      <c r="T199" s="264"/>
      <c r="U199" s="265"/>
      <c r="V199" s="266"/>
      <c r="W199" s="266"/>
      <c r="X199" s="267"/>
      <c r="Y199" s="268"/>
      <c r="Z199" s="268"/>
      <c r="AA199" s="259"/>
      <c r="AB199" s="260"/>
      <c r="AC199" s="260"/>
      <c r="AD199" s="261"/>
      <c r="AE199" s="262"/>
      <c r="AF199" s="262"/>
      <c r="AG199" s="269"/>
      <c r="AH199" s="270"/>
      <c r="AI199" s="271"/>
      <c r="AJ199" s="272"/>
    </row>
    <row r="200" spans="1:36" x14ac:dyDescent="0.25">
      <c r="A200" s="28" t="str">
        <f>IF(H200&lt;&gt;"",MAX($A$7:A199)+1,"")</f>
        <v/>
      </c>
      <c r="B200" s="243" t="str">
        <f t="shared" si="8"/>
        <v/>
      </c>
      <c r="C200" s="158" t="str">
        <f t="shared" si="9"/>
        <v/>
      </c>
      <c r="D200" s="246"/>
      <c r="E200" s="247"/>
      <c r="F200" s="258"/>
      <c r="G200" s="248"/>
      <c r="H200" s="241"/>
      <c r="I200" s="259"/>
      <c r="J200" s="260"/>
      <c r="K200" s="260"/>
      <c r="L200" s="261"/>
      <c r="M200" s="262"/>
      <c r="N200" s="262"/>
      <c r="O200" s="261"/>
      <c r="P200" s="262"/>
      <c r="Q200" s="262"/>
      <c r="R200" s="263"/>
      <c r="S200" s="264"/>
      <c r="T200" s="264"/>
      <c r="U200" s="265"/>
      <c r="V200" s="266"/>
      <c r="W200" s="266"/>
      <c r="X200" s="267"/>
      <c r="Y200" s="268"/>
      <c r="Z200" s="268"/>
      <c r="AA200" s="259"/>
      <c r="AB200" s="260"/>
      <c r="AC200" s="260"/>
      <c r="AD200" s="261"/>
      <c r="AE200" s="262"/>
      <c r="AF200" s="262"/>
      <c r="AG200" s="269"/>
      <c r="AH200" s="270"/>
      <c r="AI200" s="271"/>
      <c r="AJ200" s="272"/>
    </row>
    <row r="201" spans="1:36" x14ac:dyDescent="0.25">
      <c r="A201" s="28" t="str">
        <f>IF(H201&lt;&gt;"",MAX($A$7:A200)+1,"")</f>
        <v/>
      </c>
      <c r="B201" s="243" t="str">
        <f t="shared" si="8"/>
        <v/>
      </c>
      <c r="C201" s="158" t="str">
        <f t="shared" si="9"/>
        <v/>
      </c>
      <c r="D201" s="246"/>
      <c r="E201" s="247"/>
      <c r="F201" s="258"/>
      <c r="G201" s="248"/>
      <c r="H201" s="241"/>
      <c r="I201" s="259"/>
      <c r="J201" s="260"/>
      <c r="K201" s="260"/>
      <c r="L201" s="261"/>
      <c r="M201" s="262"/>
      <c r="N201" s="262"/>
      <c r="O201" s="261"/>
      <c r="P201" s="262"/>
      <c r="Q201" s="262"/>
      <c r="R201" s="263"/>
      <c r="S201" s="264"/>
      <c r="T201" s="264"/>
      <c r="U201" s="265"/>
      <c r="V201" s="266"/>
      <c r="W201" s="266"/>
      <c r="X201" s="267"/>
      <c r="Y201" s="268"/>
      <c r="Z201" s="268"/>
      <c r="AA201" s="259"/>
      <c r="AB201" s="260"/>
      <c r="AC201" s="260"/>
      <c r="AD201" s="261"/>
      <c r="AE201" s="262"/>
      <c r="AF201" s="262"/>
      <c r="AG201" s="269"/>
      <c r="AH201" s="270"/>
      <c r="AI201" s="271"/>
      <c r="AJ201" s="272"/>
    </row>
    <row r="202" spans="1:36" x14ac:dyDescent="0.25">
      <c r="A202" s="28" t="str">
        <f>IF(H202&lt;&gt;"",MAX($A$7:A201)+1,"")</f>
        <v/>
      </c>
      <c r="B202" s="243" t="str">
        <f t="shared" si="8"/>
        <v/>
      </c>
      <c r="C202" s="158" t="str">
        <f t="shared" si="9"/>
        <v/>
      </c>
      <c r="D202" s="246"/>
      <c r="E202" s="247"/>
      <c r="F202" s="258"/>
      <c r="G202" s="248"/>
      <c r="H202" s="241"/>
      <c r="I202" s="259"/>
      <c r="J202" s="260"/>
      <c r="K202" s="260"/>
      <c r="L202" s="261"/>
      <c r="M202" s="262"/>
      <c r="N202" s="262"/>
      <c r="O202" s="261"/>
      <c r="P202" s="262"/>
      <c r="Q202" s="262"/>
      <c r="R202" s="263"/>
      <c r="S202" s="264"/>
      <c r="T202" s="264"/>
      <c r="U202" s="265"/>
      <c r="V202" s="266"/>
      <c r="W202" s="266"/>
      <c r="X202" s="267"/>
      <c r="Y202" s="268"/>
      <c r="Z202" s="268"/>
      <c r="AA202" s="259"/>
      <c r="AB202" s="260"/>
      <c r="AC202" s="260"/>
      <c r="AD202" s="261"/>
      <c r="AE202" s="262"/>
      <c r="AF202" s="262"/>
      <c r="AG202" s="269"/>
      <c r="AH202" s="270"/>
      <c r="AI202" s="271"/>
      <c r="AJ202" s="272"/>
    </row>
    <row r="203" spans="1:36" x14ac:dyDescent="0.25">
      <c r="A203" s="28" t="str">
        <f>IF(H203&lt;&gt;"",MAX($A$7:A202)+1,"")</f>
        <v/>
      </c>
      <c r="B203" s="243" t="str">
        <f t="shared" si="8"/>
        <v/>
      </c>
      <c r="C203" s="158" t="str">
        <f t="shared" si="9"/>
        <v/>
      </c>
      <c r="D203" s="246"/>
      <c r="E203" s="247"/>
      <c r="F203" s="258"/>
      <c r="G203" s="248"/>
      <c r="H203" s="241"/>
      <c r="I203" s="259"/>
      <c r="J203" s="260"/>
      <c r="K203" s="260"/>
      <c r="L203" s="261"/>
      <c r="M203" s="262"/>
      <c r="N203" s="262"/>
      <c r="O203" s="261"/>
      <c r="P203" s="262"/>
      <c r="Q203" s="262"/>
      <c r="R203" s="263"/>
      <c r="S203" s="264"/>
      <c r="T203" s="264"/>
      <c r="U203" s="265"/>
      <c r="V203" s="266"/>
      <c r="W203" s="266"/>
      <c r="X203" s="267"/>
      <c r="Y203" s="268"/>
      <c r="Z203" s="268"/>
      <c r="AA203" s="259"/>
      <c r="AB203" s="260"/>
      <c r="AC203" s="260"/>
      <c r="AD203" s="261"/>
      <c r="AE203" s="262"/>
      <c r="AF203" s="262"/>
      <c r="AG203" s="269"/>
      <c r="AH203" s="270"/>
      <c r="AI203" s="271"/>
      <c r="AJ203" s="272"/>
    </row>
    <row r="204" spans="1:36" x14ac:dyDescent="0.25">
      <c r="A204" s="28" t="str">
        <f>IF(H204&lt;&gt;"",MAX($A$7:A203)+1,"")</f>
        <v/>
      </c>
      <c r="B204" s="243" t="str">
        <f t="shared" si="8"/>
        <v/>
      </c>
      <c r="C204" s="158" t="str">
        <f t="shared" si="9"/>
        <v/>
      </c>
      <c r="D204" s="246"/>
      <c r="E204" s="247"/>
      <c r="F204" s="258"/>
      <c r="G204" s="248"/>
      <c r="H204" s="241"/>
      <c r="I204" s="259"/>
      <c r="J204" s="260"/>
      <c r="K204" s="260"/>
      <c r="L204" s="261"/>
      <c r="M204" s="262"/>
      <c r="N204" s="262"/>
      <c r="O204" s="261"/>
      <c r="P204" s="262"/>
      <c r="Q204" s="262"/>
      <c r="R204" s="263"/>
      <c r="S204" s="264"/>
      <c r="T204" s="264"/>
      <c r="U204" s="265"/>
      <c r="V204" s="266"/>
      <c r="W204" s="266"/>
      <c r="X204" s="267"/>
      <c r="Y204" s="268"/>
      <c r="Z204" s="268"/>
      <c r="AA204" s="259"/>
      <c r="AB204" s="260"/>
      <c r="AC204" s="260"/>
      <c r="AD204" s="261"/>
      <c r="AE204" s="262"/>
      <c r="AF204" s="262"/>
      <c r="AG204" s="269"/>
      <c r="AH204" s="270"/>
      <c r="AI204" s="271"/>
      <c r="AJ204" s="272"/>
    </row>
    <row r="205" spans="1:36" x14ac:dyDescent="0.25">
      <c r="A205" s="28" t="str">
        <f>IF(H205&lt;&gt;"",MAX($A$7:A204)+1,"")</f>
        <v/>
      </c>
      <c r="B205" s="243" t="str">
        <f t="shared" si="8"/>
        <v/>
      </c>
      <c r="C205" s="158" t="str">
        <f t="shared" si="9"/>
        <v/>
      </c>
      <c r="D205" s="246"/>
      <c r="E205" s="247"/>
      <c r="F205" s="258"/>
      <c r="G205" s="248"/>
      <c r="H205" s="241"/>
      <c r="I205" s="259"/>
      <c r="J205" s="260"/>
      <c r="K205" s="260"/>
      <c r="L205" s="261"/>
      <c r="M205" s="262"/>
      <c r="N205" s="262"/>
      <c r="O205" s="261"/>
      <c r="P205" s="262"/>
      <c r="Q205" s="262"/>
      <c r="R205" s="263"/>
      <c r="S205" s="264"/>
      <c r="T205" s="264"/>
      <c r="U205" s="265"/>
      <c r="V205" s="266"/>
      <c r="W205" s="266"/>
      <c r="X205" s="267"/>
      <c r="Y205" s="268"/>
      <c r="Z205" s="268"/>
      <c r="AA205" s="259"/>
      <c r="AB205" s="260"/>
      <c r="AC205" s="260"/>
      <c r="AD205" s="261"/>
      <c r="AE205" s="262"/>
      <c r="AF205" s="262"/>
      <c r="AG205" s="269"/>
      <c r="AH205" s="270"/>
      <c r="AI205" s="271"/>
      <c r="AJ205" s="272"/>
    </row>
    <row r="206" spans="1:36" x14ac:dyDescent="0.25">
      <c r="A206" s="28" t="str">
        <f>IF(H206&lt;&gt;"",MAX($A$7:A205)+1,"")</f>
        <v/>
      </c>
      <c r="B206" s="243" t="str">
        <f t="shared" si="8"/>
        <v/>
      </c>
      <c r="C206" s="158" t="str">
        <f t="shared" si="9"/>
        <v/>
      </c>
      <c r="D206" s="246"/>
      <c r="E206" s="247"/>
      <c r="F206" s="258"/>
      <c r="G206" s="248"/>
      <c r="H206" s="241"/>
      <c r="I206" s="259"/>
      <c r="J206" s="260"/>
      <c r="K206" s="260"/>
      <c r="L206" s="261"/>
      <c r="M206" s="262"/>
      <c r="N206" s="262"/>
      <c r="O206" s="261"/>
      <c r="P206" s="262"/>
      <c r="Q206" s="262"/>
      <c r="R206" s="263"/>
      <c r="S206" s="264"/>
      <c r="T206" s="264"/>
      <c r="U206" s="265"/>
      <c r="V206" s="266"/>
      <c r="W206" s="266"/>
      <c r="X206" s="267"/>
      <c r="Y206" s="268"/>
      <c r="Z206" s="268"/>
      <c r="AA206" s="259"/>
      <c r="AB206" s="260"/>
      <c r="AC206" s="260"/>
      <c r="AD206" s="261"/>
      <c r="AE206" s="262"/>
      <c r="AF206" s="262"/>
      <c r="AG206" s="269"/>
      <c r="AH206" s="270"/>
      <c r="AI206" s="271"/>
      <c r="AJ206" s="272"/>
    </row>
    <row r="207" spans="1:36" x14ac:dyDescent="0.25">
      <c r="A207" s="28" t="str">
        <f>IF(H207&lt;&gt;"",MAX($A$7:A206)+1,"")</f>
        <v/>
      </c>
      <c r="B207" s="243" t="str">
        <f t="shared" si="8"/>
        <v/>
      </c>
      <c r="C207" s="158" t="str">
        <f t="shared" si="9"/>
        <v/>
      </c>
      <c r="D207" s="246"/>
      <c r="E207" s="247"/>
      <c r="F207" s="258"/>
      <c r="G207" s="248"/>
      <c r="H207" s="241"/>
      <c r="I207" s="259"/>
      <c r="J207" s="260"/>
      <c r="K207" s="260"/>
      <c r="L207" s="261"/>
      <c r="M207" s="262"/>
      <c r="N207" s="262"/>
      <c r="O207" s="261"/>
      <c r="P207" s="262"/>
      <c r="Q207" s="262"/>
      <c r="R207" s="263"/>
      <c r="S207" s="264"/>
      <c r="T207" s="264"/>
      <c r="U207" s="265"/>
      <c r="V207" s="266"/>
      <c r="W207" s="266"/>
      <c r="X207" s="267"/>
      <c r="Y207" s="268"/>
      <c r="Z207" s="268"/>
      <c r="AA207" s="259"/>
      <c r="AB207" s="260"/>
      <c r="AC207" s="260"/>
      <c r="AD207" s="261"/>
      <c r="AE207" s="262"/>
      <c r="AF207" s="262"/>
      <c r="AG207" s="269"/>
      <c r="AH207" s="270"/>
      <c r="AI207" s="271"/>
      <c r="AJ207" s="272"/>
    </row>
    <row r="208" spans="1:36" x14ac:dyDescent="0.25">
      <c r="A208" s="28" t="str">
        <f>IF(H208&lt;&gt;"",MAX($A$7:A207)+1,"")</f>
        <v/>
      </c>
      <c r="B208" s="243" t="str">
        <f t="shared" si="8"/>
        <v/>
      </c>
      <c r="C208" s="158" t="str">
        <f t="shared" si="9"/>
        <v/>
      </c>
      <c r="D208" s="246"/>
      <c r="E208" s="247"/>
      <c r="F208" s="258"/>
      <c r="G208" s="248"/>
      <c r="H208" s="241"/>
      <c r="I208" s="259"/>
      <c r="J208" s="260"/>
      <c r="K208" s="260"/>
      <c r="L208" s="261"/>
      <c r="M208" s="262"/>
      <c r="N208" s="262"/>
      <c r="O208" s="261"/>
      <c r="P208" s="262"/>
      <c r="Q208" s="262"/>
      <c r="R208" s="263"/>
      <c r="S208" s="264"/>
      <c r="T208" s="264"/>
      <c r="U208" s="265"/>
      <c r="V208" s="266"/>
      <c r="W208" s="266"/>
      <c r="X208" s="267"/>
      <c r="Y208" s="268"/>
      <c r="Z208" s="268"/>
      <c r="AA208" s="259"/>
      <c r="AB208" s="260"/>
      <c r="AC208" s="260"/>
      <c r="AD208" s="261"/>
      <c r="AE208" s="262"/>
      <c r="AF208" s="262"/>
      <c r="AG208" s="269"/>
      <c r="AH208" s="270"/>
      <c r="AI208" s="271"/>
      <c r="AJ208" s="272"/>
    </row>
    <row r="209" spans="1:36" x14ac:dyDescent="0.25">
      <c r="A209" s="28" t="str">
        <f>IF(H209&lt;&gt;"",MAX($A$7:A208)+1,"")</f>
        <v/>
      </c>
      <c r="B209" s="243" t="str">
        <f t="shared" si="8"/>
        <v/>
      </c>
      <c r="C209" s="158" t="str">
        <f t="shared" si="9"/>
        <v/>
      </c>
      <c r="D209" s="246"/>
      <c r="E209" s="247"/>
      <c r="F209" s="258"/>
      <c r="G209" s="248"/>
      <c r="H209" s="241"/>
      <c r="I209" s="259"/>
      <c r="J209" s="260"/>
      <c r="K209" s="260"/>
      <c r="L209" s="261"/>
      <c r="M209" s="262"/>
      <c r="N209" s="262"/>
      <c r="O209" s="261"/>
      <c r="P209" s="262"/>
      <c r="Q209" s="262"/>
      <c r="R209" s="263"/>
      <c r="S209" s="264"/>
      <c r="T209" s="264"/>
      <c r="U209" s="265"/>
      <c r="V209" s="266"/>
      <c r="W209" s="266"/>
      <c r="X209" s="267"/>
      <c r="Y209" s="268"/>
      <c r="Z209" s="268"/>
      <c r="AA209" s="259"/>
      <c r="AB209" s="260"/>
      <c r="AC209" s="260"/>
      <c r="AD209" s="261"/>
      <c r="AE209" s="262"/>
      <c r="AF209" s="262"/>
      <c r="AG209" s="269"/>
      <c r="AH209" s="270"/>
      <c r="AI209" s="271"/>
      <c r="AJ209" s="272"/>
    </row>
    <row r="210" spans="1:36" x14ac:dyDescent="0.25">
      <c r="A210" s="28" t="str">
        <f>IF(H210&lt;&gt;"",MAX($A$7:A209)+1,"")</f>
        <v/>
      </c>
      <c r="B210" s="243" t="str">
        <f t="shared" si="8"/>
        <v/>
      </c>
      <c r="C210" s="158" t="str">
        <f t="shared" si="9"/>
        <v/>
      </c>
      <c r="D210" s="246"/>
      <c r="E210" s="247"/>
      <c r="F210" s="258"/>
      <c r="G210" s="248"/>
      <c r="H210" s="241"/>
      <c r="I210" s="259"/>
      <c r="J210" s="260"/>
      <c r="K210" s="260"/>
      <c r="L210" s="261"/>
      <c r="M210" s="262"/>
      <c r="N210" s="262"/>
      <c r="O210" s="261"/>
      <c r="P210" s="262"/>
      <c r="Q210" s="262"/>
      <c r="R210" s="263"/>
      <c r="S210" s="264"/>
      <c r="T210" s="264"/>
      <c r="U210" s="265"/>
      <c r="V210" s="266"/>
      <c r="W210" s="266"/>
      <c r="X210" s="267"/>
      <c r="Y210" s="268"/>
      <c r="Z210" s="268"/>
      <c r="AA210" s="259"/>
      <c r="AB210" s="260"/>
      <c r="AC210" s="260"/>
      <c r="AD210" s="261"/>
      <c r="AE210" s="262"/>
      <c r="AF210" s="262"/>
      <c r="AG210" s="269"/>
      <c r="AH210" s="270"/>
      <c r="AI210" s="271"/>
      <c r="AJ210" s="272"/>
    </row>
    <row r="211" spans="1:36" x14ac:dyDescent="0.25">
      <c r="A211" s="28" t="str">
        <f>IF(H211&lt;&gt;"",MAX($A$7:A210)+1,"")</f>
        <v/>
      </c>
      <c r="B211" s="243" t="str">
        <f t="shared" si="8"/>
        <v/>
      </c>
      <c r="C211" s="158" t="str">
        <f t="shared" si="9"/>
        <v/>
      </c>
      <c r="D211" s="246"/>
      <c r="E211" s="247"/>
      <c r="F211" s="258"/>
      <c r="G211" s="248"/>
      <c r="H211" s="241"/>
      <c r="I211" s="259"/>
      <c r="J211" s="260"/>
      <c r="K211" s="260"/>
      <c r="L211" s="261"/>
      <c r="M211" s="262"/>
      <c r="N211" s="262"/>
      <c r="O211" s="261"/>
      <c r="P211" s="262"/>
      <c r="Q211" s="262"/>
      <c r="R211" s="263"/>
      <c r="S211" s="264"/>
      <c r="T211" s="264"/>
      <c r="U211" s="265"/>
      <c r="V211" s="266"/>
      <c r="W211" s="266"/>
      <c r="X211" s="267"/>
      <c r="Y211" s="268"/>
      <c r="Z211" s="268"/>
      <c r="AA211" s="259"/>
      <c r="AB211" s="260"/>
      <c r="AC211" s="260"/>
      <c r="AD211" s="261"/>
      <c r="AE211" s="262"/>
      <c r="AF211" s="262"/>
      <c r="AG211" s="269"/>
      <c r="AH211" s="270"/>
      <c r="AI211" s="271"/>
      <c r="AJ211" s="272"/>
    </row>
    <row r="212" spans="1:36" x14ac:dyDescent="0.25">
      <c r="A212" s="28" t="str">
        <f>IF(H212&lt;&gt;"",MAX($A$7:A211)+1,"")</f>
        <v/>
      </c>
      <c r="B212" s="243" t="str">
        <f t="shared" si="8"/>
        <v/>
      </c>
      <c r="C212" s="158" t="str">
        <f t="shared" si="9"/>
        <v/>
      </c>
      <c r="D212" s="246"/>
      <c r="E212" s="247"/>
      <c r="F212" s="258"/>
      <c r="G212" s="248"/>
      <c r="H212" s="241"/>
      <c r="I212" s="259"/>
      <c r="J212" s="260"/>
      <c r="K212" s="260"/>
      <c r="L212" s="261"/>
      <c r="M212" s="262"/>
      <c r="N212" s="262"/>
      <c r="O212" s="261"/>
      <c r="P212" s="262"/>
      <c r="Q212" s="262"/>
      <c r="R212" s="263"/>
      <c r="S212" s="264"/>
      <c r="T212" s="264"/>
      <c r="U212" s="265"/>
      <c r="V212" s="266"/>
      <c r="W212" s="266"/>
      <c r="X212" s="267"/>
      <c r="Y212" s="268"/>
      <c r="Z212" s="268"/>
      <c r="AA212" s="259"/>
      <c r="AB212" s="260"/>
      <c r="AC212" s="260"/>
      <c r="AD212" s="261"/>
      <c r="AE212" s="262"/>
      <c r="AF212" s="262"/>
      <c r="AG212" s="269"/>
      <c r="AH212" s="270"/>
      <c r="AI212" s="271"/>
      <c r="AJ212" s="272"/>
    </row>
    <row r="213" spans="1:36" x14ac:dyDescent="0.25">
      <c r="A213" s="28" t="str">
        <f>IF(H213&lt;&gt;"",MAX($A$7:A212)+1,"")</f>
        <v/>
      </c>
      <c r="B213" s="243" t="str">
        <f t="shared" si="8"/>
        <v/>
      </c>
      <c r="C213" s="158" t="str">
        <f t="shared" si="9"/>
        <v/>
      </c>
      <c r="D213" s="246"/>
      <c r="E213" s="247"/>
      <c r="F213" s="258"/>
      <c r="G213" s="248"/>
      <c r="H213" s="241"/>
      <c r="I213" s="259"/>
      <c r="J213" s="260"/>
      <c r="K213" s="260"/>
      <c r="L213" s="261"/>
      <c r="M213" s="262"/>
      <c r="N213" s="262"/>
      <c r="O213" s="261"/>
      <c r="P213" s="262"/>
      <c r="Q213" s="262"/>
      <c r="R213" s="263"/>
      <c r="S213" s="264"/>
      <c r="T213" s="264"/>
      <c r="U213" s="265"/>
      <c r="V213" s="266"/>
      <c r="W213" s="266"/>
      <c r="X213" s="267"/>
      <c r="Y213" s="268"/>
      <c r="Z213" s="268"/>
      <c r="AA213" s="259"/>
      <c r="AB213" s="260"/>
      <c r="AC213" s="260"/>
      <c r="AD213" s="261"/>
      <c r="AE213" s="262"/>
      <c r="AF213" s="262"/>
      <c r="AG213" s="269"/>
      <c r="AH213" s="270"/>
      <c r="AI213" s="271"/>
      <c r="AJ213" s="272"/>
    </row>
    <row r="214" spans="1:36" x14ac:dyDescent="0.25">
      <c r="A214" s="28" t="str">
        <f>IF(H214&lt;&gt;"",MAX($A$7:A213)+1,"")</f>
        <v/>
      </c>
      <c r="B214" s="243" t="str">
        <f t="shared" si="8"/>
        <v/>
      </c>
      <c r="C214" s="158" t="str">
        <f t="shared" si="9"/>
        <v/>
      </c>
      <c r="D214" s="246"/>
      <c r="E214" s="247"/>
      <c r="F214" s="258"/>
      <c r="G214" s="248"/>
      <c r="H214" s="241"/>
      <c r="I214" s="259"/>
      <c r="J214" s="260"/>
      <c r="K214" s="260"/>
      <c r="L214" s="261"/>
      <c r="M214" s="262"/>
      <c r="N214" s="262"/>
      <c r="O214" s="261"/>
      <c r="P214" s="262"/>
      <c r="Q214" s="262"/>
      <c r="R214" s="263"/>
      <c r="S214" s="264"/>
      <c r="T214" s="264"/>
      <c r="U214" s="265"/>
      <c r="V214" s="266"/>
      <c r="W214" s="266"/>
      <c r="X214" s="267"/>
      <c r="Y214" s="268"/>
      <c r="Z214" s="268"/>
      <c r="AA214" s="259"/>
      <c r="AB214" s="260"/>
      <c r="AC214" s="260"/>
      <c r="AD214" s="261"/>
      <c r="AE214" s="262"/>
      <c r="AF214" s="262"/>
      <c r="AG214" s="269"/>
      <c r="AH214" s="270"/>
      <c r="AI214" s="271"/>
      <c r="AJ214" s="272"/>
    </row>
    <row r="215" spans="1:36" x14ac:dyDescent="0.25">
      <c r="A215" s="28" t="str">
        <f>IF(H215&lt;&gt;"",MAX($A$7:A214)+1,"")</f>
        <v/>
      </c>
      <c r="B215" s="243" t="str">
        <f t="shared" si="8"/>
        <v/>
      </c>
      <c r="C215" s="158" t="str">
        <f t="shared" si="9"/>
        <v/>
      </c>
      <c r="D215" s="246"/>
      <c r="E215" s="247"/>
      <c r="F215" s="258"/>
      <c r="G215" s="248"/>
      <c r="H215" s="241"/>
      <c r="I215" s="259"/>
      <c r="J215" s="260"/>
      <c r="K215" s="260"/>
      <c r="L215" s="261"/>
      <c r="M215" s="262"/>
      <c r="N215" s="262"/>
      <c r="O215" s="261"/>
      <c r="P215" s="262"/>
      <c r="Q215" s="262"/>
      <c r="R215" s="263"/>
      <c r="S215" s="264"/>
      <c r="T215" s="264"/>
      <c r="U215" s="265"/>
      <c r="V215" s="266"/>
      <c r="W215" s="266"/>
      <c r="X215" s="267"/>
      <c r="Y215" s="268"/>
      <c r="Z215" s="268"/>
      <c r="AA215" s="259"/>
      <c r="AB215" s="260"/>
      <c r="AC215" s="260"/>
      <c r="AD215" s="261"/>
      <c r="AE215" s="262"/>
      <c r="AF215" s="262"/>
      <c r="AG215" s="269"/>
      <c r="AH215" s="270"/>
      <c r="AI215" s="271"/>
      <c r="AJ215" s="272"/>
    </row>
    <row r="216" spans="1:36" x14ac:dyDescent="0.25">
      <c r="A216" s="28" t="str">
        <f>IF(H216&lt;&gt;"",MAX($A$7:A215)+1,"")</f>
        <v/>
      </c>
      <c r="B216" s="243" t="str">
        <f t="shared" si="8"/>
        <v/>
      </c>
      <c r="C216" s="158" t="str">
        <f t="shared" si="9"/>
        <v/>
      </c>
      <c r="D216" s="246"/>
      <c r="E216" s="247"/>
      <c r="F216" s="258"/>
      <c r="G216" s="248"/>
      <c r="H216" s="241"/>
      <c r="I216" s="259"/>
      <c r="J216" s="260"/>
      <c r="K216" s="260"/>
      <c r="L216" s="261"/>
      <c r="M216" s="262"/>
      <c r="N216" s="262"/>
      <c r="O216" s="261"/>
      <c r="P216" s="262"/>
      <c r="Q216" s="262"/>
      <c r="R216" s="263"/>
      <c r="S216" s="264"/>
      <c r="T216" s="264"/>
      <c r="U216" s="265"/>
      <c r="V216" s="266"/>
      <c r="W216" s="266"/>
      <c r="X216" s="267"/>
      <c r="Y216" s="268"/>
      <c r="Z216" s="268"/>
      <c r="AA216" s="259"/>
      <c r="AB216" s="260"/>
      <c r="AC216" s="260"/>
      <c r="AD216" s="261"/>
      <c r="AE216" s="262"/>
      <c r="AF216" s="262"/>
      <c r="AG216" s="269"/>
      <c r="AH216" s="270"/>
      <c r="AI216" s="271"/>
      <c r="AJ216" s="272"/>
    </row>
    <row r="217" spans="1:36" x14ac:dyDescent="0.25">
      <c r="A217" s="28" t="str">
        <f>IF(H217&lt;&gt;"",MAX($A$7:A216)+1,"")</f>
        <v/>
      </c>
      <c r="B217" s="243" t="str">
        <f t="shared" si="8"/>
        <v/>
      </c>
      <c r="C217" s="158" t="str">
        <f t="shared" si="9"/>
        <v/>
      </c>
      <c r="D217" s="246"/>
      <c r="E217" s="247"/>
      <c r="F217" s="258"/>
      <c r="G217" s="248"/>
      <c r="H217" s="241"/>
      <c r="I217" s="259"/>
      <c r="J217" s="260"/>
      <c r="K217" s="260"/>
      <c r="L217" s="261"/>
      <c r="M217" s="262"/>
      <c r="N217" s="262"/>
      <c r="O217" s="261"/>
      <c r="P217" s="262"/>
      <c r="Q217" s="262"/>
      <c r="R217" s="263"/>
      <c r="S217" s="264"/>
      <c r="T217" s="264"/>
      <c r="U217" s="265"/>
      <c r="V217" s="266"/>
      <c r="W217" s="266"/>
      <c r="X217" s="267"/>
      <c r="Y217" s="268"/>
      <c r="Z217" s="268"/>
      <c r="AA217" s="259"/>
      <c r="AB217" s="260"/>
      <c r="AC217" s="260"/>
      <c r="AD217" s="261"/>
      <c r="AE217" s="262"/>
      <c r="AF217" s="262"/>
      <c r="AG217" s="269"/>
      <c r="AH217" s="270"/>
      <c r="AI217" s="271"/>
      <c r="AJ217" s="272"/>
    </row>
    <row r="218" spans="1:36" x14ac:dyDescent="0.25">
      <c r="A218" s="28" t="str">
        <f>IF(H218&lt;&gt;"",MAX($A$7:A217)+1,"")</f>
        <v/>
      </c>
      <c r="B218" s="243" t="str">
        <f t="shared" si="8"/>
        <v/>
      </c>
      <c r="C218" s="158" t="str">
        <f t="shared" si="9"/>
        <v/>
      </c>
      <c r="D218" s="246"/>
      <c r="E218" s="247"/>
      <c r="F218" s="258"/>
      <c r="G218" s="248"/>
      <c r="H218" s="241"/>
      <c r="I218" s="259"/>
      <c r="J218" s="260"/>
      <c r="K218" s="260"/>
      <c r="L218" s="261"/>
      <c r="M218" s="262"/>
      <c r="N218" s="262"/>
      <c r="O218" s="261"/>
      <c r="P218" s="262"/>
      <c r="Q218" s="262"/>
      <c r="R218" s="263"/>
      <c r="S218" s="264"/>
      <c r="T218" s="264"/>
      <c r="U218" s="265"/>
      <c r="V218" s="266"/>
      <c r="W218" s="266"/>
      <c r="X218" s="267"/>
      <c r="Y218" s="268"/>
      <c r="Z218" s="268"/>
      <c r="AA218" s="259"/>
      <c r="AB218" s="260"/>
      <c r="AC218" s="260"/>
      <c r="AD218" s="261"/>
      <c r="AE218" s="262"/>
      <c r="AF218" s="262"/>
      <c r="AG218" s="269"/>
      <c r="AH218" s="270"/>
      <c r="AI218" s="271"/>
      <c r="AJ218" s="272"/>
    </row>
    <row r="219" spans="1:36" x14ac:dyDescent="0.25">
      <c r="A219" s="28" t="str">
        <f>IF(H219&lt;&gt;"",MAX($A$7:A218)+1,"")</f>
        <v/>
      </c>
      <c r="B219" s="243" t="str">
        <f t="shared" si="8"/>
        <v/>
      </c>
      <c r="C219" s="158" t="str">
        <f t="shared" si="9"/>
        <v/>
      </c>
      <c r="D219" s="246"/>
      <c r="E219" s="247"/>
      <c r="F219" s="258"/>
      <c r="G219" s="248"/>
      <c r="H219" s="241"/>
      <c r="I219" s="259"/>
      <c r="J219" s="260"/>
      <c r="K219" s="260"/>
      <c r="L219" s="261"/>
      <c r="M219" s="262"/>
      <c r="N219" s="262"/>
      <c r="O219" s="261"/>
      <c r="P219" s="262"/>
      <c r="Q219" s="262"/>
      <c r="R219" s="263"/>
      <c r="S219" s="264"/>
      <c r="T219" s="264"/>
      <c r="U219" s="265"/>
      <c r="V219" s="266"/>
      <c r="W219" s="266"/>
      <c r="X219" s="267"/>
      <c r="Y219" s="268"/>
      <c r="Z219" s="268"/>
      <c r="AA219" s="259"/>
      <c r="AB219" s="260"/>
      <c r="AC219" s="260"/>
      <c r="AD219" s="261"/>
      <c r="AE219" s="262"/>
      <c r="AF219" s="262"/>
      <c r="AG219" s="269"/>
      <c r="AH219" s="270"/>
      <c r="AI219" s="271"/>
      <c r="AJ219" s="272"/>
    </row>
    <row r="220" spans="1:36" x14ac:dyDescent="0.25">
      <c r="A220" s="28" t="str">
        <f>IF(H220&lt;&gt;"",MAX($A$7:A219)+1,"")</f>
        <v/>
      </c>
      <c r="B220" s="243" t="str">
        <f t="shared" si="8"/>
        <v/>
      </c>
      <c r="C220" s="158" t="str">
        <f t="shared" si="9"/>
        <v/>
      </c>
      <c r="D220" s="246"/>
      <c r="E220" s="247"/>
      <c r="F220" s="258"/>
      <c r="G220" s="248"/>
      <c r="H220" s="241"/>
      <c r="I220" s="259"/>
      <c r="J220" s="260"/>
      <c r="K220" s="260"/>
      <c r="L220" s="261"/>
      <c r="M220" s="262"/>
      <c r="N220" s="262"/>
      <c r="O220" s="261"/>
      <c r="P220" s="262"/>
      <c r="Q220" s="262"/>
      <c r="R220" s="263"/>
      <c r="S220" s="264"/>
      <c r="T220" s="264"/>
      <c r="U220" s="265"/>
      <c r="V220" s="266"/>
      <c r="W220" s="266"/>
      <c r="X220" s="267"/>
      <c r="Y220" s="268"/>
      <c r="Z220" s="268"/>
      <c r="AA220" s="259"/>
      <c r="AB220" s="260"/>
      <c r="AC220" s="260"/>
      <c r="AD220" s="261"/>
      <c r="AE220" s="262"/>
      <c r="AF220" s="262"/>
      <c r="AG220" s="269"/>
      <c r="AH220" s="270"/>
      <c r="AI220" s="271"/>
      <c r="AJ220" s="272"/>
    </row>
    <row r="221" spans="1:36" x14ac:dyDescent="0.25">
      <c r="A221" s="28" t="str">
        <f>IF(H221&lt;&gt;"",MAX($A$7:A220)+1,"")</f>
        <v/>
      </c>
      <c r="B221" s="243" t="str">
        <f t="shared" si="8"/>
        <v/>
      </c>
      <c r="C221" s="158" t="str">
        <f t="shared" si="9"/>
        <v/>
      </c>
      <c r="D221" s="246"/>
      <c r="E221" s="247"/>
      <c r="F221" s="258"/>
      <c r="G221" s="248"/>
      <c r="H221" s="241"/>
      <c r="I221" s="259"/>
      <c r="J221" s="260"/>
      <c r="K221" s="260"/>
      <c r="L221" s="261"/>
      <c r="M221" s="262"/>
      <c r="N221" s="262"/>
      <c r="O221" s="261"/>
      <c r="P221" s="262"/>
      <c r="Q221" s="262"/>
      <c r="R221" s="263"/>
      <c r="S221" s="264"/>
      <c r="T221" s="264"/>
      <c r="U221" s="265"/>
      <c r="V221" s="266"/>
      <c r="W221" s="266"/>
      <c r="X221" s="267"/>
      <c r="Y221" s="268"/>
      <c r="Z221" s="268"/>
      <c r="AA221" s="259"/>
      <c r="AB221" s="260"/>
      <c r="AC221" s="260"/>
      <c r="AD221" s="261"/>
      <c r="AE221" s="262"/>
      <c r="AF221" s="262"/>
      <c r="AG221" s="269"/>
      <c r="AH221" s="270"/>
      <c r="AI221" s="271"/>
      <c r="AJ221" s="272"/>
    </row>
    <row r="222" spans="1:36" x14ac:dyDescent="0.25">
      <c r="A222" s="28" t="str">
        <f>IF(H222&lt;&gt;"",MAX($A$7:A221)+1,"")</f>
        <v/>
      </c>
      <c r="B222" s="243" t="str">
        <f t="shared" si="8"/>
        <v/>
      </c>
      <c r="C222" s="158" t="str">
        <f t="shared" si="9"/>
        <v/>
      </c>
      <c r="D222" s="246"/>
      <c r="E222" s="247"/>
      <c r="F222" s="258"/>
      <c r="G222" s="248"/>
      <c r="H222" s="241"/>
      <c r="I222" s="259"/>
      <c r="J222" s="260"/>
      <c r="K222" s="260"/>
      <c r="L222" s="261"/>
      <c r="M222" s="262"/>
      <c r="N222" s="262"/>
      <c r="O222" s="261"/>
      <c r="P222" s="262"/>
      <c r="Q222" s="262"/>
      <c r="R222" s="263"/>
      <c r="S222" s="264"/>
      <c r="T222" s="264"/>
      <c r="U222" s="265"/>
      <c r="V222" s="266"/>
      <c r="W222" s="266"/>
      <c r="X222" s="267"/>
      <c r="Y222" s="268"/>
      <c r="Z222" s="268"/>
      <c r="AA222" s="259"/>
      <c r="AB222" s="260"/>
      <c r="AC222" s="260"/>
      <c r="AD222" s="261"/>
      <c r="AE222" s="262"/>
      <c r="AF222" s="262"/>
      <c r="AG222" s="269"/>
      <c r="AH222" s="270"/>
      <c r="AI222" s="271"/>
      <c r="AJ222" s="272"/>
    </row>
    <row r="223" spans="1:36" x14ac:dyDescent="0.25">
      <c r="A223" s="28" t="str">
        <f>IF(H223&lt;&gt;"",MAX($A$7:A222)+1,"")</f>
        <v/>
      </c>
      <c r="B223" s="243" t="str">
        <f t="shared" si="8"/>
        <v/>
      </c>
      <c r="C223" s="158" t="str">
        <f t="shared" si="9"/>
        <v/>
      </c>
      <c r="D223" s="246"/>
      <c r="E223" s="247"/>
      <c r="F223" s="258"/>
      <c r="G223" s="248"/>
      <c r="H223" s="241"/>
      <c r="I223" s="259"/>
      <c r="J223" s="260"/>
      <c r="K223" s="260"/>
      <c r="L223" s="261"/>
      <c r="M223" s="262"/>
      <c r="N223" s="262"/>
      <c r="O223" s="261"/>
      <c r="P223" s="262"/>
      <c r="Q223" s="262"/>
      <c r="R223" s="263"/>
      <c r="S223" s="264"/>
      <c r="T223" s="264"/>
      <c r="U223" s="265"/>
      <c r="V223" s="266"/>
      <c r="W223" s="266"/>
      <c r="X223" s="267"/>
      <c r="Y223" s="268"/>
      <c r="Z223" s="268"/>
      <c r="AA223" s="259"/>
      <c r="AB223" s="260"/>
      <c r="AC223" s="260"/>
      <c r="AD223" s="261"/>
      <c r="AE223" s="262"/>
      <c r="AF223" s="262"/>
      <c r="AG223" s="269"/>
      <c r="AH223" s="270"/>
      <c r="AI223" s="271"/>
      <c r="AJ223" s="272"/>
    </row>
    <row r="224" spans="1:36" x14ac:dyDescent="0.25">
      <c r="A224" s="28" t="str">
        <f>IF(H224&lt;&gt;"",MAX($A$7:A223)+1,"")</f>
        <v/>
      </c>
      <c r="B224" s="243" t="str">
        <f t="shared" si="8"/>
        <v/>
      </c>
      <c r="C224" s="158" t="str">
        <f t="shared" si="9"/>
        <v/>
      </c>
      <c r="D224" s="246"/>
      <c r="E224" s="247"/>
      <c r="F224" s="258"/>
      <c r="G224" s="248"/>
      <c r="H224" s="241"/>
      <c r="I224" s="259"/>
      <c r="J224" s="260"/>
      <c r="K224" s="260"/>
      <c r="L224" s="261"/>
      <c r="M224" s="262"/>
      <c r="N224" s="262"/>
      <c r="O224" s="261"/>
      <c r="P224" s="262"/>
      <c r="Q224" s="262"/>
      <c r="R224" s="263"/>
      <c r="S224" s="264"/>
      <c r="T224" s="264"/>
      <c r="U224" s="265"/>
      <c r="V224" s="266"/>
      <c r="W224" s="266"/>
      <c r="X224" s="267"/>
      <c r="Y224" s="268"/>
      <c r="Z224" s="268"/>
      <c r="AA224" s="259"/>
      <c r="AB224" s="260"/>
      <c r="AC224" s="260"/>
      <c r="AD224" s="261"/>
      <c r="AE224" s="262"/>
      <c r="AF224" s="262"/>
      <c r="AG224" s="269"/>
      <c r="AH224" s="270"/>
      <c r="AI224" s="271"/>
      <c r="AJ224" s="272"/>
    </row>
    <row r="225" spans="1:36" x14ac:dyDescent="0.25">
      <c r="A225" s="28" t="str">
        <f>IF(H225&lt;&gt;"",MAX($A$7:A224)+1,"")</f>
        <v/>
      </c>
      <c r="B225" s="243" t="str">
        <f t="shared" si="8"/>
        <v/>
      </c>
      <c r="C225" s="158" t="str">
        <f t="shared" si="9"/>
        <v/>
      </c>
      <c r="D225" s="246"/>
      <c r="E225" s="247"/>
      <c r="F225" s="258"/>
      <c r="G225" s="248"/>
      <c r="H225" s="241"/>
      <c r="I225" s="259"/>
      <c r="J225" s="260"/>
      <c r="K225" s="260"/>
      <c r="L225" s="261"/>
      <c r="M225" s="262"/>
      <c r="N225" s="262"/>
      <c r="O225" s="261"/>
      <c r="P225" s="262"/>
      <c r="Q225" s="262"/>
      <c r="R225" s="263"/>
      <c r="S225" s="264"/>
      <c r="T225" s="264"/>
      <c r="U225" s="265"/>
      <c r="V225" s="266"/>
      <c r="W225" s="266"/>
      <c r="X225" s="267"/>
      <c r="Y225" s="268"/>
      <c r="Z225" s="268"/>
      <c r="AA225" s="259"/>
      <c r="AB225" s="260"/>
      <c r="AC225" s="260"/>
      <c r="AD225" s="261"/>
      <c r="AE225" s="262"/>
      <c r="AF225" s="262"/>
      <c r="AG225" s="269"/>
      <c r="AH225" s="270"/>
      <c r="AI225" s="271"/>
      <c r="AJ225" s="272"/>
    </row>
    <row r="226" spans="1:36" x14ac:dyDescent="0.25">
      <c r="A226" s="28" t="str">
        <f>IF(H226&lt;&gt;"",MAX($A$7:A225)+1,"")</f>
        <v/>
      </c>
      <c r="B226" s="243" t="str">
        <f t="shared" si="8"/>
        <v/>
      </c>
      <c r="C226" s="158" t="str">
        <f t="shared" si="9"/>
        <v/>
      </c>
      <c r="D226" s="246"/>
      <c r="E226" s="247"/>
      <c r="F226" s="258"/>
      <c r="G226" s="248"/>
      <c r="H226" s="241"/>
      <c r="I226" s="259"/>
      <c r="J226" s="260"/>
      <c r="K226" s="260"/>
      <c r="L226" s="261"/>
      <c r="M226" s="262"/>
      <c r="N226" s="262"/>
      <c r="O226" s="261"/>
      <c r="P226" s="262"/>
      <c r="Q226" s="262"/>
      <c r="R226" s="263"/>
      <c r="S226" s="264"/>
      <c r="T226" s="264"/>
      <c r="U226" s="265"/>
      <c r="V226" s="266"/>
      <c r="W226" s="266"/>
      <c r="X226" s="267"/>
      <c r="Y226" s="268"/>
      <c r="Z226" s="268"/>
      <c r="AA226" s="259"/>
      <c r="AB226" s="260"/>
      <c r="AC226" s="260"/>
      <c r="AD226" s="261"/>
      <c r="AE226" s="262"/>
      <c r="AF226" s="262"/>
      <c r="AG226" s="269"/>
      <c r="AH226" s="270"/>
      <c r="AI226" s="271"/>
      <c r="AJ226" s="272"/>
    </row>
    <row r="227" spans="1:36" x14ac:dyDescent="0.25">
      <c r="A227" s="28" t="str">
        <f>IF(H227&lt;&gt;"",MAX($A$7:A226)+1,"")</f>
        <v/>
      </c>
      <c r="B227" s="243" t="str">
        <f t="shared" si="8"/>
        <v/>
      </c>
      <c r="C227" s="158" t="str">
        <f t="shared" si="9"/>
        <v/>
      </c>
      <c r="D227" s="246"/>
      <c r="E227" s="247"/>
      <c r="F227" s="258"/>
      <c r="G227" s="248"/>
      <c r="H227" s="241"/>
      <c r="I227" s="259"/>
      <c r="J227" s="260"/>
      <c r="K227" s="260"/>
      <c r="L227" s="261"/>
      <c r="M227" s="262"/>
      <c r="N227" s="262"/>
      <c r="O227" s="261"/>
      <c r="P227" s="262"/>
      <c r="Q227" s="262"/>
      <c r="R227" s="263"/>
      <c r="S227" s="264"/>
      <c r="T227" s="264"/>
      <c r="U227" s="265"/>
      <c r="V227" s="266"/>
      <c r="W227" s="266"/>
      <c r="X227" s="267"/>
      <c r="Y227" s="268"/>
      <c r="Z227" s="268"/>
      <c r="AA227" s="259"/>
      <c r="AB227" s="260"/>
      <c r="AC227" s="260"/>
      <c r="AD227" s="261"/>
      <c r="AE227" s="262"/>
      <c r="AF227" s="262"/>
      <c r="AG227" s="269"/>
      <c r="AH227" s="270"/>
      <c r="AI227" s="271"/>
      <c r="AJ227" s="272"/>
    </row>
    <row r="228" spans="1:36" x14ac:dyDescent="0.25">
      <c r="A228" s="28" t="str">
        <f>IF(H228&lt;&gt;"",MAX($A$7:A227)+1,"")</f>
        <v/>
      </c>
      <c r="B228" s="243" t="str">
        <f t="shared" si="8"/>
        <v/>
      </c>
      <c r="C228" s="158" t="str">
        <f t="shared" si="9"/>
        <v/>
      </c>
      <c r="D228" s="246"/>
      <c r="E228" s="247"/>
      <c r="F228" s="258"/>
      <c r="G228" s="248"/>
      <c r="H228" s="241"/>
      <c r="I228" s="259"/>
      <c r="J228" s="260"/>
      <c r="K228" s="260"/>
      <c r="L228" s="261"/>
      <c r="M228" s="262"/>
      <c r="N228" s="262"/>
      <c r="O228" s="261"/>
      <c r="P228" s="262"/>
      <c r="Q228" s="262"/>
      <c r="R228" s="263"/>
      <c r="S228" s="264"/>
      <c r="T228" s="264"/>
      <c r="U228" s="265"/>
      <c r="V228" s="266"/>
      <c r="W228" s="266"/>
      <c r="X228" s="267"/>
      <c r="Y228" s="268"/>
      <c r="Z228" s="268"/>
      <c r="AA228" s="259"/>
      <c r="AB228" s="260"/>
      <c r="AC228" s="260"/>
      <c r="AD228" s="261"/>
      <c r="AE228" s="262"/>
      <c r="AF228" s="262"/>
      <c r="AG228" s="269"/>
      <c r="AH228" s="270"/>
      <c r="AI228" s="271"/>
      <c r="AJ228" s="272"/>
    </row>
    <row r="229" spans="1:36" x14ac:dyDescent="0.25">
      <c r="A229" s="28" t="str">
        <f>IF(H229&lt;&gt;"",MAX($A$7:A228)+1,"")</f>
        <v/>
      </c>
      <c r="B229" s="243" t="str">
        <f t="shared" si="8"/>
        <v/>
      </c>
      <c r="C229" s="158" t="str">
        <f t="shared" si="9"/>
        <v/>
      </c>
      <c r="D229" s="246"/>
      <c r="E229" s="247"/>
      <c r="F229" s="258"/>
      <c r="G229" s="248"/>
      <c r="H229" s="241"/>
      <c r="I229" s="259"/>
      <c r="J229" s="260"/>
      <c r="K229" s="260"/>
      <c r="L229" s="261"/>
      <c r="M229" s="262"/>
      <c r="N229" s="262"/>
      <c r="O229" s="261"/>
      <c r="P229" s="262"/>
      <c r="Q229" s="262"/>
      <c r="R229" s="263"/>
      <c r="S229" s="264"/>
      <c r="T229" s="264"/>
      <c r="U229" s="265"/>
      <c r="V229" s="266"/>
      <c r="W229" s="266"/>
      <c r="X229" s="267"/>
      <c r="Y229" s="268"/>
      <c r="Z229" s="268"/>
      <c r="AA229" s="259"/>
      <c r="AB229" s="260"/>
      <c r="AC229" s="260"/>
      <c r="AD229" s="261"/>
      <c r="AE229" s="262"/>
      <c r="AF229" s="262"/>
      <c r="AG229" s="269"/>
      <c r="AH229" s="270"/>
      <c r="AI229" s="271"/>
      <c r="AJ229" s="272"/>
    </row>
    <row r="230" spans="1:36" x14ac:dyDescent="0.25">
      <c r="A230" s="28" t="str">
        <f>IF(H230&lt;&gt;"",MAX($A$7:A229)+1,"")</f>
        <v/>
      </c>
      <c r="B230" s="243" t="str">
        <f t="shared" si="8"/>
        <v/>
      </c>
      <c r="C230" s="158" t="str">
        <f t="shared" si="9"/>
        <v/>
      </c>
      <c r="D230" s="246"/>
      <c r="E230" s="247"/>
      <c r="F230" s="258"/>
      <c r="G230" s="248"/>
      <c r="H230" s="241"/>
      <c r="I230" s="259"/>
      <c r="J230" s="260"/>
      <c r="K230" s="260"/>
      <c r="L230" s="261"/>
      <c r="M230" s="262"/>
      <c r="N230" s="262"/>
      <c r="O230" s="261"/>
      <c r="P230" s="262"/>
      <c r="Q230" s="262"/>
      <c r="R230" s="263"/>
      <c r="S230" s="264"/>
      <c r="T230" s="264"/>
      <c r="U230" s="265"/>
      <c r="V230" s="266"/>
      <c r="W230" s="266"/>
      <c r="X230" s="267"/>
      <c r="Y230" s="268"/>
      <c r="Z230" s="268"/>
      <c r="AA230" s="259"/>
      <c r="AB230" s="260"/>
      <c r="AC230" s="260"/>
      <c r="AD230" s="261"/>
      <c r="AE230" s="262"/>
      <c r="AF230" s="262"/>
      <c r="AG230" s="269"/>
      <c r="AH230" s="270"/>
      <c r="AI230" s="271"/>
      <c r="AJ230" s="272"/>
    </row>
    <row r="231" spans="1:36" x14ac:dyDescent="0.25">
      <c r="A231" s="28" t="str">
        <f>IF(H231&lt;&gt;"",MAX($A$7:A230)+1,"")</f>
        <v/>
      </c>
      <c r="B231" s="243" t="str">
        <f t="shared" si="8"/>
        <v/>
      </c>
      <c r="C231" s="158" t="str">
        <f t="shared" si="9"/>
        <v/>
      </c>
      <c r="D231" s="246"/>
      <c r="E231" s="247"/>
      <c r="F231" s="258"/>
      <c r="G231" s="248"/>
      <c r="H231" s="241"/>
      <c r="I231" s="259"/>
      <c r="J231" s="260"/>
      <c r="K231" s="260"/>
      <c r="L231" s="261"/>
      <c r="M231" s="262"/>
      <c r="N231" s="262"/>
      <c r="O231" s="261"/>
      <c r="P231" s="262"/>
      <c r="Q231" s="262"/>
      <c r="R231" s="263"/>
      <c r="S231" s="264"/>
      <c r="T231" s="264"/>
      <c r="U231" s="265"/>
      <c r="V231" s="266"/>
      <c r="W231" s="266"/>
      <c r="X231" s="267"/>
      <c r="Y231" s="268"/>
      <c r="Z231" s="268"/>
      <c r="AA231" s="259"/>
      <c r="AB231" s="260"/>
      <c r="AC231" s="260"/>
      <c r="AD231" s="261"/>
      <c r="AE231" s="262"/>
      <c r="AF231" s="262"/>
      <c r="AG231" s="269"/>
      <c r="AH231" s="270"/>
      <c r="AI231" s="271"/>
      <c r="AJ231" s="272"/>
    </row>
    <row r="232" spans="1:36" x14ac:dyDescent="0.25">
      <c r="A232" s="28" t="str">
        <f>IF(H232&lt;&gt;"",MAX($A$7:A231)+1,"")</f>
        <v/>
      </c>
      <c r="B232" s="243" t="str">
        <f t="shared" si="8"/>
        <v/>
      </c>
      <c r="C232" s="158" t="str">
        <f t="shared" si="9"/>
        <v/>
      </c>
      <c r="D232" s="246"/>
      <c r="E232" s="247"/>
      <c r="F232" s="258"/>
      <c r="G232" s="248"/>
      <c r="H232" s="241"/>
      <c r="I232" s="259"/>
      <c r="J232" s="260"/>
      <c r="K232" s="260"/>
      <c r="L232" s="261"/>
      <c r="M232" s="262"/>
      <c r="N232" s="262"/>
      <c r="O232" s="261"/>
      <c r="P232" s="262"/>
      <c r="Q232" s="262"/>
      <c r="R232" s="263"/>
      <c r="S232" s="264"/>
      <c r="T232" s="264"/>
      <c r="U232" s="265"/>
      <c r="V232" s="266"/>
      <c r="W232" s="266"/>
      <c r="X232" s="267"/>
      <c r="Y232" s="268"/>
      <c r="Z232" s="268"/>
      <c r="AA232" s="259"/>
      <c r="AB232" s="260"/>
      <c r="AC232" s="260"/>
      <c r="AD232" s="261"/>
      <c r="AE232" s="262"/>
      <c r="AF232" s="262"/>
      <c r="AG232" s="269"/>
      <c r="AH232" s="270"/>
      <c r="AI232" s="271"/>
      <c r="AJ232" s="272"/>
    </row>
    <row r="233" spans="1:36" x14ac:dyDescent="0.25">
      <c r="A233" s="28" t="str">
        <f>IF(H233&lt;&gt;"",MAX($A$7:A232)+1,"")</f>
        <v/>
      </c>
      <c r="B233" s="243" t="str">
        <f t="shared" si="8"/>
        <v/>
      </c>
      <c r="C233" s="158" t="str">
        <f t="shared" si="9"/>
        <v/>
      </c>
      <c r="D233" s="246"/>
      <c r="E233" s="247"/>
      <c r="F233" s="258"/>
      <c r="G233" s="248"/>
      <c r="H233" s="241"/>
      <c r="I233" s="259"/>
      <c r="J233" s="260"/>
      <c r="K233" s="260"/>
      <c r="L233" s="261"/>
      <c r="M233" s="262"/>
      <c r="N233" s="262"/>
      <c r="O233" s="261"/>
      <c r="P233" s="262"/>
      <c r="Q233" s="262"/>
      <c r="R233" s="263"/>
      <c r="S233" s="264"/>
      <c r="T233" s="264"/>
      <c r="U233" s="265"/>
      <c r="V233" s="266"/>
      <c r="W233" s="266"/>
      <c r="X233" s="267"/>
      <c r="Y233" s="268"/>
      <c r="Z233" s="268"/>
      <c r="AA233" s="259"/>
      <c r="AB233" s="260"/>
      <c r="AC233" s="260"/>
      <c r="AD233" s="261"/>
      <c r="AE233" s="262"/>
      <c r="AF233" s="262"/>
      <c r="AG233" s="269"/>
      <c r="AH233" s="270"/>
      <c r="AI233" s="271"/>
      <c r="AJ233" s="272"/>
    </row>
    <row r="234" spans="1:36" x14ac:dyDescent="0.25">
      <c r="A234" s="28" t="str">
        <f>IF(H234&lt;&gt;"",MAX($A$7:A233)+1,"")</f>
        <v/>
      </c>
      <c r="B234" s="243" t="str">
        <f t="shared" si="8"/>
        <v/>
      </c>
      <c r="C234" s="158" t="str">
        <f t="shared" si="9"/>
        <v/>
      </c>
      <c r="D234" s="246"/>
      <c r="E234" s="247"/>
      <c r="F234" s="258"/>
      <c r="G234" s="248"/>
      <c r="H234" s="241"/>
      <c r="I234" s="259"/>
      <c r="J234" s="260"/>
      <c r="K234" s="260"/>
      <c r="L234" s="261"/>
      <c r="M234" s="262"/>
      <c r="N234" s="262"/>
      <c r="O234" s="261"/>
      <c r="P234" s="262"/>
      <c r="Q234" s="262"/>
      <c r="R234" s="263"/>
      <c r="S234" s="264"/>
      <c r="T234" s="264"/>
      <c r="U234" s="265"/>
      <c r="V234" s="266"/>
      <c r="W234" s="266"/>
      <c r="X234" s="267"/>
      <c r="Y234" s="268"/>
      <c r="Z234" s="268"/>
      <c r="AA234" s="259"/>
      <c r="AB234" s="260"/>
      <c r="AC234" s="260"/>
      <c r="AD234" s="261"/>
      <c r="AE234" s="262"/>
      <c r="AF234" s="262"/>
      <c r="AG234" s="269"/>
      <c r="AH234" s="270"/>
      <c r="AI234" s="271"/>
      <c r="AJ234" s="272"/>
    </row>
    <row r="235" spans="1:36" x14ac:dyDescent="0.25">
      <c r="A235" s="28" t="str">
        <f>IF(H235&lt;&gt;"",MAX($A$7:A234)+1,"")</f>
        <v/>
      </c>
      <c r="B235" s="243" t="str">
        <f t="shared" si="8"/>
        <v/>
      </c>
      <c r="C235" s="158" t="str">
        <f t="shared" si="9"/>
        <v/>
      </c>
      <c r="D235" s="246"/>
      <c r="E235" s="247"/>
      <c r="F235" s="258"/>
      <c r="G235" s="248"/>
      <c r="H235" s="241"/>
      <c r="I235" s="259"/>
      <c r="J235" s="260"/>
      <c r="K235" s="260"/>
      <c r="L235" s="261"/>
      <c r="M235" s="262"/>
      <c r="N235" s="262"/>
      <c r="O235" s="261"/>
      <c r="P235" s="262"/>
      <c r="Q235" s="262"/>
      <c r="R235" s="263"/>
      <c r="S235" s="264"/>
      <c r="T235" s="264"/>
      <c r="U235" s="265"/>
      <c r="V235" s="266"/>
      <c r="W235" s="266"/>
      <c r="X235" s="267"/>
      <c r="Y235" s="268"/>
      <c r="Z235" s="268"/>
      <c r="AA235" s="259"/>
      <c r="AB235" s="260"/>
      <c r="AC235" s="260"/>
      <c r="AD235" s="261"/>
      <c r="AE235" s="262"/>
      <c r="AF235" s="262"/>
      <c r="AG235" s="269"/>
      <c r="AH235" s="270"/>
      <c r="AI235" s="271"/>
      <c r="AJ235" s="272"/>
    </row>
    <row r="236" spans="1:36" x14ac:dyDescent="0.25">
      <c r="A236" s="28" t="str">
        <f>IF(H236&lt;&gt;"",MAX($A$7:A235)+1,"")</f>
        <v/>
      </c>
      <c r="B236" s="243" t="str">
        <f t="shared" si="8"/>
        <v/>
      </c>
      <c r="C236" s="158" t="str">
        <f t="shared" si="9"/>
        <v/>
      </c>
      <c r="D236" s="246"/>
      <c r="E236" s="247"/>
      <c r="F236" s="258"/>
      <c r="G236" s="248"/>
      <c r="H236" s="241"/>
      <c r="I236" s="259"/>
      <c r="J236" s="260"/>
      <c r="K236" s="260"/>
      <c r="L236" s="261"/>
      <c r="M236" s="262"/>
      <c r="N236" s="262"/>
      <c r="O236" s="261"/>
      <c r="P236" s="262"/>
      <c r="Q236" s="262"/>
      <c r="R236" s="263"/>
      <c r="S236" s="264"/>
      <c r="T236" s="264"/>
      <c r="U236" s="265"/>
      <c r="V236" s="266"/>
      <c r="W236" s="266"/>
      <c r="X236" s="267"/>
      <c r="Y236" s="268"/>
      <c r="Z236" s="268"/>
      <c r="AA236" s="259"/>
      <c r="AB236" s="260"/>
      <c r="AC236" s="260"/>
      <c r="AD236" s="261"/>
      <c r="AE236" s="262"/>
      <c r="AF236" s="262"/>
      <c r="AG236" s="269"/>
      <c r="AH236" s="270"/>
      <c r="AI236" s="271"/>
      <c r="AJ236" s="272"/>
    </row>
    <row r="237" spans="1:36" x14ac:dyDescent="0.25">
      <c r="A237" s="28" t="str">
        <f>IF(H237&lt;&gt;"",MAX($A$7:A236)+1,"")</f>
        <v/>
      </c>
      <c r="B237" s="243" t="str">
        <f t="shared" si="8"/>
        <v/>
      </c>
      <c r="C237" s="158" t="str">
        <f t="shared" si="9"/>
        <v/>
      </c>
      <c r="D237" s="246"/>
      <c r="E237" s="247"/>
      <c r="F237" s="258"/>
      <c r="G237" s="248"/>
      <c r="H237" s="241"/>
      <c r="I237" s="259"/>
      <c r="J237" s="260"/>
      <c r="K237" s="260"/>
      <c r="L237" s="261"/>
      <c r="M237" s="262"/>
      <c r="N237" s="262"/>
      <c r="O237" s="261"/>
      <c r="P237" s="262"/>
      <c r="Q237" s="262"/>
      <c r="R237" s="263"/>
      <c r="S237" s="264"/>
      <c r="T237" s="264"/>
      <c r="U237" s="265"/>
      <c r="V237" s="266"/>
      <c r="W237" s="266"/>
      <c r="X237" s="267"/>
      <c r="Y237" s="268"/>
      <c r="Z237" s="268"/>
      <c r="AA237" s="259"/>
      <c r="AB237" s="260"/>
      <c r="AC237" s="260"/>
      <c r="AD237" s="261"/>
      <c r="AE237" s="262"/>
      <c r="AF237" s="262"/>
      <c r="AG237" s="269"/>
      <c r="AH237" s="270"/>
      <c r="AI237" s="271"/>
      <c r="AJ237" s="272"/>
    </row>
    <row r="238" spans="1:36" x14ac:dyDescent="0.25">
      <c r="A238" s="28" t="str">
        <f>IF(H238&lt;&gt;"",MAX($A$7:A237)+1,"")</f>
        <v/>
      </c>
      <c r="B238" s="243" t="str">
        <f t="shared" si="8"/>
        <v/>
      </c>
      <c r="C238" s="158" t="str">
        <f t="shared" si="9"/>
        <v/>
      </c>
      <c r="D238" s="246"/>
      <c r="E238" s="247"/>
      <c r="F238" s="258"/>
      <c r="G238" s="248"/>
      <c r="H238" s="241"/>
      <c r="I238" s="259"/>
      <c r="J238" s="260"/>
      <c r="K238" s="260"/>
      <c r="L238" s="261"/>
      <c r="M238" s="262"/>
      <c r="N238" s="262"/>
      <c r="O238" s="261"/>
      <c r="P238" s="262"/>
      <c r="Q238" s="262"/>
      <c r="R238" s="263"/>
      <c r="S238" s="264"/>
      <c r="T238" s="264"/>
      <c r="U238" s="265"/>
      <c r="V238" s="266"/>
      <c r="W238" s="266"/>
      <c r="X238" s="267"/>
      <c r="Y238" s="268"/>
      <c r="Z238" s="268"/>
      <c r="AA238" s="259"/>
      <c r="AB238" s="260"/>
      <c r="AC238" s="260"/>
      <c r="AD238" s="261"/>
      <c r="AE238" s="262"/>
      <c r="AF238" s="262"/>
      <c r="AG238" s="269"/>
      <c r="AH238" s="270"/>
      <c r="AI238" s="271"/>
      <c r="AJ238" s="272"/>
    </row>
    <row r="239" spans="1:36" x14ac:dyDescent="0.25">
      <c r="A239" s="28" t="str">
        <f>IF(H239&lt;&gt;"",MAX($A$7:A238)+1,"")</f>
        <v/>
      </c>
      <c r="B239" s="243" t="str">
        <f t="shared" si="8"/>
        <v/>
      </c>
      <c r="C239" s="158" t="str">
        <f t="shared" si="9"/>
        <v/>
      </c>
      <c r="D239" s="246"/>
      <c r="E239" s="247"/>
      <c r="F239" s="258"/>
      <c r="G239" s="248"/>
      <c r="H239" s="241"/>
      <c r="I239" s="259"/>
      <c r="J239" s="260"/>
      <c r="K239" s="260"/>
      <c r="L239" s="261"/>
      <c r="M239" s="262"/>
      <c r="N239" s="262"/>
      <c r="O239" s="261"/>
      <c r="P239" s="262"/>
      <c r="Q239" s="262"/>
      <c r="R239" s="263"/>
      <c r="S239" s="264"/>
      <c r="T239" s="264"/>
      <c r="U239" s="265"/>
      <c r="V239" s="266"/>
      <c r="W239" s="266"/>
      <c r="X239" s="267"/>
      <c r="Y239" s="268"/>
      <c r="Z239" s="268"/>
      <c r="AA239" s="259"/>
      <c r="AB239" s="260"/>
      <c r="AC239" s="260"/>
      <c r="AD239" s="261"/>
      <c r="AE239" s="262"/>
      <c r="AF239" s="262"/>
      <c r="AG239" s="269"/>
      <c r="AH239" s="270"/>
      <c r="AI239" s="271"/>
      <c r="AJ239" s="272"/>
    </row>
    <row r="240" spans="1:36" x14ac:dyDescent="0.25">
      <c r="A240" s="28" t="str">
        <f>IF(H240&lt;&gt;"",MAX($A$7:A239)+1,"")</f>
        <v/>
      </c>
      <c r="B240" s="243" t="str">
        <f t="shared" si="8"/>
        <v/>
      </c>
      <c r="C240" s="158" t="str">
        <f t="shared" si="9"/>
        <v/>
      </c>
      <c r="D240" s="246"/>
      <c r="E240" s="247"/>
      <c r="F240" s="258"/>
      <c r="G240" s="248"/>
      <c r="H240" s="241"/>
      <c r="I240" s="259"/>
      <c r="J240" s="260"/>
      <c r="K240" s="260"/>
      <c r="L240" s="261"/>
      <c r="M240" s="262"/>
      <c r="N240" s="262"/>
      <c r="O240" s="261"/>
      <c r="P240" s="262"/>
      <c r="Q240" s="262"/>
      <c r="R240" s="263"/>
      <c r="S240" s="264"/>
      <c r="T240" s="264"/>
      <c r="U240" s="265"/>
      <c r="V240" s="266"/>
      <c r="W240" s="266"/>
      <c r="X240" s="267"/>
      <c r="Y240" s="268"/>
      <c r="Z240" s="268"/>
      <c r="AA240" s="259"/>
      <c r="AB240" s="260"/>
      <c r="AC240" s="260"/>
      <c r="AD240" s="261"/>
      <c r="AE240" s="262"/>
      <c r="AF240" s="262"/>
      <c r="AG240" s="269"/>
      <c r="AH240" s="270"/>
      <c r="AI240" s="271"/>
      <c r="AJ240" s="272"/>
    </row>
    <row r="241" spans="1:36" x14ac:dyDescent="0.25">
      <c r="A241" s="28" t="str">
        <f>IF(H241&lt;&gt;"",MAX($A$7:A240)+1,"")</f>
        <v/>
      </c>
      <c r="B241" s="243" t="str">
        <f t="shared" si="8"/>
        <v/>
      </c>
      <c r="C241" s="158" t="str">
        <f t="shared" si="9"/>
        <v/>
      </c>
      <c r="D241" s="246"/>
      <c r="E241" s="247"/>
      <c r="F241" s="258"/>
      <c r="G241" s="248"/>
      <c r="H241" s="241"/>
      <c r="I241" s="259"/>
      <c r="J241" s="260"/>
      <c r="K241" s="260"/>
      <c r="L241" s="261"/>
      <c r="M241" s="262"/>
      <c r="N241" s="262"/>
      <c r="O241" s="261"/>
      <c r="P241" s="262"/>
      <c r="Q241" s="262"/>
      <c r="R241" s="263"/>
      <c r="S241" s="264"/>
      <c r="T241" s="264"/>
      <c r="U241" s="265"/>
      <c r="V241" s="266"/>
      <c r="W241" s="266"/>
      <c r="X241" s="267"/>
      <c r="Y241" s="268"/>
      <c r="Z241" s="268"/>
      <c r="AA241" s="259"/>
      <c r="AB241" s="260"/>
      <c r="AC241" s="260"/>
      <c r="AD241" s="261"/>
      <c r="AE241" s="262"/>
      <c r="AF241" s="262"/>
      <c r="AG241" s="269"/>
      <c r="AH241" s="270"/>
      <c r="AI241" s="271"/>
      <c r="AJ241" s="272"/>
    </row>
    <row r="242" spans="1:36" x14ac:dyDescent="0.25">
      <c r="A242" s="28" t="str">
        <f>IF(H242&lt;&gt;"",MAX($A$7:A241)+1,"")</f>
        <v/>
      </c>
      <c r="B242" s="243" t="str">
        <f t="shared" si="8"/>
        <v/>
      </c>
      <c r="C242" s="158" t="str">
        <f t="shared" si="9"/>
        <v/>
      </c>
      <c r="D242" s="246"/>
      <c r="E242" s="247"/>
      <c r="F242" s="258"/>
      <c r="G242" s="248"/>
      <c r="H242" s="241"/>
      <c r="I242" s="259"/>
      <c r="J242" s="260"/>
      <c r="K242" s="260"/>
      <c r="L242" s="261"/>
      <c r="M242" s="262"/>
      <c r="N242" s="262"/>
      <c r="O242" s="261"/>
      <c r="P242" s="262"/>
      <c r="Q242" s="262"/>
      <c r="R242" s="263"/>
      <c r="S242" s="264"/>
      <c r="T242" s="264"/>
      <c r="U242" s="265"/>
      <c r="V242" s="266"/>
      <c r="W242" s="266"/>
      <c r="X242" s="267"/>
      <c r="Y242" s="268"/>
      <c r="Z242" s="268"/>
      <c r="AA242" s="259"/>
      <c r="AB242" s="260"/>
      <c r="AC242" s="260"/>
      <c r="AD242" s="261"/>
      <c r="AE242" s="262"/>
      <c r="AF242" s="262"/>
      <c r="AG242" s="269"/>
      <c r="AH242" s="270"/>
      <c r="AI242" s="271"/>
      <c r="AJ242" s="272"/>
    </row>
    <row r="243" spans="1:36" x14ac:dyDescent="0.25">
      <c r="A243" s="28" t="str">
        <f>IF(H243&lt;&gt;"",MAX($A$7:A242)+1,"")</f>
        <v/>
      </c>
      <c r="B243" s="243" t="str">
        <f t="shared" si="8"/>
        <v/>
      </c>
      <c r="C243" s="158" t="str">
        <f t="shared" si="9"/>
        <v/>
      </c>
      <c r="D243" s="246"/>
      <c r="E243" s="247"/>
      <c r="F243" s="258"/>
      <c r="G243" s="248"/>
      <c r="H243" s="241"/>
      <c r="I243" s="259"/>
      <c r="J243" s="260"/>
      <c r="K243" s="260"/>
      <c r="L243" s="261"/>
      <c r="M243" s="262"/>
      <c r="N243" s="262"/>
      <c r="O243" s="261"/>
      <c r="P243" s="262"/>
      <c r="Q243" s="262"/>
      <c r="R243" s="263"/>
      <c r="S243" s="264"/>
      <c r="T243" s="264"/>
      <c r="U243" s="265"/>
      <c r="V243" s="266"/>
      <c r="W243" s="266"/>
      <c r="X243" s="267"/>
      <c r="Y243" s="268"/>
      <c r="Z243" s="268"/>
      <c r="AA243" s="259"/>
      <c r="AB243" s="260"/>
      <c r="AC243" s="260"/>
      <c r="AD243" s="261"/>
      <c r="AE243" s="262"/>
      <c r="AF243" s="262"/>
      <c r="AG243" s="269"/>
      <c r="AH243" s="270"/>
      <c r="AI243" s="271"/>
      <c r="AJ243" s="272"/>
    </row>
    <row r="244" spans="1:36" x14ac:dyDescent="0.25">
      <c r="A244" s="28" t="str">
        <f>IF(H244&lt;&gt;"",MAX($A$7:A243)+1,"")</f>
        <v/>
      </c>
      <c r="B244" s="243" t="str">
        <f t="shared" si="8"/>
        <v/>
      </c>
      <c r="C244" s="158" t="str">
        <f t="shared" si="9"/>
        <v/>
      </c>
      <c r="D244" s="246"/>
      <c r="E244" s="247"/>
      <c r="F244" s="258"/>
      <c r="G244" s="248"/>
      <c r="H244" s="241"/>
      <c r="I244" s="259"/>
      <c r="J244" s="260"/>
      <c r="K244" s="260"/>
      <c r="L244" s="261"/>
      <c r="M244" s="262"/>
      <c r="N244" s="262"/>
      <c r="O244" s="261"/>
      <c r="P244" s="262"/>
      <c r="Q244" s="262"/>
      <c r="R244" s="263"/>
      <c r="S244" s="264"/>
      <c r="T244" s="264"/>
      <c r="U244" s="265"/>
      <c r="V244" s="266"/>
      <c r="W244" s="266"/>
      <c r="X244" s="267"/>
      <c r="Y244" s="268"/>
      <c r="Z244" s="268"/>
      <c r="AA244" s="259"/>
      <c r="AB244" s="260"/>
      <c r="AC244" s="260"/>
      <c r="AD244" s="261"/>
      <c r="AE244" s="262"/>
      <c r="AF244" s="262"/>
      <c r="AG244" s="269"/>
      <c r="AH244" s="270"/>
      <c r="AI244" s="271"/>
      <c r="AJ244" s="272"/>
    </row>
    <row r="245" spans="1:36" x14ac:dyDescent="0.25">
      <c r="A245" s="28" t="str">
        <f>IF(H245&lt;&gt;"",MAX($A$7:A244)+1,"")</f>
        <v/>
      </c>
      <c r="B245" s="243" t="str">
        <f t="shared" si="8"/>
        <v/>
      </c>
      <c r="C245" s="158" t="str">
        <f t="shared" si="9"/>
        <v/>
      </c>
      <c r="D245" s="246"/>
      <c r="E245" s="247"/>
      <c r="F245" s="258"/>
      <c r="G245" s="248"/>
      <c r="H245" s="241"/>
      <c r="I245" s="259"/>
      <c r="J245" s="260"/>
      <c r="K245" s="260"/>
      <c r="L245" s="261"/>
      <c r="M245" s="262"/>
      <c r="N245" s="262"/>
      <c r="O245" s="261"/>
      <c r="P245" s="262"/>
      <c r="Q245" s="262"/>
      <c r="R245" s="263"/>
      <c r="S245" s="264"/>
      <c r="T245" s="264"/>
      <c r="U245" s="265"/>
      <c r="V245" s="266"/>
      <c r="W245" s="266"/>
      <c r="X245" s="267"/>
      <c r="Y245" s="268"/>
      <c r="Z245" s="268"/>
      <c r="AA245" s="259"/>
      <c r="AB245" s="260"/>
      <c r="AC245" s="260"/>
      <c r="AD245" s="261"/>
      <c r="AE245" s="262"/>
      <c r="AF245" s="262"/>
      <c r="AG245" s="269"/>
      <c r="AH245" s="270"/>
      <c r="AI245" s="271"/>
      <c r="AJ245" s="272"/>
    </row>
    <row r="246" spans="1:36" x14ac:dyDescent="0.25">
      <c r="A246" s="28" t="str">
        <f>IF(H246&lt;&gt;"",MAX($A$7:A245)+1,"")</f>
        <v/>
      </c>
      <c r="B246" s="243" t="str">
        <f t="shared" si="8"/>
        <v/>
      </c>
      <c r="C246" s="158" t="str">
        <f t="shared" si="9"/>
        <v/>
      </c>
      <c r="D246" s="246"/>
      <c r="E246" s="247"/>
      <c r="F246" s="258"/>
      <c r="G246" s="248"/>
      <c r="H246" s="241"/>
      <c r="I246" s="259"/>
      <c r="J246" s="260"/>
      <c r="K246" s="260"/>
      <c r="L246" s="261"/>
      <c r="M246" s="262"/>
      <c r="N246" s="262"/>
      <c r="O246" s="261"/>
      <c r="P246" s="262"/>
      <c r="Q246" s="262"/>
      <c r="R246" s="263"/>
      <c r="S246" s="264"/>
      <c r="T246" s="264"/>
      <c r="U246" s="265"/>
      <c r="V246" s="266"/>
      <c r="W246" s="266"/>
      <c r="X246" s="267"/>
      <c r="Y246" s="268"/>
      <c r="Z246" s="268"/>
      <c r="AA246" s="259"/>
      <c r="AB246" s="260"/>
      <c r="AC246" s="260"/>
      <c r="AD246" s="261"/>
      <c r="AE246" s="262"/>
      <c r="AF246" s="262"/>
      <c r="AG246" s="269"/>
      <c r="AH246" s="270"/>
      <c r="AI246" s="271"/>
      <c r="AJ246" s="272"/>
    </row>
    <row r="247" spans="1:36" x14ac:dyDescent="0.25">
      <c r="A247" s="28" t="str">
        <f>IF(H247&lt;&gt;"",MAX($A$7:A246)+1,"")</f>
        <v/>
      </c>
      <c r="B247" s="243" t="str">
        <f t="shared" si="8"/>
        <v/>
      </c>
      <c r="C247" s="158" t="str">
        <f t="shared" si="9"/>
        <v/>
      </c>
      <c r="D247" s="246"/>
      <c r="E247" s="247"/>
      <c r="F247" s="258"/>
      <c r="G247" s="248"/>
      <c r="H247" s="241"/>
      <c r="I247" s="259"/>
      <c r="J247" s="260"/>
      <c r="K247" s="260"/>
      <c r="L247" s="261"/>
      <c r="M247" s="262"/>
      <c r="N247" s="262"/>
      <c r="O247" s="261"/>
      <c r="P247" s="262"/>
      <c r="Q247" s="262"/>
      <c r="R247" s="263"/>
      <c r="S247" s="264"/>
      <c r="T247" s="264"/>
      <c r="U247" s="265"/>
      <c r="V247" s="266"/>
      <c r="W247" s="266"/>
      <c r="X247" s="267"/>
      <c r="Y247" s="268"/>
      <c r="Z247" s="268"/>
      <c r="AA247" s="259"/>
      <c r="AB247" s="260"/>
      <c r="AC247" s="260"/>
      <c r="AD247" s="261"/>
      <c r="AE247" s="262"/>
      <c r="AF247" s="262"/>
      <c r="AG247" s="269"/>
      <c r="AH247" s="270"/>
      <c r="AI247" s="271"/>
      <c r="AJ247" s="272"/>
    </row>
    <row r="248" spans="1:36" x14ac:dyDescent="0.25">
      <c r="A248" s="28" t="str">
        <f>IF(H248&lt;&gt;"",MAX($A$7:A247)+1,"")</f>
        <v/>
      </c>
      <c r="B248" s="243" t="str">
        <f t="shared" si="8"/>
        <v/>
      </c>
      <c r="C248" s="158" t="str">
        <f t="shared" si="9"/>
        <v/>
      </c>
      <c r="D248" s="246"/>
      <c r="E248" s="247"/>
      <c r="F248" s="258"/>
      <c r="G248" s="248"/>
      <c r="H248" s="241"/>
      <c r="I248" s="259"/>
      <c r="J248" s="260"/>
      <c r="K248" s="260"/>
      <c r="L248" s="261"/>
      <c r="M248" s="262"/>
      <c r="N248" s="262"/>
      <c r="O248" s="261"/>
      <c r="P248" s="262"/>
      <c r="Q248" s="262"/>
      <c r="R248" s="263"/>
      <c r="S248" s="264"/>
      <c r="T248" s="264"/>
      <c r="U248" s="265"/>
      <c r="V248" s="266"/>
      <c r="W248" s="266"/>
      <c r="X248" s="267"/>
      <c r="Y248" s="268"/>
      <c r="Z248" s="268"/>
      <c r="AA248" s="259"/>
      <c r="AB248" s="260"/>
      <c r="AC248" s="260"/>
      <c r="AD248" s="261"/>
      <c r="AE248" s="262"/>
      <c r="AF248" s="262"/>
      <c r="AG248" s="269"/>
      <c r="AH248" s="270"/>
      <c r="AI248" s="271"/>
      <c r="AJ248" s="272"/>
    </row>
    <row r="249" spans="1:36" x14ac:dyDescent="0.25">
      <c r="A249" s="28" t="str">
        <f>IF(H249&lt;&gt;"",MAX($A$7:A248)+1,"")</f>
        <v/>
      </c>
      <c r="B249" s="243" t="str">
        <f t="shared" si="8"/>
        <v/>
      </c>
      <c r="C249" s="158" t="str">
        <f t="shared" si="9"/>
        <v/>
      </c>
      <c r="D249" s="246"/>
      <c r="E249" s="247"/>
      <c r="F249" s="258"/>
      <c r="G249" s="248"/>
      <c r="H249" s="241"/>
      <c r="I249" s="259"/>
      <c r="J249" s="260"/>
      <c r="K249" s="260"/>
      <c r="L249" s="261"/>
      <c r="M249" s="262"/>
      <c r="N249" s="262"/>
      <c r="O249" s="261"/>
      <c r="P249" s="262"/>
      <c r="Q249" s="262"/>
      <c r="R249" s="263"/>
      <c r="S249" s="264"/>
      <c r="T249" s="264"/>
      <c r="U249" s="265"/>
      <c r="V249" s="266"/>
      <c r="W249" s="266"/>
      <c r="X249" s="267"/>
      <c r="Y249" s="268"/>
      <c r="Z249" s="268"/>
      <c r="AA249" s="259"/>
      <c r="AB249" s="260"/>
      <c r="AC249" s="260"/>
      <c r="AD249" s="261"/>
      <c r="AE249" s="262"/>
      <c r="AF249" s="262"/>
      <c r="AG249" s="269"/>
      <c r="AH249" s="270"/>
      <c r="AI249" s="271"/>
      <c r="AJ249" s="272"/>
    </row>
    <row r="250" spans="1:36" x14ac:dyDescent="0.25">
      <c r="A250" s="28" t="str">
        <f>IF(H250&lt;&gt;"",MAX($A$7:A249)+1,"")</f>
        <v/>
      </c>
      <c r="B250" s="243" t="str">
        <f t="shared" si="8"/>
        <v/>
      </c>
      <c r="C250" s="158" t="str">
        <f t="shared" si="9"/>
        <v/>
      </c>
      <c r="D250" s="246"/>
      <c r="E250" s="247"/>
      <c r="F250" s="258"/>
      <c r="G250" s="248"/>
      <c r="H250" s="241"/>
      <c r="I250" s="259"/>
      <c r="J250" s="260"/>
      <c r="K250" s="260"/>
      <c r="L250" s="261"/>
      <c r="M250" s="262"/>
      <c r="N250" s="262"/>
      <c r="O250" s="261"/>
      <c r="P250" s="262"/>
      <c r="Q250" s="262"/>
      <c r="R250" s="263"/>
      <c r="S250" s="264"/>
      <c r="T250" s="264"/>
      <c r="U250" s="265"/>
      <c r="V250" s="266"/>
      <c r="W250" s="266"/>
      <c r="X250" s="267"/>
      <c r="Y250" s="268"/>
      <c r="Z250" s="268"/>
      <c r="AA250" s="259"/>
      <c r="AB250" s="260"/>
      <c r="AC250" s="260"/>
      <c r="AD250" s="261"/>
      <c r="AE250" s="262"/>
      <c r="AF250" s="262"/>
      <c r="AG250" s="269"/>
      <c r="AH250" s="270"/>
      <c r="AI250" s="271"/>
      <c r="AJ250" s="272"/>
    </row>
    <row r="251" spans="1:36" x14ac:dyDescent="0.25">
      <c r="A251" s="28" t="str">
        <f>IF(H251&lt;&gt;"",MAX($A$7:A250)+1,"")</f>
        <v/>
      </c>
      <c r="B251" s="243" t="str">
        <f t="shared" si="8"/>
        <v/>
      </c>
      <c r="C251" s="158" t="str">
        <f t="shared" si="9"/>
        <v/>
      </c>
      <c r="D251" s="246"/>
      <c r="E251" s="247"/>
      <c r="F251" s="258"/>
      <c r="G251" s="248"/>
      <c r="H251" s="241"/>
      <c r="I251" s="259"/>
      <c r="J251" s="260"/>
      <c r="K251" s="260"/>
      <c r="L251" s="261"/>
      <c r="M251" s="262"/>
      <c r="N251" s="262"/>
      <c r="O251" s="261"/>
      <c r="P251" s="262"/>
      <c r="Q251" s="262"/>
      <c r="R251" s="263"/>
      <c r="S251" s="264"/>
      <c r="T251" s="264"/>
      <c r="U251" s="265"/>
      <c r="V251" s="266"/>
      <c r="W251" s="266"/>
      <c r="X251" s="267"/>
      <c r="Y251" s="268"/>
      <c r="Z251" s="268"/>
      <c r="AA251" s="259"/>
      <c r="AB251" s="260"/>
      <c r="AC251" s="260"/>
      <c r="AD251" s="261"/>
      <c r="AE251" s="262"/>
      <c r="AF251" s="262"/>
      <c r="AG251" s="269"/>
      <c r="AH251" s="270"/>
      <c r="AI251" s="271"/>
      <c r="AJ251" s="272"/>
    </row>
    <row r="252" spans="1:36" x14ac:dyDescent="0.25">
      <c r="A252" s="28" t="str">
        <f>IF(H252&lt;&gt;"",MAX($A$7:A251)+1,"")</f>
        <v/>
      </c>
      <c r="B252" s="243" t="str">
        <f t="shared" si="8"/>
        <v/>
      </c>
      <c r="C252" s="158" t="str">
        <f t="shared" si="9"/>
        <v/>
      </c>
      <c r="D252" s="246"/>
      <c r="E252" s="247"/>
      <c r="F252" s="258"/>
      <c r="G252" s="248"/>
      <c r="H252" s="241"/>
      <c r="I252" s="259"/>
      <c r="J252" s="260"/>
      <c r="K252" s="260"/>
      <c r="L252" s="261"/>
      <c r="M252" s="262"/>
      <c r="N252" s="262"/>
      <c r="O252" s="261"/>
      <c r="P252" s="262"/>
      <c r="Q252" s="262"/>
      <c r="R252" s="263"/>
      <c r="S252" s="264"/>
      <c r="T252" s="264"/>
      <c r="U252" s="265"/>
      <c r="V252" s="266"/>
      <c r="W252" s="266"/>
      <c r="X252" s="267"/>
      <c r="Y252" s="268"/>
      <c r="Z252" s="268"/>
      <c r="AA252" s="259"/>
      <c r="AB252" s="260"/>
      <c r="AC252" s="260"/>
      <c r="AD252" s="261"/>
      <c r="AE252" s="262"/>
      <c r="AF252" s="262"/>
      <c r="AG252" s="269"/>
      <c r="AH252" s="270"/>
      <c r="AI252" s="271"/>
      <c r="AJ252" s="272"/>
    </row>
    <row r="253" spans="1:36" x14ac:dyDescent="0.25">
      <c r="A253" s="28" t="str">
        <f>IF(H253&lt;&gt;"",MAX($A$7:A252)+1,"")</f>
        <v/>
      </c>
      <c r="B253" s="243" t="str">
        <f t="shared" si="8"/>
        <v/>
      </c>
      <c r="C253" s="158" t="str">
        <f t="shared" si="9"/>
        <v/>
      </c>
      <c r="D253" s="246"/>
      <c r="E253" s="247"/>
      <c r="F253" s="258"/>
      <c r="G253" s="248"/>
      <c r="H253" s="241"/>
      <c r="I253" s="259"/>
      <c r="J253" s="260"/>
      <c r="K253" s="260"/>
      <c r="L253" s="261"/>
      <c r="M253" s="262"/>
      <c r="N253" s="262"/>
      <c r="O253" s="261"/>
      <c r="P253" s="262"/>
      <c r="Q253" s="262"/>
      <c r="R253" s="263"/>
      <c r="S253" s="264"/>
      <c r="T253" s="264"/>
      <c r="U253" s="265"/>
      <c r="V253" s="266"/>
      <c r="W253" s="266"/>
      <c r="X253" s="267"/>
      <c r="Y253" s="268"/>
      <c r="Z253" s="268"/>
      <c r="AA253" s="259"/>
      <c r="AB253" s="260"/>
      <c r="AC253" s="260"/>
      <c r="AD253" s="261"/>
      <c r="AE253" s="262"/>
      <c r="AF253" s="262"/>
      <c r="AG253" s="269"/>
      <c r="AH253" s="270"/>
      <c r="AI253" s="271"/>
      <c r="AJ253" s="272"/>
    </row>
    <row r="254" spans="1:36" x14ac:dyDescent="0.25">
      <c r="A254" s="28" t="str">
        <f>IF(H254&lt;&gt;"",MAX($A$7:A253)+1,"")</f>
        <v/>
      </c>
      <c r="B254" s="243" t="str">
        <f t="shared" si="8"/>
        <v/>
      </c>
      <c r="C254" s="158" t="str">
        <f t="shared" si="9"/>
        <v/>
      </c>
      <c r="D254" s="246"/>
      <c r="E254" s="247"/>
      <c r="F254" s="258"/>
      <c r="G254" s="248"/>
      <c r="H254" s="241"/>
      <c r="I254" s="259"/>
      <c r="J254" s="260"/>
      <c r="K254" s="260"/>
      <c r="L254" s="261"/>
      <c r="M254" s="262"/>
      <c r="N254" s="262"/>
      <c r="O254" s="261"/>
      <c r="P254" s="262"/>
      <c r="Q254" s="262"/>
      <c r="R254" s="263"/>
      <c r="S254" s="264"/>
      <c r="T254" s="264"/>
      <c r="U254" s="265"/>
      <c r="V254" s="266"/>
      <c r="W254" s="266"/>
      <c r="X254" s="267"/>
      <c r="Y254" s="268"/>
      <c r="Z254" s="268"/>
      <c r="AA254" s="259"/>
      <c r="AB254" s="260"/>
      <c r="AC254" s="260"/>
      <c r="AD254" s="261"/>
      <c r="AE254" s="262"/>
      <c r="AF254" s="262"/>
      <c r="AG254" s="269"/>
      <c r="AH254" s="270"/>
      <c r="AI254" s="271"/>
      <c r="AJ254" s="272"/>
    </row>
    <row r="255" spans="1:36" x14ac:dyDescent="0.25">
      <c r="A255" s="28" t="str">
        <f>IF(H255&lt;&gt;"",MAX($A$7:A254)+1,"")</f>
        <v/>
      </c>
      <c r="B255" s="243" t="str">
        <f t="shared" si="8"/>
        <v/>
      </c>
      <c r="C255" s="158" t="str">
        <f t="shared" si="9"/>
        <v/>
      </c>
      <c r="D255" s="246"/>
      <c r="E255" s="247"/>
      <c r="F255" s="258"/>
      <c r="G255" s="248"/>
      <c r="H255" s="241"/>
      <c r="I255" s="259"/>
      <c r="J255" s="260"/>
      <c r="K255" s="260"/>
      <c r="L255" s="261"/>
      <c r="M255" s="262"/>
      <c r="N255" s="262"/>
      <c r="O255" s="261"/>
      <c r="P255" s="262"/>
      <c r="Q255" s="262"/>
      <c r="R255" s="263"/>
      <c r="S255" s="264"/>
      <c r="T255" s="264"/>
      <c r="U255" s="265"/>
      <c r="V255" s="266"/>
      <c r="W255" s="266"/>
      <c r="X255" s="267"/>
      <c r="Y255" s="268"/>
      <c r="Z255" s="268"/>
      <c r="AA255" s="259"/>
      <c r="AB255" s="260"/>
      <c r="AC255" s="260"/>
      <c r="AD255" s="261"/>
      <c r="AE255" s="262"/>
      <c r="AF255" s="262"/>
      <c r="AG255" s="269"/>
      <c r="AH255" s="270"/>
      <c r="AI255" s="271"/>
      <c r="AJ255" s="272"/>
    </row>
    <row r="256" spans="1:36" x14ac:dyDescent="0.25">
      <c r="A256" s="28" t="str">
        <f>IF(H256&lt;&gt;"",MAX($A$7:A255)+1,"")</f>
        <v/>
      </c>
      <c r="B256" s="243" t="str">
        <f t="shared" si="8"/>
        <v/>
      </c>
      <c r="C256" s="158" t="str">
        <f t="shared" si="9"/>
        <v/>
      </c>
      <c r="D256" s="246"/>
      <c r="E256" s="247"/>
      <c r="F256" s="258"/>
      <c r="G256" s="248"/>
      <c r="H256" s="241"/>
      <c r="I256" s="259"/>
      <c r="J256" s="260"/>
      <c r="K256" s="260"/>
      <c r="L256" s="261"/>
      <c r="M256" s="262"/>
      <c r="N256" s="262"/>
      <c r="O256" s="261"/>
      <c r="P256" s="262"/>
      <c r="Q256" s="262"/>
      <c r="R256" s="263"/>
      <c r="S256" s="264"/>
      <c r="T256" s="264"/>
      <c r="U256" s="265"/>
      <c r="V256" s="266"/>
      <c r="W256" s="266"/>
      <c r="X256" s="267"/>
      <c r="Y256" s="268"/>
      <c r="Z256" s="268"/>
      <c r="AA256" s="259"/>
      <c r="AB256" s="260"/>
      <c r="AC256" s="260"/>
      <c r="AD256" s="261"/>
      <c r="AE256" s="262"/>
      <c r="AF256" s="262"/>
      <c r="AG256" s="269"/>
      <c r="AH256" s="270"/>
      <c r="AI256" s="271"/>
      <c r="AJ256" s="272"/>
    </row>
    <row r="257" spans="1:36" x14ac:dyDescent="0.25">
      <c r="A257" s="28" t="str">
        <f>IF(H257&lt;&gt;"",MAX($A$7:A256)+1,"")</f>
        <v/>
      </c>
      <c r="B257" s="243" t="str">
        <f t="shared" si="8"/>
        <v/>
      </c>
      <c r="C257" s="158" t="str">
        <f t="shared" si="9"/>
        <v/>
      </c>
      <c r="D257" s="246"/>
      <c r="E257" s="247"/>
      <c r="F257" s="258"/>
      <c r="G257" s="248"/>
      <c r="H257" s="241"/>
      <c r="I257" s="259"/>
      <c r="J257" s="260"/>
      <c r="K257" s="260"/>
      <c r="L257" s="261"/>
      <c r="M257" s="262"/>
      <c r="N257" s="262"/>
      <c r="O257" s="261"/>
      <c r="P257" s="262"/>
      <c r="Q257" s="262"/>
      <c r="R257" s="263"/>
      <c r="S257" s="264"/>
      <c r="T257" s="264"/>
      <c r="U257" s="265"/>
      <c r="V257" s="266"/>
      <c r="W257" s="266"/>
      <c r="X257" s="267"/>
      <c r="Y257" s="268"/>
      <c r="Z257" s="268"/>
      <c r="AA257" s="259"/>
      <c r="AB257" s="260"/>
      <c r="AC257" s="260"/>
      <c r="AD257" s="261"/>
      <c r="AE257" s="262"/>
      <c r="AF257" s="262"/>
      <c r="AG257" s="269"/>
      <c r="AH257" s="270"/>
      <c r="AI257" s="271"/>
      <c r="AJ257" s="272"/>
    </row>
    <row r="258" spans="1:36" x14ac:dyDescent="0.25">
      <c r="A258" s="28" t="str">
        <f>IF(H258&lt;&gt;"",MAX($A$7:A257)+1,"")</f>
        <v/>
      </c>
      <c r="B258" s="243" t="str">
        <f t="shared" si="8"/>
        <v/>
      </c>
      <c r="C258" s="158" t="str">
        <f t="shared" si="9"/>
        <v/>
      </c>
      <c r="D258" s="246"/>
      <c r="E258" s="247"/>
      <c r="F258" s="258"/>
      <c r="G258" s="248"/>
      <c r="H258" s="241"/>
      <c r="I258" s="259"/>
      <c r="J258" s="260"/>
      <c r="K258" s="260"/>
      <c r="L258" s="261"/>
      <c r="M258" s="262"/>
      <c r="N258" s="262"/>
      <c r="O258" s="261"/>
      <c r="P258" s="262"/>
      <c r="Q258" s="262"/>
      <c r="R258" s="263"/>
      <c r="S258" s="264"/>
      <c r="T258" s="264"/>
      <c r="U258" s="265"/>
      <c r="V258" s="266"/>
      <c r="W258" s="266"/>
      <c r="X258" s="267"/>
      <c r="Y258" s="268"/>
      <c r="Z258" s="268"/>
      <c r="AA258" s="259"/>
      <c r="AB258" s="260"/>
      <c r="AC258" s="260"/>
      <c r="AD258" s="261"/>
      <c r="AE258" s="262"/>
      <c r="AF258" s="262"/>
      <c r="AG258" s="269"/>
      <c r="AH258" s="270"/>
      <c r="AI258" s="271"/>
      <c r="AJ258" s="272"/>
    </row>
    <row r="259" spans="1:36" x14ac:dyDescent="0.25">
      <c r="A259" s="28" t="str">
        <f>IF(H259&lt;&gt;"",MAX($A$7:A258)+1,"")</f>
        <v/>
      </c>
      <c r="B259" s="243" t="str">
        <f t="shared" si="8"/>
        <v/>
      </c>
      <c r="C259" s="158" t="str">
        <f t="shared" si="9"/>
        <v/>
      </c>
      <c r="D259" s="246"/>
      <c r="E259" s="247"/>
      <c r="F259" s="258"/>
      <c r="G259" s="248"/>
      <c r="H259" s="241"/>
      <c r="I259" s="259"/>
      <c r="J259" s="260"/>
      <c r="K259" s="260"/>
      <c r="L259" s="261"/>
      <c r="M259" s="262"/>
      <c r="N259" s="262"/>
      <c r="O259" s="261"/>
      <c r="P259" s="262"/>
      <c r="Q259" s="262"/>
      <c r="R259" s="263"/>
      <c r="S259" s="264"/>
      <c r="T259" s="264"/>
      <c r="U259" s="265"/>
      <c r="V259" s="266"/>
      <c r="W259" s="266"/>
      <c r="X259" s="267"/>
      <c r="Y259" s="268"/>
      <c r="Z259" s="268"/>
      <c r="AA259" s="259"/>
      <c r="AB259" s="260"/>
      <c r="AC259" s="260"/>
      <c r="AD259" s="261"/>
      <c r="AE259" s="262"/>
      <c r="AF259" s="262"/>
      <c r="AG259" s="269"/>
      <c r="AH259" s="270"/>
      <c r="AI259" s="271"/>
      <c r="AJ259" s="272"/>
    </row>
    <row r="260" spans="1:36" x14ac:dyDescent="0.25">
      <c r="A260" s="28" t="str">
        <f>IF(H260&lt;&gt;"",MAX($A$7:A259)+1,"")</f>
        <v/>
      </c>
      <c r="B260" s="243" t="str">
        <f t="shared" si="8"/>
        <v/>
      </c>
      <c r="C260" s="158" t="str">
        <f t="shared" si="9"/>
        <v/>
      </c>
      <c r="D260" s="246"/>
      <c r="E260" s="247"/>
      <c r="F260" s="258"/>
      <c r="G260" s="248"/>
      <c r="H260" s="241"/>
      <c r="I260" s="259"/>
      <c r="J260" s="260"/>
      <c r="K260" s="260"/>
      <c r="L260" s="261"/>
      <c r="M260" s="262"/>
      <c r="N260" s="262"/>
      <c r="O260" s="261"/>
      <c r="P260" s="262"/>
      <c r="Q260" s="262"/>
      <c r="R260" s="263"/>
      <c r="S260" s="264"/>
      <c r="T260" s="264"/>
      <c r="U260" s="265"/>
      <c r="V260" s="266"/>
      <c r="W260" s="266"/>
      <c r="X260" s="267"/>
      <c r="Y260" s="268"/>
      <c r="Z260" s="268"/>
      <c r="AA260" s="259"/>
      <c r="AB260" s="260"/>
      <c r="AC260" s="260"/>
      <c r="AD260" s="261"/>
      <c r="AE260" s="262"/>
      <c r="AF260" s="262"/>
      <c r="AG260" s="269"/>
      <c r="AH260" s="270"/>
      <c r="AI260" s="271"/>
      <c r="AJ260" s="272"/>
    </row>
    <row r="261" spans="1:36" x14ac:dyDescent="0.25">
      <c r="A261" s="28" t="str">
        <f>IF(H261&lt;&gt;"",MAX($A$7:A260)+1,"")</f>
        <v/>
      </c>
      <c r="B261" s="243" t="str">
        <f t="shared" si="8"/>
        <v/>
      </c>
      <c r="C261" s="158" t="str">
        <f t="shared" si="9"/>
        <v/>
      </c>
      <c r="D261" s="246"/>
      <c r="E261" s="247"/>
      <c r="F261" s="258"/>
      <c r="G261" s="248"/>
      <c r="H261" s="241"/>
      <c r="I261" s="259"/>
      <c r="J261" s="260"/>
      <c r="K261" s="260"/>
      <c r="L261" s="261"/>
      <c r="M261" s="262"/>
      <c r="N261" s="262"/>
      <c r="O261" s="261"/>
      <c r="P261" s="262"/>
      <c r="Q261" s="262"/>
      <c r="R261" s="263"/>
      <c r="S261" s="264"/>
      <c r="T261" s="264"/>
      <c r="U261" s="265"/>
      <c r="V261" s="266"/>
      <c r="W261" s="266"/>
      <c r="X261" s="267"/>
      <c r="Y261" s="268"/>
      <c r="Z261" s="268"/>
      <c r="AA261" s="259"/>
      <c r="AB261" s="260"/>
      <c r="AC261" s="260"/>
      <c r="AD261" s="261"/>
      <c r="AE261" s="262"/>
      <c r="AF261" s="262"/>
      <c r="AG261" s="269"/>
      <c r="AH261" s="270"/>
      <c r="AI261" s="271"/>
      <c r="AJ261" s="272"/>
    </row>
    <row r="262" spans="1:36" x14ac:dyDescent="0.25">
      <c r="A262" s="28" t="str">
        <f>IF(H262&lt;&gt;"",MAX($A$7:A261)+1,"")</f>
        <v/>
      </c>
      <c r="B262" s="243" t="str">
        <f t="shared" si="8"/>
        <v/>
      </c>
      <c r="C262" s="158" t="str">
        <f t="shared" si="9"/>
        <v/>
      </c>
      <c r="D262" s="246"/>
      <c r="E262" s="247"/>
      <c r="F262" s="258"/>
      <c r="G262" s="248"/>
      <c r="H262" s="241"/>
      <c r="I262" s="259"/>
      <c r="J262" s="260"/>
      <c r="K262" s="260"/>
      <c r="L262" s="261"/>
      <c r="M262" s="262"/>
      <c r="N262" s="262"/>
      <c r="O262" s="261"/>
      <c r="P262" s="262"/>
      <c r="Q262" s="262"/>
      <c r="R262" s="263"/>
      <c r="S262" s="264"/>
      <c r="T262" s="264"/>
      <c r="U262" s="265"/>
      <c r="V262" s="266"/>
      <c r="W262" s="266"/>
      <c r="X262" s="267"/>
      <c r="Y262" s="268"/>
      <c r="Z262" s="268"/>
      <c r="AA262" s="259"/>
      <c r="AB262" s="260"/>
      <c r="AC262" s="260"/>
      <c r="AD262" s="261"/>
      <c r="AE262" s="262"/>
      <c r="AF262" s="262"/>
      <c r="AG262" s="269"/>
      <c r="AH262" s="270"/>
      <c r="AI262" s="271"/>
      <c r="AJ262" s="272"/>
    </row>
    <row r="263" spans="1:36" x14ac:dyDescent="0.25">
      <c r="A263" s="28" t="str">
        <f>IF(H263&lt;&gt;"",MAX($A$7:A262)+1,"")</f>
        <v/>
      </c>
      <c r="B263" s="243" t="str">
        <f t="shared" ref="B263:B326" si="10">IF(A263="","",PREF_PREGUNTA&amp;" - "&amp;IF(MAX($A$7:$A$156)&gt;99,IF(A263&lt;100,"0",""),"")&amp;IF(A263&lt;10,"0","")&amp;A263&amp;IF(G263&lt;&gt;""," "&amp;G263,""))</f>
        <v/>
      </c>
      <c r="C263" s="158" t="str">
        <f t="shared" ref="C263:C326" si="11">IF(COUNTA(I263:N263)-D263=0,"",COUNTA(I263:N263)-D263)</f>
        <v/>
      </c>
      <c r="D263" s="246"/>
      <c r="E263" s="247"/>
      <c r="F263" s="258"/>
      <c r="G263" s="248"/>
      <c r="H263" s="241"/>
      <c r="I263" s="259"/>
      <c r="J263" s="260"/>
      <c r="K263" s="260"/>
      <c r="L263" s="261"/>
      <c r="M263" s="262"/>
      <c r="N263" s="262"/>
      <c r="O263" s="261"/>
      <c r="P263" s="262"/>
      <c r="Q263" s="262"/>
      <c r="R263" s="263"/>
      <c r="S263" s="264"/>
      <c r="T263" s="264"/>
      <c r="U263" s="265"/>
      <c r="V263" s="266"/>
      <c r="W263" s="266"/>
      <c r="X263" s="267"/>
      <c r="Y263" s="268"/>
      <c r="Z263" s="268"/>
      <c r="AA263" s="259"/>
      <c r="AB263" s="260"/>
      <c r="AC263" s="260"/>
      <c r="AD263" s="261"/>
      <c r="AE263" s="262"/>
      <c r="AF263" s="262"/>
      <c r="AG263" s="269"/>
      <c r="AH263" s="270"/>
      <c r="AI263" s="271"/>
      <c r="AJ263" s="272"/>
    </row>
    <row r="264" spans="1:36" x14ac:dyDescent="0.25">
      <c r="A264" s="28" t="str">
        <f>IF(H264&lt;&gt;"",MAX($A$7:A263)+1,"")</f>
        <v/>
      </c>
      <c r="B264" s="243" t="str">
        <f t="shared" si="10"/>
        <v/>
      </c>
      <c r="C264" s="158" t="str">
        <f t="shared" si="11"/>
        <v/>
      </c>
      <c r="D264" s="246"/>
      <c r="E264" s="247"/>
      <c r="F264" s="258"/>
      <c r="G264" s="248"/>
      <c r="H264" s="241"/>
      <c r="I264" s="259"/>
      <c r="J264" s="260"/>
      <c r="K264" s="260"/>
      <c r="L264" s="261"/>
      <c r="M264" s="262"/>
      <c r="N264" s="262"/>
      <c r="O264" s="261"/>
      <c r="P264" s="262"/>
      <c r="Q264" s="262"/>
      <c r="R264" s="263"/>
      <c r="S264" s="264"/>
      <c r="T264" s="264"/>
      <c r="U264" s="265"/>
      <c r="V264" s="266"/>
      <c r="W264" s="266"/>
      <c r="X264" s="267"/>
      <c r="Y264" s="268"/>
      <c r="Z264" s="268"/>
      <c r="AA264" s="259"/>
      <c r="AB264" s="260"/>
      <c r="AC264" s="260"/>
      <c r="AD264" s="261"/>
      <c r="AE264" s="262"/>
      <c r="AF264" s="262"/>
      <c r="AG264" s="269"/>
      <c r="AH264" s="270"/>
      <c r="AI264" s="271"/>
      <c r="AJ264" s="272"/>
    </row>
    <row r="265" spans="1:36" x14ac:dyDescent="0.25">
      <c r="A265" s="28" t="str">
        <f>IF(H265&lt;&gt;"",MAX($A$7:A264)+1,"")</f>
        <v/>
      </c>
      <c r="B265" s="243" t="str">
        <f t="shared" si="10"/>
        <v/>
      </c>
      <c r="C265" s="158" t="str">
        <f t="shared" si="11"/>
        <v/>
      </c>
      <c r="D265" s="246"/>
      <c r="E265" s="247"/>
      <c r="F265" s="258"/>
      <c r="G265" s="248"/>
      <c r="H265" s="241"/>
      <c r="I265" s="259"/>
      <c r="J265" s="260"/>
      <c r="K265" s="260"/>
      <c r="L265" s="261"/>
      <c r="M265" s="262"/>
      <c r="N265" s="262"/>
      <c r="O265" s="261"/>
      <c r="P265" s="262"/>
      <c r="Q265" s="262"/>
      <c r="R265" s="263"/>
      <c r="S265" s="264"/>
      <c r="T265" s="264"/>
      <c r="U265" s="265"/>
      <c r="V265" s="266"/>
      <c r="W265" s="266"/>
      <c r="X265" s="267"/>
      <c r="Y265" s="268"/>
      <c r="Z265" s="268"/>
      <c r="AA265" s="259"/>
      <c r="AB265" s="260"/>
      <c r="AC265" s="260"/>
      <c r="AD265" s="261"/>
      <c r="AE265" s="262"/>
      <c r="AF265" s="262"/>
      <c r="AG265" s="269"/>
      <c r="AH265" s="270"/>
      <c r="AI265" s="271"/>
      <c r="AJ265" s="272"/>
    </row>
    <row r="266" spans="1:36" x14ac:dyDescent="0.25">
      <c r="A266" s="28" t="str">
        <f>IF(H266&lt;&gt;"",MAX($A$7:A265)+1,"")</f>
        <v/>
      </c>
      <c r="B266" s="243" t="str">
        <f t="shared" si="10"/>
        <v/>
      </c>
      <c r="C266" s="158" t="str">
        <f t="shared" si="11"/>
        <v/>
      </c>
      <c r="D266" s="246"/>
      <c r="E266" s="247"/>
      <c r="F266" s="258"/>
      <c r="G266" s="248"/>
      <c r="H266" s="241"/>
      <c r="I266" s="259"/>
      <c r="J266" s="260"/>
      <c r="K266" s="260"/>
      <c r="L266" s="261"/>
      <c r="M266" s="262"/>
      <c r="N266" s="262"/>
      <c r="O266" s="261"/>
      <c r="P266" s="262"/>
      <c r="Q266" s="262"/>
      <c r="R266" s="263"/>
      <c r="S266" s="264"/>
      <c r="T266" s="264"/>
      <c r="U266" s="265"/>
      <c r="V266" s="266"/>
      <c r="W266" s="266"/>
      <c r="X266" s="267"/>
      <c r="Y266" s="268"/>
      <c r="Z266" s="268"/>
      <c r="AA266" s="259"/>
      <c r="AB266" s="260"/>
      <c r="AC266" s="260"/>
      <c r="AD266" s="261"/>
      <c r="AE266" s="262"/>
      <c r="AF266" s="262"/>
      <c r="AG266" s="269"/>
      <c r="AH266" s="270"/>
      <c r="AI266" s="271"/>
      <c r="AJ266" s="272"/>
    </row>
    <row r="267" spans="1:36" x14ac:dyDescent="0.25">
      <c r="A267" s="28" t="str">
        <f>IF(H267&lt;&gt;"",MAX($A$7:A266)+1,"")</f>
        <v/>
      </c>
      <c r="B267" s="243" t="str">
        <f t="shared" si="10"/>
        <v/>
      </c>
      <c r="C267" s="158" t="str">
        <f t="shared" si="11"/>
        <v/>
      </c>
      <c r="D267" s="246"/>
      <c r="E267" s="247"/>
      <c r="F267" s="258"/>
      <c r="G267" s="248"/>
      <c r="H267" s="241"/>
      <c r="I267" s="259"/>
      <c r="J267" s="260"/>
      <c r="K267" s="260"/>
      <c r="L267" s="261"/>
      <c r="M267" s="262"/>
      <c r="N267" s="262"/>
      <c r="O267" s="261"/>
      <c r="P267" s="262"/>
      <c r="Q267" s="262"/>
      <c r="R267" s="263"/>
      <c r="S267" s="264"/>
      <c r="T267" s="264"/>
      <c r="U267" s="265"/>
      <c r="V267" s="266"/>
      <c r="W267" s="266"/>
      <c r="X267" s="267"/>
      <c r="Y267" s="268"/>
      <c r="Z267" s="268"/>
      <c r="AA267" s="259"/>
      <c r="AB267" s="260"/>
      <c r="AC267" s="260"/>
      <c r="AD267" s="261"/>
      <c r="AE267" s="262"/>
      <c r="AF267" s="262"/>
      <c r="AG267" s="269"/>
      <c r="AH267" s="270"/>
      <c r="AI267" s="271"/>
      <c r="AJ267" s="272"/>
    </row>
    <row r="268" spans="1:36" x14ac:dyDescent="0.25">
      <c r="A268" s="28" t="str">
        <f>IF(H268&lt;&gt;"",MAX($A$7:A267)+1,"")</f>
        <v/>
      </c>
      <c r="B268" s="243" t="str">
        <f t="shared" si="10"/>
        <v/>
      </c>
      <c r="C268" s="158" t="str">
        <f t="shared" si="11"/>
        <v/>
      </c>
      <c r="D268" s="246"/>
      <c r="E268" s="247"/>
      <c r="F268" s="258"/>
      <c r="G268" s="248"/>
      <c r="H268" s="241"/>
      <c r="I268" s="259"/>
      <c r="J268" s="260"/>
      <c r="K268" s="260"/>
      <c r="L268" s="261"/>
      <c r="M268" s="262"/>
      <c r="N268" s="262"/>
      <c r="O268" s="261"/>
      <c r="P268" s="262"/>
      <c r="Q268" s="262"/>
      <c r="R268" s="263"/>
      <c r="S268" s="264"/>
      <c r="T268" s="264"/>
      <c r="U268" s="265"/>
      <c r="V268" s="266"/>
      <c r="W268" s="266"/>
      <c r="X268" s="267"/>
      <c r="Y268" s="268"/>
      <c r="Z268" s="268"/>
      <c r="AA268" s="259"/>
      <c r="AB268" s="260"/>
      <c r="AC268" s="260"/>
      <c r="AD268" s="261"/>
      <c r="AE268" s="262"/>
      <c r="AF268" s="262"/>
      <c r="AG268" s="269"/>
      <c r="AH268" s="270"/>
      <c r="AI268" s="271"/>
      <c r="AJ268" s="272"/>
    </row>
    <row r="269" spans="1:36" x14ac:dyDescent="0.25">
      <c r="A269" s="28" t="str">
        <f>IF(H269&lt;&gt;"",MAX($A$7:A268)+1,"")</f>
        <v/>
      </c>
      <c r="B269" s="243" t="str">
        <f t="shared" si="10"/>
        <v/>
      </c>
      <c r="C269" s="158" t="str">
        <f t="shared" si="11"/>
        <v/>
      </c>
      <c r="D269" s="246"/>
      <c r="E269" s="247"/>
      <c r="F269" s="258"/>
      <c r="G269" s="248"/>
      <c r="H269" s="241"/>
      <c r="I269" s="259"/>
      <c r="J269" s="260"/>
      <c r="K269" s="260"/>
      <c r="L269" s="261"/>
      <c r="M269" s="262"/>
      <c r="N269" s="262"/>
      <c r="O269" s="261"/>
      <c r="P269" s="262"/>
      <c r="Q269" s="262"/>
      <c r="R269" s="263"/>
      <c r="S269" s="264"/>
      <c r="T269" s="264"/>
      <c r="U269" s="265"/>
      <c r="V269" s="266"/>
      <c r="W269" s="266"/>
      <c r="X269" s="267"/>
      <c r="Y269" s="268"/>
      <c r="Z269" s="268"/>
      <c r="AA269" s="259"/>
      <c r="AB269" s="260"/>
      <c r="AC269" s="260"/>
      <c r="AD269" s="261"/>
      <c r="AE269" s="262"/>
      <c r="AF269" s="262"/>
      <c r="AG269" s="269"/>
      <c r="AH269" s="270"/>
      <c r="AI269" s="271"/>
      <c r="AJ269" s="272"/>
    </row>
    <row r="270" spans="1:36" x14ac:dyDescent="0.25">
      <c r="A270" s="28" t="str">
        <f>IF(H270&lt;&gt;"",MAX($A$7:A269)+1,"")</f>
        <v/>
      </c>
      <c r="B270" s="243" t="str">
        <f t="shared" si="10"/>
        <v/>
      </c>
      <c r="C270" s="158" t="str">
        <f t="shared" si="11"/>
        <v/>
      </c>
      <c r="D270" s="246"/>
      <c r="E270" s="247"/>
      <c r="F270" s="258"/>
      <c r="G270" s="248"/>
      <c r="H270" s="241"/>
      <c r="I270" s="259"/>
      <c r="J270" s="260"/>
      <c r="K270" s="260"/>
      <c r="L270" s="261"/>
      <c r="M270" s="262"/>
      <c r="N270" s="262"/>
      <c r="O270" s="261"/>
      <c r="P270" s="262"/>
      <c r="Q270" s="262"/>
      <c r="R270" s="263"/>
      <c r="S270" s="264"/>
      <c r="T270" s="264"/>
      <c r="U270" s="265"/>
      <c r="V270" s="266"/>
      <c r="W270" s="266"/>
      <c r="X270" s="267"/>
      <c r="Y270" s="268"/>
      <c r="Z270" s="268"/>
      <c r="AA270" s="259"/>
      <c r="AB270" s="260"/>
      <c r="AC270" s="260"/>
      <c r="AD270" s="261"/>
      <c r="AE270" s="262"/>
      <c r="AF270" s="262"/>
      <c r="AG270" s="269"/>
      <c r="AH270" s="270"/>
      <c r="AI270" s="271"/>
      <c r="AJ270" s="272"/>
    </row>
    <row r="271" spans="1:36" x14ac:dyDescent="0.25">
      <c r="A271" s="28" t="str">
        <f>IF(H271&lt;&gt;"",MAX($A$7:A270)+1,"")</f>
        <v/>
      </c>
      <c r="B271" s="243" t="str">
        <f t="shared" si="10"/>
        <v/>
      </c>
      <c r="C271" s="158" t="str">
        <f t="shared" si="11"/>
        <v/>
      </c>
      <c r="D271" s="246"/>
      <c r="E271" s="247"/>
      <c r="F271" s="258"/>
      <c r="G271" s="248"/>
      <c r="H271" s="241"/>
      <c r="I271" s="259"/>
      <c r="J271" s="260"/>
      <c r="K271" s="260"/>
      <c r="L271" s="261"/>
      <c r="M271" s="262"/>
      <c r="N271" s="262"/>
      <c r="O271" s="261"/>
      <c r="P271" s="262"/>
      <c r="Q271" s="262"/>
      <c r="R271" s="263"/>
      <c r="S271" s="264"/>
      <c r="T271" s="264"/>
      <c r="U271" s="265"/>
      <c r="V271" s="266"/>
      <c r="W271" s="266"/>
      <c r="X271" s="267"/>
      <c r="Y271" s="268"/>
      <c r="Z271" s="268"/>
      <c r="AA271" s="259"/>
      <c r="AB271" s="260"/>
      <c r="AC271" s="260"/>
      <c r="AD271" s="261"/>
      <c r="AE271" s="262"/>
      <c r="AF271" s="262"/>
      <c r="AG271" s="269"/>
      <c r="AH271" s="270"/>
      <c r="AI271" s="271"/>
      <c r="AJ271" s="272"/>
    </row>
    <row r="272" spans="1:36" x14ac:dyDescent="0.25">
      <c r="A272" s="28" t="str">
        <f>IF(H272&lt;&gt;"",MAX($A$7:A271)+1,"")</f>
        <v/>
      </c>
      <c r="B272" s="243" t="str">
        <f t="shared" si="10"/>
        <v/>
      </c>
      <c r="C272" s="158" t="str">
        <f t="shared" si="11"/>
        <v/>
      </c>
      <c r="D272" s="246"/>
      <c r="E272" s="247"/>
      <c r="F272" s="258"/>
      <c r="G272" s="248"/>
      <c r="H272" s="241"/>
      <c r="I272" s="259"/>
      <c r="J272" s="260"/>
      <c r="K272" s="260"/>
      <c r="L272" s="261"/>
      <c r="M272" s="262"/>
      <c r="N272" s="262"/>
      <c r="O272" s="261"/>
      <c r="P272" s="262"/>
      <c r="Q272" s="262"/>
      <c r="R272" s="263"/>
      <c r="S272" s="264"/>
      <c r="T272" s="264"/>
      <c r="U272" s="265"/>
      <c r="V272" s="266"/>
      <c r="W272" s="266"/>
      <c r="X272" s="267"/>
      <c r="Y272" s="268"/>
      <c r="Z272" s="268"/>
      <c r="AA272" s="259"/>
      <c r="AB272" s="260"/>
      <c r="AC272" s="260"/>
      <c r="AD272" s="261"/>
      <c r="AE272" s="262"/>
      <c r="AF272" s="262"/>
      <c r="AG272" s="269"/>
      <c r="AH272" s="270"/>
      <c r="AI272" s="271"/>
      <c r="AJ272" s="272"/>
    </row>
    <row r="273" spans="1:36" x14ac:dyDescent="0.25">
      <c r="A273" s="28" t="str">
        <f>IF(H273&lt;&gt;"",MAX($A$7:A272)+1,"")</f>
        <v/>
      </c>
      <c r="B273" s="243" t="str">
        <f t="shared" si="10"/>
        <v/>
      </c>
      <c r="C273" s="158" t="str">
        <f t="shared" si="11"/>
        <v/>
      </c>
      <c r="D273" s="246"/>
      <c r="E273" s="247"/>
      <c r="F273" s="258"/>
      <c r="G273" s="248"/>
      <c r="H273" s="241"/>
      <c r="I273" s="259"/>
      <c r="J273" s="260"/>
      <c r="K273" s="260"/>
      <c r="L273" s="261"/>
      <c r="M273" s="262"/>
      <c r="N273" s="262"/>
      <c r="O273" s="261"/>
      <c r="P273" s="262"/>
      <c r="Q273" s="262"/>
      <c r="R273" s="263"/>
      <c r="S273" s="264"/>
      <c r="T273" s="264"/>
      <c r="U273" s="265"/>
      <c r="V273" s="266"/>
      <c r="W273" s="266"/>
      <c r="X273" s="267"/>
      <c r="Y273" s="268"/>
      <c r="Z273" s="268"/>
      <c r="AA273" s="259"/>
      <c r="AB273" s="260"/>
      <c r="AC273" s="260"/>
      <c r="AD273" s="261"/>
      <c r="AE273" s="262"/>
      <c r="AF273" s="262"/>
      <c r="AG273" s="269"/>
      <c r="AH273" s="270"/>
      <c r="AI273" s="271"/>
      <c r="AJ273" s="272"/>
    </row>
    <row r="274" spans="1:36" x14ac:dyDescent="0.25">
      <c r="A274" s="28" t="str">
        <f>IF(H274&lt;&gt;"",MAX($A$7:A273)+1,"")</f>
        <v/>
      </c>
      <c r="B274" s="243" t="str">
        <f t="shared" si="10"/>
        <v/>
      </c>
      <c r="C274" s="158" t="str">
        <f t="shared" si="11"/>
        <v/>
      </c>
      <c r="D274" s="246"/>
      <c r="E274" s="247"/>
      <c r="F274" s="258"/>
      <c r="G274" s="248"/>
      <c r="H274" s="241"/>
      <c r="I274" s="259"/>
      <c r="J274" s="260"/>
      <c r="K274" s="260"/>
      <c r="L274" s="261"/>
      <c r="M274" s="262"/>
      <c r="N274" s="262"/>
      <c r="O274" s="261"/>
      <c r="P274" s="262"/>
      <c r="Q274" s="262"/>
      <c r="R274" s="263"/>
      <c r="S274" s="264"/>
      <c r="T274" s="264"/>
      <c r="U274" s="265"/>
      <c r="V274" s="266"/>
      <c r="W274" s="266"/>
      <c r="X274" s="267"/>
      <c r="Y274" s="268"/>
      <c r="Z274" s="268"/>
      <c r="AA274" s="259"/>
      <c r="AB274" s="260"/>
      <c r="AC274" s="260"/>
      <c r="AD274" s="261"/>
      <c r="AE274" s="262"/>
      <c r="AF274" s="262"/>
      <c r="AG274" s="269"/>
      <c r="AH274" s="270"/>
      <c r="AI274" s="271"/>
      <c r="AJ274" s="272"/>
    </row>
    <row r="275" spans="1:36" x14ac:dyDescent="0.25">
      <c r="A275" s="28" t="str">
        <f>IF(H275&lt;&gt;"",MAX($A$7:A274)+1,"")</f>
        <v/>
      </c>
      <c r="B275" s="243" t="str">
        <f t="shared" si="10"/>
        <v/>
      </c>
      <c r="C275" s="158" t="str">
        <f t="shared" si="11"/>
        <v/>
      </c>
      <c r="D275" s="246"/>
      <c r="E275" s="247"/>
      <c r="F275" s="258"/>
      <c r="G275" s="248"/>
      <c r="H275" s="241"/>
      <c r="I275" s="259"/>
      <c r="J275" s="260"/>
      <c r="K275" s="260"/>
      <c r="L275" s="261"/>
      <c r="M275" s="262"/>
      <c r="N275" s="262"/>
      <c r="O275" s="261"/>
      <c r="P275" s="262"/>
      <c r="Q275" s="262"/>
      <c r="R275" s="263"/>
      <c r="S275" s="264"/>
      <c r="T275" s="264"/>
      <c r="U275" s="265"/>
      <c r="V275" s="266"/>
      <c r="W275" s="266"/>
      <c r="X275" s="267"/>
      <c r="Y275" s="268"/>
      <c r="Z275" s="268"/>
      <c r="AA275" s="259"/>
      <c r="AB275" s="260"/>
      <c r="AC275" s="260"/>
      <c r="AD275" s="261"/>
      <c r="AE275" s="262"/>
      <c r="AF275" s="262"/>
      <c r="AG275" s="269"/>
      <c r="AH275" s="270"/>
      <c r="AI275" s="271"/>
      <c r="AJ275" s="272"/>
    </row>
    <row r="276" spans="1:36" x14ac:dyDescent="0.25">
      <c r="A276" s="28" t="str">
        <f>IF(H276&lt;&gt;"",MAX($A$7:A275)+1,"")</f>
        <v/>
      </c>
      <c r="B276" s="243" t="str">
        <f t="shared" si="10"/>
        <v/>
      </c>
      <c r="C276" s="158" t="str">
        <f t="shared" si="11"/>
        <v/>
      </c>
      <c r="D276" s="246"/>
      <c r="E276" s="247"/>
      <c r="F276" s="258"/>
      <c r="G276" s="248"/>
      <c r="H276" s="241"/>
      <c r="I276" s="259"/>
      <c r="J276" s="260"/>
      <c r="K276" s="260"/>
      <c r="L276" s="261"/>
      <c r="M276" s="262"/>
      <c r="N276" s="262"/>
      <c r="O276" s="261"/>
      <c r="P276" s="262"/>
      <c r="Q276" s="262"/>
      <c r="R276" s="263"/>
      <c r="S276" s="264"/>
      <c r="T276" s="264"/>
      <c r="U276" s="265"/>
      <c r="V276" s="266"/>
      <c r="W276" s="266"/>
      <c r="X276" s="267"/>
      <c r="Y276" s="268"/>
      <c r="Z276" s="268"/>
      <c r="AA276" s="259"/>
      <c r="AB276" s="260"/>
      <c r="AC276" s="260"/>
      <c r="AD276" s="261"/>
      <c r="AE276" s="262"/>
      <c r="AF276" s="262"/>
      <c r="AG276" s="269"/>
      <c r="AH276" s="270"/>
      <c r="AI276" s="271"/>
      <c r="AJ276" s="272"/>
    </row>
    <row r="277" spans="1:36" x14ac:dyDescent="0.25">
      <c r="A277" s="28" t="str">
        <f>IF(H277&lt;&gt;"",MAX($A$7:A276)+1,"")</f>
        <v/>
      </c>
      <c r="B277" s="243" t="str">
        <f t="shared" si="10"/>
        <v/>
      </c>
      <c r="C277" s="158" t="str">
        <f t="shared" si="11"/>
        <v/>
      </c>
      <c r="D277" s="246"/>
      <c r="E277" s="247"/>
      <c r="F277" s="258"/>
      <c r="G277" s="248"/>
      <c r="H277" s="241"/>
      <c r="I277" s="259"/>
      <c r="J277" s="260"/>
      <c r="K277" s="260"/>
      <c r="L277" s="261"/>
      <c r="M277" s="262"/>
      <c r="N277" s="262"/>
      <c r="O277" s="261"/>
      <c r="P277" s="262"/>
      <c r="Q277" s="262"/>
      <c r="R277" s="263"/>
      <c r="S277" s="264"/>
      <c r="T277" s="264"/>
      <c r="U277" s="265"/>
      <c r="V277" s="266"/>
      <c r="W277" s="266"/>
      <c r="X277" s="267"/>
      <c r="Y277" s="268"/>
      <c r="Z277" s="268"/>
      <c r="AA277" s="259"/>
      <c r="AB277" s="260"/>
      <c r="AC277" s="260"/>
      <c r="AD277" s="261"/>
      <c r="AE277" s="262"/>
      <c r="AF277" s="262"/>
      <c r="AG277" s="269"/>
      <c r="AH277" s="270"/>
      <c r="AI277" s="271"/>
      <c r="AJ277" s="272"/>
    </row>
    <row r="278" spans="1:36" x14ac:dyDescent="0.25">
      <c r="A278" s="28" t="str">
        <f>IF(H278&lt;&gt;"",MAX($A$7:A277)+1,"")</f>
        <v/>
      </c>
      <c r="B278" s="243" t="str">
        <f t="shared" si="10"/>
        <v/>
      </c>
      <c r="C278" s="158" t="str">
        <f t="shared" si="11"/>
        <v/>
      </c>
      <c r="D278" s="246"/>
      <c r="E278" s="247"/>
      <c r="F278" s="258"/>
      <c r="G278" s="248"/>
      <c r="H278" s="241"/>
      <c r="I278" s="259"/>
      <c r="J278" s="260"/>
      <c r="K278" s="260"/>
      <c r="L278" s="261"/>
      <c r="M278" s="262"/>
      <c r="N278" s="262"/>
      <c r="O278" s="261"/>
      <c r="P278" s="262"/>
      <c r="Q278" s="262"/>
      <c r="R278" s="263"/>
      <c r="S278" s="264"/>
      <c r="T278" s="264"/>
      <c r="U278" s="265"/>
      <c r="V278" s="266"/>
      <c r="W278" s="266"/>
      <c r="X278" s="267"/>
      <c r="Y278" s="268"/>
      <c r="Z278" s="268"/>
      <c r="AA278" s="259"/>
      <c r="AB278" s="260"/>
      <c r="AC278" s="260"/>
      <c r="AD278" s="261"/>
      <c r="AE278" s="262"/>
      <c r="AF278" s="262"/>
      <c r="AG278" s="269"/>
      <c r="AH278" s="270"/>
      <c r="AI278" s="271"/>
      <c r="AJ278" s="272"/>
    </row>
    <row r="279" spans="1:36" x14ac:dyDescent="0.25">
      <c r="A279" s="28" t="str">
        <f>IF(H279&lt;&gt;"",MAX($A$7:A278)+1,"")</f>
        <v/>
      </c>
      <c r="B279" s="243" t="str">
        <f t="shared" si="10"/>
        <v/>
      </c>
      <c r="C279" s="158" t="str">
        <f t="shared" si="11"/>
        <v/>
      </c>
      <c r="D279" s="246"/>
      <c r="E279" s="247"/>
      <c r="F279" s="258"/>
      <c r="G279" s="248"/>
      <c r="H279" s="241"/>
      <c r="I279" s="259"/>
      <c r="J279" s="260"/>
      <c r="K279" s="260"/>
      <c r="L279" s="261"/>
      <c r="M279" s="262"/>
      <c r="N279" s="262"/>
      <c r="O279" s="261"/>
      <c r="P279" s="262"/>
      <c r="Q279" s="262"/>
      <c r="R279" s="263"/>
      <c r="S279" s="264"/>
      <c r="T279" s="264"/>
      <c r="U279" s="265"/>
      <c r="V279" s="266"/>
      <c r="W279" s="266"/>
      <c r="X279" s="267"/>
      <c r="Y279" s="268"/>
      <c r="Z279" s="268"/>
      <c r="AA279" s="259"/>
      <c r="AB279" s="260"/>
      <c r="AC279" s="260"/>
      <c r="AD279" s="261"/>
      <c r="AE279" s="262"/>
      <c r="AF279" s="262"/>
      <c r="AG279" s="269"/>
      <c r="AH279" s="270"/>
      <c r="AI279" s="271"/>
      <c r="AJ279" s="272"/>
    </row>
    <row r="280" spans="1:36" x14ac:dyDescent="0.25">
      <c r="A280" s="28" t="str">
        <f>IF(H280&lt;&gt;"",MAX($A$7:A279)+1,"")</f>
        <v/>
      </c>
      <c r="B280" s="243" t="str">
        <f t="shared" si="10"/>
        <v/>
      </c>
      <c r="C280" s="158" t="str">
        <f t="shared" si="11"/>
        <v/>
      </c>
      <c r="D280" s="246"/>
      <c r="E280" s="247"/>
      <c r="F280" s="258"/>
      <c r="G280" s="248"/>
      <c r="H280" s="241"/>
      <c r="I280" s="259"/>
      <c r="J280" s="260"/>
      <c r="K280" s="260"/>
      <c r="L280" s="261"/>
      <c r="M280" s="262"/>
      <c r="N280" s="262"/>
      <c r="O280" s="261"/>
      <c r="P280" s="262"/>
      <c r="Q280" s="262"/>
      <c r="R280" s="263"/>
      <c r="S280" s="264"/>
      <c r="T280" s="264"/>
      <c r="U280" s="265"/>
      <c r="V280" s="266"/>
      <c r="W280" s="266"/>
      <c r="X280" s="267"/>
      <c r="Y280" s="268"/>
      <c r="Z280" s="268"/>
      <c r="AA280" s="259"/>
      <c r="AB280" s="260"/>
      <c r="AC280" s="260"/>
      <c r="AD280" s="261"/>
      <c r="AE280" s="262"/>
      <c r="AF280" s="262"/>
      <c r="AG280" s="269"/>
      <c r="AH280" s="270"/>
      <c r="AI280" s="271"/>
      <c r="AJ280" s="272"/>
    </row>
    <row r="281" spans="1:36" x14ac:dyDescent="0.25">
      <c r="A281" s="28" t="str">
        <f>IF(H281&lt;&gt;"",MAX($A$7:A280)+1,"")</f>
        <v/>
      </c>
      <c r="B281" s="243" t="str">
        <f t="shared" si="10"/>
        <v/>
      </c>
      <c r="C281" s="158" t="str">
        <f t="shared" si="11"/>
        <v/>
      </c>
      <c r="D281" s="246"/>
      <c r="E281" s="247"/>
      <c r="F281" s="258"/>
      <c r="G281" s="248"/>
      <c r="H281" s="241"/>
      <c r="I281" s="259"/>
      <c r="J281" s="260"/>
      <c r="K281" s="260"/>
      <c r="L281" s="261"/>
      <c r="M281" s="262"/>
      <c r="N281" s="262"/>
      <c r="O281" s="261"/>
      <c r="P281" s="262"/>
      <c r="Q281" s="262"/>
      <c r="R281" s="263"/>
      <c r="S281" s="264"/>
      <c r="T281" s="264"/>
      <c r="U281" s="265"/>
      <c r="V281" s="266"/>
      <c r="W281" s="266"/>
      <c r="X281" s="267"/>
      <c r="Y281" s="268"/>
      <c r="Z281" s="268"/>
      <c r="AA281" s="259"/>
      <c r="AB281" s="260"/>
      <c r="AC281" s="260"/>
      <c r="AD281" s="261"/>
      <c r="AE281" s="262"/>
      <c r="AF281" s="262"/>
      <c r="AG281" s="269"/>
      <c r="AH281" s="270"/>
      <c r="AI281" s="271"/>
      <c r="AJ281" s="272"/>
    </row>
    <row r="282" spans="1:36" x14ac:dyDescent="0.25">
      <c r="A282" s="28" t="str">
        <f>IF(H282&lt;&gt;"",MAX($A$7:A281)+1,"")</f>
        <v/>
      </c>
      <c r="B282" s="243" t="str">
        <f t="shared" si="10"/>
        <v/>
      </c>
      <c r="C282" s="158" t="str">
        <f t="shared" si="11"/>
        <v/>
      </c>
      <c r="D282" s="246"/>
      <c r="E282" s="247"/>
      <c r="F282" s="258"/>
      <c r="G282" s="248"/>
      <c r="H282" s="241"/>
      <c r="I282" s="259"/>
      <c r="J282" s="260"/>
      <c r="K282" s="260"/>
      <c r="L282" s="261"/>
      <c r="M282" s="262"/>
      <c r="N282" s="262"/>
      <c r="O282" s="261"/>
      <c r="P282" s="262"/>
      <c r="Q282" s="262"/>
      <c r="R282" s="263"/>
      <c r="S282" s="264"/>
      <c r="T282" s="264"/>
      <c r="U282" s="265"/>
      <c r="V282" s="266"/>
      <c r="W282" s="266"/>
      <c r="X282" s="267"/>
      <c r="Y282" s="268"/>
      <c r="Z282" s="268"/>
      <c r="AA282" s="259"/>
      <c r="AB282" s="260"/>
      <c r="AC282" s="260"/>
      <c r="AD282" s="261"/>
      <c r="AE282" s="262"/>
      <c r="AF282" s="262"/>
      <c r="AG282" s="269"/>
      <c r="AH282" s="270"/>
      <c r="AI282" s="271"/>
      <c r="AJ282" s="272"/>
    </row>
    <row r="283" spans="1:36" x14ac:dyDescent="0.25">
      <c r="A283" s="28" t="str">
        <f>IF(H283&lt;&gt;"",MAX($A$7:A282)+1,"")</f>
        <v/>
      </c>
      <c r="B283" s="243" t="str">
        <f t="shared" si="10"/>
        <v/>
      </c>
      <c r="C283" s="158" t="str">
        <f t="shared" si="11"/>
        <v/>
      </c>
      <c r="D283" s="246"/>
      <c r="E283" s="247"/>
      <c r="F283" s="258"/>
      <c r="G283" s="248"/>
      <c r="H283" s="241"/>
      <c r="I283" s="259"/>
      <c r="J283" s="260"/>
      <c r="K283" s="260"/>
      <c r="L283" s="261"/>
      <c r="M283" s="262"/>
      <c r="N283" s="262"/>
      <c r="O283" s="261"/>
      <c r="P283" s="262"/>
      <c r="Q283" s="262"/>
      <c r="R283" s="263"/>
      <c r="S283" s="264"/>
      <c r="T283" s="264"/>
      <c r="U283" s="265"/>
      <c r="V283" s="266"/>
      <c r="W283" s="266"/>
      <c r="X283" s="267"/>
      <c r="Y283" s="268"/>
      <c r="Z283" s="268"/>
      <c r="AA283" s="259"/>
      <c r="AB283" s="260"/>
      <c r="AC283" s="260"/>
      <c r="AD283" s="261"/>
      <c r="AE283" s="262"/>
      <c r="AF283" s="262"/>
      <c r="AG283" s="269"/>
      <c r="AH283" s="270"/>
      <c r="AI283" s="271"/>
      <c r="AJ283" s="272"/>
    </row>
    <row r="284" spans="1:36" x14ac:dyDescent="0.25">
      <c r="A284" s="28" t="str">
        <f>IF(H284&lt;&gt;"",MAX($A$7:A283)+1,"")</f>
        <v/>
      </c>
      <c r="B284" s="243" t="str">
        <f t="shared" si="10"/>
        <v/>
      </c>
      <c r="C284" s="158" t="str">
        <f t="shared" si="11"/>
        <v/>
      </c>
      <c r="D284" s="246"/>
      <c r="E284" s="247"/>
      <c r="F284" s="258"/>
      <c r="G284" s="248"/>
      <c r="H284" s="241"/>
      <c r="I284" s="259"/>
      <c r="J284" s="260"/>
      <c r="K284" s="260"/>
      <c r="L284" s="261"/>
      <c r="M284" s="262"/>
      <c r="N284" s="262"/>
      <c r="O284" s="261"/>
      <c r="P284" s="262"/>
      <c r="Q284" s="262"/>
      <c r="R284" s="263"/>
      <c r="S284" s="264"/>
      <c r="T284" s="264"/>
      <c r="U284" s="265"/>
      <c r="V284" s="266"/>
      <c r="W284" s="266"/>
      <c r="X284" s="267"/>
      <c r="Y284" s="268"/>
      <c r="Z284" s="268"/>
      <c r="AA284" s="259"/>
      <c r="AB284" s="260"/>
      <c r="AC284" s="260"/>
      <c r="AD284" s="261"/>
      <c r="AE284" s="262"/>
      <c r="AF284" s="262"/>
      <c r="AG284" s="269"/>
      <c r="AH284" s="270"/>
      <c r="AI284" s="271"/>
      <c r="AJ284" s="272"/>
    </row>
    <row r="285" spans="1:36" x14ac:dyDescent="0.25">
      <c r="A285" s="28" t="str">
        <f>IF(H285&lt;&gt;"",MAX($A$7:A284)+1,"")</f>
        <v/>
      </c>
      <c r="B285" s="243" t="str">
        <f t="shared" si="10"/>
        <v/>
      </c>
      <c r="C285" s="158" t="str">
        <f t="shared" si="11"/>
        <v/>
      </c>
      <c r="D285" s="246"/>
      <c r="E285" s="247"/>
      <c r="F285" s="258"/>
      <c r="G285" s="248"/>
      <c r="H285" s="241"/>
      <c r="I285" s="259"/>
      <c r="J285" s="260"/>
      <c r="K285" s="260"/>
      <c r="L285" s="261"/>
      <c r="M285" s="262"/>
      <c r="N285" s="262"/>
      <c r="O285" s="261"/>
      <c r="P285" s="262"/>
      <c r="Q285" s="262"/>
      <c r="R285" s="263"/>
      <c r="S285" s="264"/>
      <c r="T285" s="264"/>
      <c r="U285" s="265"/>
      <c r="V285" s="266"/>
      <c r="W285" s="266"/>
      <c r="X285" s="267"/>
      <c r="Y285" s="268"/>
      <c r="Z285" s="268"/>
      <c r="AA285" s="259"/>
      <c r="AB285" s="260"/>
      <c r="AC285" s="260"/>
      <c r="AD285" s="261"/>
      <c r="AE285" s="262"/>
      <c r="AF285" s="262"/>
      <c r="AG285" s="269"/>
      <c r="AH285" s="270"/>
      <c r="AI285" s="271"/>
      <c r="AJ285" s="272"/>
    </row>
    <row r="286" spans="1:36" x14ac:dyDescent="0.25">
      <c r="A286" s="28" t="str">
        <f>IF(H286&lt;&gt;"",MAX($A$7:A285)+1,"")</f>
        <v/>
      </c>
      <c r="B286" s="243" t="str">
        <f t="shared" si="10"/>
        <v/>
      </c>
      <c r="C286" s="158" t="str">
        <f t="shared" si="11"/>
        <v/>
      </c>
      <c r="D286" s="246"/>
      <c r="E286" s="247"/>
      <c r="F286" s="258"/>
      <c r="G286" s="248"/>
      <c r="H286" s="241"/>
      <c r="I286" s="259"/>
      <c r="J286" s="260"/>
      <c r="K286" s="260"/>
      <c r="L286" s="261"/>
      <c r="M286" s="262"/>
      <c r="N286" s="262"/>
      <c r="O286" s="261"/>
      <c r="P286" s="262"/>
      <c r="Q286" s="262"/>
      <c r="R286" s="263"/>
      <c r="S286" s="264"/>
      <c r="T286" s="264"/>
      <c r="U286" s="265"/>
      <c r="V286" s="266"/>
      <c r="W286" s="266"/>
      <c r="X286" s="267"/>
      <c r="Y286" s="268"/>
      <c r="Z286" s="268"/>
      <c r="AA286" s="259"/>
      <c r="AB286" s="260"/>
      <c r="AC286" s="260"/>
      <c r="AD286" s="261"/>
      <c r="AE286" s="262"/>
      <c r="AF286" s="262"/>
      <c r="AG286" s="269"/>
      <c r="AH286" s="270"/>
      <c r="AI286" s="271"/>
      <c r="AJ286" s="272"/>
    </row>
    <row r="287" spans="1:36" x14ac:dyDescent="0.25">
      <c r="A287" s="28" t="str">
        <f>IF(H287&lt;&gt;"",MAX($A$7:A286)+1,"")</f>
        <v/>
      </c>
      <c r="B287" s="243" t="str">
        <f t="shared" si="10"/>
        <v/>
      </c>
      <c r="C287" s="158" t="str">
        <f t="shared" si="11"/>
        <v/>
      </c>
      <c r="D287" s="246"/>
      <c r="E287" s="247"/>
      <c r="F287" s="258"/>
      <c r="G287" s="248"/>
      <c r="H287" s="241"/>
      <c r="I287" s="259"/>
      <c r="J287" s="260"/>
      <c r="K287" s="260"/>
      <c r="L287" s="261"/>
      <c r="M287" s="262"/>
      <c r="N287" s="262"/>
      <c r="O287" s="261"/>
      <c r="P287" s="262"/>
      <c r="Q287" s="262"/>
      <c r="R287" s="263"/>
      <c r="S287" s="264"/>
      <c r="T287" s="264"/>
      <c r="U287" s="265"/>
      <c r="V287" s="266"/>
      <c r="W287" s="266"/>
      <c r="X287" s="267"/>
      <c r="Y287" s="268"/>
      <c r="Z287" s="268"/>
      <c r="AA287" s="259"/>
      <c r="AB287" s="260"/>
      <c r="AC287" s="260"/>
      <c r="AD287" s="261"/>
      <c r="AE287" s="262"/>
      <c r="AF287" s="262"/>
      <c r="AG287" s="269"/>
      <c r="AH287" s="270"/>
      <c r="AI287" s="271"/>
      <c r="AJ287" s="272"/>
    </row>
    <row r="288" spans="1:36" x14ac:dyDescent="0.25">
      <c r="A288" s="28" t="str">
        <f>IF(H288&lt;&gt;"",MAX($A$7:A287)+1,"")</f>
        <v/>
      </c>
      <c r="B288" s="243" t="str">
        <f t="shared" si="10"/>
        <v/>
      </c>
      <c r="C288" s="158" t="str">
        <f t="shared" si="11"/>
        <v/>
      </c>
      <c r="D288" s="246"/>
      <c r="E288" s="247"/>
      <c r="F288" s="258"/>
      <c r="G288" s="248"/>
      <c r="H288" s="241"/>
      <c r="I288" s="259"/>
      <c r="J288" s="260"/>
      <c r="K288" s="260"/>
      <c r="L288" s="261"/>
      <c r="M288" s="262"/>
      <c r="N288" s="262"/>
      <c r="O288" s="261"/>
      <c r="P288" s="262"/>
      <c r="Q288" s="262"/>
      <c r="R288" s="263"/>
      <c r="S288" s="264"/>
      <c r="T288" s="264"/>
      <c r="U288" s="265"/>
      <c r="V288" s="266"/>
      <c r="W288" s="266"/>
      <c r="X288" s="267"/>
      <c r="Y288" s="268"/>
      <c r="Z288" s="268"/>
      <c r="AA288" s="259"/>
      <c r="AB288" s="260"/>
      <c r="AC288" s="260"/>
      <c r="AD288" s="261"/>
      <c r="AE288" s="262"/>
      <c r="AF288" s="262"/>
      <c r="AG288" s="269"/>
      <c r="AH288" s="270"/>
      <c r="AI288" s="271"/>
      <c r="AJ288" s="272"/>
    </row>
    <row r="289" spans="1:36" x14ac:dyDescent="0.25">
      <c r="A289" s="28" t="str">
        <f>IF(H289&lt;&gt;"",MAX($A$7:A288)+1,"")</f>
        <v/>
      </c>
      <c r="B289" s="243" t="str">
        <f t="shared" si="10"/>
        <v/>
      </c>
      <c r="C289" s="158" t="str">
        <f t="shared" si="11"/>
        <v/>
      </c>
      <c r="D289" s="246"/>
      <c r="E289" s="247"/>
      <c r="F289" s="258"/>
      <c r="G289" s="248"/>
      <c r="H289" s="241"/>
      <c r="I289" s="259"/>
      <c r="J289" s="260"/>
      <c r="K289" s="260"/>
      <c r="L289" s="261"/>
      <c r="M289" s="262"/>
      <c r="N289" s="262"/>
      <c r="O289" s="261"/>
      <c r="P289" s="262"/>
      <c r="Q289" s="262"/>
      <c r="R289" s="263"/>
      <c r="S289" s="264"/>
      <c r="T289" s="264"/>
      <c r="U289" s="265"/>
      <c r="V289" s="266"/>
      <c r="W289" s="266"/>
      <c r="X289" s="267"/>
      <c r="Y289" s="268"/>
      <c r="Z289" s="268"/>
      <c r="AA289" s="259"/>
      <c r="AB289" s="260"/>
      <c r="AC289" s="260"/>
      <c r="AD289" s="261"/>
      <c r="AE289" s="262"/>
      <c r="AF289" s="262"/>
      <c r="AG289" s="269"/>
      <c r="AH289" s="270"/>
      <c r="AI289" s="271"/>
      <c r="AJ289" s="272"/>
    </row>
    <row r="290" spans="1:36" x14ac:dyDescent="0.25">
      <c r="A290" s="28" t="str">
        <f>IF(H290&lt;&gt;"",MAX($A$7:A289)+1,"")</f>
        <v/>
      </c>
      <c r="B290" s="243" t="str">
        <f t="shared" si="10"/>
        <v/>
      </c>
      <c r="C290" s="158" t="str">
        <f t="shared" si="11"/>
        <v/>
      </c>
      <c r="D290" s="246"/>
      <c r="E290" s="247"/>
      <c r="F290" s="258"/>
      <c r="G290" s="248"/>
      <c r="H290" s="241"/>
      <c r="I290" s="259"/>
      <c r="J290" s="260"/>
      <c r="K290" s="260"/>
      <c r="L290" s="261"/>
      <c r="M290" s="262"/>
      <c r="N290" s="262"/>
      <c r="O290" s="261"/>
      <c r="P290" s="262"/>
      <c r="Q290" s="262"/>
      <c r="R290" s="263"/>
      <c r="S290" s="264"/>
      <c r="T290" s="264"/>
      <c r="U290" s="265"/>
      <c r="V290" s="266"/>
      <c r="W290" s="266"/>
      <c r="X290" s="267"/>
      <c r="Y290" s="268"/>
      <c r="Z290" s="268"/>
      <c r="AA290" s="259"/>
      <c r="AB290" s="260"/>
      <c r="AC290" s="260"/>
      <c r="AD290" s="261"/>
      <c r="AE290" s="262"/>
      <c r="AF290" s="262"/>
      <c r="AG290" s="269"/>
      <c r="AH290" s="270"/>
      <c r="AI290" s="271"/>
      <c r="AJ290" s="272"/>
    </row>
    <row r="291" spans="1:36" x14ac:dyDescent="0.25">
      <c r="A291" s="28" t="str">
        <f>IF(H291&lt;&gt;"",MAX($A$7:A290)+1,"")</f>
        <v/>
      </c>
      <c r="B291" s="243" t="str">
        <f t="shared" si="10"/>
        <v/>
      </c>
      <c r="C291" s="158" t="str">
        <f t="shared" si="11"/>
        <v/>
      </c>
      <c r="D291" s="246"/>
      <c r="E291" s="247"/>
      <c r="F291" s="258"/>
      <c r="G291" s="248"/>
      <c r="H291" s="241"/>
      <c r="I291" s="259"/>
      <c r="J291" s="260"/>
      <c r="K291" s="260"/>
      <c r="L291" s="261"/>
      <c r="M291" s="262"/>
      <c r="N291" s="262"/>
      <c r="O291" s="261"/>
      <c r="P291" s="262"/>
      <c r="Q291" s="262"/>
      <c r="R291" s="263"/>
      <c r="S291" s="264"/>
      <c r="T291" s="264"/>
      <c r="U291" s="265"/>
      <c r="V291" s="266"/>
      <c r="W291" s="266"/>
      <c r="X291" s="267"/>
      <c r="Y291" s="268"/>
      <c r="Z291" s="268"/>
      <c r="AA291" s="259"/>
      <c r="AB291" s="260"/>
      <c r="AC291" s="260"/>
      <c r="AD291" s="261"/>
      <c r="AE291" s="262"/>
      <c r="AF291" s="262"/>
      <c r="AG291" s="269"/>
      <c r="AH291" s="270"/>
      <c r="AI291" s="271"/>
      <c r="AJ291" s="272"/>
    </row>
    <row r="292" spans="1:36" x14ac:dyDescent="0.25">
      <c r="A292" s="28" t="str">
        <f>IF(H292&lt;&gt;"",MAX($A$7:A291)+1,"")</f>
        <v/>
      </c>
      <c r="B292" s="243" t="str">
        <f t="shared" si="10"/>
        <v/>
      </c>
      <c r="C292" s="158" t="str">
        <f t="shared" si="11"/>
        <v/>
      </c>
      <c r="D292" s="246"/>
      <c r="E292" s="247"/>
      <c r="F292" s="258"/>
      <c r="G292" s="248"/>
      <c r="H292" s="241"/>
      <c r="I292" s="259"/>
      <c r="J292" s="260"/>
      <c r="K292" s="260"/>
      <c r="L292" s="261"/>
      <c r="M292" s="262"/>
      <c r="N292" s="262"/>
      <c r="O292" s="261"/>
      <c r="P292" s="262"/>
      <c r="Q292" s="262"/>
      <c r="R292" s="263"/>
      <c r="S292" s="264"/>
      <c r="T292" s="264"/>
      <c r="U292" s="265"/>
      <c r="V292" s="266"/>
      <c r="W292" s="266"/>
      <c r="X292" s="267"/>
      <c r="Y292" s="268"/>
      <c r="Z292" s="268"/>
      <c r="AA292" s="259"/>
      <c r="AB292" s="260"/>
      <c r="AC292" s="260"/>
      <c r="AD292" s="261"/>
      <c r="AE292" s="262"/>
      <c r="AF292" s="262"/>
      <c r="AG292" s="269"/>
      <c r="AH292" s="270"/>
      <c r="AI292" s="271"/>
      <c r="AJ292" s="272"/>
    </row>
    <row r="293" spans="1:36" x14ac:dyDescent="0.25">
      <c r="A293" s="28" t="str">
        <f>IF(H293&lt;&gt;"",MAX($A$7:A292)+1,"")</f>
        <v/>
      </c>
      <c r="B293" s="243" t="str">
        <f t="shared" si="10"/>
        <v/>
      </c>
      <c r="C293" s="158" t="str">
        <f t="shared" si="11"/>
        <v/>
      </c>
      <c r="D293" s="246"/>
      <c r="E293" s="247"/>
      <c r="F293" s="258"/>
      <c r="G293" s="248"/>
      <c r="H293" s="241"/>
      <c r="I293" s="259"/>
      <c r="J293" s="260"/>
      <c r="K293" s="260"/>
      <c r="L293" s="261"/>
      <c r="M293" s="262"/>
      <c r="N293" s="262"/>
      <c r="O293" s="261"/>
      <c r="P293" s="262"/>
      <c r="Q293" s="262"/>
      <c r="R293" s="263"/>
      <c r="S293" s="264"/>
      <c r="T293" s="264"/>
      <c r="U293" s="265"/>
      <c r="V293" s="266"/>
      <c r="W293" s="266"/>
      <c r="X293" s="267"/>
      <c r="Y293" s="268"/>
      <c r="Z293" s="268"/>
      <c r="AA293" s="259"/>
      <c r="AB293" s="260"/>
      <c r="AC293" s="260"/>
      <c r="AD293" s="261"/>
      <c r="AE293" s="262"/>
      <c r="AF293" s="262"/>
      <c r="AG293" s="269"/>
      <c r="AH293" s="270"/>
      <c r="AI293" s="271"/>
      <c r="AJ293" s="272"/>
    </row>
    <row r="294" spans="1:36" x14ac:dyDescent="0.25">
      <c r="A294" s="28" t="str">
        <f>IF(H294&lt;&gt;"",MAX($A$7:A293)+1,"")</f>
        <v/>
      </c>
      <c r="B294" s="243" t="str">
        <f t="shared" si="10"/>
        <v/>
      </c>
      <c r="C294" s="158" t="str">
        <f t="shared" si="11"/>
        <v/>
      </c>
      <c r="D294" s="246"/>
      <c r="E294" s="247"/>
      <c r="F294" s="258"/>
      <c r="G294" s="248"/>
      <c r="H294" s="241"/>
      <c r="I294" s="259"/>
      <c r="J294" s="260"/>
      <c r="K294" s="260"/>
      <c r="L294" s="261"/>
      <c r="M294" s="262"/>
      <c r="N294" s="262"/>
      <c r="O294" s="261"/>
      <c r="P294" s="262"/>
      <c r="Q294" s="262"/>
      <c r="R294" s="263"/>
      <c r="S294" s="264"/>
      <c r="T294" s="264"/>
      <c r="U294" s="265"/>
      <c r="V294" s="266"/>
      <c r="W294" s="266"/>
      <c r="X294" s="267"/>
      <c r="Y294" s="268"/>
      <c r="Z294" s="268"/>
      <c r="AA294" s="259"/>
      <c r="AB294" s="260"/>
      <c r="AC294" s="260"/>
      <c r="AD294" s="261"/>
      <c r="AE294" s="262"/>
      <c r="AF294" s="262"/>
      <c r="AG294" s="269"/>
      <c r="AH294" s="270"/>
      <c r="AI294" s="271"/>
      <c r="AJ294" s="272"/>
    </row>
    <row r="295" spans="1:36" x14ac:dyDescent="0.25">
      <c r="A295" s="28" t="str">
        <f>IF(H295&lt;&gt;"",MAX($A$7:A294)+1,"")</f>
        <v/>
      </c>
      <c r="B295" s="243" t="str">
        <f t="shared" si="10"/>
        <v/>
      </c>
      <c r="C295" s="158" t="str">
        <f t="shared" si="11"/>
        <v/>
      </c>
      <c r="D295" s="246"/>
      <c r="E295" s="247"/>
      <c r="F295" s="258"/>
      <c r="G295" s="248"/>
      <c r="H295" s="241"/>
      <c r="I295" s="259"/>
      <c r="J295" s="260"/>
      <c r="K295" s="260"/>
      <c r="L295" s="261"/>
      <c r="M295" s="262"/>
      <c r="N295" s="262"/>
      <c r="O295" s="261"/>
      <c r="P295" s="262"/>
      <c r="Q295" s="262"/>
      <c r="R295" s="263"/>
      <c r="S295" s="264"/>
      <c r="T295" s="264"/>
      <c r="U295" s="265"/>
      <c r="V295" s="266"/>
      <c r="W295" s="266"/>
      <c r="X295" s="267"/>
      <c r="Y295" s="268"/>
      <c r="Z295" s="268"/>
      <c r="AA295" s="259"/>
      <c r="AB295" s="260"/>
      <c r="AC295" s="260"/>
      <c r="AD295" s="261"/>
      <c r="AE295" s="262"/>
      <c r="AF295" s="262"/>
      <c r="AG295" s="269"/>
      <c r="AH295" s="270"/>
      <c r="AI295" s="271"/>
      <c r="AJ295" s="272"/>
    </row>
    <row r="296" spans="1:36" x14ac:dyDescent="0.25">
      <c r="A296" s="28" t="str">
        <f>IF(H296&lt;&gt;"",MAX($A$7:A295)+1,"")</f>
        <v/>
      </c>
      <c r="B296" s="243" t="str">
        <f t="shared" si="10"/>
        <v/>
      </c>
      <c r="C296" s="158" t="str">
        <f t="shared" si="11"/>
        <v/>
      </c>
      <c r="D296" s="246"/>
      <c r="E296" s="247"/>
      <c r="F296" s="258"/>
      <c r="G296" s="248"/>
      <c r="H296" s="241"/>
      <c r="I296" s="259"/>
      <c r="J296" s="260"/>
      <c r="K296" s="260"/>
      <c r="L296" s="261"/>
      <c r="M296" s="262"/>
      <c r="N296" s="262"/>
      <c r="O296" s="261"/>
      <c r="P296" s="262"/>
      <c r="Q296" s="262"/>
      <c r="R296" s="263"/>
      <c r="S296" s="264"/>
      <c r="T296" s="264"/>
      <c r="U296" s="265"/>
      <c r="V296" s="266"/>
      <c r="W296" s="266"/>
      <c r="X296" s="267"/>
      <c r="Y296" s="268"/>
      <c r="Z296" s="268"/>
      <c r="AA296" s="259"/>
      <c r="AB296" s="260"/>
      <c r="AC296" s="260"/>
      <c r="AD296" s="261"/>
      <c r="AE296" s="262"/>
      <c r="AF296" s="262"/>
      <c r="AG296" s="269"/>
      <c r="AH296" s="270"/>
      <c r="AI296" s="271"/>
      <c r="AJ296" s="272"/>
    </row>
    <row r="297" spans="1:36" x14ac:dyDescent="0.25">
      <c r="A297" s="28" t="str">
        <f>IF(H297&lt;&gt;"",MAX($A$7:A296)+1,"")</f>
        <v/>
      </c>
      <c r="B297" s="243" t="str">
        <f t="shared" si="10"/>
        <v/>
      </c>
      <c r="C297" s="158" t="str">
        <f t="shared" si="11"/>
        <v/>
      </c>
      <c r="D297" s="246"/>
      <c r="E297" s="247"/>
      <c r="F297" s="258"/>
      <c r="G297" s="248"/>
      <c r="H297" s="241"/>
      <c r="I297" s="259"/>
      <c r="J297" s="260"/>
      <c r="K297" s="260"/>
      <c r="L297" s="261"/>
      <c r="M297" s="262"/>
      <c r="N297" s="262"/>
      <c r="O297" s="261"/>
      <c r="P297" s="262"/>
      <c r="Q297" s="262"/>
      <c r="R297" s="263"/>
      <c r="S297" s="264"/>
      <c r="T297" s="264"/>
      <c r="U297" s="265"/>
      <c r="V297" s="266"/>
      <c r="W297" s="266"/>
      <c r="X297" s="267"/>
      <c r="Y297" s="268"/>
      <c r="Z297" s="268"/>
      <c r="AA297" s="259"/>
      <c r="AB297" s="260"/>
      <c r="AC297" s="260"/>
      <c r="AD297" s="261"/>
      <c r="AE297" s="262"/>
      <c r="AF297" s="262"/>
      <c r="AG297" s="269"/>
      <c r="AH297" s="270"/>
      <c r="AI297" s="271"/>
      <c r="AJ297" s="272"/>
    </row>
    <row r="298" spans="1:36" x14ac:dyDescent="0.25">
      <c r="A298" s="28" t="str">
        <f>IF(H298&lt;&gt;"",MAX($A$7:A297)+1,"")</f>
        <v/>
      </c>
      <c r="B298" s="243" t="str">
        <f t="shared" si="10"/>
        <v/>
      </c>
      <c r="C298" s="158" t="str">
        <f t="shared" si="11"/>
        <v/>
      </c>
      <c r="D298" s="246"/>
      <c r="E298" s="247"/>
      <c r="F298" s="258"/>
      <c r="G298" s="248"/>
      <c r="H298" s="241"/>
      <c r="I298" s="259"/>
      <c r="J298" s="260"/>
      <c r="K298" s="260"/>
      <c r="L298" s="261"/>
      <c r="M298" s="262"/>
      <c r="N298" s="262"/>
      <c r="O298" s="261"/>
      <c r="P298" s="262"/>
      <c r="Q298" s="262"/>
      <c r="R298" s="263"/>
      <c r="S298" s="264"/>
      <c r="T298" s="264"/>
      <c r="U298" s="265"/>
      <c r="V298" s="266"/>
      <c r="W298" s="266"/>
      <c r="X298" s="267"/>
      <c r="Y298" s="268"/>
      <c r="Z298" s="268"/>
      <c r="AA298" s="259"/>
      <c r="AB298" s="260"/>
      <c r="AC298" s="260"/>
      <c r="AD298" s="261"/>
      <c r="AE298" s="262"/>
      <c r="AF298" s="262"/>
      <c r="AG298" s="269"/>
      <c r="AH298" s="270"/>
      <c r="AI298" s="271"/>
      <c r="AJ298" s="272"/>
    </row>
    <row r="299" spans="1:36" x14ac:dyDescent="0.25">
      <c r="A299" s="28" t="str">
        <f>IF(H299&lt;&gt;"",MAX($A$7:A298)+1,"")</f>
        <v/>
      </c>
      <c r="B299" s="243" t="str">
        <f t="shared" si="10"/>
        <v/>
      </c>
      <c r="C299" s="158" t="str">
        <f t="shared" si="11"/>
        <v/>
      </c>
      <c r="D299" s="246"/>
      <c r="E299" s="247"/>
      <c r="F299" s="258"/>
      <c r="G299" s="248"/>
      <c r="H299" s="241"/>
      <c r="I299" s="259"/>
      <c r="J299" s="260"/>
      <c r="K299" s="260"/>
      <c r="L299" s="261"/>
      <c r="M299" s="262"/>
      <c r="N299" s="262"/>
      <c r="O299" s="261"/>
      <c r="P299" s="262"/>
      <c r="Q299" s="262"/>
      <c r="R299" s="263"/>
      <c r="S299" s="264"/>
      <c r="T299" s="264"/>
      <c r="U299" s="265"/>
      <c r="V299" s="266"/>
      <c r="W299" s="266"/>
      <c r="X299" s="267"/>
      <c r="Y299" s="268"/>
      <c r="Z299" s="268"/>
      <c r="AA299" s="259"/>
      <c r="AB299" s="260"/>
      <c r="AC299" s="260"/>
      <c r="AD299" s="261"/>
      <c r="AE299" s="262"/>
      <c r="AF299" s="262"/>
      <c r="AG299" s="269"/>
      <c r="AH299" s="270"/>
      <c r="AI299" s="271"/>
      <c r="AJ299" s="272"/>
    </row>
    <row r="300" spans="1:36" x14ac:dyDescent="0.25">
      <c r="A300" s="28" t="str">
        <f>IF(H300&lt;&gt;"",MAX($A$7:A299)+1,"")</f>
        <v/>
      </c>
      <c r="B300" s="243" t="str">
        <f t="shared" si="10"/>
        <v/>
      </c>
      <c r="C300" s="158" t="str">
        <f t="shared" si="11"/>
        <v/>
      </c>
      <c r="D300" s="246"/>
      <c r="E300" s="247"/>
      <c r="F300" s="258"/>
      <c r="G300" s="248"/>
      <c r="H300" s="241"/>
      <c r="I300" s="259"/>
      <c r="J300" s="260"/>
      <c r="K300" s="260"/>
      <c r="L300" s="261"/>
      <c r="M300" s="262"/>
      <c r="N300" s="262"/>
      <c r="O300" s="261"/>
      <c r="P300" s="262"/>
      <c r="Q300" s="262"/>
      <c r="R300" s="263"/>
      <c r="S300" s="264"/>
      <c r="T300" s="264"/>
      <c r="U300" s="265"/>
      <c r="V300" s="266"/>
      <c r="W300" s="266"/>
      <c r="X300" s="267"/>
      <c r="Y300" s="268"/>
      <c r="Z300" s="268"/>
      <c r="AA300" s="259"/>
      <c r="AB300" s="260"/>
      <c r="AC300" s="260"/>
      <c r="AD300" s="261"/>
      <c r="AE300" s="262"/>
      <c r="AF300" s="262"/>
      <c r="AG300" s="269"/>
      <c r="AH300" s="270"/>
      <c r="AI300" s="271"/>
      <c r="AJ300" s="272"/>
    </row>
    <row r="301" spans="1:36" x14ac:dyDescent="0.25">
      <c r="A301" s="28" t="str">
        <f>IF(H301&lt;&gt;"",MAX($A$7:A300)+1,"")</f>
        <v/>
      </c>
      <c r="B301" s="243" t="str">
        <f t="shared" si="10"/>
        <v/>
      </c>
      <c r="C301" s="158" t="str">
        <f t="shared" si="11"/>
        <v/>
      </c>
      <c r="D301" s="246"/>
      <c r="E301" s="247"/>
      <c r="F301" s="258"/>
      <c r="G301" s="248"/>
      <c r="H301" s="241"/>
      <c r="I301" s="259"/>
      <c r="J301" s="260"/>
      <c r="K301" s="260"/>
      <c r="L301" s="261"/>
      <c r="M301" s="262"/>
      <c r="N301" s="262"/>
      <c r="O301" s="261"/>
      <c r="P301" s="262"/>
      <c r="Q301" s="262"/>
      <c r="R301" s="263"/>
      <c r="S301" s="264"/>
      <c r="T301" s="264"/>
      <c r="U301" s="265"/>
      <c r="V301" s="266"/>
      <c r="W301" s="266"/>
      <c r="X301" s="267"/>
      <c r="Y301" s="268"/>
      <c r="Z301" s="268"/>
      <c r="AA301" s="259"/>
      <c r="AB301" s="260"/>
      <c r="AC301" s="260"/>
      <c r="AD301" s="261"/>
      <c r="AE301" s="262"/>
      <c r="AF301" s="262"/>
      <c r="AG301" s="269"/>
      <c r="AH301" s="270"/>
      <c r="AI301" s="271"/>
      <c r="AJ301" s="272"/>
    </row>
    <row r="302" spans="1:36" x14ac:dyDescent="0.25">
      <c r="A302" s="28" t="str">
        <f>IF(H302&lt;&gt;"",MAX($A$7:A301)+1,"")</f>
        <v/>
      </c>
      <c r="B302" s="243" t="str">
        <f t="shared" si="10"/>
        <v/>
      </c>
      <c r="C302" s="158" t="str">
        <f t="shared" si="11"/>
        <v/>
      </c>
      <c r="D302" s="246"/>
      <c r="E302" s="247"/>
      <c r="F302" s="258"/>
      <c r="G302" s="248"/>
      <c r="H302" s="241"/>
      <c r="I302" s="259"/>
      <c r="J302" s="260"/>
      <c r="K302" s="260"/>
      <c r="L302" s="261"/>
      <c r="M302" s="262"/>
      <c r="N302" s="262"/>
      <c r="O302" s="261"/>
      <c r="P302" s="262"/>
      <c r="Q302" s="262"/>
      <c r="R302" s="263"/>
      <c r="S302" s="264"/>
      <c r="T302" s="264"/>
      <c r="U302" s="265"/>
      <c r="V302" s="266"/>
      <c r="W302" s="266"/>
      <c r="X302" s="267"/>
      <c r="Y302" s="268"/>
      <c r="Z302" s="268"/>
      <c r="AA302" s="259"/>
      <c r="AB302" s="260"/>
      <c r="AC302" s="260"/>
      <c r="AD302" s="261"/>
      <c r="AE302" s="262"/>
      <c r="AF302" s="262"/>
      <c r="AG302" s="269"/>
      <c r="AH302" s="270"/>
      <c r="AI302" s="271"/>
      <c r="AJ302" s="272"/>
    </row>
    <row r="303" spans="1:36" x14ac:dyDescent="0.25">
      <c r="A303" s="28" t="str">
        <f>IF(H303&lt;&gt;"",MAX($A$7:A302)+1,"")</f>
        <v/>
      </c>
      <c r="B303" s="243" t="str">
        <f t="shared" si="10"/>
        <v/>
      </c>
      <c r="C303" s="158" t="str">
        <f t="shared" si="11"/>
        <v/>
      </c>
      <c r="D303" s="246"/>
      <c r="E303" s="247"/>
      <c r="F303" s="258"/>
      <c r="G303" s="248"/>
      <c r="H303" s="241"/>
      <c r="I303" s="259"/>
      <c r="J303" s="260"/>
      <c r="K303" s="260"/>
      <c r="L303" s="261"/>
      <c r="M303" s="262"/>
      <c r="N303" s="262"/>
      <c r="O303" s="261"/>
      <c r="P303" s="262"/>
      <c r="Q303" s="262"/>
      <c r="R303" s="263"/>
      <c r="S303" s="264"/>
      <c r="T303" s="264"/>
      <c r="U303" s="265"/>
      <c r="V303" s="266"/>
      <c r="W303" s="266"/>
      <c r="X303" s="267"/>
      <c r="Y303" s="268"/>
      <c r="Z303" s="268"/>
      <c r="AA303" s="259"/>
      <c r="AB303" s="260"/>
      <c r="AC303" s="260"/>
      <c r="AD303" s="261"/>
      <c r="AE303" s="262"/>
      <c r="AF303" s="262"/>
      <c r="AG303" s="269"/>
      <c r="AH303" s="270"/>
      <c r="AI303" s="271"/>
      <c r="AJ303" s="272"/>
    </row>
    <row r="304" spans="1:36" x14ac:dyDescent="0.25">
      <c r="A304" s="28" t="str">
        <f>IF(H304&lt;&gt;"",MAX($A$7:A303)+1,"")</f>
        <v/>
      </c>
      <c r="B304" s="243" t="str">
        <f t="shared" si="10"/>
        <v/>
      </c>
      <c r="C304" s="158" t="str">
        <f t="shared" si="11"/>
        <v/>
      </c>
      <c r="D304" s="246"/>
      <c r="E304" s="247"/>
      <c r="F304" s="258"/>
      <c r="G304" s="248"/>
      <c r="H304" s="241"/>
      <c r="I304" s="259"/>
      <c r="J304" s="260"/>
      <c r="K304" s="260"/>
      <c r="L304" s="261"/>
      <c r="M304" s="262"/>
      <c r="N304" s="262"/>
      <c r="O304" s="261"/>
      <c r="P304" s="262"/>
      <c r="Q304" s="262"/>
      <c r="R304" s="263"/>
      <c r="S304" s="264"/>
      <c r="T304" s="264"/>
      <c r="U304" s="265"/>
      <c r="V304" s="266"/>
      <c r="W304" s="266"/>
      <c r="X304" s="267"/>
      <c r="Y304" s="268"/>
      <c r="Z304" s="268"/>
      <c r="AA304" s="259"/>
      <c r="AB304" s="260"/>
      <c r="AC304" s="260"/>
      <c r="AD304" s="261"/>
      <c r="AE304" s="262"/>
      <c r="AF304" s="262"/>
      <c r="AG304" s="269"/>
      <c r="AH304" s="270"/>
      <c r="AI304" s="271"/>
      <c r="AJ304" s="272"/>
    </row>
    <row r="305" spans="1:36" x14ac:dyDescent="0.25">
      <c r="A305" s="28" t="str">
        <f>IF(H305&lt;&gt;"",MAX($A$7:A304)+1,"")</f>
        <v/>
      </c>
      <c r="B305" s="243" t="str">
        <f t="shared" si="10"/>
        <v/>
      </c>
      <c r="C305" s="158" t="str">
        <f t="shared" si="11"/>
        <v/>
      </c>
      <c r="D305" s="246"/>
      <c r="E305" s="247"/>
      <c r="F305" s="258"/>
      <c r="G305" s="248"/>
      <c r="H305" s="241"/>
      <c r="I305" s="259"/>
      <c r="J305" s="260"/>
      <c r="K305" s="260"/>
      <c r="L305" s="261"/>
      <c r="M305" s="262"/>
      <c r="N305" s="262"/>
      <c r="O305" s="261"/>
      <c r="P305" s="262"/>
      <c r="Q305" s="262"/>
      <c r="R305" s="263"/>
      <c r="S305" s="264"/>
      <c r="T305" s="264"/>
      <c r="U305" s="265"/>
      <c r="V305" s="266"/>
      <c r="W305" s="266"/>
      <c r="X305" s="267"/>
      <c r="Y305" s="268"/>
      <c r="Z305" s="268"/>
      <c r="AA305" s="259"/>
      <c r="AB305" s="260"/>
      <c r="AC305" s="260"/>
      <c r="AD305" s="261"/>
      <c r="AE305" s="262"/>
      <c r="AF305" s="262"/>
      <c r="AG305" s="269"/>
      <c r="AH305" s="270"/>
      <c r="AI305" s="271"/>
      <c r="AJ305" s="272"/>
    </row>
    <row r="306" spans="1:36" x14ac:dyDescent="0.25">
      <c r="A306" s="28" t="str">
        <f>IF(H306&lt;&gt;"",MAX($A$7:A305)+1,"")</f>
        <v/>
      </c>
      <c r="B306" s="243" t="str">
        <f t="shared" si="10"/>
        <v/>
      </c>
      <c r="C306" s="158" t="str">
        <f t="shared" si="11"/>
        <v/>
      </c>
      <c r="D306" s="246"/>
      <c r="E306" s="247"/>
      <c r="F306" s="258"/>
      <c r="G306" s="248"/>
      <c r="H306" s="241"/>
      <c r="I306" s="259"/>
      <c r="J306" s="260"/>
      <c r="K306" s="260"/>
      <c r="L306" s="261"/>
      <c r="M306" s="262"/>
      <c r="N306" s="262"/>
      <c r="O306" s="261"/>
      <c r="P306" s="262"/>
      <c r="Q306" s="262"/>
      <c r="R306" s="263"/>
      <c r="S306" s="264"/>
      <c r="T306" s="264"/>
      <c r="U306" s="265"/>
      <c r="V306" s="266"/>
      <c r="W306" s="266"/>
      <c r="X306" s="267"/>
      <c r="Y306" s="268"/>
      <c r="Z306" s="268"/>
      <c r="AA306" s="259"/>
      <c r="AB306" s="260"/>
      <c r="AC306" s="260"/>
      <c r="AD306" s="261"/>
      <c r="AE306" s="262"/>
      <c r="AF306" s="262"/>
      <c r="AG306" s="269"/>
      <c r="AH306" s="270"/>
      <c r="AI306" s="271"/>
      <c r="AJ306" s="272"/>
    </row>
    <row r="307" spans="1:36" x14ac:dyDescent="0.25">
      <c r="A307" s="28" t="str">
        <f>IF(H307&lt;&gt;"",MAX($A$7:A306)+1,"")</f>
        <v/>
      </c>
      <c r="B307" s="243" t="str">
        <f t="shared" si="10"/>
        <v/>
      </c>
      <c r="C307" s="158" t="str">
        <f t="shared" si="11"/>
        <v/>
      </c>
      <c r="D307" s="246"/>
      <c r="E307" s="247"/>
      <c r="F307" s="258"/>
      <c r="G307" s="248"/>
      <c r="H307" s="241"/>
      <c r="I307" s="259"/>
      <c r="J307" s="260"/>
      <c r="K307" s="260"/>
      <c r="L307" s="261"/>
      <c r="M307" s="262"/>
      <c r="N307" s="262"/>
      <c r="O307" s="261"/>
      <c r="P307" s="262"/>
      <c r="Q307" s="262"/>
      <c r="R307" s="263"/>
      <c r="S307" s="264"/>
      <c r="T307" s="264"/>
      <c r="U307" s="265"/>
      <c r="V307" s="266"/>
      <c r="W307" s="266"/>
      <c r="X307" s="267"/>
      <c r="Y307" s="268"/>
      <c r="Z307" s="268"/>
      <c r="AA307" s="259"/>
      <c r="AB307" s="260"/>
      <c r="AC307" s="260"/>
      <c r="AD307" s="261"/>
      <c r="AE307" s="262"/>
      <c r="AF307" s="262"/>
      <c r="AG307" s="269"/>
      <c r="AH307" s="270"/>
      <c r="AI307" s="271"/>
      <c r="AJ307" s="272"/>
    </row>
    <row r="308" spans="1:36" x14ac:dyDescent="0.25">
      <c r="A308" s="28" t="str">
        <f>IF(H308&lt;&gt;"",MAX($A$7:A307)+1,"")</f>
        <v/>
      </c>
      <c r="B308" s="243" t="str">
        <f t="shared" si="10"/>
        <v/>
      </c>
      <c r="C308" s="158" t="str">
        <f t="shared" si="11"/>
        <v/>
      </c>
      <c r="D308" s="246"/>
      <c r="E308" s="247"/>
      <c r="F308" s="258"/>
      <c r="G308" s="248"/>
      <c r="H308" s="241"/>
      <c r="I308" s="259"/>
      <c r="J308" s="260"/>
      <c r="K308" s="260"/>
      <c r="L308" s="261"/>
      <c r="M308" s="262"/>
      <c r="N308" s="262"/>
      <c r="O308" s="261"/>
      <c r="P308" s="262"/>
      <c r="Q308" s="262"/>
      <c r="R308" s="263"/>
      <c r="S308" s="264"/>
      <c r="T308" s="264"/>
      <c r="U308" s="265"/>
      <c r="V308" s="266"/>
      <c r="W308" s="266"/>
      <c r="X308" s="267"/>
      <c r="Y308" s="268"/>
      <c r="Z308" s="268"/>
      <c r="AA308" s="259"/>
      <c r="AB308" s="260"/>
      <c r="AC308" s="260"/>
      <c r="AD308" s="261"/>
      <c r="AE308" s="262"/>
      <c r="AF308" s="262"/>
      <c r="AG308" s="269"/>
      <c r="AH308" s="270"/>
      <c r="AI308" s="271"/>
      <c r="AJ308" s="272"/>
    </row>
    <row r="309" spans="1:36" x14ac:dyDescent="0.25">
      <c r="A309" s="28" t="str">
        <f>IF(H309&lt;&gt;"",MAX($A$7:A308)+1,"")</f>
        <v/>
      </c>
      <c r="B309" s="243" t="str">
        <f t="shared" si="10"/>
        <v/>
      </c>
      <c r="C309" s="158" t="str">
        <f t="shared" si="11"/>
        <v/>
      </c>
      <c r="D309" s="246"/>
      <c r="E309" s="247"/>
      <c r="F309" s="258"/>
      <c r="G309" s="248"/>
      <c r="H309" s="241"/>
      <c r="I309" s="259"/>
      <c r="J309" s="260"/>
      <c r="K309" s="260"/>
      <c r="L309" s="261"/>
      <c r="M309" s="262"/>
      <c r="N309" s="262"/>
      <c r="O309" s="261"/>
      <c r="P309" s="262"/>
      <c r="Q309" s="262"/>
      <c r="R309" s="263"/>
      <c r="S309" s="264"/>
      <c r="T309" s="264"/>
      <c r="U309" s="265"/>
      <c r="V309" s="266"/>
      <c r="W309" s="266"/>
      <c r="X309" s="267"/>
      <c r="Y309" s="268"/>
      <c r="Z309" s="268"/>
      <c r="AA309" s="259"/>
      <c r="AB309" s="260"/>
      <c r="AC309" s="260"/>
      <c r="AD309" s="261"/>
      <c r="AE309" s="262"/>
      <c r="AF309" s="262"/>
      <c r="AG309" s="269"/>
      <c r="AH309" s="270"/>
      <c r="AI309" s="271"/>
      <c r="AJ309" s="272"/>
    </row>
    <row r="310" spans="1:36" x14ac:dyDescent="0.25">
      <c r="A310" s="28" t="str">
        <f>IF(H310&lt;&gt;"",MAX($A$7:A309)+1,"")</f>
        <v/>
      </c>
      <c r="B310" s="243" t="str">
        <f t="shared" si="10"/>
        <v/>
      </c>
      <c r="C310" s="158" t="str">
        <f t="shared" si="11"/>
        <v/>
      </c>
      <c r="D310" s="246"/>
      <c r="E310" s="247"/>
      <c r="F310" s="258"/>
      <c r="G310" s="248"/>
      <c r="H310" s="241"/>
      <c r="I310" s="259"/>
      <c r="J310" s="260"/>
      <c r="K310" s="260"/>
      <c r="L310" s="261"/>
      <c r="M310" s="262"/>
      <c r="N310" s="262"/>
      <c r="O310" s="261"/>
      <c r="P310" s="262"/>
      <c r="Q310" s="262"/>
      <c r="R310" s="263"/>
      <c r="S310" s="264"/>
      <c r="T310" s="264"/>
      <c r="U310" s="265"/>
      <c r="V310" s="266"/>
      <c r="W310" s="266"/>
      <c r="X310" s="267"/>
      <c r="Y310" s="268"/>
      <c r="Z310" s="268"/>
      <c r="AA310" s="259"/>
      <c r="AB310" s="260"/>
      <c r="AC310" s="260"/>
      <c r="AD310" s="261"/>
      <c r="AE310" s="262"/>
      <c r="AF310" s="262"/>
      <c r="AG310" s="269"/>
      <c r="AH310" s="270"/>
      <c r="AI310" s="271"/>
      <c r="AJ310" s="272"/>
    </row>
    <row r="311" spans="1:36" x14ac:dyDescent="0.25">
      <c r="A311" s="28" t="str">
        <f>IF(H311&lt;&gt;"",MAX($A$7:A310)+1,"")</f>
        <v/>
      </c>
      <c r="B311" s="243" t="str">
        <f t="shared" si="10"/>
        <v/>
      </c>
      <c r="C311" s="158" t="str">
        <f t="shared" si="11"/>
        <v/>
      </c>
      <c r="D311" s="246"/>
      <c r="E311" s="247"/>
      <c r="F311" s="258"/>
      <c r="G311" s="248"/>
      <c r="H311" s="241"/>
      <c r="I311" s="259"/>
      <c r="J311" s="260"/>
      <c r="K311" s="260"/>
      <c r="L311" s="261"/>
      <c r="M311" s="262"/>
      <c r="N311" s="262"/>
      <c r="O311" s="261"/>
      <c r="P311" s="262"/>
      <c r="Q311" s="262"/>
      <c r="R311" s="263"/>
      <c r="S311" s="264"/>
      <c r="T311" s="264"/>
      <c r="U311" s="265"/>
      <c r="V311" s="266"/>
      <c r="W311" s="266"/>
      <c r="X311" s="267"/>
      <c r="Y311" s="268"/>
      <c r="Z311" s="268"/>
      <c r="AA311" s="259"/>
      <c r="AB311" s="260"/>
      <c r="AC311" s="260"/>
      <c r="AD311" s="261"/>
      <c r="AE311" s="262"/>
      <c r="AF311" s="262"/>
      <c r="AG311" s="269"/>
      <c r="AH311" s="270"/>
      <c r="AI311" s="271"/>
      <c r="AJ311" s="272"/>
    </row>
    <row r="312" spans="1:36" x14ac:dyDescent="0.25">
      <c r="A312" s="28" t="str">
        <f>IF(H312&lt;&gt;"",MAX($A$7:A311)+1,"")</f>
        <v/>
      </c>
      <c r="B312" s="243" t="str">
        <f t="shared" si="10"/>
        <v/>
      </c>
      <c r="C312" s="158" t="str">
        <f t="shared" si="11"/>
        <v/>
      </c>
      <c r="D312" s="246"/>
      <c r="E312" s="247"/>
      <c r="F312" s="258"/>
      <c r="G312" s="248"/>
      <c r="H312" s="241"/>
      <c r="I312" s="259"/>
      <c r="J312" s="260"/>
      <c r="K312" s="260"/>
      <c r="L312" s="261"/>
      <c r="M312" s="262"/>
      <c r="N312" s="262"/>
      <c r="O312" s="261"/>
      <c r="P312" s="262"/>
      <c r="Q312" s="262"/>
      <c r="R312" s="263"/>
      <c r="S312" s="264"/>
      <c r="T312" s="264"/>
      <c r="U312" s="265"/>
      <c r="V312" s="266"/>
      <c r="W312" s="266"/>
      <c r="X312" s="267"/>
      <c r="Y312" s="268"/>
      <c r="Z312" s="268"/>
      <c r="AA312" s="259"/>
      <c r="AB312" s="260"/>
      <c r="AC312" s="260"/>
      <c r="AD312" s="261"/>
      <c r="AE312" s="262"/>
      <c r="AF312" s="262"/>
      <c r="AG312" s="269"/>
      <c r="AH312" s="270"/>
      <c r="AI312" s="271"/>
      <c r="AJ312" s="272"/>
    </row>
    <row r="313" spans="1:36" x14ac:dyDescent="0.25">
      <c r="A313" s="28" t="str">
        <f>IF(H313&lt;&gt;"",MAX($A$7:A312)+1,"")</f>
        <v/>
      </c>
      <c r="B313" s="243" t="str">
        <f t="shared" si="10"/>
        <v/>
      </c>
      <c r="C313" s="158" t="str">
        <f t="shared" si="11"/>
        <v/>
      </c>
      <c r="D313" s="246"/>
      <c r="E313" s="247"/>
      <c r="F313" s="258"/>
      <c r="G313" s="248"/>
      <c r="H313" s="241"/>
      <c r="I313" s="259"/>
      <c r="J313" s="260"/>
      <c r="K313" s="260"/>
      <c r="L313" s="261"/>
      <c r="M313" s="262"/>
      <c r="N313" s="262"/>
      <c r="O313" s="261"/>
      <c r="P313" s="262"/>
      <c r="Q313" s="262"/>
      <c r="R313" s="263"/>
      <c r="S313" s="264"/>
      <c r="T313" s="264"/>
      <c r="U313" s="265"/>
      <c r="V313" s="266"/>
      <c r="W313" s="266"/>
      <c r="X313" s="267"/>
      <c r="Y313" s="268"/>
      <c r="Z313" s="268"/>
      <c r="AA313" s="259"/>
      <c r="AB313" s="260"/>
      <c r="AC313" s="260"/>
      <c r="AD313" s="261"/>
      <c r="AE313" s="262"/>
      <c r="AF313" s="262"/>
      <c r="AG313" s="269"/>
      <c r="AH313" s="270"/>
      <c r="AI313" s="271"/>
      <c r="AJ313" s="272"/>
    </row>
    <row r="314" spans="1:36" x14ac:dyDescent="0.25">
      <c r="A314" s="28" t="str">
        <f>IF(H314&lt;&gt;"",MAX($A$7:A313)+1,"")</f>
        <v/>
      </c>
      <c r="B314" s="243" t="str">
        <f t="shared" si="10"/>
        <v/>
      </c>
      <c r="C314" s="158" t="str">
        <f t="shared" si="11"/>
        <v/>
      </c>
      <c r="D314" s="246"/>
      <c r="E314" s="247"/>
      <c r="F314" s="258"/>
      <c r="G314" s="248"/>
      <c r="H314" s="241"/>
      <c r="I314" s="259"/>
      <c r="J314" s="260"/>
      <c r="K314" s="260"/>
      <c r="L314" s="261"/>
      <c r="M314" s="262"/>
      <c r="N314" s="262"/>
      <c r="O314" s="261"/>
      <c r="P314" s="262"/>
      <c r="Q314" s="262"/>
      <c r="R314" s="263"/>
      <c r="S314" s="264"/>
      <c r="T314" s="264"/>
      <c r="U314" s="265"/>
      <c r="V314" s="266"/>
      <c r="W314" s="266"/>
      <c r="X314" s="267"/>
      <c r="Y314" s="268"/>
      <c r="Z314" s="268"/>
      <c r="AA314" s="259"/>
      <c r="AB314" s="260"/>
      <c r="AC314" s="260"/>
      <c r="AD314" s="261"/>
      <c r="AE314" s="262"/>
      <c r="AF314" s="262"/>
      <c r="AG314" s="269"/>
      <c r="AH314" s="270"/>
      <c r="AI314" s="271"/>
      <c r="AJ314" s="272"/>
    </row>
    <row r="315" spans="1:36" x14ac:dyDescent="0.25">
      <c r="A315" s="28" t="str">
        <f>IF(H315&lt;&gt;"",MAX($A$7:A314)+1,"")</f>
        <v/>
      </c>
      <c r="B315" s="243" t="str">
        <f t="shared" si="10"/>
        <v/>
      </c>
      <c r="C315" s="158" t="str">
        <f t="shared" si="11"/>
        <v/>
      </c>
      <c r="D315" s="246"/>
      <c r="E315" s="247"/>
      <c r="F315" s="258"/>
      <c r="G315" s="248"/>
      <c r="H315" s="241"/>
      <c r="I315" s="259"/>
      <c r="J315" s="260"/>
      <c r="K315" s="260"/>
      <c r="L315" s="261"/>
      <c r="M315" s="262"/>
      <c r="N315" s="262"/>
      <c r="O315" s="261"/>
      <c r="P315" s="262"/>
      <c r="Q315" s="262"/>
      <c r="R315" s="263"/>
      <c r="S315" s="264"/>
      <c r="T315" s="264"/>
      <c r="U315" s="265"/>
      <c r="V315" s="266"/>
      <c r="W315" s="266"/>
      <c r="X315" s="267"/>
      <c r="Y315" s="268"/>
      <c r="Z315" s="268"/>
      <c r="AA315" s="259"/>
      <c r="AB315" s="260"/>
      <c r="AC315" s="260"/>
      <c r="AD315" s="261"/>
      <c r="AE315" s="262"/>
      <c r="AF315" s="262"/>
      <c r="AG315" s="269"/>
      <c r="AH315" s="270"/>
      <c r="AI315" s="271"/>
      <c r="AJ315" s="272"/>
    </row>
    <row r="316" spans="1:36" x14ac:dyDescent="0.25">
      <c r="A316" s="28" t="str">
        <f>IF(H316&lt;&gt;"",MAX($A$7:A315)+1,"")</f>
        <v/>
      </c>
      <c r="B316" s="243" t="str">
        <f t="shared" si="10"/>
        <v/>
      </c>
      <c r="C316" s="158" t="str">
        <f t="shared" si="11"/>
        <v/>
      </c>
      <c r="D316" s="246"/>
      <c r="E316" s="247"/>
      <c r="F316" s="258"/>
      <c r="G316" s="248"/>
      <c r="H316" s="241"/>
      <c r="I316" s="259"/>
      <c r="J316" s="260"/>
      <c r="K316" s="260"/>
      <c r="L316" s="261"/>
      <c r="M316" s="262"/>
      <c r="N316" s="262"/>
      <c r="O316" s="261"/>
      <c r="P316" s="262"/>
      <c r="Q316" s="262"/>
      <c r="R316" s="263"/>
      <c r="S316" s="264"/>
      <c r="T316" s="264"/>
      <c r="U316" s="265"/>
      <c r="V316" s="266"/>
      <c r="W316" s="266"/>
      <c r="X316" s="267"/>
      <c r="Y316" s="268"/>
      <c r="Z316" s="268"/>
      <c r="AA316" s="259"/>
      <c r="AB316" s="260"/>
      <c r="AC316" s="260"/>
      <c r="AD316" s="261"/>
      <c r="AE316" s="262"/>
      <c r="AF316" s="262"/>
      <c r="AG316" s="269"/>
      <c r="AH316" s="270"/>
      <c r="AI316" s="271"/>
      <c r="AJ316" s="272"/>
    </row>
    <row r="317" spans="1:36" x14ac:dyDescent="0.25">
      <c r="A317" s="28" t="str">
        <f>IF(H317&lt;&gt;"",MAX($A$7:A316)+1,"")</f>
        <v/>
      </c>
      <c r="B317" s="243" t="str">
        <f t="shared" si="10"/>
        <v/>
      </c>
      <c r="C317" s="158" t="str">
        <f t="shared" si="11"/>
        <v/>
      </c>
      <c r="D317" s="246"/>
      <c r="E317" s="247"/>
      <c r="F317" s="258"/>
      <c r="G317" s="248"/>
      <c r="H317" s="241"/>
      <c r="I317" s="259"/>
      <c r="J317" s="260"/>
      <c r="K317" s="260"/>
      <c r="L317" s="261"/>
      <c r="M317" s="262"/>
      <c r="N317" s="262"/>
      <c r="O317" s="261"/>
      <c r="P317" s="262"/>
      <c r="Q317" s="262"/>
      <c r="R317" s="263"/>
      <c r="S317" s="264"/>
      <c r="T317" s="264"/>
      <c r="U317" s="265"/>
      <c r="V317" s="266"/>
      <c r="W317" s="266"/>
      <c r="X317" s="267"/>
      <c r="Y317" s="268"/>
      <c r="Z317" s="268"/>
      <c r="AA317" s="259"/>
      <c r="AB317" s="260"/>
      <c r="AC317" s="260"/>
      <c r="AD317" s="261"/>
      <c r="AE317" s="262"/>
      <c r="AF317" s="262"/>
      <c r="AG317" s="269"/>
      <c r="AH317" s="270"/>
      <c r="AI317" s="271"/>
      <c r="AJ317" s="272"/>
    </row>
    <row r="318" spans="1:36" x14ac:dyDescent="0.25">
      <c r="A318" s="28" t="str">
        <f>IF(H318&lt;&gt;"",MAX($A$7:A317)+1,"")</f>
        <v/>
      </c>
      <c r="B318" s="243" t="str">
        <f t="shared" si="10"/>
        <v/>
      </c>
      <c r="C318" s="158" t="str">
        <f t="shared" si="11"/>
        <v/>
      </c>
      <c r="D318" s="246"/>
      <c r="E318" s="247"/>
      <c r="F318" s="258"/>
      <c r="G318" s="248"/>
      <c r="H318" s="241"/>
      <c r="I318" s="259"/>
      <c r="J318" s="260"/>
      <c r="K318" s="260"/>
      <c r="L318" s="261"/>
      <c r="M318" s="262"/>
      <c r="N318" s="262"/>
      <c r="O318" s="261"/>
      <c r="P318" s="262"/>
      <c r="Q318" s="262"/>
      <c r="R318" s="263"/>
      <c r="S318" s="264"/>
      <c r="T318" s="264"/>
      <c r="U318" s="265"/>
      <c r="V318" s="266"/>
      <c r="W318" s="266"/>
      <c r="X318" s="267"/>
      <c r="Y318" s="268"/>
      <c r="Z318" s="268"/>
      <c r="AA318" s="259"/>
      <c r="AB318" s="260"/>
      <c r="AC318" s="260"/>
      <c r="AD318" s="261"/>
      <c r="AE318" s="262"/>
      <c r="AF318" s="262"/>
      <c r="AG318" s="269"/>
      <c r="AH318" s="270"/>
      <c r="AI318" s="271"/>
      <c r="AJ318" s="272"/>
    </row>
    <row r="319" spans="1:36" x14ac:dyDescent="0.25">
      <c r="A319" s="28" t="str">
        <f>IF(H319&lt;&gt;"",MAX($A$7:A318)+1,"")</f>
        <v/>
      </c>
      <c r="B319" s="243" t="str">
        <f t="shared" si="10"/>
        <v/>
      </c>
      <c r="C319" s="158" t="str">
        <f t="shared" si="11"/>
        <v/>
      </c>
      <c r="D319" s="246"/>
      <c r="E319" s="247"/>
      <c r="F319" s="258"/>
      <c r="G319" s="248"/>
      <c r="H319" s="241"/>
      <c r="I319" s="259"/>
      <c r="J319" s="260"/>
      <c r="K319" s="260"/>
      <c r="L319" s="261"/>
      <c r="M319" s="262"/>
      <c r="N319" s="262"/>
      <c r="O319" s="261"/>
      <c r="P319" s="262"/>
      <c r="Q319" s="262"/>
      <c r="R319" s="263"/>
      <c r="S319" s="264"/>
      <c r="T319" s="264"/>
      <c r="U319" s="265"/>
      <c r="V319" s="266"/>
      <c r="W319" s="266"/>
      <c r="X319" s="267"/>
      <c r="Y319" s="268"/>
      <c r="Z319" s="268"/>
      <c r="AA319" s="259"/>
      <c r="AB319" s="260"/>
      <c r="AC319" s="260"/>
      <c r="AD319" s="261"/>
      <c r="AE319" s="262"/>
      <c r="AF319" s="262"/>
      <c r="AG319" s="269"/>
      <c r="AH319" s="270"/>
      <c r="AI319" s="271"/>
      <c r="AJ319" s="272"/>
    </row>
    <row r="320" spans="1:36" x14ac:dyDescent="0.25">
      <c r="A320" s="28" t="str">
        <f>IF(H320&lt;&gt;"",MAX($A$7:A319)+1,"")</f>
        <v/>
      </c>
      <c r="B320" s="243" t="str">
        <f t="shared" si="10"/>
        <v/>
      </c>
      <c r="C320" s="158" t="str">
        <f t="shared" si="11"/>
        <v/>
      </c>
      <c r="D320" s="246"/>
      <c r="E320" s="247"/>
      <c r="F320" s="258"/>
      <c r="G320" s="248"/>
      <c r="H320" s="241"/>
      <c r="I320" s="259"/>
      <c r="J320" s="260"/>
      <c r="K320" s="260"/>
      <c r="L320" s="261"/>
      <c r="M320" s="262"/>
      <c r="N320" s="262"/>
      <c r="O320" s="261"/>
      <c r="P320" s="262"/>
      <c r="Q320" s="262"/>
      <c r="R320" s="263"/>
      <c r="S320" s="264"/>
      <c r="T320" s="264"/>
      <c r="U320" s="265"/>
      <c r="V320" s="266"/>
      <c r="W320" s="266"/>
      <c r="X320" s="267"/>
      <c r="Y320" s="268"/>
      <c r="Z320" s="268"/>
      <c r="AA320" s="259"/>
      <c r="AB320" s="260"/>
      <c r="AC320" s="260"/>
      <c r="AD320" s="261"/>
      <c r="AE320" s="262"/>
      <c r="AF320" s="262"/>
      <c r="AG320" s="269"/>
      <c r="AH320" s="270"/>
      <c r="AI320" s="271"/>
      <c r="AJ320" s="272"/>
    </row>
    <row r="321" spans="1:36" x14ac:dyDescent="0.25">
      <c r="A321" s="28" t="str">
        <f>IF(H321&lt;&gt;"",MAX($A$7:A320)+1,"")</f>
        <v/>
      </c>
      <c r="B321" s="243" t="str">
        <f t="shared" si="10"/>
        <v/>
      </c>
      <c r="C321" s="158" t="str">
        <f t="shared" si="11"/>
        <v/>
      </c>
      <c r="D321" s="246"/>
      <c r="E321" s="247"/>
      <c r="F321" s="258"/>
      <c r="G321" s="248"/>
      <c r="H321" s="241"/>
      <c r="I321" s="259"/>
      <c r="J321" s="260"/>
      <c r="K321" s="260"/>
      <c r="L321" s="261"/>
      <c r="M321" s="262"/>
      <c r="N321" s="262"/>
      <c r="O321" s="261"/>
      <c r="P321" s="262"/>
      <c r="Q321" s="262"/>
      <c r="R321" s="263"/>
      <c r="S321" s="264"/>
      <c r="T321" s="264"/>
      <c r="U321" s="265"/>
      <c r="V321" s="266"/>
      <c r="W321" s="266"/>
      <c r="X321" s="267"/>
      <c r="Y321" s="268"/>
      <c r="Z321" s="268"/>
      <c r="AA321" s="259"/>
      <c r="AB321" s="260"/>
      <c r="AC321" s="260"/>
      <c r="AD321" s="261"/>
      <c r="AE321" s="262"/>
      <c r="AF321" s="262"/>
      <c r="AG321" s="269"/>
      <c r="AH321" s="270"/>
      <c r="AI321" s="271"/>
      <c r="AJ321" s="272"/>
    </row>
    <row r="322" spans="1:36" x14ac:dyDescent="0.25">
      <c r="A322" s="28" t="str">
        <f>IF(H322&lt;&gt;"",MAX($A$7:A321)+1,"")</f>
        <v/>
      </c>
      <c r="B322" s="243" t="str">
        <f t="shared" si="10"/>
        <v/>
      </c>
      <c r="C322" s="158" t="str">
        <f t="shared" si="11"/>
        <v/>
      </c>
      <c r="D322" s="246"/>
      <c r="E322" s="247"/>
      <c r="F322" s="258"/>
      <c r="G322" s="248"/>
      <c r="H322" s="241"/>
      <c r="I322" s="259"/>
      <c r="J322" s="260"/>
      <c r="K322" s="260"/>
      <c r="L322" s="261"/>
      <c r="M322" s="262"/>
      <c r="N322" s="262"/>
      <c r="O322" s="261"/>
      <c r="P322" s="262"/>
      <c r="Q322" s="262"/>
      <c r="R322" s="263"/>
      <c r="S322" s="264"/>
      <c r="T322" s="264"/>
      <c r="U322" s="265"/>
      <c r="V322" s="266"/>
      <c r="W322" s="266"/>
      <c r="X322" s="267"/>
      <c r="Y322" s="268"/>
      <c r="Z322" s="268"/>
      <c r="AA322" s="259"/>
      <c r="AB322" s="260"/>
      <c r="AC322" s="260"/>
      <c r="AD322" s="261"/>
      <c r="AE322" s="262"/>
      <c r="AF322" s="262"/>
      <c r="AG322" s="269"/>
      <c r="AH322" s="270"/>
      <c r="AI322" s="271"/>
      <c r="AJ322" s="272"/>
    </row>
    <row r="323" spans="1:36" x14ac:dyDescent="0.25">
      <c r="A323" s="28" t="str">
        <f>IF(H323&lt;&gt;"",MAX($A$7:A322)+1,"")</f>
        <v/>
      </c>
      <c r="B323" s="243" t="str">
        <f t="shared" si="10"/>
        <v/>
      </c>
      <c r="C323" s="158" t="str">
        <f t="shared" si="11"/>
        <v/>
      </c>
      <c r="D323" s="246"/>
      <c r="E323" s="247"/>
      <c r="F323" s="258"/>
      <c r="G323" s="248"/>
      <c r="H323" s="241"/>
      <c r="I323" s="259"/>
      <c r="J323" s="260"/>
      <c r="K323" s="260"/>
      <c r="L323" s="261"/>
      <c r="M323" s="262"/>
      <c r="N323" s="262"/>
      <c r="O323" s="261"/>
      <c r="P323" s="262"/>
      <c r="Q323" s="262"/>
      <c r="R323" s="263"/>
      <c r="S323" s="264"/>
      <c r="T323" s="264"/>
      <c r="U323" s="265"/>
      <c r="V323" s="266"/>
      <c r="W323" s="266"/>
      <c r="X323" s="267"/>
      <c r="Y323" s="268"/>
      <c r="Z323" s="268"/>
      <c r="AA323" s="259"/>
      <c r="AB323" s="260"/>
      <c r="AC323" s="260"/>
      <c r="AD323" s="261"/>
      <c r="AE323" s="262"/>
      <c r="AF323" s="262"/>
      <c r="AG323" s="269"/>
      <c r="AH323" s="270"/>
      <c r="AI323" s="271"/>
      <c r="AJ323" s="272"/>
    </row>
    <row r="324" spans="1:36" x14ac:dyDescent="0.25">
      <c r="A324" s="28" t="str">
        <f>IF(H324&lt;&gt;"",MAX($A$7:A323)+1,"")</f>
        <v/>
      </c>
      <c r="B324" s="243" t="str">
        <f t="shared" si="10"/>
        <v/>
      </c>
      <c r="C324" s="158" t="str">
        <f t="shared" si="11"/>
        <v/>
      </c>
      <c r="D324" s="246"/>
      <c r="E324" s="247"/>
      <c r="F324" s="258"/>
      <c r="G324" s="248"/>
      <c r="H324" s="241"/>
      <c r="I324" s="259"/>
      <c r="J324" s="260"/>
      <c r="K324" s="260"/>
      <c r="L324" s="261"/>
      <c r="M324" s="262"/>
      <c r="N324" s="262"/>
      <c r="O324" s="261"/>
      <c r="P324" s="262"/>
      <c r="Q324" s="262"/>
      <c r="R324" s="263"/>
      <c r="S324" s="264"/>
      <c r="T324" s="264"/>
      <c r="U324" s="265"/>
      <c r="V324" s="266"/>
      <c r="W324" s="266"/>
      <c r="X324" s="267"/>
      <c r="Y324" s="268"/>
      <c r="Z324" s="268"/>
      <c r="AA324" s="259"/>
      <c r="AB324" s="260"/>
      <c r="AC324" s="260"/>
      <c r="AD324" s="261"/>
      <c r="AE324" s="262"/>
      <c r="AF324" s="262"/>
      <c r="AG324" s="269"/>
      <c r="AH324" s="270"/>
      <c r="AI324" s="271"/>
      <c r="AJ324" s="272"/>
    </row>
    <row r="325" spans="1:36" x14ac:dyDescent="0.25">
      <c r="A325" s="28" t="str">
        <f>IF(H325&lt;&gt;"",MAX($A$7:A324)+1,"")</f>
        <v/>
      </c>
      <c r="B325" s="243" t="str">
        <f t="shared" si="10"/>
        <v/>
      </c>
      <c r="C325" s="158" t="str">
        <f t="shared" si="11"/>
        <v/>
      </c>
      <c r="D325" s="246"/>
      <c r="E325" s="247"/>
      <c r="F325" s="258"/>
      <c r="G325" s="248"/>
      <c r="H325" s="241"/>
      <c r="I325" s="259"/>
      <c r="J325" s="260"/>
      <c r="K325" s="260"/>
      <c r="L325" s="261"/>
      <c r="M325" s="262"/>
      <c r="N325" s="262"/>
      <c r="O325" s="261"/>
      <c r="P325" s="262"/>
      <c r="Q325" s="262"/>
      <c r="R325" s="263"/>
      <c r="S325" s="264"/>
      <c r="T325" s="264"/>
      <c r="U325" s="265"/>
      <c r="V325" s="266"/>
      <c r="W325" s="266"/>
      <c r="X325" s="267"/>
      <c r="Y325" s="268"/>
      <c r="Z325" s="268"/>
      <c r="AA325" s="259"/>
      <c r="AB325" s="260"/>
      <c r="AC325" s="260"/>
      <c r="AD325" s="261"/>
      <c r="AE325" s="262"/>
      <c r="AF325" s="262"/>
      <c r="AG325" s="269"/>
      <c r="AH325" s="270"/>
      <c r="AI325" s="271"/>
      <c r="AJ325" s="272"/>
    </row>
    <row r="326" spans="1:36" x14ac:dyDescent="0.25">
      <c r="A326" s="28" t="str">
        <f>IF(H326&lt;&gt;"",MAX($A$7:A325)+1,"")</f>
        <v/>
      </c>
      <c r="B326" s="243" t="str">
        <f t="shared" si="10"/>
        <v/>
      </c>
      <c r="C326" s="158" t="str">
        <f t="shared" si="11"/>
        <v/>
      </c>
      <c r="D326" s="246"/>
      <c r="E326" s="247"/>
      <c r="F326" s="258"/>
      <c r="G326" s="248"/>
      <c r="H326" s="241"/>
      <c r="I326" s="259"/>
      <c r="J326" s="260"/>
      <c r="K326" s="260"/>
      <c r="L326" s="261"/>
      <c r="M326" s="262"/>
      <c r="N326" s="262"/>
      <c r="O326" s="261"/>
      <c r="P326" s="262"/>
      <c r="Q326" s="262"/>
      <c r="R326" s="263"/>
      <c r="S326" s="264"/>
      <c r="T326" s="264"/>
      <c r="U326" s="265"/>
      <c r="V326" s="266"/>
      <c r="W326" s="266"/>
      <c r="X326" s="267"/>
      <c r="Y326" s="268"/>
      <c r="Z326" s="268"/>
      <c r="AA326" s="259"/>
      <c r="AB326" s="260"/>
      <c r="AC326" s="260"/>
      <c r="AD326" s="261"/>
      <c r="AE326" s="262"/>
      <c r="AF326" s="262"/>
      <c r="AG326" s="269"/>
      <c r="AH326" s="270"/>
      <c r="AI326" s="271"/>
      <c r="AJ326" s="272"/>
    </row>
    <row r="327" spans="1:36" x14ac:dyDescent="0.25">
      <c r="A327" s="28" t="str">
        <f>IF(H327&lt;&gt;"",MAX($A$7:A326)+1,"")</f>
        <v/>
      </c>
      <c r="B327" s="243" t="str">
        <f t="shared" ref="B327:B390" si="12">IF(A327="","",PREF_PREGUNTA&amp;" - "&amp;IF(MAX($A$7:$A$156)&gt;99,IF(A327&lt;100,"0",""),"")&amp;IF(A327&lt;10,"0","")&amp;A327&amp;IF(G327&lt;&gt;""," "&amp;G327,""))</f>
        <v/>
      </c>
      <c r="C327" s="158" t="str">
        <f t="shared" ref="C327:C390" si="13">IF(COUNTA(I327:N327)-D327=0,"",COUNTA(I327:N327)-D327)</f>
        <v/>
      </c>
      <c r="D327" s="246"/>
      <c r="E327" s="247"/>
      <c r="F327" s="258"/>
      <c r="G327" s="248"/>
      <c r="H327" s="241"/>
      <c r="I327" s="259"/>
      <c r="J327" s="260"/>
      <c r="K327" s="260"/>
      <c r="L327" s="261"/>
      <c r="M327" s="262"/>
      <c r="N327" s="262"/>
      <c r="O327" s="261"/>
      <c r="P327" s="262"/>
      <c r="Q327" s="262"/>
      <c r="R327" s="263"/>
      <c r="S327" s="264"/>
      <c r="T327" s="264"/>
      <c r="U327" s="265"/>
      <c r="V327" s="266"/>
      <c r="W327" s="266"/>
      <c r="X327" s="267"/>
      <c r="Y327" s="268"/>
      <c r="Z327" s="268"/>
      <c r="AA327" s="259"/>
      <c r="AB327" s="260"/>
      <c r="AC327" s="260"/>
      <c r="AD327" s="261"/>
      <c r="AE327" s="262"/>
      <c r="AF327" s="262"/>
      <c r="AG327" s="269"/>
      <c r="AH327" s="270"/>
      <c r="AI327" s="271"/>
      <c r="AJ327" s="272"/>
    </row>
    <row r="328" spans="1:36" x14ac:dyDescent="0.25">
      <c r="A328" s="28" t="str">
        <f>IF(H328&lt;&gt;"",MAX($A$7:A327)+1,"")</f>
        <v/>
      </c>
      <c r="B328" s="243" t="str">
        <f t="shared" si="12"/>
        <v/>
      </c>
      <c r="C328" s="158" t="str">
        <f t="shared" si="13"/>
        <v/>
      </c>
      <c r="D328" s="246"/>
      <c r="E328" s="247"/>
      <c r="F328" s="258"/>
      <c r="G328" s="248"/>
      <c r="H328" s="241"/>
      <c r="I328" s="259"/>
      <c r="J328" s="260"/>
      <c r="K328" s="260"/>
      <c r="L328" s="261"/>
      <c r="M328" s="262"/>
      <c r="N328" s="262"/>
      <c r="O328" s="261"/>
      <c r="P328" s="262"/>
      <c r="Q328" s="262"/>
      <c r="R328" s="263"/>
      <c r="S328" s="264"/>
      <c r="T328" s="264"/>
      <c r="U328" s="265"/>
      <c r="V328" s="266"/>
      <c r="W328" s="266"/>
      <c r="X328" s="267"/>
      <c r="Y328" s="268"/>
      <c r="Z328" s="268"/>
      <c r="AA328" s="259"/>
      <c r="AB328" s="260"/>
      <c r="AC328" s="260"/>
      <c r="AD328" s="261"/>
      <c r="AE328" s="262"/>
      <c r="AF328" s="262"/>
      <c r="AG328" s="269"/>
      <c r="AH328" s="270"/>
      <c r="AI328" s="271"/>
      <c r="AJ328" s="272"/>
    </row>
    <row r="329" spans="1:36" x14ac:dyDescent="0.25">
      <c r="A329" s="28" t="str">
        <f>IF(H329&lt;&gt;"",MAX($A$7:A328)+1,"")</f>
        <v/>
      </c>
      <c r="B329" s="243" t="str">
        <f t="shared" si="12"/>
        <v/>
      </c>
      <c r="C329" s="158" t="str">
        <f t="shared" si="13"/>
        <v/>
      </c>
      <c r="D329" s="246"/>
      <c r="E329" s="247"/>
      <c r="F329" s="258"/>
      <c r="G329" s="248"/>
      <c r="H329" s="241"/>
      <c r="I329" s="259"/>
      <c r="J329" s="260"/>
      <c r="K329" s="260"/>
      <c r="L329" s="261"/>
      <c r="M329" s="262"/>
      <c r="N329" s="262"/>
      <c r="O329" s="261"/>
      <c r="P329" s="262"/>
      <c r="Q329" s="262"/>
      <c r="R329" s="263"/>
      <c r="S329" s="264"/>
      <c r="T329" s="264"/>
      <c r="U329" s="265"/>
      <c r="V329" s="266"/>
      <c r="W329" s="266"/>
      <c r="X329" s="267"/>
      <c r="Y329" s="268"/>
      <c r="Z329" s="268"/>
      <c r="AA329" s="259"/>
      <c r="AB329" s="260"/>
      <c r="AC329" s="260"/>
      <c r="AD329" s="261"/>
      <c r="AE329" s="262"/>
      <c r="AF329" s="262"/>
      <c r="AG329" s="269"/>
      <c r="AH329" s="270"/>
      <c r="AI329" s="271"/>
      <c r="AJ329" s="272"/>
    </row>
    <row r="330" spans="1:36" x14ac:dyDescent="0.25">
      <c r="A330" s="28" t="str">
        <f>IF(H330&lt;&gt;"",MAX($A$7:A329)+1,"")</f>
        <v/>
      </c>
      <c r="B330" s="243" t="str">
        <f t="shared" si="12"/>
        <v/>
      </c>
      <c r="C330" s="158" t="str">
        <f t="shared" si="13"/>
        <v/>
      </c>
      <c r="D330" s="246"/>
      <c r="E330" s="247"/>
      <c r="F330" s="258"/>
      <c r="G330" s="248"/>
      <c r="H330" s="241"/>
      <c r="I330" s="259"/>
      <c r="J330" s="260"/>
      <c r="K330" s="260"/>
      <c r="L330" s="261"/>
      <c r="M330" s="262"/>
      <c r="N330" s="262"/>
      <c r="O330" s="261"/>
      <c r="P330" s="262"/>
      <c r="Q330" s="262"/>
      <c r="R330" s="263"/>
      <c r="S330" s="264"/>
      <c r="T330" s="264"/>
      <c r="U330" s="265"/>
      <c r="V330" s="266"/>
      <c r="W330" s="266"/>
      <c r="X330" s="267"/>
      <c r="Y330" s="268"/>
      <c r="Z330" s="268"/>
      <c r="AA330" s="259"/>
      <c r="AB330" s="260"/>
      <c r="AC330" s="260"/>
      <c r="AD330" s="261"/>
      <c r="AE330" s="262"/>
      <c r="AF330" s="262"/>
      <c r="AG330" s="269"/>
      <c r="AH330" s="270"/>
      <c r="AI330" s="271"/>
      <c r="AJ330" s="272"/>
    </row>
    <row r="331" spans="1:36" x14ac:dyDescent="0.25">
      <c r="A331" s="28" t="str">
        <f>IF(H331&lt;&gt;"",MAX($A$7:A330)+1,"")</f>
        <v/>
      </c>
      <c r="B331" s="243" t="str">
        <f t="shared" si="12"/>
        <v/>
      </c>
      <c r="C331" s="158" t="str">
        <f t="shared" si="13"/>
        <v/>
      </c>
      <c r="D331" s="246"/>
      <c r="E331" s="247"/>
      <c r="F331" s="258"/>
      <c r="G331" s="248"/>
      <c r="H331" s="241"/>
      <c r="I331" s="259"/>
      <c r="J331" s="260"/>
      <c r="K331" s="260"/>
      <c r="L331" s="261"/>
      <c r="M331" s="262"/>
      <c r="N331" s="262"/>
      <c r="O331" s="261"/>
      <c r="P331" s="262"/>
      <c r="Q331" s="262"/>
      <c r="R331" s="263"/>
      <c r="S331" s="264"/>
      <c r="T331" s="264"/>
      <c r="U331" s="265"/>
      <c r="V331" s="266"/>
      <c r="W331" s="266"/>
      <c r="X331" s="267"/>
      <c r="Y331" s="268"/>
      <c r="Z331" s="268"/>
      <c r="AA331" s="259"/>
      <c r="AB331" s="260"/>
      <c r="AC331" s="260"/>
      <c r="AD331" s="261"/>
      <c r="AE331" s="262"/>
      <c r="AF331" s="262"/>
      <c r="AG331" s="269"/>
      <c r="AH331" s="270"/>
      <c r="AI331" s="271"/>
      <c r="AJ331" s="272"/>
    </row>
    <row r="332" spans="1:36" x14ac:dyDescent="0.25">
      <c r="A332" s="28" t="str">
        <f>IF(H332&lt;&gt;"",MAX($A$7:A331)+1,"")</f>
        <v/>
      </c>
      <c r="B332" s="243" t="str">
        <f t="shared" si="12"/>
        <v/>
      </c>
      <c r="C332" s="158" t="str">
        <f t="shared" si="13"/>
        <v/>
      </c>
      <c r="D332" s="246"/>
      <c r="E332" s="247"/>
      <c r="F332" s="258"/>
      <c r="G332" s="248"/>
      <c r="H332" s="241"/>
      <c r="I332" s="259"/>
      <c r="J332" s="260"/>
      <c r="K332" s="260"/>
      <c r="L332" s="261"/>
      <c r="M332" s="262"/>
      <c r="N332" s="262"/>
      <c r="O332" s="261"/>
      <c r="P332" s="262"/>
      <c r="Q332" s="262"/>
      <c r="R332" s="263"/>
      <c r="S332" s="264"/>
      <c r="T332" s="264"/>
      <c r="U332" s="265"/>
      <c r="V332" s="266"/>
      <c r="W332" s="266"/>
      <c r="X332" s="267"/>
      <c r="Y332" s="268"/>
      <c r="Z332" s="268"/>
      <c r="AA332" s="259"/>
      <c r="AB332" s="260"/>
      <c r="AC332" s="260"/>
      <c r="AD332" s="261"/>
      <c r="AE332" s="262"/>
      <c r="AF332" s="262"/>
      <c r="AG332" s="269"/>
      <c r="AH332" s="270"/>
      <c r="AI332" s="271"/>
      <c r="AJ332" s="272"/>
    </row>
    <row r="333" spans="1:36" x14ac:dyDescent="0.25">
      <c r="A333" s="28" t="str">
        <f>IF(H333&lt;&gt;"",MAX($A$7:A332)+1,"")</f>
        <v/>
      </c>
      <c r="B333" s="243" t="str">
        <f t="shared" si="12"/>
        <v/>
      </c>
      <c r="C333" s="158" t="str">
        <f t="shared" si="13"/>
        <v/>
      </c>
      <c r="D333" s="246"/>
      <c r="E333" s="247"/>
      <c r="F333" s="258"/>
      <c r="G333" s="248"/>
      <c r="H333" s="241"/>
      <c r="I333" s="259"/>
      <c r="J333" s="260"/>
      <c r="K333" s="260"/>
      <c r="L333" s="261"/>
      <c r="M333" s="262"/>
      <c r="N333" s="262"/>
      <c r="O333" s="261"/>
      <c r="P333" s="262"/>
      <c r="Q333" s="262"/>
      <c r="R333" s="263"/>
      <c r="S333" s="264"/>
      <c r="T333" s="264"/>
      <c r="U333" s="265"/>
      <c r="V333" s="266"/>
      <c r="W333" s="266"/>
      <c r="X333" s="267"/>
      <c r="Y333" s="268"/>
      <c r="Z333" s="268"/>
      <c r="AA333" s="259"/>
      <c r="AB333" s="260"/>
      <c r="AC333" s="260"/>
      <c r="AD333" s="261"/>
      <c r="AE333" s="262"/>
      <c r="AF333" s="262"/>
      <c r="AG333" s="269"/>
      <c r="AH333" s="270"/>
      <c r="AI333" s="271"/>
      <c r="AJ333" s="272"/>
    </row>
    <row r="334" spans="1:36" x14ac:dyDescent="0.25">
      <c r="A334" s="28" t="str">
        <f>IF(H334&lt;&gt;"",MAX($A$7:A333)+1,"")</f>
        <v/>
      </c>
      <c r="B334" s="243" t="str">
        <f t="shared" si="12"/>
        <v/>
      </c>
      <c r="C334" s="158" t="str">
        <f t="shared" si="13"/>
        <v/>
      </c>
      <c r="D334" s="246"/>
      <c r="E334" s="247"/>
      <c r="F334" s="258"/>
      <c r="G334" s="248"/>
      <c r="H334" s="241"/>
      <c r="I334" s="259"/>
      <c r="J334" s="260"/>
      <c r="K334" s="260"/>
      <c r="L334" s="261"/>
      <c r="M334" s="262"/>
      <c r="N334" s="262"/>
      <c r="O334" s="261"/>
      <c r="P334" s="262"/>
      <c r="Q334" s="262"/>
      <c r="R334" s="263"/>
      <c r="S334" s="264"/>
      <c r="T334" s="264"/>
      <c r="U334" s="265"/>
      <c r="V334" s="266"/>
      <c r="W334" s="266"/>
      <c r="X334" s="267"/>
      <c r="Y334" s="268"/>
      <c r="Z334" s="268"/>
      <c r="AA334" s="259"/>
      <c r="AB334" s="260"/>
      <c r="AC334" s="260"/>
      <c r="AD334" s="261"/>
      <c r="AE334" s="262"/>
      <c r="AF334" s="262"/>
      <c r="AG334" s="269"/>
      <c r="AH334" s="270"/>
      <c r="AI334" s="271"/>
      <c r="AJ334" s="272"/>
    </row>
    <row r="335" spans="1:36" x14ac:dyDescent="0.25">
      <c r="A335" s="28" t="str">
        <f>IF(H335&lt;&gt;"",MAX($A$7:A334)+1,"")</f>
        <v/>
      </c>
      <c r="B335" s="243" t="str">
        <f t="shared" si="12"/>
        <v/>
      </c>
      <c r="C335" s="158" t="str">
        <f t="shared" si="13"/>
        <v/>
      </c>
      <c r="D335" s="246"/>
      <c r="E335" s="247"/>
      <c r="F335" s="258"/>
      <c r="G335" s="248"/>
      <c r="H335" s="241"/>
      <c r="I335" s="259"/>
      <c r="J335" s="260"/>
      <c r="K335" s="260"/>
      <c r="L335" s="261"/>
      <c r="M335" s="262"/>
      <c r="N335" s="262"/>
      <c r="O335" s="261"/>
      <c r="P335" s="262"/>
      <c r="Q335" s="262"/>
      <c r="R335" s="263"/>
      <c r="S335" s="264"/>
      <c r="T335" s="264"/>
      <c r="U335" s="265"/>
      <c r="V335" s="266"/>
      <c r="W335" s="266"/>
      <c r="X335" s="267"/>
      <c r="Y335" s="268"/>
      <c r="Z335" s="268"/>
      <c r="AA335" s="259"/>
      <c r="AB335" s="260"/>
      <c r="AC335" s="260"/>
      <c r="AD335" s="261"/>
      <c r="AE335" s="262"/>
      <c r="AF335" s="262"/>
      <c r="AG335" s="269"/>
      <c r="AH335" s="270"/>
      <c r="AI335" s="271"/>
      <c r="AJ335" s="272"/>
    </row>
    <row r="336" spans="1:36" x14ac:dyDescent="0.25">
      <c r="A336" s="28" t="str">
        <f>IF(H336&lt;&gt;"",MAX($A$7:A335)+1,"")</f>
        <v/>
      </c>
      <c r="B336" s="243" t="str">
        <f t="shared" si="12"/>
        <v/>
      </c>
      <c r="C336" s="158" t="str">
        <f t="shared" si="13"/>
        <v/>
      </c>
      <c r="D336" s="246"/>
      <c r="E336" s="247"/>
      <c r="F336" s="258"/>
      <c r="G336" s="248"/>
      <c r="H336" s="241"/>
      <c r="I336" s="259"/>
      <c r="J336" s="260"/>
      <c r="K336" s="260"/>
      <c r="L336" s="261"/>
      <c r="M336" s="262"/>
      <c r="N336" s="262"/>
      <c r="O336" s="261"/>
      <c r="P336" s="262"/>
      <c r="Q336" s="262"/>
      <c r="R336" s="263"/>
      <c r="S336" s="264"/>
      <c r="T336" s="264"/>
      <c r="U336" s="265"/>
      <c r="V336" s="266"/>
      <c r="W336" s="266"/>
      <c r="X336" s="267"/>
      <c r="Y336" s="268"/>
      <c r="Z336" s="268"/>
      <c r="AA336" s="259"/>
      <c r="AB336" s="260"/>
      <c r="AC336" s="260"/>
      <c r="AD336" s="261"/>
      <c r="AE336" s="262"/>
      <c r="AF336" s="262"/>
      <c r="AG336" s="269"/>
      <c r="AH336" s="270"/>
      <c r="AI336" s="271"/>
      <c r="AJ336" s="272"/>
    </row>
    <row r="337" spans="1:36" x14ac:dyDescent="0.25">
      <c r="A337" s="28" t="str">
        <f>IF(H337&lt;&gt;"",MAX($A$7:A336)+1,"")</f>
        <v/>
      </c>
      <c r="B337" s="243" t="str">
        <f t="shared" si="12"/>
        <v/>
      </c>
      <c r="C337" s="158" t="str">
        <f t="shared" si="13"/>
        <v/>
      </c>
      <c r="D337" s="246"/>
      <c r="E337" s="247"/>
      <c r="F337" s="258"/>
      <c r="G337" s="248"/>
      <c r="H337" s="241"/>
      <c r="I337" s="259"/>
      <c r="J337" s="260"/>
      <c r="K337" s="260"/>
      <c r="L337" s="261"/>
      <c r="M337" s="262"/>
      <c r="N337" s="262"/>
      <c r="O337" s="261"/>
      <c r="P337" s="262"/>
      <c r="Q337" s="262"/>
      <c r="R337" s="263"/>
      <c r="S337" s="264"/>
      <c r="T337" s="264"/>
      <c r="U337" s="265"/>
      <c r="V337" s="266"/>
      <c r="W337" s="266"/>
      <c r="X337" s="267"/>
      <c r="Y337" s="268"/>
      <c r="Z337" s="268"/>
      <c r="AA337" s="259"/>
      <c r="AB337" s="260"/>
      <c r="AC337" s="260"/>
      <c r="AD337" s="261"/>
      <c r="AE337" s="262"/>
      <c r="AF337" s="262"/>
      <c r="AG337" s="269"/>
      <c r="AH337" s="270"/>
      <c r="AI337" s="271"/>
      <c r="AJ337" s="272"/>
    </row>
    <row r="338" spans="1:36" x14ac:dyDescent="0.25">
      <c r="A338" s="28" t="str">
        <f>IF(H338&lt;&gt;"",MAX($A$7:A337)+1,"")</f>
        <v/>
      </c>
      <c r="B338" s="243" t="str">
        <f t="shared" si="12"/>
        <v/>
      </c>
      <c r="C338" s="158" t="str">
        <f t="shared" si="13"/>
        <v/>
      </c>
      <c r="D338" s="246"/>
      <c r="E338" s="247"/>
      <c r="F338" s="258"/>
      <c r="G338" s="248"/>
      <c r="H338" s="241"/>
      <c r="I338" s="259"/>
      <c r="J338" s="260"/>
      <c r="K338" s="260"/>
      <c r="L338" s="261"/>
      <c r="M338" s="262"/>
      <c r="N338" s="262"/>
      <c r="O338" s="261"/>
      <c r="P338" s="262"/>
      <c r="Q338" s="262"/>
      <c r="R338" s="263"/>
      <c r="S338" s="264"/>
      <c r="T338" s="264"/>
      <c r="U338" s="265"/>
      <c r="V338" s="266"/>
      <c r="W338" s="266"/>
      <c r="X338" s="267"/>
      <c r="Y338" s="268"/>
      <c r="Z338" s="268"/>
      <c r="AA338" s="259"/>
      <c r="AB338" s="260"/>
      <c r="AC338" s="260"/>
      <c r="AD338" s="261"/>
      <c r="AE338" s="262"/>
      <c r="AF338" s="262"/>
      <c r="AG338" s="269"/>
      <c r="AH338" s="270"/>
      <c r="AI338" s="271"/>
      <c r="AJ338" s="272"/>
    </row>
    <row r="339" spans="1:36" x14ac:dyDescent="0.25">
      <c r="A339" s="28" t="str">
        <f>IF(H339&lt;&gt;"",MAX($A$7:A338)+1,"")</f>
        <v/>
      </c>
      <c r="B339" s="243" t="str">
        <f t="shared" si="12"/>
        <v/>
      </c>
      <c r="C339" s="158" t="str">
        <f t="shared" si="13"/>
        <v/>
      </c>
      <c r="D339" s="246"/>
      <c r="E339" s="247"/>
      <c r="F339" s="258"/>
      <c r="G339" s="248"/>
      <c r="H339" s="241"/>
      <c r="I339" s="259"/>
      <c r="J339" s="260"/>
      <c r="K339" s="260"/>
      <c r="L339" s="261"/>
      <c r="M339" s="262"/>
      <c r="N339" s="262"/>
      <c r="O339" s="261"/>
      <c r="P339" s="262"/>
      <c r="Q339" s="262"/>
      <c r="R339" s="263"/>
      <c r="S339" s="264"/>
      <c r="T339" s="264"/>
      <c r="U339" s="265"/>
      <c r="V339" s="266"/>
      <c r="W339" s="266"/>
      <c r="X339" s="267"/>
      <c r="Y339" s="268"/>
      <c r="Z339" s="268"/>
      <c r="AA339" s="259"/>
      <c r="AB339" s="260"/>
      <c r="AC339" s="260"/>
      <c r="AD339" s="261"/>
      <c r="AE339" s="262"/>
      <c r="AF339" s="262"/>
      <c r="AG339" s="269"/>
      <c r="AH339" s="270"/>
      <c r="AI339" s="271"/>
      <c r="AJ339" s="272"/>
    </row>
    <row r="340" spans="1:36" x14ac:dyDescent="0.25">
      <c r="A340" s="28" t="str">
        <f>IF(H340&lt;&gt;"",MAX($A$7:A339)+1,"")</f>
        <v/>
      </c>
      <c r="B340" s="243" t="str">
        <f t="shared" si="12"/>
        <v/>
      </c>
      <c r="C340" s="158" t="str">
        <f t="shared" si="13"/>
        <v/>
      </c>
      <c r="D340" s="246"/>
      <c r="E340" s="247"/>
      <c r="F340" s="258"/>
      <c r="G340" s="248"/>
      <c r="H340" s="241"/>
      <c r="I340" s="259"/>
      <c r="J340" s="260"/>
      <c r="K340" s="260"/>
      <c r="L340" s="261"/>
      <c r="M340" s="262"/>
      <c r="N340" s="262"/>
      <c r="O340" s="261"/>
      <c r="P340" s="262"/>
      <c r="Q340" s="262"/>
      <c r="R340" s="263"/>
      <c r="S340" s="264"/>
      <c r="T340" s="264"/>
      <c r="U340" s="265"/>
      <c r="V340" s="266"/>
      <c r="W340" s="266"/>
      <c r="X340" s="267"/>
      <c r="Y340" s="268"/>
      <c r="Z340" s="268"/>
      <c r="AA340" s="259"/>
      <c r="AB340" s="260"/>
      <c r="AC340" s="260"/>
      <c r="AD340" s="261"/>
      <c r="AE340" s="262"/>
      <c r="AF340" s="262"/>
      <c r="AG340" s="269"/>
      <c r="AH340" s="270"/>
      <c r="AI340" s="271"/>
      <c r="AJ340" s="272"/>
    </row>
    <row r="341" spans="1:36" x14ac:dyDescent="0.25">
      <c r="A341" s="28" t="str">
        <f>IF(H341&lt;&gt;"",MAX($A$7:A340)+1,"")</f>
        <v/>
      </c>
      <c r="B341" s="243" t="str">
        <f t="shared" si="12"/>
        <v/>
      </c>
      <c r="C341" s="158" t="str">
        <f t="shared" si="13"/>
        <v/>
      </c>
      <c r="D341" s="246"/>
      <c r="E341" s="247"/>
      <c r="F341" s="258"/>
      <c r="G341" s="248"/>
      <c r="H341" s="241"/>
      <c r="I341" s="259"/>
      <c r="J341" s="260"/>
      <c r="K341" s="260"/>
      <c r="L341" s="261"/>
      <c r="M341" s="262"/>
      <c r="N341" s="262"/>
      <c r="O341" s="261"/>
      <c r="P341" s="262"/>
      <c r="Q341" s="262"/>
      <c r="R341" s="263"/>
      <c r="S341" s="264"/>
      <c r="T341" s="264"/>
      <c r="U341" s="265"/>
      <c r="V341" s="266"/>
      <c r="W341" s="266"/>
      <c r="X341" s="267"/>
      <c r="Y341" s="268"/>
      <c r="Z341" s="268"/>
      <c r="AA341" s="259"/>
      <c r="AB341" s="260"/>
      <c r="AC341" s="260"/>
      <c r="AD341" s="261"/>
      <c r="AE341" s="262"/>
      <c r="AF341" s="262"/>
      <c r="AG341" s="269"/>
      <c r="AH341" s="270"/>
      <c r="AI341" s="271"/>
      <c r="AJ341" s="272"/>
    </row>
    <row r="342" spans="1:36" x14ac:dyDescent="0.25">
      <c r="A342" s="28" t="str">
        <f>IF(H342&lt;&gt;"",MAX($A$7:A341)+1,"")</f>
        <v/>
      </c>
      <c r="B342" s="243" t="str">
        <f t="shared" si="12"/>
        <v/>
      </c>
      <c r="C342" s="158" t="str">
        <f t="shared" si="13"/>
        <v/>
      </c>
      <c r="D342" s="246"/>
      <c r="E342" s="247"/>
      <c r="F342" s="258"/>
      <c r="G342" s="248"/>
      <c r="H342" s="241"/>
      <c r="I342" s="259"/>
      <c r="J342" s="260"/>
      <c r="K342" s="260"/>
      <c r="L342" s="261"/>
      <c r="M342" s="262"/>
      <c r="N342" s="262"/>
      <c r="O342" s="261"/>
      <c r="P342" s="262"/>
      <c r="Q342" s="262"/>
      <c r="R342" s="263"/>
      <c r="S342" s="264"/>
      <c r="T342" s="264"/>
      <c r="U342" s="265"/>
      <c r="V342" s="266"/>
      <c r="W342" s="266"/>
      <c r="X342" s="267"/>
      <c r="Y342" s="268"/>
      <c r="Z342" s="268"/>
      <c r="AA342" s="259"/>
      <c r="AB342" s="260"/>
      <c r="AC342" s="260"/>
      <c r="AD342" s="261"/>
      <c r="AE342" s="262"/>
      <c r="AF342" s="262"/>
      <c r="AG342" s="269"/>
      <c r="AH342" s="270"/>
      <c r="AI342" s="271"/>
      <c r="AJ342" s="272"/>
    </row>
    <row r="343" spans="1:36" x14ac:dyDescent="0.25">
      <c r="A343" s="28" t="str">
        <f>IF(H343&lt;&gt;"",MAX($A$7:A342)+1,"")</f>
        <v/>
      </c>
      <c r="B343" s="243" t="str">
        <f t="shared" si="12"/>
        <v/>
      </c>
      <c r="C343" s="158" t="str">
        <f t="shared" si="13"/>
        <v/>
      </c>
      <c r="D343" s="246"/>
      <c r="E343" s="247"/>
      <c r="F343" s="258"/>
      <c r="G343" s="248"/>
      <c r="H343" s="241"/>
      <c r="I343" s="259"/>
      <c r="J343" s="260"/>
      <c r="K343" s="260"/>
      <c r="L343" s="261"/>
      <c r="M343" s="262"/>
      <c r="N343" s="262"/>
      <c r="O343" s="261"/>
      <c r="P343" s="262"/>
      <c r="Q343" s="262"/>
      <c r="R343" s="263"/>
      <c r="S343" s="264"/>
      <c r="T343" s="264"/>
      <c r="U343" s="265"/>
      <c r="V343" s="266"/>
      <c r="W343" s="266"/>
      <c r="X343" s="267"/>
      <c r="Y343" s="268"/>
      <c r="Z343" s="268"/>
      <c r="AA343" s="259"/>
      <c r="AB343" s="260"/>
      <c r="AC343" s="260"/>
      <c r="AD343" s="261"/>
      <c r="AE343" s="262"/>
      <c r="AF343" s="262"/>
      <c r="AG343" s="269"/>
      <c r="AH343" s="270"/>
      <c r="AI343" s="271"/>
      <c r="AJ343" s="272"/>
    </row>
    <row r="344" spans="1:36" x14ac:dyDescent="0.25">
      <c r="A344" s="28" t="str">
        <f>IF(H344&lt;&gt;"",MAX($A$7:A343)+1,"")</f>
        <v/>
      </c>
      <c r="B344" s="243" t="str">
        <f t="shared" si="12"/>
        <v/>
      </c>
      <c r="C344" s="158" t="str">
        <f t="shared" si="13"/>
        <v/>
      </c>
      <c r="D344" s="246"/>
      <c r="E344" s="247"/>
      <c r="F344" s="258"/>
      <c r="G344" s="248"/>
      <c r="H344" s="241"/>
      <c r="I344" s="259"/>
      <c r="J344" s="260"/>
      <c r="K344" s="260"/>
      <c r="L344" s="261"/>
      <c r="M344" s="262"/>
      <c r="N344" s="262"/>
      <c r="O344" s="261"/>
      <c r="P344" s="262"/>
      <c r="Q344" s="262"/>
      <c r="R344" s="263"/>
      <c r="S344" s="264"/>
      <c r="T344" s="264"/>
      <c r="U344" s="265"/>
      <c r="V344" s="266"/>
      <c r="W344" s="266"/>
      <c r="X344" s="267"/>
      <c r="Y344" s="268"/>
      <c r="Z344" s="268"/>
      <c r="AA344" s="259"/>
      <c r="AB344" s="260"/>
      <c r="AC344" s="260"/>
      <c r="AD344" s="261"/>
      <c r="AE344" s="262"/>
      <c r="AF344" s="262"/>
      <c r="AG344" s="269"/>
      <c r="AH344" s="270"/>
      <c r="AI344" s="271"/>
      <c r="AJ344" s="272"/>
    </row>
    <row r="345" spans="1:36" x14ac:dyDescent="0.25">
      <c r="A345" s="28" t="str">
        <f>IF(H345&lt;&gt;"",MAX($A$7:A344)+1,"")</f>
        <v/>
      </c>
      <c r="B345" s="243" t="str">
        <f t="shared" si="12"/>
        <v/>
      </c>
      <c r="C345" s="158" t="str">
        <f t="shared" si="13"/>
        <v/>
      </c>
      <c r="D345" s="246"/>
      <c r="E345" s="247"/>
      <c r="F345" s="258"/>
      <c r="G345" s="248"/>
      <c r="H345" s="241"/>
      <c r="I345" s="259"/>
      <c r="J345" s="260"/>
      <c r="K345" s="260"/>
      <c r="L345" s="261"/>
      <c r="M345" s="262"/>
      <c r="N345" s="262"/>
      <c r="O345" s="261"/>
      <c r="P345" s="262"/>
      <c r="Q345" s="262"/>
      <c r="R345" s="263"/>
      <c r="S345" s="264"/>
      <c r="T345" s="264"/>
      <c r="U345" s="265"/>
      <c r="V345" s="266"/>
      <c r="W345" s="266"/>
      <c r="X345" s="267"/>
      <c r="Y345" s="268"/>
      <c r="Z345" s="268"/>
      <c r="AA345" s="259"/>
      <c r="AB345" s="260"/>
      <c r="AC345" s="260"/>
      <c r="AD345" s="261"/>
      <c r="AE345" s="262"/>
      <c r="AF345" s="262"/>
      <c r="AG345" s="269"/>
      <c r="AH345" s="270"/>
      <c r="AI345" s="271"/>
      <c r="AJ345" s="272"/>
    </row>
    <row r="346" spans="1:36" x14ac:dyDescent="0.25">
      <c r="A346" s="28" t="str">
        <f>IF(H346&lt;&gt;"",MAX($A$7:A345)+1,"")</f>
        <v/>
      </c>
      <c r="B346" s="243" t="str">
        <f t="shared" si="12"/>
        <v/>
      </c>
      <c r="C346" s="158" t="str">
        <f t="shared" si="13"/>
        <v/>
      </c>
      <c r="D346" s="246"/>
      <c r="E346" s="247"/>
      <c r="F346" s="258"/>
      <c r="G346" s="248"/>
      <c r="H346" s="241"/>
      <c r="I346" s="259"/>
      <c r="J346" s="260"/>
      <c r="K346" s="260"/>
      <c r="L346" s="261"/>
      <c r="M346" s="262"/>
      <c r="N346" s="262"/>
      <c r="O346" s="261"/>
      <c r="P346" s="262"/>
      <c r="Q346" s="262"/>
      <c r="R346" s="263"/>
      <c r="S346" s="264"/>
      <c r="T346" s="264"/>
      <c r="U346" s="265"/>
      <c r="V346" s="266"/>
      <c r="W346" s="266"/>
      <c r="X346" s="267"/>
      <c r="Y346" s="268"/>
      <c r="Z346" s="268"/>
      <c r="AA346" s="259"/>
      <c r="AB346" s="260"/>
      <c r="AC346" s="260"/>
      <c r="AD346" s="261"/>
      <c r="AE346" s="262"/>
      <c r="AF346" s="262"/>
      <c r="AG346" s="269"/>
      <c r="AH346" s="270"/>
      <c r="AI346" s="271"/>
      <c r="AJ346" s="272"/>
    </row>
    <row r="347" spans="1:36" x14ac:dyDescent="0.25">
      <c r="A347" s="28" t="str">
        <f>IF(H347&lt;&gt;"",MAX($A$7:A346)+1,"")</f>
        <v/>
      </c>
      <c r="B347" s="243" t="str">
        <f t="shared" si="12"/>
        <v/>
      </c>
      <c r="C347" s="158" t="str">
        <f t="shared" si="13"/>
        <v/>
      </c>
      <c r="D347" s="246"/>
      <c r="E347" s="247"/>
      <c r="F347" s="258"/>
      <c r="G347" s="248"/>
      <c r="H347" s="241"/>
      <c r="I347" s="259"/>
      <c r="J347" s="260"/>
      <c r="K347" s="260"/>
      <c r="L347" s="261"/>
      <c r="M347" s="262"/>
      <c r="N347" s="262"/>
      <c r="O347" s="261"/>
      <c r="P347" s="262"/>
      <c r="Q347" s="262"/>
      <c r="R347" s="263"/>
      <c r="S347" s="264"/>
      <c r="T347" s="264"/>
      <c r="U347" s="265"/>
      <c r="V347" s="266"/>
      <c r="W347" s="266"/>
      <c r="X347" s="267"/>
      <c r="Y347" s="268"/>
      <c r="Z347" s="268"/>
      <c r="AA347" s="259"/>
      <c r="AB347" s="260"/>
      <c r="AC347" s="260"/>
      <c r="AD347" s="261"/>
      <c r="AE347" s="262"/>
      <c r="AF347" s="262"/>
      <c r="AG347" s="269"/>
      <c r="AH347" s="270"/>
      <c r="AI347" s="271"/>
      <c r="AJ347" s="272"/>
    </row>
    <row r="348" spans="1:36" x14ac:dyDescent="0.25">
      <c r="A348" s="28" t="str">
        <f>IF(H348&lt;&gt;"",MAX($A$7:A347)+1,"")</f>
        <v/>
      </c>
      <c r="B348" s="243" t="str">
        <f t="shared" si="12"/>
        <v/>
      </c>
      <c r="C348" s="158" t="str">
        <f t="shared" si="13"/>
        <v/>
      </c>
      <c r="D348" s="246"/>
      <c r="E348" s="247"/>
      <c r="F348" s="258"/>
      <c r="G348" s="248"/>
      <c r="H348" s="241"/>
      <c r="I348" s="259"/>
      <c r="J348" s="260"/>
      <c r="K348" s="260"/>
      <c r="L348" s="261"/>
      <c r="M348" s="262"/>
      <c r="N348" s="262"/>
      <c r="O348" s="261"/>
      <c r="P348" s="262"/>
      <c r="Q348" s="262"/>
      <c r="R348" s="263"/>
      <c r="S348" s="264"/>
      <c r="T348" s="264"/>
      <c r="U348" s="265"/>
      <c r="V348" s="266"/>
      <c r="W348" s="266"/>
      <c r="X348" s="267"/>
      <c r="Y348" s="268"/>
      <c r="Z348" s="268"/>
      <c r="AA348" s="259"/>
      <c r="AB348" s="260"/>
      <c r="AC348" s="260"/>
      <c r="AD348" s="261"/>
      <c r="AE348" s="262"/>
      <c r="AF348" s="262"/>
      <c r="AG348" s="269"/>
      <c r="AH348" s="270"/>
      <c r="AI348" s="271"/>
      <c r="AJ348" s="272"/>
    </row>
    <row r="349" spans="1:36" x14ac:dyDescent="0.25">
      <c r="A349" s="28" t="str">
        <f>IF(H349&lt;&gt;"",MAX($A$7:A348)+1,"")</f>
        <v/>
      </c>
      <c r="B349" s="243" t="str">
        <f t="shared" si="12"/>
        <v/>
      </c>
      <c r="C349" s="158" t="str">
        <f t="shared" si="13"/>
        <v/>
      </c>
      <c r="D349" s="246"/>
      <c r="E349" s="247"/>
      <c r="F349" s="258"/>
      <c r="G349" s="248"/>
      <c r="H349" s="241"/>
      <c r="I349" s="259"/>
      <c r="J349" s="260"/>
      <c r="K349" s="260"/>
      <c r="L349" s="261"/>
      <c r="M349" s="262"/>
      <c r="N349" s="262"/>
      <c r="O349" s="261"/>
      <c r="P349" s="262"/>
      <c r="Q349" s="262"/>
      <c r="R349" s="263"/>
      <c r="S349" s="264"/>
      <c r="T349" s="264"/>
      <c r="U349" s="265"/>
      <c r="V349" s="266"/>
      <c r="W349" s="266"/>
      <c r="X349" s="267"/>
      <c r="Y349" s="268"/>
      <c r="Z349" s="268"/>
      <c r="AA349" s="259"/>
      <c r="AB349" s="260"/>
      <c r="AC349" s="260"/>
      <c r="AD349" s="261"/>
      <c r="AE349" s="262"/>
      <c r="AF349" s="262"/>
      <c r="AG349" s="269"/>
      <c r="AH349" s="270"/>
      <c r="AI349" s="271"/>
      <c r="AJ349" s="272"/>
    </row>
    <row r="350" spans="1:36" x14ac:dyDescent="0.25">
      <c r="A350" s="28" t="str">
        <f>IF(H350&lt;&gt;"",MAX($A$7:A349)+1,"")</f>
        <v/>
      </c>
      <c r="B350" s="243" t="str">
        <f t="shared" si="12"/>
        <v/>
      </c>
      <c r="C350" s="158" t="str">
        <f t="shared" si="13"/>
        <v/>
      </c>
      <c r="D350" s="246"/>
      <c r="E350" s="247"/>
      <c r="F350" s="258"/>
      <c r="G350" s="248"/>
      <c r="H350" s="241"/>
      <c r="I350" s="259"/>
      <c r="J350" s="260"/>
      <c r="K350" s="260"/>
      <c r="L350" s="261"/>
      <c r="M350" s="262"/>
      <c r="N350" s="262"/>
      <c r="O350" s="261"/>
      <c r="P350" s="262"/>
      <c r="Q350" s="262"/>
      <c r="R350" s="263"/>
      <c r="S350" s="264"/>
      <c r="T350" s="264"/>
      <c r="U350" s="265"/>
      <c r="V350" s="266"/>
      <c r="W350" s="266"/>
      <c r="X350" s="267"/>
      <c r="Y350" s="268"/>
      <c r="Z350" s="268"/>
      <c r="AA350" s="259"/>
      <c r="AB350" s="260"/>
      <c r="AC350" s="260"/>
      <c r="AD350" s="261"/>
      <c r="AE350" s="262"/>
      <c r="AF350" s="262"/>
      <c r="AG350" s="269"/>
      <c r="AH350" s="270"/>
      <c r="AI350" s="271"/>
      <c r="AJ350" s="272"/>
    </row>
    <row r="351" spans="1:36" x14ac:dyDescent="0.25">
      <c r="A351" s="28" t="str">
        <f>IF(H351&lt;&gt;"",MAX($A$7:A350)+1,"")</f>
        <v/>
      </c>
      <c r="B351" s="243" t="str">
        <f t="shared" si="12"/>
        <v/>
      </c>
      <c r="C351" s="158" t="str">
        <f t="shared" si="13"/>
        <v/>
      </c>
      <c r="D351" s="246"/>
      <c r="E351" s="247"/>
      <c r="F351" s="258"/>
      <c r="G351" s="248"/>
      <c r="H351" s="241"/>
      <c r="I351" s="259"/>
      <c r="J351" s="260"/>
      <c r="K351" s="260"/>
      <c r="L351" s="261"/>
      <c r="M351" s="262"/>
      <c r="N351" s="262"/>
      <c r="O351" s="261"/>
      <c r="P351" s="262"/>
      <c r="Q351" s="262"/>
      <c r="R351" s="263"/>
      <c r="S351" s="264"/>
      <c r="T351" s="264"/>
      <c r="U351" s="265"/>
      <c r="V351" s="266"/>
      <c r="W351" s="266"/>
      <c r="X351" s="267"/>
      <c r="Y351" s="268"/>
      <c r="Z351" s="268"/>
      <c r="AA351" s="259"/>
      <c r="AB351" s="260"/>
      <c r="AC351" s="260"/>
      <c r="AD351" s="261"/>
      <c r="AE351" s="262"/>
      <c r="AF351" s="262"/>
      <c r="AG351" s="269"/>
      <c r="AH351" s="270"/>
      <c r="AI351" s="271"/>
      <c r="AJ351" s="272"/>
    </row>
    <row r="352" spans="1:36" x14ac:dyDescent="0.25">
      <c r="A352" s="28" t="str">
        <f>IF(H352&lt;&gt;"",MAX($A$7:A351)+1,"")</f>
        <v/>
      </c>
      <c r="B352" s="243" t="str">
        <f t="shared" si="12"/>
        <v/>
      </c>
      <c r="C352" s="158" t="str">
        <f t="shared" si="13"/>
        <v/>
      </c>
      <c r="D352" s="246"/>
      <c r="E352" s="247"/>
      <c r="F352" s="258"/>
      <c r="G352" s="248"/>
      <c r="H352" s="241"/>
      <c r="I352" s="259"/>
      <c r="J352" s="260"/>
      <c r="K352" s="260"/>
      <c r="L352" s="261"/>
      <c r="M352" s="262"/>
      <c r="N352" s="262"/>
      <c r="O352" s="261"/>
      <c r="P352" s="262"/>
      <c r="Q352" s="262"/>
      <c r="R352" s="263"/>
      <c r="S352" s="264"/>
      <c r="T352" s="264"/>
      <c r="U352" s="265"/>
      <c r="V352" s="266"/>
      <c r="W352" s="266"/>
      <c r="X352" s="267"/>
      <c r="Y352" s="268"/>
      <c r="Z352" s="268"/>
      <c r="AA352" s="259"/>
      <c r="AB352" s="260"/>
      <c r="AC352" s="260"/>
      <c r="AD352" s="261"/>
      <c r="AE352" s="262"/>
      <c r="AF352" s="262"/>
      <c r="AG352" s="269"/>
      <c r="AH352" s="270"/>
      <c r="AI352" s="271"/>
      <c r="AJ352" s="272"/>
    </row>
    <row r="353" spans="1:36" x14ac:dyDescent="0.25">
      <c r="A353" s="28" t="str">
        <f>IF(H353&lt;&gt;"",MAX($A$7:A352)+1,"")</f>
        <v/>
      </c>
      <c r="B353" s="243" t="str">
        <f t="shared" si="12"/>
        <v/>
      </c>
      <c r="C353" s="158" t="str">
        <f t="shared" si="13"/>
        <v/>
      </c>
      <c r="D353" s="246"/>
      <c r="E353" s="247"/>
      <c r="F353" s="258"/>
      <c r="G353" s="248"/>
      <c r="H353" s="241"/>
      <c r="I353" s="259"/>
      <c r="J353" s="260"/>
      <c r="K353" s="260"/>
      <c r="L353" s="261"/>
      <c r="M353" s="262"/>
      <c r="N353" s="262"/>
      <c r="O353" s="261"/>
      <c r="P353" s="262"/>
      <c r="Q353" s="262"/>
      <c r="R353" s="263"/>
      <c r="S353" s="264"/>
      <c r="T353" s="264"/>
      <c r="U353" s="265"/>
      <c r="V353" s="266"/>
      <c r="W353" s="266"/>
      <c r="X353" s="267"/>
      <c r="Y353" s="268"/>
      <c r="Z353" s="268"/>
      <c r="AA353" s="259"/>
      <c r="AB353" s="260"/>
      <c r="AC353" s="260"/>
      <c r="AD353" s="261"/>
      <c r="AE353" s="262"/>
      <c r="AF353" s="262"/>
      <c r="AG353" s="269"/>
      <c r="AH353" s="270"/>
      <c r="AI353" s="271"/>
      <c r="AJ353" s="272"/>
    </row>
    <row r="354" spans="1:36" x14ac:dyDescent="0.25">
      <c r="A354" s="28" t="str">
        <f>IF(H354&lt;&gt;"",MAX($A$7:A353)+1,"")</f>
        <v/>
      </c>
      <c r="B354" s="243" t="str">
        <f t="shared" si="12"/>
        <v/>
      </c>
      <c r="C354" s="158" t="str">
        <f t="shared" si="13"/>
        <v/>
      </c>
      <c r="D354" s="246"/>
      <c r="E354" s="247"/>
      <c r="F354" s="258"/>
      <c r="G354" s="248"/>
      <c r="H354" s="241"/>
      <c r="I354" s="259"/>
      <c r="J354" s="260"/>
      <c r="K354" s="260"/>
      <c r="L354" s="261"/>
      <c r="M354" s="262"/>
      <c r="N354" s="262"/>
      <c r="O354" s="261"/>
      <c r="P354" s="262"/>
      <c r="Q354" s="262"/>
      <c r="R354" s="263"/>
      <c r="S354" s="264"/>
      <c r="T354" s="264"/>
      <c r="U354" s="265"/>
      <c r="V354" s="266"/>
      <c r="W354" s="266"/>
      <c r="X354" s="267"/>
      <c r="Y354" s="268"/>
      <c r="Z354" s="268"/>
      <c r="AA354" s="259"/>
      <c r="AB354" s="260"/>
      <c r="AC354" s="260"/>
      <c r="AD354" s="261"/>
      <c r="AE354" s="262"/>
      <c r="AF354" s="262"/>
      <c r="AG354" s="269"/>
      <c r="AH354" s="270"/>
      <c r="AI354" s="271"/>
      <c r="AJ354" s="272"/>
    </row>
    <row r="355" spans="1:36" x14ac:dyDescent="0.25">
      <c r="A355" s="28" t="str">
        <f>IF(H355&lt;&gt;"",MAX($A$7:A354)+1,"")</f>
        <v/>
      </c>
      <c r="B355" s="243" t="str">
        <f t="shared" si="12"/>
        <v/>
      </c>
      <c r="C355" s="158" t="str">
        <f t="shared" si="13"/>
        <v/>
      </c>
      <c r="D355" s="246"/>
      <c r="E355" s="247"/>
      <c r="F355" s="258"/>
      <c r="G355" s="248"/>
      <c r="H355" s="241"/>
      <c r="I355" s="259"/>
      <c r="J355" s="260"/>
      <c r="K355" s="260"/>
      <c r="L355" s="261"/>
      <c r="M355" s="262"/>
      <c r="N355" s="262"/>
      <c r="O355" s="261"/>
      <c r="P355" s="262"/>
      <c r="Q355" s="262"/>
      <c r="R355" s="263"/>
      <c r="S355" s="264"/>
      <c r="T355" s="264"/>
      <c r="U355" s="265"/>
      <c r="V355" s="266"/>
      <c r="W355" s="266"/>
      <c r="X355" s="267"/>
      <c r="Y355" s="268"/>
      <c r="Z355" s="268"/>
      <c r="AA355" s="259"/>
      <c r="AB355" s="260"/>
      <c r="AC355" s="260"/>
      <c r="AD355" s="261"/>
      <c r="AE355" s="262"/>
      <c r="AF355" s="262"/>
      <c r="AG355" s="269"/>
      <c r="AH355" s="270"/>
      <c r="AI355" s="271"/>
      <c r="AJ355" s="272"/>
    </row>
    <row r="356" spans="1:36" x14ac:dyDescent="0.25">
      <c r="A356" s="28" t="str">
        <f>IF(H356&lt;&gt;"",MAX($A$7:A355)+1,"")</f>
        <v/>
      </c>
      <c r="B356" s="243" t="str">
        <f t="shared" si="12"/>
        <v/>
      </c>
      <c r="C356" s="158" t="str">
        <f t="shared" si="13"/>
        <v/>
      </c>
      <c r="D356" s="246"/>
      <c r="E356" s="247"/>
      <c r="F356" s="258"/>
      <c r="G356" s="248"/>
      <c r="H356" s="241"/>
      <c r="I356" s="259"/>
      <c r="J356" s="260"/>
      <c r="K356" s="260"/>
      <c r="L356" s="261"/>
      <c r="M356" s="262"/>
      <c r="N356" s="262"/>
      <c r="O356" s="261"/>
      <c r="P356" s="262"/>
      <c r="Q356" s="262"/>
      <c r="R356" s="263"/>
      <c r="S356" s="264"/>
      <c r="T356" s="264"/>
      <c r="U356" s="265"/>
      <c r="V356" s="266"/>
      <c r="W356" s="266"/>
      <c r="X356" s="267"/>
      <c r="Y356" s="268"/>
      <c r="Z356" s="268"/>
      <c r="AA356" s="259"/>
      <c r="AB356" s="260"/>
      <c r="AC356" s="260"/>
      <c r="AD356" s="261"/>
      <c r="AE356" s="262"/>
      <c r="AF356" s="262"/>
      <c r="AG356" s="269"/>
      <c r="AH356" s="270"/>
      <c r="AI356" s="271"/>
      <c r="AJ356" s="272"/>
    </row>
    <row r="357" spans="1:36" x14ac:dyDescent="0.25">
      <c r="A357" s="28" t="str">
        <f>IF(H357&lt;&gt;"",MAX($A$7:A356)+1,"")</f>
        <v/>
      </c>
      <c r="B357" s="243" t="str">
        <f t="shared" si="12"/>
        <v/>
      </c>
      <c r="C357" s="158" t="str">
        <f t="shared" si="13"/>
        <v/>
      </c>
      <c r="D357" s="246"/>
      <c r="E357" s="247"/>
      <c r="F357" s="258"/>
      <c r="G357" s="248"/>
      <c r="H357" s="241"/>
      <c r="I357" s="259"/>
      <c r="J357" s="260"/>
      <c r="K357" s="260"/>
      <c r="L357" s="261"/>
      <c r="M357" s="262"/>
      <c r="N357" s="262"/>
      <c r="O357" s="261"/>
      <c r="P357" s="262"/>
      <c r="Q357" s="262"/>
      <c r="R357" s="263"/>
      <c r="S357" s="264"/>
      <c r="T357" s="264"/>
      <c r="U357" s="265"/>
      <c r="V357" s="266"/>
      <c r="W357" s="266"/>
      <c r="X357" s="267"/>
      <c r="Y357" s="268"/>
      <c r="Z357" s="268"/>
      <c r="AA357" s="259"/>
      <c r="AB357" s="260"/>
      <c r="AC357" s="260"/>
      <c r="AD357" s="261"/>
      <c r="AE357" s="262"/>
      <c r="AF357" s="262"/>
      <c r="AG357" s="269"/>
      <c r="AH357" s="270"/>
      <c r="AI357" s="271"/>
      <c r="AJ357" s="272"/>
    </row>
    <row r="358" spans="1:36" x14ac:dyDescent="0.25">
      <c r="A358" s="28" t="str">
        <f>IF(H358&lt;&gt;"",MAX($A$7:A357)+1,"")</f>
        <v/>
      </c>
      <c r="B358" s="243" t="str">
        <f t="shared" si="12"/>
        <v/>
      </c>
      <c r="C358" s="158" t="str">
        <f t="shared" si="13"/>
        <v/>
      </c>
      <c r="D358" s="246"/>
      <c r="E358" s="247"/>
      <c r="F358" s="258"/>
      <c r="G358" s="248"/>
      <c r="H358" s="241"/>
      <c r="I358" s="259"/>
      <c r="J358" s="260"/>
      <c r="K358" s="260"/>
      <c r="L358" s="261"/>
      <c r="M358" s="262"/>
      <c r="N358" s="262"/>
      <c r="O358" s="261"/>
      <c r="P358" s="262"/>
      <c r="Q358" s="262"/>
      <c r="R358" s="263"/>
      <c r="S358" s="264"/>
      <c r="T358" s="264"/>
      <c r="U358" s="265"/>
      <c r="V358" s="266"/>
      <c r="W358" s="266"/>
      <c r="X358" s="267"/>
      <c r="Y358" s="268"/>
      <c r="Z358" s="268"/>
      <c r="AA358" s="259"/>
      <c r="AB358" s="260"/>
      <c r="AC358" s="260"/>
      <c r="AD358" s="261"/>
      <c r="AE358" s="262"/>
      <c r="AF358" s="262"/>
      <c r="AG358" s="269"/>
      <c r="AH358" s="270"/>
      <c r="AI358" s="271"/>
      <c r="AJ358" s="272"/>
    </row>
    <row r="359" spans="1:36" x14ac:dyDescent="0.25">
      <c r="A359" s="28" t="str">
        <f>IF(H359&lt;&gt;"",MAX($A$7:A358)+1,"")</f>
        <v/>
      </c>
      <c r="B359" s="243" t="str">
        <f t="shared" si="12"/>
        <v/>
      </c>
      <c r="C359" s="158" t="str">
        <f t="shared" si="13"/>
        <v/>
      </c>
      <c r="D359" s="246"/>
      <c r="E359" s="247"/>
      <c r="F359" s="258"/>
      <c r="G359" s="248"/>
      <c r="H359" s="241"/>
      <c r="I359" s="259"/>
      <c r="J359" s="260"/>
      <c r="K359" s="260"/>
      <c r="L359" s="261"/>
      <c r="M359" s="262"/>
      <c r="N359" s="262"/>
      <c r="O359" s="261"/>
      <c r="P359" s="262"/>
      <c r="Q359" s="262"/>
      <c r="R359" s="263"/>
      <c r="S359" s="264"/>
      <c r="T359" s="264"/>
      <c r="U359" s="265"/>
      <c r="V359" s="266"/>
      <c r="W359" s="266"/>
      <c r="X359" s="267"/>
      <c r="Y359" s="268"/>
      <c r="Z359" s="268"/>
      <c r="AA359" s="259"/>
      <c r="AB359" s="260"/>
      <c r="AC359" s="260"/>
      <c r="AD359" s="261"/>
      <c r="AE359" s="262"/>
      <c r="AF359" s="262"/>
      <c r="AG359" s="269"/>
      <c r="AH359" s="270"/>
      <c r="AI359" s="271"/>
      <c r="AJ359" s="272"/>
    </row>
    <row r="360" spans="1:36" x14ac:dyDescent="0.25">
      <c r="A360" s="28" t="str">
        <f>IF(H360&lt;&gt;"",MAX($A$7:A359)+1,"")</f>
        <v/>
      </c>
      <c r="B360" s="243" t="str">
        <f t="shared" si="12"/>
        <v/>
      </c>
      <c r="C360" s="158" t="str">
        <f t="shared" si="13"/>
        <v/>
      </c>
      <c r="D360" s="246"/>
      <c r="E360" s="247"/>
      <c r="F360" s="258"/>
      <c r="G360" s="248"/>
      <c r="H360" s="241"/>
      <c r="I360" s="259"/>
      <c r="J360" s="260"/>
      <c r="K360" s="260"/>
      <c r="L360" s="261"/>
      <c r="M360" s="262"/>
      <c r="N360" s="262"/>
      <c r="O360" s="261"/>
      <c r="P360" s="262"/>
      <c r="Q360" s="262"/>
      <c r="R360" s="263"/>
      <c r="S360" s="264"/>
      <c r="T360" s="264"/>
      <c r="U360" s="265"/>
      <c r="V360" s="266"/>
      <c r="W360" s="266"/>
      <c r="X360" s="267"/>
      <c r="Y360" s="268"/>
      <c r="Z360" s="268"/>
      <c r="AA360" s="259"/>
      <c r="AB360" s="260"/>
      <c r="AC360" s="260"/>
      <c r="AD360" s="261"/>
      <c r="AE360" s="262"/>
      <c r="AF360" s="262"/>
      <c r="AG360" s="269"/>
      <c r="AH360" s="270"/>
      <c r="AI360" s="271"/>
      <c r="AJ360" s="272"/>
    </row>
    <row r="361" spans="1:36" x14ac:dyDescent="0.25">
      <c r="A361" s="28" t="str">
        <f>IF(H361&lt;&gt;"",MAX($A$7:A360)+1,"")</f>
        <v/>
      </c>
      <c r="B361" s="243" t="str">
        <f t="shared" si="12"/>
        <v/>
      </c>
      <c r="C361" s="158" t="str">
        <f t="shared" si="13"/>
        <v/>
      </c>
      <c r="D361" s="246"/>
      <c r="E361" s="247"/>
      <c r="F361" s="258"/>
      <c r="G361" s="248"/>
      <c r="H361" s="241"/>
      <c r="I361" s="259"/>
      <c r="J361" s="260"/>
      <c r="K361" s="260"/>
      <c r="L361" s="261"/>
      <c r="M361" s="262"/>
      <c r="N361" s="262"/>
      <c r="O361" s="261"/>
      <c r="P361" s="262"/>
      <c r="Q361" s="262"/>
      <c r="R361" s="263"/>
      <c r="S361" s="264"/>
      <c r="T361" s="264"/>
      <c r="U361" s="265"/>
      <c r="V361" s="266"/>
      <c r="W361" s="266"/>
      <c r="X361" s="267"/>
      <c r="Y361" s="268"/>
      <c r="Z361" s="268"/>
      <c r="AA361" s="259"/>
      <c r="AB361" s="260"/>
      <c r="AC361" s="260"/>
      <c r="AD361" s="261"/>
      <c r="AE361" s="262"/>
      <c r="AF361" s="262"/>
      <c r="AG361" s="269"/>
      <c r="AH361" s="270"/>
      <c r="AI361" s="271"/>
      <c r="AJ361" s="272"/>
    </row>
    <row r="362" spans="1:36" x14ac:dyDescent="0.25">
      <c r="A362" s="28" t="str">
        <f>IF(H362&lt;&gt;"",MAX($A$7:A361)+1,"")</f>
        <v/>
      </c>
      <c r="B362" s="243" t="str">
        <f t="shared" si="12"/>
        <v/>
      </c>
      <c r="C362" s="158" t="str">
        <f t="shared" si="13"/>
        <v/>
      </c>
      <c r="D362" s="246"/>
      <c r="E362" s="247"/>
      <c r="F362" s="258"/>
      <c r="G362" s="248"/>
      <c r="H362" s="241"/>
      <c r="I362" s="259"/>
      <c r="J362" s="260"/>
      <c r="K362" s="260"/>
      <c r="L362" s="261"/>
      <c r="M362" s="262"/>
      <c r="N362" s="262"/>
      <c r="O362" s="261"/>
      <c r="P362" s="262"/>
      <c r="Q362" s="262"/>
      <c r="R362" s="263"/>
      <c r="S362" s="264"/>
      <c r="T362" s="264"/>
      <c r="U362" s="265"/>
      <c r="V362" s="266"/>
      <c r="W362" s="266"/>
      <c r="X362" s="267"/>
      <c r="Y362" s="268"/>
      <c r="Z362" s="268"/>
      <c r="AA362" s="259"/>
      <c r="AB362" s="260"/>
      <c r="AC362" s="260"/>
      <c r="AD362" s="261"/>
      <c r="AE362" s="262"/>
      <c r="AF362" s="262"/>
      <c r="AG362" s="269"/>
      <c r="AH362" s="270"/>
      <c r="AI362" s="271"/>
      <c r="AJ362" s="272"/>
    </row>
    <row r="363" spans="1:36" x14ac:dyDescent="0.25">
      <c r="A363" s="28" t="str">
        <f>IF(H363&lt;&gt;"",MAX($A$7:A362)+1,"")</f>
        <v/>
      </c>
      <c r="B363" s="243" t="str">
        <f t="shared" si="12"/>
        <v/>
      </c>
      <c r="C363" s="158" t="str">
        <f t="shared" si="13"/>
        <v/>
      </c>
      <c r="D363" s="246"/>
      <c r="E363" s="247"/>
      <c r="F363" s="258"/>
      <c r="G363" s="248"/>
      <c r="H363" s="241"/>
      <c r="I363" s="259"/>
      <c r="J363" s="260"/>
      <c r="K363" s="260"/>
      <c r="L363" s="261"/>
      <c r="M363" s="262"/>
      <c r="N363" s="262"/>
      <c r="O363" s="261"/>
      <c r="P363" s="262"/>
      <c r="Q363" s="262"/>
      <c r="R363" s="263"/>
      <c r="S363" s="264"/>
      <c r="T363" s="264"/>
      <c r="U363" s="265"/>
      <c r="V363" s="266"/>
      <c r="W363" s="266"/>
      <c r="X363" s="267"/>
      <c r="Y363" s="268"/>
      <c r="Z363" s="268"/>
      <c r="AA363" s="259"/>
      <c r="AB363" s="260"/>
      <c r="AC363" s="260"/>
      <c r="AD363" s="261"/>
      <c r="AE363" s="262"/>
      <c r="AF363" s="262"/>
      <c r="AG363" s="269"/>
      <c r="AH363" s="270"/>
      <c r="AI363" s="271"/>
      <c r="AJ363" s="272"/>
    </row>
    <row r="364" spans="1:36" x14ac:dyDescent="0.25">
      <c r="A364" s="28" t="str">
        <f>IF(H364&lt;&gt;"",MAX($A$7:A363)+1,"")</f>
        <v/>
      </c>
      <c r="B364" s="243" t="str">
        <f t="shared" si="12"/>
        <v/>
      </c>
      <c r="C364" s="158" t="str">
        <f t="shared" si="13"/>
        <v/>
      </c>
      <c r="D364" s="246"/>
      <c r="E364" s="247"/>
      <c r="F364" s="258"/>
      <c r="G364" s="248"/>
      <c r="H364" s="241"/>
      <c r="I364" s="259"/>
      <c r="J364" s="260"/>
      <c r="K364" s="260"/>
      <c r="L364" s="261"/>
      <c r="M364" s="262"/>
      <c r="N364" s="262"/>
      <c r="O364" s="261"/>
      <c r="P364" s="262"/>
      <c r="Q364" s="262"/>
      <c r="R364" s="263"/>
      <c r="S364" s="264"/>
      <c r="T364" s="264"/>
      <c r="U364" s="265"/>
      <c r="V364" s="266"/>
      <c r="W364" s="266"/>
      <c r="X364" s="267"/>
      <c r="Y364" s="268"/>
      <c r="Z364" s="268"/>
      <c r="AA364" s="259"/>
      <c r="AB364" s="260"/>
      <c r="AC364" s="260"/>
      <c r="AD364" s="261"/>
      <c r="AE364" s="262"/>
      <c r="AF364" s="262"/>
      <c r="AG364" s="269"/>
      <c r="AH364" s="270"/>
      <c r="AI364" s="271"/>
      <c r="AJ364" s="272"/>
    </row>
    <row r="365" spans="1:36" x14ac:dyDescent="0.25">
      <c r="A365" s="28" t="str">
        <f>IF(H365&lt;&gt;"",MAX($A$7:A364)+1,"")</f>
        <v/>
      </c>
      <c r="B365" s="243" t="str">
        <f t="shared" si="12"/>
        <v/>
      </c>
      <c r="C365" s="158" t="str">
        <f t="shared" si="13"/>
        <v/>
      </c>
      <c r="D365" s="246"/>
      <c r="E365" s="247"/>
      <c r="F365" s="258"/>
      <c r="G365" s="248"/>
      <c r="H365" s="241"/>
      <c r="I365" s="259"/>
      <c r="J365" s="260"/>
      <c r="K365" s="260"/>
      <c r="L365" s="261"/>
      <c r="M365" s="262"/>
      <c r="N365" s="262"/>
      <c r="O365" s="261"/>
      <c r="P365" s="262"/>
      <c r="Q365" s="262"/>
      <c r="R365" s="263"/>
      <c r="S365" s="264"/>
      <c r="T365" s="264"/>
      <c r="U365" s="265"/>
      <c r="V365" s="266"/>
      <c r="W365" s="266"/>
      <c r="X365" s="267"/>
      <c r="Y365" s="268"/>
      <c r="Z365" s="268"/>
      <c r="AA365" s="259"/>
      <c r="AB365" s="260"/>
      <c r="AC365" s="260"/>
      <c r="AD365" s="261"/>
      <c r="AE365" s="262"/>
      <c r="AF365" s="262"/>
      <c r="AG365" s="269"/>
      <c r="AH365" s="270"/>
      <c r="AI365" s="271"/>
      <c r="AJ365" s="272"/>
    </row>
    <row r="366" spans="1:36" x14ac:dyDescent="0.25">
      <c r="A366" s="28" t="str">
        <f>IF(H366&lt;&gt;"",MAX($A$7:A365)+1,"")</f>
        <v/>
      </c>
      <c r="B366" s="243" t="str">
        <f t="shared" si="12"/>
        <v/>
      </c>
      <c r="C366" s="158" t="str">
        <f t="shared" si="13"/>
        <v/>
      </c>
      <c r="D366" s="246"/>
      <c r="E366" s="247"/>
      <c r="F366" s="258"/>
      <c r="G366" s="248"/>
      <c r="H366" s="241"/>
      <c r="I366" s="259"/>
      <c r="J366" s="260"/>
      <c r="K366" s="260"/>
      <c r="L366" s="261"/>
      <c r="M366" s="262"/>
      <c r="N366" s="262"/>
      <c r="O366" s="261"/>
      <c r="P366" s="262"/>
      <c r="Q366" s="262"/>
      <c r="R366" s="263"/>
      <c r="S366" s="264"/>
      <c r="T366" s="264"/>
      <c r="U366" s="265"/>
      <c r="V366" s="266"/>
      <c r="W366" s="266"/>
      <c r="X366" s="267"/>
      <c r="Y366" s="268"/>
      <c r="Z366" s="268"/>
      <c r="AA366" s="259"/>
      <c r="AB366" s="260"/>
      <c r="AC366" s="260"/>
      <c r="AD366" s="261"/>
      <c r="AE366" s="262"/>
      <c r="AF366" s="262"/>
      <c r="AG366" s="269"/>
      <c r="AH366" s="270"/>
      <c r="AI366" s="271"/>
      <c r="AJ366" s="272"/>
    </row>
    <row r="367" spans="1:36" x14ac:dyDescent="0.25">
      <c r="A367" s="28" t="str">
        <f>IF(H367&lt;&gt;"",MAX($A$7:A366)+1,"")</f>
        <v/>
      </c>
      <c r="B367" s="243" t="str">
        <f t="shared" si="12"/>
        <v/>
      </c>
      <c r="C367" s="158" t="str">
        <f t="shared" si="13"/>
        <v/>
      </c>
      <c r="D367" s="246"/>
      <c r="E367" s="247"/>
      <c r="F367" s="258"/>
      <c r="G367" s="248"/>
      <c r="H367" s="241"/>
      <c r="I367" s="259"/>
      <c r="J367" s="260"/>
      <c r="K367" s="260"/>
      <c r="L367" s="261"/>
      <c r="M367" s="262"/>
      <c r="N367" s="262"/>
      <c r="O367" s="261"/>
      <c r="P367" s="262"/>
      <c r="Q367" s="262"/>
      <c r="R367" s="263"/>
      <c r="S367" s="264"/>
      <c r="T367" s="264"/>
      <c r="U367" s="265"/>
      <c r="V367" s="266"/>
      <c r="W367" s="266"/>
      <c r="X367" s="267"/>
      <c r="Y367" s="268"/>
      <c r="Z367" s="268"/>
      <c r="AA367" s="259"/>
      <c r="AB367" s="260"/>
      <c r="AC367" s="260"/>
      <c r="AD367" s="261"/>
      <c r="AE367" s="262"/>
      <c r="AF367" s="262"/>
      <c r="AG367" s="269"/>
      <c r="AH367" s="270"/>
      <c r="AI367" s="271"/>
      <c r="AJ367" s="272"/>
    </row>
    <row r="368" spans="1:36" x14ac:dyDescent="0.25">
      <c r="A368" s="28" t="str">
        <f>IF(H368&lt;&gt;"",MAX($A$7:A367)+1,"")</f>
        <v/>
      </c>
      <c r="B368" s="243" t="str">
        <f t="shared" si="12"/>
        <v/>
      </c>
      <c r="C368" s="158" t="str">
        <f t="shared" si="13"/>
        <v/>
      </c>
      <c r="D368" s="246"/>
      <c r="E368" s="247"/>
      <c r="F368" s="258"/>
      <c r="G368" s="248"/>
      <c r="H368" s="241"/>
      <c r="I368" s="259"/>
      <c r="J368" s="260"/>
      <c r="K368" s="260"/>
      <c r="L368" s="261"/>
      <c r="M368" s="262"/>
      <c r="N368" s="262"/>
      <c r="O368" s="261"/>
      <c r="P368" s="262"/>
      <c r="Q368" s="262"/>
      <c r="R368" s="263"/>
      <c r="S368" s="264"/>
      <c r="T368" s="264"/>
      <c r="U368" s="265"/>
      <c r="V368" s="266"/>
      <c r="W368" s="266"/>
      <c r="X368" s="267"/>
      <c r="Y368" s="268"/>
      <c r="Z368" s="268"/>
      <c r="AA368" s="259"/>
      <c r="AB368" s="260"/>
      <c r="AC368" s="260"/>
      <c r="AD368" s="261"/>
      <c r="AE368" s="262"/>
      <c r="AF368" s="262"/>
      <c r="AG368" s="269"/>
      <c r="AH368" s="270"/>
      <c r="AI368" s="271"/>
      <c r="AJ368" s="272"/>
    </row>
    <row r="369" spans="1:36" x14ac:dyDescent="0.25">
      <c r="A369" s="28" t="str">
        <f>IF(H369&lt;&gt;"",MAX($A$7:A368)+1,"")</f>
        <v/>
      </c>
      <c r="B369" s="243" t="str">
        <f t="shared" si="12"/>
        <v/>
      </c>
      <c r="C369" s="158" t="str">
        <f t="shared" si="13"/>
        <v/>
      </c>
      <c r="D369" s="246"/>
      <c r="E369" s="247"/>
      <c r="F369" s="258"/>
      <c r="G369" s="248"/>
      <c r="H369" s="241"/>
      <c r="I369" s="259"/>
      <c r="J369" s="260"/>
      <c r="K369" s="260"/>
      <c r="L369" s="261"/>
      <c r="M369" s="262"/>
      <c r="N369" s="262"/>
      <c r="O369" s="261"/>
      <c r="P369" s="262"/>
      <c r="Q369" s="262"/>
      <c r="R369" s="263"/>
      <c r="S369" s="264"/>
      <c r="T369" s="264"/>
      <c r="U369" s="265"/>
      <c r="V369" s="266"/>
      <c r="W369" s="266"/>
      <c r="X369" s="267"/>
      <c r="Y369" s="268"/>
      <c r="Z369" s="268"/>
      <c r="AA369" s="259"/>
      <c r="AB369" s="260"/>
      <c r="AC369" s="260"/>
      <c r="AD369" s="261"/>
      <c r="AE369" s="262"/>
      <c r="AF369" s="262"/>
      <c r="AG369" s="269"/>
      <c r="AH369" s="270"/>
      <c r="AI369" s="271"/>
      <c r="AJ369" s="272"/>
    </row>
    <row r="370" spans="1:36" x14ac:dyDescent="0.25">
      <c r="A370" s="28" t="str">
        <f>IF(H370&lt;&gt;"",MAX($A$7:A369)+1,"")</f>
        <v/>
      </c>
      <c r="B370" s="243" t="str">
        <f t="shared" si="12"/>
        <v/>
      </c>
      <c r="C370" s="158" t="str">
        <f t="shared" si="13"/>
        <v/>
      </c>
      <c r="D370" s="246"/>
      <c r="E370" s="247"/>
      <c r="F370" s="258"/>
      <c r="G370" s="248"/>
      <c r="H370" s="241"/>
      <c r="I370" s="259"/>
      <c r="J370" s="260"/>
      <c r="K370" s="260"/>
      <c r="L370" s="261"/>
      <c r="M370" s="262"/>
      <c r="N370" s="262"/>
      <c r="O370" s="261"/>
      <c r="P370" s="262"/>
      <c r="Q370" s="262"/>
      <c r="R370" s="263"/>
      <c r="S370" s="264"/>
      <c r="T370" s="264"/>
      <c r="U370" s="265"/>
      <c r="V370" s="266"/>
      <c r="W370" s="266"/>
      <c r="X370" s="267"/>
      <c r="Y370" s="268"/>
      <c r="Z370" s="268"/>
      <c r="AA370" s="259"/>
      <c r="AB370" s="260"/>
      <c r="AC370" s="260"/>
      <c r="AD370" s="261"/>
      <c r="AE370" s="262"/>
      <c r="AF370" s="262"/>
      <c r="AG370" s="269"/>
      <c r="AH370" s="270"/>
      <c r="AI370" s="271"/>
      <c r="AJ370" s="272"/>
    </row>
    <row r="371" spans="1:36" x14ac:dyDescent="0.25">
      <c r="A371" s="28" t="str">
        <f>IF(H371&lt;&gt;"",MAX($A$7:A370)+1,"")</f>
        <v/>
      </c>
      <c r="B371" s="243" t="str">
        <f t="shared" si="12"/>
        <v/>
      </c>
      <c r="C371" s="158" t="str">
        <f t="shared" si="13"/>
        <v/>
      </c>
      <c r="D371" s="246"/>
      <c r="E371" s="247"/>
      <c r="F371" s="258"/>
      <c r="G371" s="248"/>
      <c r="H371" s="241"/>
      <c r="I371" s="259"/>
      <c r="J371" s="260"/>
      <c r="K371" s="260"/>
      <c r="L371" s="261"/>
      <c r="M371" s="262"/>
      <c r="N371" s="262"/>
      <c r="O371" s="261"/>
      <c r="P371" s="262"/>
      <c r="Q371" s="262"/>
      <c r="R371" s="263"/>
      <c r="S371" s="264"/>
      <c r="T371" s="264"/>
      <c r="U371" s="265"/>
      <c r="V371" s="266"/>
      <c r="W371" s="266"/>
      <c r="X371" s="267"/>
      <c r="Y371" s="268"/>
      <c r="Z371" s="268"/>
      <c r="AA371" s="259"/>
      <c r="AB371" s="260"/>
      <c r="AC371" s="260"/>
      <c r="AD371" s="261"/>
      <c r="AE371" s="262"/>
      <c r="AF371" s="262"/>
      <c r="AG371" s="269"/>
      <c r="AH371" s="270"/>
      <c r="AI371" s="271"/>
      <c r="AJ371" s="272"/>
    </row>
    <row r="372" spans="1:36" x14ac:dyDescent="0.25">
      <c r="A372" s="28" t="str">
        <f>IF(H372&lt;&gt;"",MAX($A$7:A371)+1,"")</f>
        <v/>
      </c>
      <c r="B372" s="243" t="str">
        <f t="shared" si="12"/>
        <v/>
      </c>
      <c r="C372" s="158" t="str">
        <f t="shared" si="13"/>
        <v/>
      </c>
      <c r="D372" s="246"/>
      <c r="E372" s="247"/>
      <c r="F372" s="258"/>
      <c r="G372" s="248"/>
      <c r="H372" s="241"/>
      <c r="I372" s="259"/>
      <c r="J372" s="260"/>
      <c r="K372" s="260"/>
      <c r="L372" s="261"/>
      <c r="M372" s="262"/>
      <c r="N372" s="262"/>
      <c r="O372" s="261"/>
      <c r="P372" s="262"/>
      <c r="Q372" s="262"/>
      <c r="R372" s="263"/>
      <c r="S372" s="264"/>
      <c r="T372" s="264"/>
      <c r="U372" s="265"/>
      <c r="V372" s="266"/>
      <c r="W372" s="266"/>
      <c r="X372" s="267"/>
      <c r="Y372" s="268"/>
      <c r="Z372" s="268"/>
      <c r="AA372" s="259"/>
      <c r="AB372" s="260"/>
      <c r="AC372" s="260"/>
      <c r="AD372" s="261"/>
      <c r="AE372" s="262"/>
      <c r="AF372" s="262"/>
      <c r="AG372" s="269"/>
      <c r="AH372" s="270"/>
      <c r="AI372" s="271"/>
      <c r="AJ372" s="272"/>
    </row>
    <row r="373" spans="1:36" x14ac:dyDescent="0.25">
      <c r="A373" s="28" t="str">
        <f>IF(H373&lt;&gt;"",MAX($A$7:A372)+1,"")</f>
        <v/>
      </c>
      <c r="B373" s="243" t="str">
        <f t="shared" si="12"/>
        <v/>
      </c>
      <c r="C373" s="158" t="str">
        <f t="shared" si="13"/>
        <v/>
      </c>
      <c r="D373" s="246"/>
      <c r="E373" s="247"/>
      <c r="F373" s="258"/>
      <c r="G373" s="248"/>
      <c r="H373" s="241"/>
      <c r="I373" s="259"/>
      <c r="J373" s="260"/>
      <c r="K373" s="260"/>
      <c r="L373" s="261"/>
      <c r="M373" s="262"/>
      <c r="N373" s="262"/>
      <c r="O373" s="261"/>
      <c r="P373" s="262"/>
      <c r="Q373" s="262"/>
      <c r="R373" s="263"/>
      <c r="S373" s="264"/>
      <c r="T373" s="264"/>
      <c r="U373" s="265"/>
      <c r="V373" s="266"/>
      <c r="W373" s="266"/>
      <c r="X373" s="267"/>
      <c r="Y373" s="268"/>
      <c r="Z373" s="268"/>
      <c r="AA373" s="259"/>
      <c r="AB373" s="260"/>
      <c r="AC373" s="260"/>
      <c r="AD373" s="261"/>
      <c r="AE373" s="262"/>
      <c r="AF373" s="262"/>
      <c r="AG373" s="269"/>
      <c r="AH373" s="270"/>
      <c r="AI373" s="271"/>
      <c r="AJ373" s="272"/>
    </row>
    <row r="374" spans="1:36" x14ac:dyDescent="0.25">
      <c r="A374" s="28" t="str">
        <f>IF(H374&lt;&gt;"",MAX($A$7:A373)+1,"")</f>
        <v/>
      </c>
      <c r="B374" s="243" t="str">
        <f t="shared" si="12"/>
        <v/>
      </c>
      <c r="C374" s="158" t="str">
        <f t="shared" si="13"/>
        <v/>
      </c>
      <c r="D374" s="246"/>
      <c r="E374" s="247"/>
      <c r="F374" s="258"/>
      <c r="G374" s="248"/>
      <c r="H374" s="241"/>
      <c r="I374" s="259"/>
      <c r="J374" s="260"/>
      <c r="K374" s="260"/>
      <c r="L374" s="261"/>
      <c r="M374" s="262"/>
      <c r="N374" s="262"/>
      <c r="O374" s="261"/>
      <c r="P374" s="262"/>
      <c r="Q374" s="262"/>
      <c r="R374" s="263"/>
      <c r="S374" s="264"/>
      <c r="T374" s="264"/>
      <c r="U374" s="265"/>
      <c r="V374" s="266"/>
      <c r="W374" s="266"/>
      <c r="X374" s="267"/>
      <c r="Y374" s="268"/>
      <c r="Z374" s="268"/>
      <c r="AA374" s="259"/>
      <c r="AB374" s="260"/>
      <c r="AC374" s="260"/>
      <c r="AD374" s="261"/>
      <c r="AE374" s="262"/>
      <c r="AF374" s="262"/>
      <c r="AG374" s="269"/>
      <c r="AH374" s="270"/>
      <c r="AI374" s="271"/>
      <c r="AJ374" s="272"/>
    </row>
    <row r="375" spans="1:36" x14ac:dyDescent="0.25">
      <c r="A375" s="28" t="str">
        <f>IF(H375&lt;&gt;"",MAX($A$7:A374)+1,"")</f>
        <v/>
      </c>
      <c r="B375" s="243" t="str">
        <f t="shared" si="12"/>
        <v/>
      </c>
      <c r="C375" s="158" t="str">
        <f t="shared" si="13"/>
        <v/>
      </c>
      <c r="D375" s="246"/>
      <c r="E375" s="247"/>
      <c r="F375" s="258"/>
      <c r="G375" s="248"/>
      <c r="H375" s="241"/>
      <c r="I375" s="259"/>
      <c r="J375" s="260"/>
      <c r="K375" s="260"/>
      <c r="L375" s="261"/>
      <c r="M375" s="262"/>
      <c r="N375" s="262"/>
      <c r="O375" s="261"/>
      <c r="P375" s="262"/>
      <c r="Q375" s="262"/>
      <c r="R375" s="263"/>
      <c r="S375" s="264"/>
      <c r="T375" s="264"/>
      <c r="U375" s="265"/>
      <c r="V375" s="266"/>
      <c r="W375" s="266"/>
      <c r="X375" s="267"/>
      <c r="Y375" s="268"/>
      <c r="Z375" s="268"/>
      <c r="AA375" s="259"/>
      <c r="AB375" s="260"/>
      <c r="AC375" s="260"/>
      <c r="AD375" s="261"/>
      <c r="AE375" s="262"/>
      <c r="AF375" s="262"/>
      <c r="AG375" s="269"/>
      <c r="AH375" s="270"/>
      <c r="AI375" s="271"/>
      <c r="AJ375" s="272"/>
    </row>
    <row r="376" spans="1:36" x14ac:dyDescent="0.25">
      <c r="A376" s="28" t="str">
        <f>IF(H376&lt;&gt;"",MAX($A$7:A375)+1,"")</f>
        <v/>
      </c>
      <c r="B376" s="243" t="str">
        <f t="shared" si="12"/>
        <v/>
      </c>
      <c r="C376" s="158" t="str">
        <f t="shared" si="13"/>
        <v/>
      </c>
      <c r="D376" s="246"/>
      <c r="E376" s="247"/>
      <c r="F376" s="258"/>
      <c r="G376" s="248"/>
      <c r="H376" s="241"/>
      <c r="I376" s="259"/>
      <c r="J376" s="260"/>
      <c r="K376" s="260"/>
      <c r="L376" s="261"/>
      <c r="M376" s="262"/>
      <c r="N376" s="262"/>
      <c r="O376" s="261"/>
      <c r="P376" s="262"/>
      <c r="Q376" s="262"/>
      <c r="R376" s="263"/>
      <c r="S376" s="264"/>
      <c r="T376" s="264"/>
      <c r="U376" s="265"/>
      <c r="V376" s="266"/>
      <c r="W376" s="266"/>
      <c r="X376" s="267"/>
      <c r="Y376" s="268"/>
      <c r="Z376" s="268"/>
      <c r="AA376" s="259"/>
      <c r="AB376" s="260"/>
      <c r="AC376" s="260"/>
      <c r="AD376" s="261"/>
      <c r="AE376" s="262"/>
      <c r="AF376" s="262"/>
      <c r="AG376" s="269"/>
      <c r="AH376" s="270"/>
      <c r="AI376" s="271"/>
      <c r="AJ376" s="272"/>
    </row>
    <row r="377" spans="1:36" x14ac:dyDescent="0.25">
      <c r="A377" s="28" t="str">
        <f>IF(H377&lt;&gt;"",MAX($A$7:A376)+1,"")</f>
        <v/>
      </c>
      <c r="B377" s="243" t="str">
        <f t="shared" si="12"/>
        <v/>
      </c>
      <c r="C377" s="158" t="str">
        <f t="shared" si="13"/>
        <v/>
      </c>
      <c r="D377" s="246"/>
      <c r="E377" s="247"/>
      <c r="F377" s="258"/>
      <c r="G377" s="248"/>
      <c r="H377" s="241"/>
      <c r="I377" s="259"/>
      <c r="J377" s="260"/>
      <c r="K377" s="260"/>
      <c r="L377" s="261"/>
      <c r="M377" s="262"/>
      <c r="N377" s="262"/>
      <c r="O377" s="261"/>
      <c r="P377" s="262"/>
      <c r="Q377" s="262"/>
      <c r="R377" s="263"/>
      <c r="S377" s="264"/>
      <c r="T377" s="264"/>
      <c r="U377" s="265"/>
      <c r="V377" s="266"/>
      <c r="W377" s="266"/>
      <c r="X377" s="267"/>
      <c r="Y377" s="268"/>
      <c r="Z377" s="268"/>
      <c r="AA377" s="259"/>
      <c r="AB377" s="260"/>
      <c r="AC377" s="260"/>
      <c r="AD377" s="261"/>
      <c r="AE377" s="262"/>
      <c r="AF377" s="262"/>
      <c r="AG377" s="269"/>
      <c r="AH377" s="270"/>
      <c r="AI377" s="271"/>
      <c r="AJ377" s="272"/>
    </row>
    <row r="378" spans="1:36" x14ac:dyDescent="0.25">
      <c r="A378" s="28" t="str">
        <f>IF(H378&lt;&gt;"",MAX($A$7:A377)+1,"")</f>
        <v/>
      </c>
      <c r="B378" s="243" t="str">
        <f t="shared" si="12"/>
        <v/>
      </c>
      <c r="C378" s="158" t="str">
        <f t="shared" si="13"/>
        <v/>
      </c>
      <c r="D378" s="246"/>
      <c r="E378" s="247"/>
      <c r="F378" s="258"/>
      <c r="G378" s="248"/>
      <c r="H378" s="241"/>
      <c r="I378" s="259"/>
      <c r="J378" s="260"/>
      <c r="K378" s="260"/>
      <c r="L378" s="261"/>
      <c r="M378" s="262"/>
      <c r="N378" s="262"/>
      <c r="O378" s="261"/>
      <c r="P378" s="262"/>
      <c r="Q378" s="262"/>
      <c r="R378" s="263"/>
      <c r="S378" s="264"/>
      <c r="T378" s="264"/>
      <c r="U378" s="265"/>
      <c r="V378" s="266"/>
      <c r="W378" s="266"/>
      <c r="X378" s="267"/>
      <c r="Y378" s="268"/>
      <c r="Z378" s="268"/>
      <c r="AA378" s="259"/>
      <c r="AB378" s="260"/>
      <c r="AC378" s="260"/>
      <c r="AD378" s="261"/>
      <c r="AE378" s="262"/>
      <c r="AF378" s="262"/>
      <c r="AG378" s="269"/>
      <c r="AH378" s="270"/>
      <c r="AI378" s="271"/>
      <c r="AJ378" s="272"/>
    </row>
    <row r="379" spans="1:36" x14ac:dyDescent="0.25">
      <c r="A379" s="28" t="str">
        <f>IF(H379&lt;&gt;"",MAX($A$7:A378)+1,"")</f>
        <v/>
      </c>
      <c r="B379" s="243" t="str">
        <f t="shared" si="12"/>
        <v/>
      </c>
      <c r="C379" s="158" t="str">
        <f t="shared" si="13"/>
        <v/>
      </c>
      <c r="D379" s="246"/>
      <c r="E379" s="247"/>
      <c r="F379" s="258"/>
      <c r="G379" s="248"/>
      <c r="H379" s="241"/>
      <c r="I379" s="259"/>
      <c r="J379" s="260"/>
      <c r="K379" s="260"/>
      <c r="L379" s="261"/>
      <c r="M379" s="262"/>
      <c r="N379" s="262"/>
      <c r="O379" s="261"/>
      <c r="P379" s="262"/>
      <c r="Q379" s="262"/>
      <c r="R379" s="263"/>
      <c r="S379" s="264"/>
      <c r="T379" s="264"/>
      <c r="U379" s="265"/>
      <c r="V379" s="266"/>
      <c r="W379" s="266"/>
      <c r="X379" s="267"/>
      <c r="Y379" s="268"/>
      <c r="Z379" s="268"/>
      <c r="AA379" s="259"/>
      <c r="AB379" s="260"/>
      <c r="AC379" s="260"/>
      <c r="AD379" s="261"/>
      <c r="AE379" s="262"/>
      <c r="AF379" s="262"/>
      <c r="AG379" s="269"/>
      <c r="AH379" s="270"/>
      <c r="AI379" s="271"/>
      <c r="AJ379" s="272"/>
    </row>
    <row r="380" spans="1:36" x14ac:dyDescent="0.25">
      <c r="A380" s="28" t="str">
        <f>IF(H380&lt;&gt;"",MAX($A$7:A379)+1,"")</f>
        <v/>
      </c>
      <c r="B380" s="243" t="str">
        <f t="shared" si="12"/>
        <v/>
      </c>
      <c r="C380" s="158" t="str">
        <f t="shared" si="13"/>
        <v/>
      </c>
      <c r="D380" s="246"/>
      <c r="E380" s="247"/>
      <c r="F380" s="258"/>
      <c r="G380" s="248"/>
      <c r="H380" s="241"/>
      <c r="I380" s="259"/>
      <c r="J380" s="260"/>
      <c r="K380" s="260"/>
      <c r="L380" s="261"/>
      <c r="M380" s="262"/>
      <c r="N380" s="262"/>
      <c r="O380" s="261"/>
      <c r="P380" s="262"/>
      <c r="Q380" s="262"/>
      <c r="R380" s="263"/>
      <c r="S380" s="264"/>
      <c r="T380" s="264"/>
      <c r="U380" s="265"/>
      <c r="V380" s="266"/>
      <c r="W380" s="266"/>
      <c r="X380" s="267"/>
      <c r="Y380" s="268"/>
      <c r="Z380" s="268"/>
      <c r="AA380" s="259"/>
      <c r="AB380" s="260"/>
      <c r="AC380" s="260"/>
      <c r="AD380" s="261"/>
      <c r="AE380" s="262"/>
      <c r="AF380" s="262"/>
      <c r="AG380" s="269"/>
      <c r="AH380" s="270"/>
      <c r="AI380" s="271"/>
      <c r="AJ380" s="272"/>
    </row>
    <row r="381" spans="1:36" x14ac:dyDescent="0.25">
      <c r="A381" s="28" t="str">
        <f>IF(H381&lt;&gt;"",MAX($A$7:A380)+1,"")</f>
        <v/>
      </c>
      <c r="B381" s="243" t="str">
        <f t="shared" si="12"/>
        <v/>
      </c>
      <c r="C381" s="158" t="str">
        <f t="shared" si="13"/>
        <v/>
      </c>
      <c r="D381" s="246"/>
      <c r="E381" s="247"/>
      <c r="F381" s="258"/>
      <c r="G381" s="248"/>
      <c r="H381" s="241"/>
      <c r="I381" s="259"/>
      <c r="J381" s="260"/>
      <c r="K381" s="260"/>
      <c r="L381" s="261"/>
      <c r="M381" s="262"/>
      <c r="N381" s="262"/>
      <c r="O381" s="261"/>
      <c r="P381" s="262"/>
      <c r="Q381" s="262"/>
      <c r="R381" s="263"/>
      <c r="S381" s="264"/>
      <c r="T381" s="264"/>
      <c r="U381" s="265"/>
      <c r="V381" s="266"/>
      <c r="W381" s="266"/>
      <c r="X381" s="267"/>
      <c r="Y381" s="268"/>
      <c r="Z381" s="268"/>
      <c r="AA381" s="259"/>
      <c r="AB381" s="260"/>
      <c r="AC381" s="260"/>
      <c r="AD381" s="261"/>
      <c r="AE381" s="262"/>
      <c r="AF381" s="262"/>
      <c r="AG381" s="269"/>
      <c r="AH381" s="270"/>
      <c r="AI381" s="271"/>
      <c r="AJ381" s="272"/>
    </row>
    <row r="382" spans="1:36" x14ac:dyDescent="0.25">
      <c r="A382" s="28" t="str">
        <f>IF(H382&lt;&gt;"",MAX($A$7:A381)+1,"")</f>
        <v/>
      </c>
      <c r="B382" s="243" t="str">
        <f t="shared" si="12"/>
        <v/>
      </c>
      <c r="C382" s="158" t="str">
        <f t="shared" si="13"/>
        <v/>
      </c>
      <c r="D382" s="246"/>
      <c r="E382" s="247"/>
      <c r="F382" s="258"/>
      <c r="G382" s="248"/>
      <c r="H382" s="241"/>
      <c r="I382" s="259"/>
      <c r="J382" s="260"/>
      <c r="K382" s="260"/>
      <c r="L382" s="261"/>
      <c r="M382" s="262"/>
      <c r="N382" s="262"/>
      <c r="O382" s="261"/>
      <c r="P382" s="262"/>
      <c r="Q382" s="262"/>
      <c r="R382" s="263"/>
      <c r="S382" s="264"/>
      <c r="T382" s="264"/>
      <c r="U382" s="265"/>
      <c r="V382" s="266"/>
      <c r="W382" s="266"/>
      <c r="X382" s="267"/>
      <c r="Y382" s="268"/>
      <c r="Z382" s="268"/>
      <c r="AA382" s="259"/>
      <c r="AB382" s="260"/>
      <c r="AC382" s="260"/>
      <c r="AD382" s="261"/>
      <c r="AE382" s="262"/>
      <c r="AF382" s="262"/>
      <c r="AG382" s="269"/>
      <c r="AH382" s="270"/>
      <c r="AI382" s="271"/>
      <c r="AJ382" s="272"/>
    </row>
    <row r="383" spans="1:36" x14ac:dyDescent="0.25">
      <c r="A383" s="28" t="str">
        <f>IF(H383&lt;&gt;"",MAX($A$7:A382)+1,"")</f>
        <v/>
      </c>
      <c r="B383" s="243" t="str">
        <f t="shared" si="12"/>
        <v/>
      </c>
      <c r="C383" s="158" t="str">
        <f t="shared" si="13"/>
        <v/>
      </c>
      <c r="D383" s="246"/>
      <c r="E383" s="247"/>
      <c r="F383" s="258"/>
      <c r="G383" s="248"/>
      <c r="H383" s="241"/>
      <c r="I383" s="259"/>
      <c r="J383" s="260"/>
      <c r="K383" s="260"/>
      <c r="L383" s="261"/>
      <c r="M383" s="262"/>
      <c r="N383" s="262"/>
      <c r="O383" s="261"/>
      <c r="P383" s="262"/>
      <c r="Q383" s="262"/>
      <c r="R383" s="263"/>
      <c r="S383" s="264"/>
      <c r="T383" s="264"/>
      <c r="U383" s="265"/>
      <c r="V383" s="266"/>
      <c r="W383" s="266"/>
      <c r="X383" s="267"/>
      <c r="Y383" s="268"/>
      <c r="Z383" s="268"/>
      <c r="AA383" s="259"/>
      <c r="AB383" s="260"/>
      <c r="AC383" s="260"/>
      <c r="AD383" s="261"/>
      <c r="AE383" s="262"/>
      <c r="AF383" s="262"/>
      <c r="AG383" s="269"/>
      <c r="AH383" s="270"/>
      <c r="AI383" s="271"/>
      <c r="AJ383" s="272"/>
    </row>
    <row r="384" spans="1:36" x14ac:dyDescent="0.25">
      <c r="A384" s="28" t="str">
        <f>IF(H384&lt;&gt;"",MAX($A$7:A383)+1,"")</f>
        <v/>
      </c>
      <c r="B384" s="243" t="str">
        <f t="shared" si="12"/>
        <v/>
      </c>
      <c r="C384" s="158" t="str">
        <f t="shared" si="13"/>
        <v/>
      </c>
      <c r="D384" s="246"/>
      <c r="E384" s="247"/>
      <c r="F384" s="258"/>
      <c r="G384" s="248"/>
      <c r="H384" s="241"/>
      <c r="I384" s="259"/>
      <c r="J384" s="260"/>
      <c r="K384" s="260"/>
      <c r="L384" s="261"/>
      <c r="M384" s="262"/>
      <c r="N384" s="262"/>
      <c r="O384" s="261"/>
      <c r="P384" s="262"/>
      <c r="Q384" s="262"/>
      <c r="R384" s="263"/>
      <c r="S384" s="264"/>
      <c r="T384" s="264"/>
      <c r="U384" s="265"/>
      <c r="V384" s="266"/>
      <c r="W384" s="266"/>
      <c r="X384" s="267"/>
      <c r="Y384" s="268"/>
      <c r="Z384" s="268"/>
      <c r="AA384" s="259"/>
      <c r="AB384" s="260"/>
      <c r="AC384" s="260"/>
      <c r="AD384" s="261"/>
      <c r="AE384" s="262"/>
      <c r="AF384" s="262"/>
      <c r="AG384" s="269"/>
      <c r="AH384" s="270"/>
      <c r="AI384" s="271"/>
      <c r="AJ384" s="272"/>
    </row>
    <row r="385" spans="1:36" x14ac:dyDescent="0.25">
      <c r="A385" s="28" t="str">
        <f>IF(H385&lt;&gt;"",MAX($A$7:A384)+1,"")</f>
        <v/>
      </c>
      <c r="B385" s="243" t="str">
        <f t="shared" si="12"/>
        <v/>
      </c>
      <c r="C385" s="158" t="str">
        <f t="shared" si="13"/>
        <v/>
      </c>
      <c r="D385" s="246"/>
      <c r="E385" s="247"/>
      <c r="F385" s="258"/>
      <c r="G385" s="248"/>
      <c r="H385" s="241"/>
      <c r="I385" s="259"/>
      <c r="J385" s="260"/>
      <c r="K385" s="260"/>
      <c r="L385" s="261"/>
      <c r="M385" s="262"/>
      <c r="N385" s="262"/>
      <c r="O385" s="261"/>
      <c r="P385" s="262"/>
      <c r="Q385" s="262"/>
      <c r="R385" s="263"/>
      <c r="S385" s="264"/>
      <c r="T385" s="264"/>
      <c r="U385" s="265"/>
      <c r="V385" s="266"/>
      <c r="W385" s="266"/>
      <c r="X385" s="267"/>
      <c r="Y385" s="268"/>
      <c r="Z385" s="268"/>
      <c r="AA385" s="259"/>
      <c r="AB385" s="260"/>
      <c r="AC385" s="260"/>
      <c r="AD385" s="261"/>
      <c r="AE385" s="262"/>
      <c r="AF385" s="262"/>
      <c r="AG385" s="269"/>
      <c r="AH385" s="270"/>
      <c r="AI385" s="271"/>
      <c r="AJ385" s="272"/>
    </row>
    <row r="386" spans="1:36" x14ac:dyDescent="0.25">
      <c r="A386" s="28" t="str">
        <f>IF(H386&lt;&gt;"",MAX($A$7:A385)+1,"")</f>
        <v/>
      </c>
      <c r="B386" s="243" t="str">
        <f t="shared" si="12"/>
        <v/>
      </c>
      <c r="C386" s="158" t="str">
        <f t="shared" si="13"/>
        <v/>
      </c>
      <c r="D386" s="246"/>
      <c r="E386" s="247"/>
      <c r="F386" s="258"/>
      <c r="G386" s="248"/>
      <c r="H386" s="241"/>
      <c r="I386" s="259"/>
      <c r="J386" s="260"/>
      <c r="K386" s="260"/>
      <c r="L386" s="261"/>
      <c r="M386" s="262"/>
      <c r="N386" s="262"/>
      <c r="O386" s="261"/>
      <c r="P386" s="262"/>
      <c r="Q386" s="262"/>
      <c r="R386" s="263"/>
      <c r="S386" s="264"/>
      <c r="T386" s="264"/>
      <c r="U386" s="265"/>
      <c r="V386" s="266"/>
      <c r="W386" s="266"/>
      <c r="X386" s="267"/>
      <c r="Y386" s="268"/>
      <c r="Z386" s="268"/>
      <c r="AA386" s="259"/>
      <c r="AB386" s="260"/>
      <c r="AC386" s="260"/>
      <c r="AD386" s="261"/>
      <c r="AE386" s="262"/>
      <c r="AF386" s="262"/>
      <c r="AG386" s="269"/>
      <c r="AH386" s="270"/>
      <c r="AI386" s="271"/>
      <c r="AJ386" s="272"/>
    </row>
    <row r="387" spans="1:36" x14ac:dyDescent="0.25">
      <c r="A387" s="28" t="str">
        <f>IF(H387&lt;&gt;"",MAX($A$7:A386)+1,"")</f>
        <v/>
      </c>
      <c r="B387" s="243" t="str">
        <f t="shared" si="12"/>
        <v/>
      </c>
      <c r="C387" s="158" t="str">
        <f t="shared" si="13"/>
        <v/>
      </c>
      <c r="D387" s="246"/>
      <c r="E387" s="247"/>
      <c r="F387" s="258"/>
      <c r="G387" s="248"/>
      <c r="H387" s="241"/>
      <c r="I387" s="259"/>
      <c r="J387" s="260"/>
      <c r="K387" s="260"/>
      <c r="L387" s="261"/>
      <c r="M387" s="262"/>
      <c r="N387" s="262"/>
      <c r="O387" s="261"/>
      <c r="P387" s="262"/>
      <c r="Q387" s="262"/>
      <c r="R387" s="263"/>
      <c r="S387" s="264"/>
      <c r="T387" s="264"/>
      <c r="U387" s="265"/>
      <c r="V387" s="266"/>
      <c r="W387" s="266"/>
      <c r="X387" s="267"/>
      <c r="Y387" s="268"/>
      <c r="Z387" s="268"/>
      <c r="AA387" s="259"/>
      <c r="AB387" s="260"/>
      <c r="AC387" s="260"/>
      <c r="AD387" s="261"/>
      <c r="AE387" s="262"/>
      <c r="AF387" s="262"/>
      <c r="AG387" s="269"/>
      <c r="AH387" s="270"/>
      <c r="AI387" s="271"/>
      <c r="AJ387" s="272"/>
    </row>
    <row r="388" spans="1:36" x14ac:dyDescent="0.25">
      <c r="A388" s="28" t="str">
        <f>IF(H388&lt;&gt;"",MAX($A$7:A387)+1,"")</f>
        <v/>
      </c>
      <c r="B388" s="243" t="str">
        <f t="shared" si="12"/>
        <v/>
      </c>
      <c r="C388" s="158" t="str">
        <f t="shared" si="13"/>
        <v/>
      </c>
      <c r="D388" s="246"/>
      <c r="E388" s="247"/>
      <c r="F388" s="258"/>
      <c r="G388" s="248"/>
      <c r="H388" s="241"/>
      <c r="I388" s="259"/>
      <c r="J388" s="260"/>
      <c r="K388" s="260"/>
      <c r="L388" s="261"/>
      <c r="M388" s="262"/>
      <c r="N388" s="262"/>
      <c r="O388" s="261"/>
      <c r="P388" s="262"/>
      <c r="Q388" s="262"/>
      <c r="R388" s="263"/>
      <c r="S388" s="264"/>
      <c r="T388" s="264"/>
      <c r="U388" s="265"/>
      <c r="V388" s="266"/>
      <c r="W388" s="266"/>
      <c r="X388" s="267"/>
      <c r="Y388" s="268"/>
      <c r="Z388" s="268"/>
      <c r="AA388" s="259"/>
      <c r="AB388" s="260"/>
      <c r="AC388" s="260"/>
      <c r="AD388" s="261"/>
      <c r="AE388" s="262"/>
      <c r="AF388" s="262"/>
      <c r="AG388" s="269"/>
      <c r="AH388" s="270"/>
      <c r="AI388" s="271"/>
      <c r="AJ388" s="272"/>
    </row>
    <row r="389" spans="1:36" x14ac:dyDescent="0.25">
      <c r="A389" s="28" t="str">
        <f>IF(H389&lt;&gt;"",MAX($A$7:A388)+1,"")</f>
        <v/>
      </c>
      <c r="B389" s="243" t="str">
        <f t="shared" si="12"/>
        <v/>
      </c>
      <c r="C389" s="158" t="str">
        <f t="shared" si="13"/>
        <v/>
      </c>
      <c r="D389" s="246"/>
      <c r="E389" s="247"/>
      <c r="F389" s="258"/>
      <c r="G389" s="248"/>
      <c r="H389" s="241"/>
      <c r="I389" s="259"/>
      <c r="J389" s="260"/>
      <c r="K389" s="260"/>
      <c r="L389" s="261"/>
      <c r="M389" s="262"/>
      <c r="N389" s="262"/>
      <c r="O389" s="261"/>
      <c r="P389" s="262"/>
      <c r="Q389" s="262"/>
      <c r="R389" s="263"/>
      <c r="S389" s="264"/>
      <c r="T389" s="264"/>
      <c r="U389" s="265"/>
      <c r="V389" s="266"/>
      <c r="W389" s="266"/>
      <c r="X389" s="267"/>
      <c r="Y389" s="268"/>
      <c r="Z389" s="268"/>
      <c r="AA389" s="259"/>
      <c r="AB389" s="260"/>
      <c r="AC389" s="260"/>
      <c r="AD389" s="261"/>
      <c r="AE389" s="262"/>
      <c r="AF389" s="262"/>
      <c r="AG389" s="269"/>
      <c r="AH389" s="270"/>
      <c r="AI389" s="271"/>
      <c r="AJ389" s="272"/>
    </row>
    <row r="390" spans="1:36" x14ac:dyDescent="0.25">
      <c r="A390" s="28" t="str">
        <f>IF(H390&lt;&gt;"",MAX($A$7:A389)+1,"")</f>
        <v/>
      </c>
      <c r="B390" s="243" t="str">
        <f t="shared" si="12"/>
        <v/>
      </c>
      <c r="C390" s="158" t="str">
        <f t="shared" si="13"/>
        <v/>
      </c>
      <c r="D390" s="246"/>
      <c r="E390" s="247"/>
      <c r="F390" s="258"/>
      <c r="G390" s="248"/>
      <c r="H390" s="241"/>
      <c r="I390" s="259"/>
      <c r="J390" s="260"/>
      <c r="K390" s="260"/>
      <c r="L390" s="261"/>
      <c r="M390" s="262"/>
      <c r="N390" s="262"/>
      <c r="O390" s="261"/>
      <c r="P390" s="262"/>
      <c r="Q390" s="262"/>
      <c r="R390" s="263"/>
      <c r="S390" s="264"/>
      <c r="T390" s="264"/>
      <c r="U390" s="265"/>
      <c r="V390" s="266"/>
      <c r="W390" s="266"/>
      <c r="X390" s="267"/>
      <c r="Y390" s="268"/>
      <c r="Z390" s="268"/>
      <c r="AA390" s="259"/>
      <c r="AB390" s="260"/>
      <c r="AC390" s="260"/>
      <c r="AD390" s="261"/>
      <c r="AE390" s="262"/>
      <c r="AF390" s="262"/>
      <c r="AG390" s="269"/>
      <c r="AH390" s="270"/>
      <c r="AI390" s="271"/>
      <c r="AJ390" s="272"/>
    </row>
    <row r="391" spans="1:36" x14ac:dyDescent="0.25">
      <c r="A391" s="28" t="str">
        <f>IF(H391&lt;&gt;"",MAX($A$7:A390)+1,"")</f>
        <v/>
      </c>
      <c r="B391" s="243" t="str">
        <f t="shared" ref="B391:B454" si="14">IF(A391="","",PREF_PREGUNTA&amp;" - "&amp;IF(MAX($A$7:$A$156)&gt;99,IF(A391&lt;100,"0",""),"")&amp;IF(A391&lt;10,"0","")&amp;A391&amp;IF(G391&lt;&gt;""," "&amp;G391,""))</f>
        <v/>
      </c>
      <c r="C391" s="158" t="str">
        <f t="shared" ref="C391:C454" si="15">IF(COUNTA(I391:N391)-D391=0,"",COUNTA(I391:N391)-D391)</f>
        <v/>
      </c>
      <c r="D391" s="246"/>
      <c r="E391" s="247"/>
      <c r="F391" s="258"/>
      <c r="G391" s="248"/>
      <c r="H391" s="241"/>
      <c r="I391" s="259"/>
      <c r="J391" s="260"/>
      <c r="K391" s="260"/>
      <c r="L391" s="261"/>
      <c r="M391" s="262"/>
      <c r="N391" s="262"/>
      <c r="O391" s="261"/>
      <c r="P391" s="262"/>
      <c r="Q391" s="262"/>
      <c r="R391" s="263"/>
      <c r="S391" s="264"/>
      <c r="T391" s="264"/>
      <c r="U391" s="265"/>
      <c r="V391" s="266"/>
      <c r="W391" s="266"/>
      <c r="X391" s="267"/>
      <c r="Y391" s="268"/>
      <c r="Z391" s="268"/>
      <c r="AA391" s="259"/>
      <c r="AB391" s="260"/>
      <c r="AC391" s="260"/>
      <c r="AD391" s="261"/>
      <c r="AE391" s="262"/>
      <c r="AF391" s="262"/>
      <c r="AG391" s="269"/>
      <c r="AH391" s="270"/>
      <c r="AI391" s="271"/>
      <c r="AJ391" s="272"/>
    </row>
    <row r="392" spans="1:36" x14ac:dyDescent="0.25">
      <c r="A392" s="28" t="str">
        <f>IF(H392&lt;&gt;"",MAX($A$7:A391)+1,"")</f>
        <v/>
      </c>
      <c r="B392" s="243" t="str">
        <f t="shared" si="14"/>
        <v/>
      </c>
      <c r="C392" s="158" t="str">
        <f t="shared" si="15"/>
        <v/>
      </c>
      <c r="D392" s="246"/>
      <c r="E392" s="247"/>
      <c r="F392" s="258"/>
      <c r="G392" s="248"/>
      <c r="H392" s="241"/>
      <c r="I392" s="259"/>
      <c r="J392" s="260"/>
      <c r="K392" s="260"/>
      <c r="L392" s="261"/>
      <c r="M392" s="262"/>
      <c r="N392" s="262"/>
      <c r="O392" s="261"/>
      <c r="P392" s="262"/>
      <c r="Q392" s="262"/>
      <c r="R392" s="263"/>
      <c r="S392" s="264"/>
      <c r="T392" s="264"/>
      <c r="U392" s="265"/>
      <c r="V392" s="266"/>
      <c r="W392" s="266"/>
      <c r="X392" s="267"/>
      <c r="Y392" s="268"/>
      <c r="Z392" s="268"/>
      <c r="AA392" s="259"/>
      <c r="AB392" s="260"/>
      <c r="AC392" s="260"/>
      <c r="AD392" s="261"/>
      <c r="AE392" s="262"/>
      <c r="AF392" s="262"/>
      <c r="AG392" s="269"/>
      <c r="AH392" s="270"/>
      <c r="AI392" s="271"/>
      <c r="AJ392" s="272"/>
    </row>
    <row r="393" spans="1:36" x14ac:dyDescent="0.25">
      <c r="A393" s="28" t="str">
        <f>IF(H393&lt;&gt;"",MAX($A$7:A392)+1,"")</f>
        <v/>
      </c>
      <c r="B393" s="243" t="str">
        <f t="shared" si="14"/>
        <v/>
      </c>
      <c r="C393" s="158" t="str">
        <f t="shared" si="15"/>
        <v/>
      </c>
      <c r="D393" s="246"/>
      <c r="E393" s="247"/>
      <c r="F393" s="258"/>
      <c r="G393" s="248"/>
      <c r="H393" s="241"/>
      <c r="I393" s="259"/>
      <c r="J393" s="260"/>
      <c r="K393" s="260"/>
      <c r="L393" s="261"/>
      <c r="M393" s="262"/>
      <c r="N393" s="262"/>
      <c r="O393" s="261"/>
      <c r="P393" s="262"/>
      <c r="Q393" s="262"/>
      <c r="R393" s="263"/>
      <c r="S393" s="264"/>
      <c r="T393" s="264"/>
      <c r="U393" s="265"/>
      <c r="V393" s="266"/>
      <c r="W393" s="266"/>
      <c r="X393" s="267"/>
      <c r="Y393" s="268"/>
      <c r="Z393" s="268"/>
      <c r="AA393" s="259"/>
      <c r="AB393" s="260"/>
      <c r="AC393" s="260"/>
      <c r="AD393" s="261"/>
      <c r="AE393" s="262"/>
      <c r="AF393" s="262"/>
      <c r="AG393" s="269"/>
      <c r="AH393" s="270"/>
      <c r="AI393" s="271"/>
      <c r="AJ393" s="272"/>
    </row>
    <row r="394" spans="1:36" x14ac:dyDescent="0.25">
      <c r="A394" s="28" t="str">
        <f>IF(H394&lt;&gt;"",MAX($A$7:A393)+1,"")</f>
        <v/>
      </c>
      <c r="B394" s="243" t="str">
        <f t="shared" si="14"/>
        <v/>
      </c>
      <c r="C394" s="158" t="str">
        <f t="shared" si="15"/>
        <v/>
      </c>
      <c r="D394" s="246"/>
      <c r="E394" s="247"/>
      <c r="F394" s="258"/>
      <c r="G394" s="248"/>
      <c r="H394" s="241"/>
      <c r="I394" s="259"/>
      <c r="J394" s="260"/>
      <c r="K394" s="260"/>
      <c r="L394" s="261"/>
      <c r="M394" s="262"/>
      <c r="N394" s="262"/>
      <c r="O394" s="261"/>
      <c r="P394" s="262"/>
      <c r="Q394" s="262"/>
      <c r="R394" s="263"/>
      <c r="S394" s="264"/>
      <c r="T394" s="264"/>
      <c r="U394" s="265"/>
      <c r="V394" s="266"/>
      <c r="W394" s="266"/>
      <c r="X394" s="267"/>
      <c r="Y394" s="268"/>
      <c r="Z394" s="268"/>
      <c r="AA394" s="259"/>
      <c r="AB394" s="260"/>
      <c r="AC394" s="260"/>
      <c r="AD394" s="261"/>
      <c r="AE394" s="262"/>
      <c r="AF394" s="262"/>
      <c r="AG394" s="269"/>
      <c r="AH394" s="270"/>
      <c r="AI394" s="271"/>
      <c r="AJ394" s="272"/>
    </row>
    <row r="395" spans="1:36" x14ac:dyDescent="0.25">
      <c r="A395" s="28" t="str">
        <f>IF(H395&lt;&gt;"",MAX($A$7:A394)+1,"")</f>
        <v/>
      </c>
      <c r="B395" s="243" t="str">
        <f t="shared" si="14"/>
        <v/>
      </c>
      <c r="C395" s="158" t="str">
        <f t="shared" si="15"/>
        <v/>
      </c>
      <c r="D395" s="246"/>
      <c r="E395" s="247"/>
      <c r="F395" s="258"/>
      <c r="G395" s="248"/>
      <c r="H395" s="241"/>
      <c r="I395" s="259"/>
      <c r="J395" s="260"/>
      <c r="K395" s="260"/>
      <c r="L395" s="261"/>
      <c r="M395" s="262"/>
      <c r="N395" s="262"/>
      <c r="O395" s="261"/>
      <c r="P395" s="262"/>
      <c r="Q395" s="262"/>
      <c r="R395" s="263"/>
      <c r="S395" s="264"/>
      <c r="T395" s="264"/>
      <c r="U395" s="265"/>
      <c r="V395" s="266"/>
      <c r="W395" s="266"/>
      <c r="X395" s="267"/>
      <c r="Y395" s="268"/>
      <c r="Z395" s="268"/>
      <c r="AA395" s="259"/>
      <c r="AB395" s="260"/>
      <c r="AC395" s="260"/>
      <c r="AD395" s="261"/>
      <c r="AE395" s="262"/>
      <c r="AF395" s="262"/>
      <c r="AG395" s="269"/>
      <c r="AH395" s="270"/>
      <c r="AI395" s="271"/>
      <c r="AJ395" s="272"/>
    </row>
    <row r="396" spans="1:36" x14ac:dyDescent="0.25">
      <c r="A396" s="28" t="str">
        <f>IF(H396&lt;&gt;"",MAX($A$7:A395)+1,"")</f>
        <v/>
      </c>
      <c r="B396" s="243" t="str">
        <f t="shared" si="14"/>
        <v/>
      </c>
      <c r="C396" s="158" t="str">
        <f t="shared" si="15"/>
        <v/>
      </c>
      <c r="D396" s="246"/>
      <c r="E396" s="247"/>
      <c r="F396" s="258"/>
      <c r="G396" s="248"/>
      <c r="H396" s="241"/>
      <c r="I396" s="259"/>
      <c r="J396" s="260"/>
      <c r="K396" s="260"/>
      <c r="L396" s="261"/>
      <c r="M396" s="262"/>
      <c r="N396" s="262"/>
      <c r="O396" s="261"/>
      <c r="P396" s="262"/>
      <c r="Q396" s="262"/>
      <c r="R396" s="263"/>
      <c r="S396" s="264"/>
      <c r="T396" s="264"/>
      <c r="U396" s="265"/>
      <c r="V396" s="266"/>
      <c r="W396" s="266"/>
      <c r="X396" s="267"/>
      <c r="Y396" s="268"/>
      <c r="Z396" s="268"/>
      <c r="AA396" s="259"/>
      <c r="AB396" s="260"/>
      <c r="AC396" s="260"/>
      <c r="AD396" s="261"/>
      <c r="AE396" s="262"/>
      <c r="AF396" s="262"/>
      <c r="AG396" s="269"/>
      <c r="AH396" s="270"/>
      <c r="AI396" s="271"/>
      <c r="AJ396" s="272"/>
    </row>
    <row r="397" spans="1:36" x14ac:dyDescent="0.25">
      <c r="A397" s="28" t="str">
        <f>IF(H397&lt;&gt;"",MAX($A$7:A396)+1,"")</f>
        <v/>
      </c>
      <c r="B397" s="243" t="str">
        <f t="shared" si="14"/>
        <v/>
      </c>
      <c r="C397" s="158" t="str">
        <f t="shared" si="15"/>
        <v/>
      </c>
      <c r="D397" s="246"/>
      <c r="E397" s="247"/>
      <c r="F397" s="258"/>
      <c r="G397" s="248"/>
      <c r="H397" s="241"/>
      <c r="I397" s="259"/>
      <c r="J397" s="260"/>
      <c r="K397" s="260"/>
      <c r="L397" s="261"/>
      <c r="M397" s="262"/>
      <c r="N397" s="262"/>
      <c r="O397" s="261"/>
      <c r="P397" s="262"/>
      <c r="Q397" s="262"/>
      <c r="R397" s="263"/>
      <c r="S397" s="264"/>
      <c r="T397" s="264"/>
      <c r="U397" s="265"/>
      <c r="V397" s="266"/>
      <c r="W397" s="266"/>
      <c r="X397" s="267"/>
      <c r="Y397" s="268"/>
      <c r="Z397" s="268"/>
      <c r="AA397" s="259"/>
      <c r="AB397" s="260"/>
      <c r="AC397" s="260"/>
      <c r="AD397" s="261"/>
      <c r="AE397" s="262"/>
      <c r="AF397" s="262"/>
      <c r="AG397" s="269"/>
      <c r="AH397" s="270"/>
      <c r="AI397" s="271"/>
      <c r="AJ397" s="272"/>
    </row>
    <row r="398" spans="1:36" x14ac:dyDescent="0.25">
      <c r="A398" s="28" t="str">
        <f>IF(H398&lt;&gt;"",MAX($A$7:A397)+1,"")</f>
        <v/>
      </c>
      <c r="B398" s="243" t="str">
        <f t="shared" si="14"/>
        <v/>
      </c>
      <c r="C398" s="158" t="str">
        <f t="shared" si="15"/>
        <v/>
      </c>
      <c r="D398" s="246"/>
      <c r="E398" s="247"/>
      <c r="F398" s="258"/>
      <c r="G398" s="248"/>
      <c r="H398" s="241"/>
      <c r="I398" s="259"/>
      <c r="J398" s="260"/>
      <c r="K398" s="260"/>
      <c r="L398" s="261"/>
      <c r="M398" s="262"/>
      <c r="N398" s="262"/>
      <c r="O398" s="261"/>
      <c r="P398" s="262"/>
      <c r="Q398" s="262"/>
      <c r="R398" s="263"/>
      <c r="S398" s="264"/>
      <c r="T398" s="264"/>
      <c r="U398" s="265"/>
      <c r="V398" s="266"/>
      <c r="W398" s="266"/>
      <c r="X398" s="267"/>
      <c r="Y398" s="268"/>
      <c r="Z398" s="268"/>
      <c r="AA398" s="259"/>
      <c r="AB398" s="260"/>
      <c r="AC398" s="260"/>
      <c r="AD398" s="261"/>
      <c r="AE398" s="262"/>
      <c r="AF398" s="262"/>
      <c r="AG398" s="269"/>
      <c r="AH398" s="270"/>
      <c r="AI398" s="271"/>
      <c r="AJ398" s="272"/>
    </row>
    <row r="399" spans="1:36" x14ac:dyDescent="0.25">
      <c r="A399" s="28" t="str">
        <f>IF(H399&lt;&gt;"",MAX($A$7:A398)+1,"")</f>
        <v/>
      </c>
      <c r="B399" s="243" t="str">
        <f t="shared" si="14"/>
        <v/>
      </c>
      <c r="C399" s="158" t="str">
        <f t="shared" si="15"/>
        <v/>
      </c>
      <c r="D399" s="246"/>
      <c r="E399" s="247"/>
      <c r="F399" s="258"/>
      <c r="G399" s="248"/>
      <c r="H399" s="241"/>
      <c r="I399" s="259"/>
      <c r="J399" s="260"/>
      <c r="K399" s="260"/>
      <c r="L399" s="261"/>
      <c r="M399" s="262"/>
      <c r="N399" s="262"/>
      <c r="O399" s="261"/>
      <c r="P399" s="262"/>
      <c r="Q399" s="262"/>
      <c r="R399" s="263"/>
      <c r="S399" s="264"/>
      <c r="T399" s="264"/>
      <c r="U399" s="265"/>
      <c r="V399" s="266"/>
      <c r="W399" s="266"/>
      <c r="X399" s="267"/>
      <c r="Y399" s="268"/>
      <c r="Z399" s="268"/>
      <c r="AA399" s="259"/>
      <c r="AB399" s="260"/>
      <c r="AC399" s="260"/>
      <c r="AD399" s="261"/>
      <c r="AE399" s="262"/>
      <c r="AF399" s="262"/>
      <c r="AG399" s="269"/>
      <c r="AH399" s="270"/>
      <c r="AI399" s="271"/>
      <c r="AJ399" s="272"/>
    </row>
    <row r="400" spans="1:36" x14ac:dyDescent="0.25">
      <c r="A400" s="28" t="str">
        <f>IF(H400&lt;&gt;"",MAX($A$7:A399)+1,"")</f>
        <v/>
      </c>
      <c r="B400" s="243" t="str">
        <f t="shared" si="14"/>
        <v/>
      </c>
      <c r="C400" s="158" t="str">
        <f t="shared" si="15"/>
        <v/>
      </c>
      <c r="D400" s="246"/>
      <c r="E400" s="247"/>
      <c r="F400" s="258"/>
      <c r="G400" s="248"/>
      <c r="H400" s="241"/>
      <c r="I400" s="259"/>
      <c r="J400" s="260"/>
      <c r="K400" s="260"/>
      <c r="L400" s="261"/>
      <c r="M400" s="262"/>
      <c r="N400" s="262"/>
      <c r="O400" s="261"/>
      <c r="P400" s="262"/>
      <c r="Q400" s="262"/>
      <c r="R400" s="263"/>
      <c r="S400" s="264"/>
      <c r="T400" s="264"/>
      <c r="U400" s="265"/>
      <c r="V400" s="266"/>
      <c r="W400" s="266"/>
      <c r="X400" s="267"/>
      <c r="Y400" s="268"/>
      <c r="Z400" s="268"/>
      <c r="AA400" s="259"/>
      <c r="AB400" s="260"/>
      <c r="AC400" s="260"/>
      <c r="AD400" s="261"/>
      <c r="AE400" s="262"/>
      <c r="AF400" s="262"/>
      <c r="AG400" s="269"/>
      <c r="AH400" s="270"/>
      <c r="AI400" s="271"/>
      <c r="AJ400" s="272"/>
    </row>
    <row r="401" spans="1:36" x14ac:dyDescent="0.25">
      <c r="A401" s="28" t="str">
        <f>IF(H401&lt;&gt;"",MAX($A$7:A400)+1,"")</f>
        <v/>
      </c>
      <c r="B401" s="243" t="str">
        <f t="shared" si="14"/>
        <v/>
      </c>
      <c r="C401" s="158" t="str">
        <f t="shared" si="15"/>
        <v/>
      </c>
      <c r="D401" s="246"/>
      <c r="E401" s="247"/>
      <c r="F401" s="258"/>
      <c r="G401" s="248"/>
      <c r="H401" s="241"/>
      <c r="I401" s="259"/>
      <c r="J401" s="260"/>
      <c r="K401" s="260"/>
      <c r="L401" s="261"/>
      <c r="M401" s="262"/>
      <c r="N401" s="262"/>
      <c r="O401" s="261"/>
      <c r="P401" s="262"/>
      <c r="Q401" s="262"/>
      <c r="R401" s="263"/>
      <c r="S401" s="264"/>
      <c r="T401" s="264"/>
      <c r="U401" s="265"/>
      <c r="V401" s="266"/>
      <c r="W401" s="266"/>
      <c r="X401" s="267"/>
      <c r="Y401" s="268"/>
      <c r="Z401" s="268"/>
      <c r="AA401" s="259"/>
      <c r="AB401" s="260"/>
      <c r="AC401" s="260"/>
      <c r="AD401" s="261"/>
      <c r="AE401" s="262"/>
      <c r="AF401" s="262"/>
      <c r="AG401" s="269"/>
      <c r="AH401" s="270"/>
      <c r="AI401" s="271"/>
      <c r="AJ401" s="272"/>
    </row>
    <row r="402" spans="1:36" x14ac:dyDescent="0.25">
      <c r="A402" s="28" t="str">
        <f>IF(H402&lt;&gt;"",MAX($A$7:A401)+1,"")</f>
        <v/>
      </c>
      <c r="B402" s="243" t="str">
        <f t="shared" si="14"/>
        <v/>
      </c>
      <c r="C402" s="158" t="str">
        <f t="shared" si="15"/>
        <v/>
      </c>
      <c r="D402" s="246"/>
      <c r="E402" s="247"/>
      <c r="F402" s="258"/>
      <c r="G402" s="248"/>
      <c r="H402" s="241"/>
      <c r="I402" s="259"/>
      <c r="J402" s="260"/>
      <c r="K402" s="260"/>
      <c r="L402" s="261"/>
      <c r="M402" s="262"/>
      <c r="N402" s="262"/>
      <c r="O402" s="261"/>
      <c r="P402" s="262"/>
      <c r="Q402" s="262"/>
      <c r="R402" s="263"/>
      <c r="S402" s="264"/>
      <c r="T402" s="264"/>
      <c r="U402" s="265"/>
      <c r="V402" s="266"/>
      <c r="W402" s="266"/>
      <c r="X402" s="267"/>
      <c r="Y402" s="268"/>
      <c r="Z402" s="268"/>
      <c r="AA402" s="259"/>
      <c r="AB402" s="260"/>
      <c r="AC402" s="260"/>
      <c r="AD402" s="261"/>
      <c r="AE402" s="262"/>
      <c r="AF402" s="262"/>
      <c r="AG402" s="269"/>
      <c r="AH402" s="270"/>
      <c r="AI402" s="271"/>
      <c r="AJ402" s="272"/>
    </row>
    <row r="403" spans="1:36" x14ac:dyDescent="0.25">
      <c r="A403" s="28" t="str">
        <f>IF(H403&lt;&gt;"",MAX($A$7:A402)+1,"")</f>
        <v/>
      </c>
      <c r="B403" s="243" t="str">
        <f t="shared" si="14"/>
        <v/>
      </c>
      <c r="C403" s="158" t="str">
        <f t="shared" si="15"/>
        <v/>
      </c>
      <c r="D403" s="246"/>
      <c r="E403" s="247"/>
      <c r="F403" s="258"/>
      <c r="G403" s="248"/>
      <c r="H403" s="241"/>
      <c r="I403" s="259"/>
      <c r="J403" s="260"/>
      <c r="K403" s="260"/>
      <c r="L403" s="261"/>
      <c r="M403" s="262"/>
      <c r="N403" s="262"/>
      <c r="O403" s="261"/>
      <c r="P403" s="262"/>
      <c r="Q403" s="262"/>
      <c r="R403" s="263"/>
      <c r="S403" s="264"/>
      <c r="T403" s="264"/>
      <c r="U403" s="265"/>
      <c r="V403" s="266"/>
      <c r="W403" s="266"/>
      <c r="X403" s="267"/>
      <c r="Y403" s="268"/>
      <c r="Z403" s="268"/>
      <c r="AA403" s="259"/>
      <c r="AB403" s="260"/>
      <c r="AC403" s="260"/>
      <c r="AD403" s="261"/>
      <c r="AE403" s="262"/>
      <c r="AF403" s="262"/>
      <c r="AG403" s="269"/>
      <c r="AH403" s="270"/>
      <c r="AI403" s="271"/>
      <c r="AJ403" s="272"/>
    </row>
    <row r="404" spans="1:36" x14ac:dyDescent="0.25">
      <c r="A404" s="28" t="str">
        <f>IF(H404&lt;&gt;"",MAX($A$7:A403)+1,"")</f>
        <v/>
      </c>
      <c r="B404" s="243" t="str">
        <f t="shared" si="14"/>
        <v/>
      </c>
      <c r="C404" s="158" t="str">
        <f t="shared" si="15"/>
        <v/>
      </c>
      <c r="D404" s="246"/>
      <c r="E404" s="247"/>
      <c r="F404" s="258"/>
      <c r="G404" s="248"/>
      <c r="H404" s="241"/>
      <c r="I404" s="259"/>
      <c r="J404" s="260"/>
      <c r="K404" s="260"/>
      <c r="L404" s="261"/>
      <c r="M404" s="262"/>
      <c r="N404" s="262"/>
      <c r="O404" s="261"/>
      <c r="P404" s="262"/>
      <c r="Q404" s="262"/>
      <c r="R404" s="263"/>
      <c r="S404" s="264"/>
      <c r="T404" s="264"/>
      <c r="U404" s="265"/>
      <c r="V404" s="266"/>
      <c r="W404" s="266"/>
      <c r="X404" s="267"/>
      <c r="Y404" s="268"/>
      <c r="Z404" s="268"/>
      <c r="AA404" s="259"/>
      <c r="AB404" s="260"/>
      <c r="AC404" s="260"/>
      <c r="AD404" s="261"/>
      <c r="AE404" s="262"/>
      <c r="AF404" s="262"/>
      <c r="AG404" s="269"/>
      <c r="AH404" s="270"/>
      <c r="AI404" s="271"/>
      <c r="AJ404" s="272"/>
    </row>
    <row r="405" spans="1:36" x14ac:dyDescent="0.25">
      <c r="A405" s="28" t="str">
        <f>IF(H405&lt;&gt;"",MAX($A$7:A404)+1,"")</f>
        <v/>
      </c>
      <c r="B405" s="243" t="str">
        <f t="shared" si="14"/>
        <v/>
      </c>
      <c r="C405" s="158" t="str">
        <f t="shared" si="15"/>
        <v/>
      </c>
      <c r="D405" s="246"/>
      <c r="E405" s="247"/>
      <c r="F405" s="258"/>
      <c r="G405" s="248"/>
      <c r="H405" s="241"/>
      <c r="I405" s="259"/>
      <c r="J405" s="260"/>
      <c r="K405" s="260"/>
      <c r="L405" s="261"/>
      <c r="M405" s="262"/>
      <c r="N405" s="262"/>
      <c r="O405" s="261"/>
      <c r="P405" s="262"/>
      <c r="Q405" s="262"/>
      <c r="R405" s="263"/>
      <c r="S405" s="264"/>
      <c r="T405" s="264"/>
      <c r="U405" s="265"/>
      <c r="V405" s="266"/>
      <c r="W405" s="266"/>
      <c r="X405" s="267"/>
      <c r="Y405" s="268"/>
      <c r="Z405" s="268"/>
      <c r="AA405" s="259"/>
      <c r="AB405" s="260"/>
      <c r="AC405" s="260"/>
      <c r="AD405" s="261"/>
      <c r="AE405" s="262"/>
      <c r="AF405" s="262"/>
      <c r="AG405" s="269"/>
      <c r="AH405" s="270"/>
      <c r="AI405" s="271"/>
      <c r="AJ405" s="272"/>
    </row>
    <row r="406" spans="1:36" x14ac:dyDescent="0.25">
      <c r="A406" s="28" t="str">
        <f>IF(H406&lt;&gt;"",MAX($A$7:A405)+1,"")</f>
        <v/>
      </c>
      <c r="B406" s="243" t="str">
        <f t="shared" si="14"/>
        <v/>
      </c>
      <c r="C406" s="158" t="str">
        <f t="shared" si="15"/>
        <v/>
      </c>
      <c r="D406" s="246"/>
      <c r="E406" s="247"/>
      <c r="F406" s="258"/>
      <c r="G406" s="248"/>
      <c r="H406" s="241"/>
      <c r="I406" s="259"/>
      <c r="J406" s="260"/>
      <c r="K406" s="260"/>
      <c r="L406" s="261"/>
      <c r="M406" s="262"/>
      <c r="N406" s="262"/>
      <c r="O406" s="261"/>
      <c r="P406" s="262"/>
      <c r="Q406" s="262"/>
      <c r="R406" s="263"/>
      <c r="S406" s="264"/>
      <c r="T406" s="264"/>
      <c r="U406" s="265"/>
      <c r="V406" s="266"/>
      <c r="W406" s="266"/>
      <c r="X406" s="267"/>
      <c r="Y406" s="268"/>
      <c r="Z406" s="268"/>
      <c r="AA406" s="259"/>
      <c r="AB406" s="260"/>
      <c r="AC406" s="260"/>
      <c r="AD406" s="261"/>
      <c r="AE406" s="262"/>
      <c r="AF406" s="262"/>
      <c r="AG406" s="269"/>
      <c r="AH406" s="270"/>
      <c r="AI406" s="271"/>
      <c r="AJ406" s="272"/>
    </row>
    <row r="407" spans="1:36" x14ac:dyDescent="0.25">
      <c r="A407" s="28" t="str">
        <f>IF(H407&lt;&gt;"",MAX($A$7:A406)+1,"")</f>
        <v/>
      </c>
      <c r="B407" s="243" t="str">
        <f t="shared" si="14"/>
        <v/>
      </c>
      <c r="C407" s="158" t="str">
        <f t="shared" si="15"/>
        <v/>
      </c>
      <c r="D407" s="246"/>
      <c r="E407" s="247"/>
      <c r="F407" s="258"/>
      <c r="G407" s="248"/>
      <c r="H407" s="241"/>
      <c r="I407" s="259"/>
      <c r="J407" s="260"/>
      <c r="K407" s="260"/>
      <c r="L407" s="261"/>
      <c r="M407" s="262"/>
      <c r="N407" s="262"/>
      <c r="O407" s="261"/>
      <c r="P407" s="262"/>
      <c r="Q407" s="262"/>
      <c r="R407" s="263"/>
      <c r="S407" s="264"/>
      <c r="T407" s="264"/>
      <c r="U407" s="265"/>
      <c r="V407" s="266"/>
      <c r="W407" s="266"/>
      <c r="X407" s="267"/>
      <c r="Y407" s="268"/>
      <c r="Z407" s="268"/>
      <c r="AA407" s="259"/>
      <c r="AB407" s="260"/>
      <c r="AC407" s="260"/>
      <c r="AD407" s="261"/>
      <c r="AE407" s="262"/>
      <c r="AF407" s="262"/>
      <c r="AG407" s="269"/>
      <c r="AH407" s="270"/>
      <c r="AI407" s="271"/>
      <c r="AJ407" s="272"/>
    </row>
    <row r="408" spans="1:36" x14ac:dyDescent="0.25">
      <c r="A408" s="28" t="str">
        <f>IF(H408&lt;&gt;"",MAX($A$7:A407)+1,"")</f>
        <v/>
      </c>
      <c r="B408" s="243" t="str">
        <f t="shared" si="14"/>
        <v/>
      </c>
      <c r="C408" s="158" t="str">
        <f t="shared" si="15"/>
        <v/>
      </c>
      <c r="D408" s="246"/>
      <c r="E408" s="247"/>
      <c r="F408" s="258"/>
      <c r="G408" s="248"/>
      <c r="H408" s="241"/>
      <c r="I408" s="259"/>
      <c r="J408" s="260"/>
      <c r="K408" s="260"/>
      <c r="L408" s="261"/>
      <c r="M408" s="262"/>
      <c r="N408" s="262"/>
      <c r="O408" s="261"/>
      <c r="P408" s="262"/>
      <c r="Q408" s="262"/>
      <c r="R408" s="263"/>
      <c r="S408" s="264"/>
      <c r="T408" s="264"/>
      <c r="U408" s="265"/>
      <c r="V408" s="266"/>
      <c r="W408" s="266"/>
      <c r="X408" s="267"/>
      <c r="Y408" s="268"/>
      <c r="Z408" s="268"/>
      <c r="AA408" s="259"/>
      <c r="AB408" s="260"/>
      <c r="AC408" s="260"/>
      <c r="AD408" s="261"/>
      <c r="AE408" s="262"/>
      <c r="AF408" s="262"/>
      <c r="AG408" s="269"/>
      <c r="AH408" s="270"/>
      <c r="AI408" s="271"/>
      <c r="AJ408" s="272"/>
    </row>
    <row r="409" spans="1:36" x14ac:dyDescent="0.25">
      <c r="A409" s="28" t="str">
        <f>IF(H409&lt;&gt;"",MAX($A$7:A408)+1,"")</f>
        <v/>
      </c>
      <c r="B409" s="243" t="str">
        <f t="shared" si="14"/>
        <v/>
      </c>
      <c r="C409" s="158" t="str">
        <f t="shared" si="15"/>
        <v/>
      </c>
      <c r="D409" s="246"/>
      <c r="E409" s="247"/>
      <c r="F409" s="258"/>
      <c r="G409" s="248"/>
      <c r="H409" s="241"/>
      <c r="I409" s="259"/>
      <c r="J409" s="260"/>
      <c r="K409" s="260"/>
      <c r="L409" s="261"/>
      <c r="M409" s="262"/>
      <c r="N409" s="262"/>
      <c r="O409" s="261"/>
      <c r="P409" s="262"/>
      <c r="Q409" s="262"/>
      <c r="R409" s="263"/>
      <c r="S409" s="264"/>
      <c r="T409" s="264"/>
      <c r="U409" s="265"/>
      <c r="V409" s="266"/>
      <c r="W409" s="266"/>
      <c r="X409" s="267"/>
      <c r="Y409" s="268"/>
      <c r="Z409" s="268"/>
      <c r="AA409" s="259"/>
      <c r="AB409" s="260"/>
      <c r="AC409" s="260"/>
      <c r="AD409" s="261"/>
      <c r="AE409" s="262"/>
      <c r="AF409" s="262"/>
      <c r="AG409" s="269"/>
      <c r="AH409" s="270"/>
      <c r="AI409" s="271"/>
      <c r="AJ409" s="272"/>
    </row>
    <row r="410" spans="1:36" x14ac:dyDescent="0.25">
      <c r="A410" s="28" t="str">
        <f>IF(H410&lt;&gt;"",MAX($A$7:A409)+1,"")</f>
        <v/>
      </c>
      <c r="B410" s="243" t="str">
        <f t="shared" si="14"/>
        <v/>
      </c>
      <c r="C410" s="158" t="str">
        <f t="shared" si="15"/>
        <v/>
      </c>
      <c r="D410" s="246"/>
      <c r="E410" s="247"/>
      <c r="F410" s="258"/>
      <c r="G410" s="248"/>
      <c r="H410" s="241"/>
      <c r="I410" s="259"/>
      <c r="J410" s="260"/>
      <c r="K410" s="260"/>
      <c r="L410" s="261"/>
      <c r="M410" s="262"/>
      <c r="N410" s="262"/>
      <c r="O410" s="261"/>
      <c r="P410" s="262"/>
      <c r="Q410" s="262"/>
      <c r="R410" s="263"/>
      <c r="S410" s="264"/>
      <c r="T410" s="264"/>
      <c r="U410" s="265"/>
      <c r="V410" s="266"/>
      <c r="W410" s="266"/>
      <c r="X410" s="267"/>
      <c r="Y410" s="268"/>
      <c r="Z410" s="268"/>
      <c r="AA410" s="259"/>
      <c r="AB410" s="260"/>
      <c r="AC410" s="260"/>
      <c r="AD410" s="261"/>
      <c r="AE410" s="262"/>
      <c r="AF410" s="262"/>
      <c r="AG410" s="269"/>
      <c r="AH410" s="270"/>
      <c r="AI410" s="271"/>
      <c r="AJ410" s="272"/>
    </row>
    <row r="411" spans="1:36" x14ac:dyDescent="0.25">
      <c r="A411" s="28" t="str">
        <f>IF(H411&lt;&gt;"",MAX($A$7:A410)+1,"")</f>
        <v/>
      </c>
      <c r="B411" s="243" t="str">
        <f t="shared" si="14"/>
        <v/>
      </c>
      <c r="C411" s="158" t="str">
        <f t="shared" si="15"/>
        <v/>
      </c>
      <c r="D411" s="246"/>
      <c r="E411" s="247"/>
      <c r="F411" s="258"/>
      <c r="G411" s="248"/>
      <c r="H411" s="241"/>
      <c r="I411" s="259"/>
      <c r="J411" s="260"/>
      <c r="K411" s="260"/>
      <c r="L411" s="261"/>
      <c r="M411" s="262"/>
      <c r="N411" s="262"/>
      <c r="O411" s="261"/>
      <c r="P411" s="262"/>
      <c r="Q411" s="262"/>
      <c r="R411" s="263"/>
      <c r="S411" s="264"/>
      <c r="T411" s="264"/>
      <c r="U411" s="265"/>
      <c r="V411" s="266"/>
      <c r="W411" s="266"/>
      <c r="X411" s="267"/>
      <c r="Y411" s="268"/>
      <c r="Z411" s="268"/>
      <c r="AA411" s="259"/>
      <c r="AB411" s="260"/>
      <c r="AC411" s="260"/>
      <c r="AD411" s="261"/>
      <c r="AE411" s="262"/>
      <c r="AF411" s="262"/>
      <c r="AG411" s="269"/>
      <c r="AH411" s="270"/>
      <c r="AI411" s="271"/>
      <c r="AJ411" s="272"/>
    </row>
    <row r="412" spans="1:36" x14ac:dyDescent="0.25">
      <c r="A412" s="28" t="str">
        <f>IF(H412&lt;&gt;"",MAX($A$7:A411)+1,"")</f>
        <v/>
      </c>
      <c r="B412" s="243" t="str">
        <f t="shared" si="14"/>
        <v/>
      </c>
      <c r="C412" s="158" t="str">
        <f t="shared" si="15"/>
        <v/>
      </c>
      <c r="D412" s="246"/>
      <c r="E412" s="247"/>
      <c r="F412" s="258"/>
      <c r="G412" s="248"/>
      <c r="H412" s="241"/>
      <c r="I412" s="259"/>
      <c r="J412" s="260"/>
      <c r="K412" s="260"/>
      <c r="L412" s="261"/>
      <c r="M412" s="262"/>
      <c r="N412" s="262"/>
      <c r="O412" s="261"/>
      <c r="P412" s="262"/>
      <c r="Q412" s="262"/>
      <c r="R412" s="263"/>
      <c r="S412" s="264"/>
      <c r="T412" s="264"/>
      <c r="U412" s="265"/>
      <c r="V412" s="266"/>
      <c r="W412" s="266"/>
      <c r="X412" s="267"/>
      <c r="Y412" s="268"/>
      <c r="Z412" s="268"/>
      <c r="AA412" s="259"/>
      <c r="AB412" s="260"/>
      <c r="AC412" s="260"/>
      <c r="AD412" s="261"/>
      <c r="AE412" s="262"/>
      <c r="AF412" s="262"/>
      <c r="AG412" s="269"/>
      <c r="AH412" s="270"/>
      <c r="AI412" s="271"/>
      <c r="AJ412" s="272"/>
    </row>
    <row r="413" spans="1:36" x14ac:dyDescent="0.25">
      <c r="A413" s="28" t="str">
        <f>IF(H413&lt;&gt;"",MAX($A$7:A412)+1,"")</f>
        <v/>
      </c>
      <c r="B413" s="243" t="str">
        <f t="shared" si="14"/>
        <v/>
      </c>
      <c r="C413" s="158" t="str">
        <f t="shared" si="15"/>
        <v/>
      </c>
      <c r="D413" s="246"/>
      <c r="E413" s="247"/>
      <c r="F413" s="258"/>
      <c r="G413" s="248"/>
      <c r="H413" s="241"/>
      <c r="I413" s="259"/>
      <c r="J413" s="260"/>
      <c r="K413" s="260"/>
      <c r="L413" s="261"/>
      <c r="M413" s="262"/>
      <c r="N413" s="262"/>
      <c r="O413" s="261"/>
      <c r="P413" s="262"/>
      <c r="Q413" s="262"/>
      <c r="R413" s="263"/>
      <c r="S413" s="264"/>
      <c r="T413" s="264"/>
      <c r="U413" s="265"/>
      <c r="V413" s="266"/>
      <c r="W413" s="266"/>
      <c r="X413" s="267"/>
      <c r="Y413" s="268"/>
      <c r="Z413" s="268"/>
      <c r="AA413" s="259"/>
      <c r="AB413" s="260"/>
      <c r="AC413" s="260"/>
      <c r="AD413" s="261"/>
      <c r="AE413" s="262"/>
      <c r="AF413" s="262"/>
      <c r="AG413" s="269"/>
      <c r="AH413" s="270"/>
      <c r="AI413" s="271"/>
      <c r="AJ413" s="272"/>
    </row>
    <row r="414" spans="1:36" x14ac:dyDescent="0.25">
      <c r="A414" s="28" t="str">
        <f>IF(H414&lt;&gt;"",MAX($A$7:A413)+1,"")</f>
        <v/>
      </c>
      <c r="B414" s="243" t="str">
        <f t="shared" si="14"/>
        <v/>
      </c>
      <c r="C414" s="158" t="str">
        <f t="shared" si="15"/>
        <v/>
      </c>
      <c r="D414" s="246"/>
      <c r="E414" s="247"/>
      <c r="F414" s="258"/>
      <c r="G414" s="248"/>
      <c r="H414" s="241"/>
      <c r="I414" s="259"/>
      <c r="J414" s="260"/>
      <c r="K414" s="260"/>
      <c r="L414" s="261"/>
      <c r="M414" s="262"/>
      <c r="N414" s="262"/>
      <c r="O414" s="261"/>
      <c r="P414" s="262"/>
      <c r="Q414" s="262"/>
      <c r="R414" s="263"/>
      <c r="S414" s="264"/>
      <c r="T414" s="264"/>
      <c r="U414" s="265"/>
      <c r="V414" s="266"/>
      <c r="W414" s="266"/>
      <c r="X414" s="267"/>
      <c r="Y414" s="268"/>
      <c r="Z414" s="268"/>
      <c r="AA414" s="259"/>
      <c r="AB414" s="260"/>
      <c r="AC414" s="260"/>
      <c r="AD414" s="261"/>
      <c r="AE414" s="262"/>
      <c r="AF414" s="262"/>
      <c r="AG414" s="269"/>
      <c r="AH414" s="270"/>
      <c r="AI414" s="271"/>
      <c r="AJ414" s="272"/>
    </row>
    <row r="415" spans="1:36" x14ac:dyDescent="0.25">
      <c r="A415" s="28" t="str">
        <f>IF(H415&lt;&gt;"",MAX($A$7:A414)+1,"")</f>
        <v/>
      </c>
      <c r="B415" s="243" t="str">
        <f t="shared" si="14"/>
        <v/>
      </c>
      <c r="C415" s="158" t="str">
        <f t="shared" si="15"/>
        <v/>
      </c>
      <c r="D415" s="246"/>
      <c r="E415" s="247"/>
      <c r="F415" s="258"/>
      <c r="G415" s="248"/>
      <c r="H415" s="241"/>
      <c r="I415" s="259"/>
      <c r="J415" s="260"/>
      <c r="K415" s="260"/>
      <c r="L415" s="261"/>
      <c r="M415" s="262"/>
      <c r="N415" s="262"/>
      <c r="O415" s="261"/>
      <c r="P415" s="262"/>
      <c r="Q415" s="262"/>
      <c r="R415" s="263"/>
      <c r="S415" s="264"/>
      <c r="T415" s="264"/>
      <c r="U415" s="265"/>
      <c r="V415" s="266"/>
      <c r="W415" s="266"/>
      <c r="X415" s="267"/>
      <c r="Y415" s="268"/>
      <c r="Z415" s="268"/>
      <c r="AA415" s="259"/>
      <c r="AB415" s="260"/>
      <c r="AC415" s="260"/>
      <c r="AD415" s="261"/>
      <c r="AE415" s="262"/>
      <c r="AF415" s="262"/>
      <c r="AG415" s="269"/>
      <c r="AH415" s="270"/>
      <c r="AI415" s="271"/>
      <c r="AJ415" s="272"/>
    </row>
    <row r="416" spans="1:36" x14ac:dyDescent="0.25">
      <c r="A416" s="28" t="str">
        <f>IF(H416&lt;&gt;"",MAX($A$7:A415)+1,"")</f>
        <v/>
      </c>
      <c r="B416" s="243" t="str">
        <f t="shared" si="14"/>
        <v/>
      </c>
      <c r="C416" s="158" t="str">
        <f t="shared" si="15"/>
        <v/>
      </c>
      <c r="D416" s="246"/>
      <c r="E416" s="247"/>
      <c r="F416" s="258"/>
      <c r="G416" s="248"/>
      <c r="H416" s="241"/>
      <c r="I416" s="259"/>
      <c r="J416" s="260"/>
      <c r="K416" s="260"/>
      <c r="L416" s="261"/>
      <c r="M416" s="262"/>
      <c r="N416" s="262"/>
      <c r="O416" s="261"/>
      <c r="P416" s="262"/>
      <c r="Q416" s="262"/>
      <c r="R416" s="263"/>
      <c r="S416" s="264"/>
      <c r="T416" s="264"/>
      <c r="U416" s="265"/>
      <c r="V416" s="266"/>
      <c r="W416" s="266"/>
      <c r="X416" s="267"/>
      <c r="Y416" s="268"/>
      <c r="Z416" s="268"/>
      <c r="AA416" s="259"/>
      <c r="AB416" s="260"/>
      <c r="AC416" s="260"/>
      <c r="AD416" s="261"/>
      <c r="AE416" s="262"/>
      <c r="AF416" s="262"/>
      <c r="AG416" s="269"/>
      <c r="AH416" s="270"/>
      <c r="AI416" s="271"/>
      <c r="AJ416" s="272"/>
    </row>
    <row r="417" spans="1:36" x14ac:dyDescent="0.25">
      <c r="A417" s="28" t="str">
        <f>IF(H417&lt;&gt;"",MAX($A$7:A416)+1,"")</f>
        <v/>
      </c>
      <c r="B417" s="243" t="str">
        <f t="shared" si="14"/>
        <v/>
      </c>
      <c r="C417" s="158" t="str">
        <f t="shared" si="15"/>
        <v/>
      </c>
      <c r="D417" s="246"/>
      <c r="E417" s="247"/>
      <c r="F417" s="258"/>
      <c r="G417" s="248"/>
      <c r="H417" s="241"/>
      <c r="I417" s="259"/>
      <c r="J417" s="260"/>
      <c r="K417" s="260"/>
      <c r="L417" s="261"/>
      <c r="M417" s="262"/>
      <c r="N417" s="262"/>
      <c r="O417" s="261"/>
      <c r="P417" s="262"/>
      <c r="Q417" s="262"/>
      <c r="R417" s="263"/>
      <c r="S417" s="264"/>
      <c r="T417" s="264"/>
      <c r="U417" s="265"/>
      <c r="V417" s="266"/>
      <c r="W417" s="266"/>
      <c r="X417" s="267"/>
      <c r="Y417" s="268"/>
      <c r="Z417" s="268"/>
      <c r="AA417" s="259"/>
      <c r="AB417" s="260"/>
      <c r="AC417" s="260"/>
      <c r="AD417" s="261"/>
      <c r="AE417" s="262"/>
      <c r="AF417" s="262"/>
      <c r="AG417" s="269"/>
      <c r="AH417" s="270"/>
      <c r="AI417" s="271"/>
      <c r="AJ417" s="272"/>
    </row>
    <row r="418" spans="1:36" x14ac:dyDescent="0.25">
      <c r="A418" s="28" t="str">
        <f>IF(H418&lt;&gt;"",MAX($A$7:A417)+1,"")</f>
        <v/>
      </c>
      <c r="B418" s="243" t="str">
        <f t="shared" si="14"/>
        <v/>
      </c>
      <c r="C418" s="158" t="str">
        <f t="shared" si="15"/>
        <v/>
      </c>
      <c r="D418" s="246"/>
      <c r="E418" s="247"/>
      <c r="F418" s="258"/>
      <c r="G418" s="248"/>
      <c r="H418" s="241"/>
      <c r="I418" s="259"/>
      <c r="J418" s="260"/>
      <c r="K418" s="260"/>
      <c r="L418" s="261"/>
      <c r="M418" s="262"/>
      <c r="N418" s="262"/>
      <c r="O418" s="261"/>
      <c r="P418" s="262"/>
      <c r="Q418" s="262"/>
      <c r="R418" s="263"/>
      <c r="S418" s="264"/>
      <c r="T418" s="264"/>
      <c r="U418" s="265"/>
      <c r="V418" s="266"/>
      <c r="W418" s="266"/>
      <c r="X418" s="267"/>
      <c r="Y418" s="268"/>
      <c r="Z418" s="268"/>
      <c r="AA418" s="259"/>
      <c r="AB418" s="260"/>
      <c r="AC418" s="260"/>
      <c r="AD418" s="261"/>
      <c r="AE418" s="262"/>
      <c r="AF418" s="262"/>
      <c r="AG418" s="269"/>
      <c r="AH418" s="270"/>
      <c r="AI418" s="271"/>
      <c r="AJ418" s="272"/>
    </row>
    <row r="419" spans="1:36" x14ac:dyDescent="0.25">
      <c r="A419" s="28" t="str">
        <f>IF(H419&lt;&gt;"",MAX($A$7:A418)+1,"")</f>
        <v/>
      </c>
      <c r="B419" s="243" t="str">
        <f t="shared" si="14"/>
        <v/>
      </c>
      <c r="C419" s="158" t="str">
        <f t="shared" si="15"/>
        <v/>
      </c>
      <c r="D419" s="246"/>
      <c r="E419" s="247"/>
      <c r="F419" s="258"/>
      <c r="G419" s="248"/>
      <c r="H419" s="241"/>
      <c r="I419" s="259"/>
      <c r="J419" s="260"/>
      <c r="K419" s="260"/>
      <c r="L419" s="261"/>
      <c r="M419" s="262"/>
      <c r="N419" s="262"/>
      <c r="O419" s="261"/>
      <c r="P419" s="262"/>
      <c r="Q419" s="262"/>
      <c r="R419" s="263"/>
      <c r="S419" s="264"/>
      <c r="T419" s="264"/>
      <c r="U419" s="265"/>
      <c r="V419" s="266"/>
      <c r="W419" s="266"/>
      <c r="X419" s="267"/>
      <c r="Y419" s="268"/>
      <c r="Z419" s="268"/>
      <c r="AA419" s="259"/>
      <c r="AB419" s="260"/>
      <c r="AC419" s="260"/>
      <c r="AD419" s="261"/>
      <c r="AE419" s="262"/>
      <c r="AF419" s="262"/>
      <c r="AG419" s="269"/>
      <c r="AH419" s="270"/>
      <c r="AI419" s="271"/>
      <c r="AJ419" s="272"/>
    </row>
    <row r="420" spans="1:36" x14ac:dyDescent="0.25">
      <c r="A420" s="28" t="str">
        <f>IF(H420&lt;&gt;"",MAX($A$7:A419)+1,"")</f>
        <v/>
      </c>
      <c r="B420" s="243" t="str">
        <f t="shared" si="14"/>
        <v/>
      </c>
      <c r="C420" s="158" t="str">
        <f t="shared" si="15"/>
        <v/>
      </c>
      <c r="D420" s="246"/>
      <c r="E420" s="247"/>
      <c r="F420" s="258"/>
      <c r="G420" s="248"/>
      <c r="H420" s="241"/>
      <c r="I420" s="259"/>
      <c r="J420" s="260"/>
      <c r="K420" s="260"/>
      <c r="L420" s="261"/>
      <c r="M420" s="262"/>
      <c r="N420" s="262"/>
      <c r="O420" s="261"/>
      <c r="P420" s="262"/>
      <c r="Q420" s="262"/>
      <c r="R420" s="263"/>
      <c r="S420" s="264"/>
      <c r="T420" s="264"/>
      <c r="U420" s="265"/>
      <c r="V420" s="266"/>
      <c r="W420" s="266"/>
      <c r="X420" s="267"/>
      <c r="Y420" s="268"/>
      <c r="Z420" s="268"/>
      <c r="AA420" s="259"/>
      <c r="AB420" s="260"/>
      <c r="AC420" s="260"/>
      <c r="AD420" s="261"/>
      <c r="AE420" s="262"/>
      <c r="AF420" s="262"/>
      <c r="AG420" s="269"/>
      <c r="AH420" s="270"/>
      <c r="AI420" s="271"/>
      <c r="AJ420" s="272"/>
    </row>
    <row r="421" spans="1:36" x14ac:dyDescent="0.25">
      <c r="A421" s="28" t="str">
        <f>IF(H421&lt;&gt;"",MAX($A$7:A420)+1,"")</f>
        <v/>
      </c>
      <c r="B421" s="243" t="str">
        <f t="shared" si="14"/>
        <v/>
      </c>
      <c r="C421" s="158" t="str">
        <f t="shared" si="15"/>
        <v/>
      </c>
      <c r="D421" s="246"/>
      <c r="E421" s="247"/>
      <c r="F421" s="258"/>
      <c r="G421" s="248"/>
      <c r="H421" s="241"/>
      <c r="I421" s="259"/>
      <c r="J421" s="260"/>
      <c r="K421" s="260"/>
      <c r="L421" s="261"/>
      <c r="M421" s="262"/>
      <c r="N421" s="262"/>
      <c r="O421" s="261"/>
      <c r="P421" s="262"/>
      <c r="Q421" s="262"/>
      <c r="R421" s="263"/>
      <c r="S421" s="264"/>
      <c r="T421" s="264"/>
      <c r="U421" s="265"/>
      <c r="V421" s="266"/>
      <c r="W421" s="266"/>
      <c r="X421" s="267"/>
      <c r="Y421" s="268"/>
      <c r="Z421" s="268"/>
      <c r="AA421" s="259"/>
      <c r="AB421" s="260"/>
      <c r="AC421" s="260"/>
      <c r="AD421" s="261"/>
      <c r="AE421" s="262"/>
      <c r="AF421" s="262"/>
      <c r="AG421" s="269"/>
      <c r="AH421" s="270"/>
      <c r="AI421" s="271"/>
      <c r="AJ421" s="272"/>
    </row>
    <row r="422" spans="1:36" x14ac:dyDescent="0.25">
      <c r="A422" s="28" t="str">
        <f>IF(H422&lt;&gt;"",MAX($A$7:A421)+1,"")</f>
        <v/>
      </c>
      <c r="B422" s="243" t="str">
        <f t="shared" si="14"/>
        <v/>
      </c>
      <c r="C422" s="158" t="str">
        <f t="shared" si="15"/>
        <v/>
      </c>
      <c r="D422" s="246"/>
      <c r="E422" s="247"/>
      <c r="F422" s="258"/>
      <c r="G422" s="248"/>
      <c r="H422" s="241"/>
      <c r="I422" s="259"/>
      <c r="J422" s="260"/>
      <c r="K422" s="260"/>
      <c r="L422" s="261"/>
      <c r="M422" s="262"/>
      <c r="N422" s="262"/>
      <c r="O422" s="261"/>
      <c r="P422" s="262"/>
      <c r="Q422" s="262"/>
      <c r="R422" s="263"/>
      <c r="S422" s="264"/>
      <c r="T422" s="264"/>
      <c r="U422" s="265"/>
      <c r="V422" s="266"/>
      <c r="W422" s="266"/>
      <c r="X422" s="267"/>
      <c r="Y422" s="268"/>
      <c r="Z422" s="268"/>
      <c r="AA422" s="259"/>
      <c r="AB422" s="260"/>
      <c r="AC422" s="260"/>
      <c r="AD422" s="261"/>
      <c r="AE422" s="262"/>
      <c r="AF422" s="262"/>
      <c r="AG422" s="269"/>
      <c r="AH422" s="270"/>
      <c r="AI422" s="271"/>
      <c r="AJ422" s="272"/>
    </row>
    <row r="423" spans="1:36" x14ac:dyDescent="0.25">
      <c r="A423" s="28" t="str">
        <f>IF(H423&lt;&gt;"",MAX($A$7:A422)+1,"")</f>
        <v/>
      </c>
      <c r="B423" s="243" t="str">
        <f t="shared" si="14"/>
        <v/>
      </c>
      <c r="C423" s="158" t="str">
        <f t="shared" si="15"/>
        <v/>
      </c>
      <c r="D423" s="246"/>
      <c r="E423" s="247"/>
      <c r="F423" s="258"/>
      <c r="G423" s="248"/>
      <c r="H423" s="241"/>
      <c r="I423" s="259"/>
      <c r="J423" s="260"/>
      <c r="K423" s="260"/>
      <c r="L423" s="261"/>
      <c r="M423" s="262"/>
      <c r="N423" s="262"/>
      <c r="O423" s="261"/>
      <c r="P423" s="262"/>
      <c r="Q423" s="262"/>
      <c r="R423" s="263"/>
      <c r="S423" s="264"/>
      <c r="T423" s="264"/>
      <c r="U423" s="265"/>
      <c r="V423" s="266"/>
      <c r="W423" s="266"/>
      <c r="X423" s="267"/>
      <c r="Y423" s="268"/>
      <c r="Z423" s="268"/>
      <c r="AA423" s="259"/>
      <c r="AB423" s="260"/>
      <c r="AC423" s="260"/>
      <c r="AD423" s="261"/>
      <c r="AE423" s="262"/>
      <c r="AF423" s="262"/>
      <c r="AG423" s="269"/>
      <c r="AH423" s="270"/>
      <c r="AI423" s="271"/>
      <c r="AJ423" s="272"/>
    </row>
    <row r="424" spans="1:36" x14ac:dyDescent="0.25">
      <c r="A424" s="28" t="str">
        <f>IF(H424&lt;&gt;"",MAX($A$7:A423)+1,"")</f>
        <v/>
      </c>
      <c r="B424" s="243" t="str">
        <f t="shared" si="14"/>
        <v/>
      </c>
      <c r="C424" s="158" t="str">
        <f t="shared" si="15"/>
        <v/>
      </c>
      <c r="D424" s="246"/>
      <c r="E424" s="247"/>
      <c r="F424" s="258"/>
      <c r="G424" s="248"/>
      <c r="H424" s="241"/>
      <c r="I424" s="259"/>
      <c r="J424" s="260"/>
      <c r="K424" s="260"/>
      <c r="L424" s="261"/>
      <c r="M424" s="262"/>
      <c r="N424" s="262"/>
      <c r="O424" s="261"/>
      <c r="P424" s="262"/>
      <c r="Q424" s="262"/>
      <c r="R424" s="263"/>
      <c r="S424" s="264"/>
      <c r="T424" s="264"/>
      <c r="U424" s="265"/>
      <c r="V424" s="266"/>
      <c r="W424" s="266"/>
      <c r="X424" s="267"/>
      <c r="Y424" s="268"/>
      <c r="Z424" s="268"/>
      <c r="AA424" s="259"/>
      <c r="AB424" s="260"/>
      <c r="AC424" s="260"/>
      <c r="AD424" s="261"/>
      <c r="AE424" s="262"/>
      <c r="AF424" s="262"/>
      <c r="AG424" s="269"/>
      <c r="AH424" s="270"/>
      <c r="AI424" s="271"/>
      <c r="AJ424" s="272"/>
    </row>
    <row r="425" spans="1:36" x14ac:dyDescent="0.25">
      <c r="A425" s="28" t="str">
        <f>IF(H425&lt;&gt;"",MAX($A$7:A424)+1,"")</f>
        <v/>
      </c>
      <c r="B425" s="243" t="str">
        <f t="shared" si="14"/>
        <v/>
      </c>
      <c r="C425" s="158" t="str">
        <f t="shared" si="15"/>
        <v/>
      </c>
      <c r="D425" s="246"/>
      <c r="E425" s="247"/>
      <c r="F425" s="258"/>
      <c r="G425" s="248"/>
      <c r="H425" s="241"/>
      <c r="I425" s="259"/>
      <c r="J425" s="260"/>
      <c r="K425" s="260"/>
      <c r="L425" s="261"/>
      <c r="M425" s="262"/>
      <c r="N425" s="262"/>
      <c r="O425" s="261"/>
      <c r="P425" s="262"/>
      <c r="Q425" s="262"/>
      <c r="R425" s="263"/>
      <c r="S425" s="264"/>
      <c r="T425" s="264"/>
      <c r="U425" s="265"/>
      <c r="V425" s="266"/>
      <c r="W425" s="266"/>
      <c r="X425" s="267"/>
      <c r="Y425" s="268"/>
      <c r="Z425" s="268"/>
      <c r="AA425" s="259"/>
      <c r="AB425" s="260"/>
      <c r="AC425" s="260"/>
      <c r="AD425" s="261"/>
      <c r="AE425" s="262"/>
      <c r="AF425" s="262"/>
      <c r="AG425" s="269"/>
      <c r="AH425" s="270"/>
      <c r="AI425" s="271"/>
      <c r="AJ425" s="272"/>
    </row>
    <row r="426" spans="1:36" x14ac:dyDescent="0.25">
      <c r="A426" s="28" t="str">
        <f>IF(H426&lt;&gt;"",MAX($A$7:A425)+1,"")</f>
        <v/>
      </c>
      <c r="B426" s="243" t="str">
        <f t="shared" si="14"/>
        <v/>
      </c>
      <c r="C426" s="158" t="str">
        <f t="shared" si="15"/>
        <v/>
      </c>
      <c r="D426" s="246"/>
      <c r="E426" s="247"/>
      <c r="F426" s="258"/>
      <c r="G426" s="248"/>
      <c r="H426" s="241"/>
      <c r="I426" s="259"/>
      <c r="J426" s="260"/>
      <c r="K426" s="260"/>
      <c r="L426" s="261"/>
      <c r="M426" s="262"/>
      <c r="N426" s="262"/>
      <c r="O426" s="261"/>
      <c r="P426" s="262"/>
      <c r="Q426" s="262"/>
      <c r="R426" s="263"/>
      <c r="S426" s="264"/>
      <c r="T426" s="264"/>
      <c r="U426" s="265"/>
      <c r="V426" s="266"/>
      <c r="W426" s="266"/>
      <c r="X426" s="267"/>
      <c r="Y426" s="268"/>
      <c r="Z426" s="268"/>
      <c r="AA426" s="259"/>
      <c r="AB426" s="260"/>
      <c r="AC426" s="260"/>
      <c r="AD426" s="261"/>
      <c r="AE426" s="262"/>
      <c r="AF426" s="262"/>
      <c r="AG426" s="269"/>
      <c r="AH426" s="270"/>
      <c r="AI426" s="271"/>
      <c r="AJ426" s="272"/>
    </row>
    <row r="427" spans="1:36" x14ac:dyDescent="0.25">
      <c r="A427" s="28" t="str">
        <f>IF(H427&lt;&gt;"",MAX($A$7:A426)+1,"")</f>
        <v/>
      </c>
      <c r="B427" s="243" t="str">
        <f t="shared" si="14"/>
        <v/>
      </c>
      <c r="C427" s="158" t="str">
        <f t="shared" si="15"/>
        <v/>
      </c>
      <c r="D427" s="246"/>
      <c r="E427" s="247"/>
      <c r="F427" s="258"/>
      <c r="G427" s="248"/>
      <c r="H427" s="241"/>
      <c r="I427" s="259"/>
      <c r="J427" s="260"/>
      <c r="K427" s="260"/>
      <c r="L427" s="261"/>
      <c r="M427" s="262"/>
      <c r="N427" s="262"/>
      <c r="O427" s="261"/>
      <c r="P427" s="262"/>
      <c r="Q427" s="262"/>
      <c r="R427" s="263"/>
      <c r="S427" s="264"/>
      <c r="T427" s="264"/>
      <c r="U427" s="265"/>
      <c r="V427" s="266"/>
      <c r="W427" s="266"/>
      <c r="X427" s="267"/>
      <c r="Y427" s="268"/>
      <c r="Z427" s="268"/>
      <c r="AA427" s="259"/>
      <c r="AB427" s="260"/>
      <c r="AC427" s="260"/>
      <c r="AD427" s="261"/>
      <c r="AE427" s="262"/>
      <c r="AF427" s="262"/>
      <c r="AG427" s="269"/>
      <c r="AH427" s="270"/>
      <c r="AI427" s="271"/>
      <c r="AJ427" s="272"/>
    </row>
    <row r="428" spans="1:36" x14ac:dyDescent="0.25">
      <c r="A428" s="28" t="str">
        <f>IF(H428&lt;&gt;"",MAX($A$7:A427)+1,"")</f>
        <v/>
      </c>
      <c r="B428" s="243" t="str">
        <f t="shared" si="14"/>
        <v/>
      </c>
      <c r="C428" s="158" t="str">
        <f t="shared" si="15"/>
        <v/>
      </c>
      <c r="D428" s="246"/>
      <c r="E428" s="247"/>
      <c r="F428" s="258"/>
      <c r="G428" s="248"/>
      <c r="H428" s="241"/>
      <c r="I428" s="259"/>
      <c r="J428" s="260"/>
      <c r="K428" s="260"/>
      <c r="L428" s="261"/>
      <c r="M428" s="262"/>
      <c r="N428" s="262"/>
      <c r="O428" s="261"/>
      <c r="P428" s="262"/>
      <c r="Q428" s="262"/>
      <c r="R428" s="263"/>
      <c r="S428" s="264"/>
      <c r="T428" s="264"/>
      <c r="U428" s="265"/>
      <c r="V428" s="266"/>
      <c r="W428" s="266"/>
      <c r="X428" s="267"/>
      <c r="Y428" s="268"/>
      <c r="Z428" s="268"/>
      <c r="AA428" s="259"/>
      <c r="AB428" s="260"/>
      <c r="AC428" s="260"/>
      <c r="AD428" s="261"/>
      <c r="AE428" s="262"/>
      <c r="AF428" s="262"/>
      <c r="AG428" s="269"/>
      <c r="AH428" s="270"/>
      <c r="AI428" s="271"/>
      <c r="AJ428" s="272"/>
    </row>
    <row r="429" spans="1:36" x14ac:dyDescent="0.25">
      <c r="A429" s="28" t="str">
        <f>IF(H429&lt;&gt;"",MAX($A$7:A428)+1,"")</f>
        <v/>
      </c>
      <c r="B429" s="243" t="str">
        <f t="shared" si="14"/>
        <v/>
      </c>
      <c r="C429" s="158" t="str">
        <f t="shared" si="15"/>
        <v/>
      </c>
      <c r="D429" s="246"/>
      <c r="E429" s="247"/>
      <c r="F429" s="258"/>
      <c r="G429" s="248"/>
      <c r="H429" s="241"/>
      <c r="I429" s="259"/>
      <c r="J429" s="260"/>
      <c r="K429" s="260"/>
      <c r="L429" s="261"/>
      <c r="M429" s="262"/>
      <c r="N429" s="262"/>
      <c r="O429" s="261"/>
      <c r="P429" s="262"/>
      <c r="Q429" s="262"/>
      <c r="R429" s="263"/>
      <c r="S429" s="264"/>
      <c r="T429" s="264"/>
      <c r="U429" s="265"/>
      <c r="V429" s="266"/>
      <c r="W429" s="266"/>
      <c r="X429" s="267"/>
      <c r="Y429" s="268"/>
      <c r="Z429" s="268"/>
      <c r="AA429" s="259"/>
      <c r="AB429" s="260"/>
      <c r="AC429" s="260"/>
      <c r="AD429" s="261"/>
      <c r="AE429" s="262"/>
      <c r="AF429" s="262"/>
      <c r="AG429" s="269"/>
      <c r="AH429" s="270"/>
      <c r="AI429" s="271"/>
      <c r="AJ429" s="272"/>
    </row>
    <row r="430" spans="1:36" x14ac:dyDescent="0.25">
      <c r="A430" s="28" t="str">
        <f>IF(H430&lt;&gt;"",MAX($A$7:A429)+1,"")</f>
        <v/>
      </c>
      <c r="B430" s="243" t="str">
        <f t="shared" si="14"/>
        <v/>
      </c>
      <c r="C430" s="158" t="str">
        <f t="shared" si="15"/>
        <v/>
      </c>
      <c r="D430" s="246"/>
      <c r="E430" s="247"/>
      <c r="F430" s="258"/>
      <c r="G430" s="248"/>
      <c r="H430" s="241"/>
      <c r="I430" s="259"/>
      <c r="J430" s="260"/>
      <c r="K430" s="260"/>
      <c r="L430" s="261"/>
      <c r="M430" s="262"/>
      <c r="N430" s="262"/>
      <c r="O430" s="261"/>
      <c r="P430" s="262"/>
      <c r="Q430" s="262"/>
      <c r="R430" s="263"/>
      <c r="S430" s="264"/>
      <c r="T430" s="264"/>
      <c r="U430" s="265"/>
      <c r="V430" s="266"/>
      <c r="W430" s="266"/>
      <c r="X430" s="267"/>
      <c r="Y430" s="268"/>
      <c r="Z430" s="268"/>
      <c r="AA430" s="259"/>
      <c r="AB430" s="260"/>
      <c r="AC430" s="260"/>
      <c r="AD430" s="261"/>
      <c r="AE430" s="262"/>
      <c r="AF430" s="262"/>
      <c r="AG430" s="269"/>
      <c r="AH430" s="270"/>
      <c r="AI430" s="271"/>
      <c r="AJ430" s="272"/>
    </row>
    <row r="431" spans="1:36" x14ac:dyDescent="0.25">
      <c r="A431" s="28" t="str">
        <f>IF(H431&lt;&gt;"",MAX($A$7:A430)+1,"")</f>
        <v/>
      </c>
      <c r="B431" s="243" t="str">
        <f t="shared" si="14"/>
        <v/>
      </c>
      <c r="C431" s="158" t="str">
        <f t="shared" si="15"/>
        <v/>
      </c>
      <c r="D431" s="246"/>
      <c r="E431" s="247"/>
      <c r="F431" s="258"/>
      <c r="G431" s="248"/>
      <c r="H431" s="241"/>
      <c r="I431" s="259"/>
      <c r="J431" s="260"/>
      <c r="K431" s="260"/>
      <c r="L431" s="261"/>
      <c r="M431" s="262"/>
      <c r="N431" s="262"/>
      <c r="O431" s="261"/>
      <c r="P431" s="262"/>
      <c r="Q431" s="262"/>
      <c r="R431" s="263"/>
      <c r="S431" s="264"/>
      <c r="T431" s="264"/>
      <c r="U431" s="265"/>
      <c r="V431" s="266"/>
      <c r="W431" s="266"/>
      <c r="X431" s="267"/>
      <c r="Y431" s="268"/>
      <c r="Z431" s="268"/>
      <c r="AA431" s="259"/>
      <c r="AB431" s="260"/>
      <c r="AC431" s="260"/>
      <c r="AD431" s="261"/>
      <c r="AE431" s="262"/>
      <c r="AF431" s="262"/>
      <c r="AG431" s="269"/>
      <c r="AH431" s="270"/>
      <c r="AI431" s="271"/>
      <c r="AJ431" s="272"/>
    </row>
    <row r="432" spans="1:36" x14ac:dyDescent="0.25">
      <c r="A432" s="28" t="str">
        <f>IF(H432&lt;&gt;"",MAX($A$7:A431)+1,"")</f>
        <v/>
      </c>
      <c r="B432" s="243" t="str">
        <f t="shared" si="14"/>
        <v/>
      </c>
      <c r="C432" s="158" t="str">
        <f t="shared" si="15"/>
        <v/>
      </c>
      <c r="D432" s="246"/>
      <c r="E432" s="247"/>
      <c r="F432" s="258"/>
      <c r="G432" s="248"/>
      <c r="H432" s="241"/>
      <c r="I432" s="259"/>
      <c r="J432" s="260"/>
      <c r="K432" s="260"/>
      <c r="L432" s="261"/>
      <c r="M432" s="262"/>
      <c r="N432" s="262"/>
      <c r="O432" s="261"/>
      <c r="P432" s="262"/>
      <c r="Q432" s="262"/>
      <c r="R432" s="263"/>
      <c r="S432" s="264"/>
      <c r="T432" s="264"/>
      <c r="U432" s="265"/>
      <c r="V432" s="266"/>
      <c r="W432" s="266"/>
      <c r="X432" s="267"/>
      <c r="Y432" s="268"/>
      <c r="Z432" s="268"/>
      <c r="AA432" s="259"/>
      <c r="AB432" s="260"/>
      <c r="AC432" s="260"/>
      <c r="AD432" s="261"/>
      <c r="AE432" s="262"/>
      <c r="AF432" s="262"/>
      <c r="AG432" s="269"/>
      <c r="AH432" s="270"/>
      <c r="AI432" s="271"/>
      <c r="AJ432" s="272"/>
    </row>
    <row r="433" spans="1:36" x14ac:dyDescent="0.25">
      <c r="A433" s="28" t="str">
        <f>IF(H433&lt;&gt;"",MAX($A$7:A432)+1,"")</f>
        <v/>
      </c>
      <c r="B433" s="243" t="str">
        <f t="shared" si="14"/>
        <v/>
      </c>
      <c r="C433" s="158" t="str">
        <f t="shared" si="15"/>
        <v/>
      </c>
      <c r="D433" s="246"/>
      <c r="E433" s="247"/>
      <c r="F433" s="258"/>
      <c r="G433" s="248"/>
      <c r="H433" s="241"/>
      <c r="I433" s="259"/>
      <c r="J433" s="260"/>
      <c r="K433" s="260"/>
      <c r="L433" s="261"/>
      <c r="M433" s="262"/>
      <c r="N433" s="262"/>
      <c r="O433" s="261"/>
      <c r="P433" s="262"/>
      <c r="Q433" s="262"/>
      <c r="R433" s="263"/>
      <c r="S433" s="264"/>
      <c r="T433" s="264"/>
      <c r="U433" s="265"/>
      <c r="V433" s="266"/>
      <c r="W433" s="266"/>
      <c r="X433" s="267"/>
      <c r="Y433" s="268"/>
      <c r="Z433" s="268"/>
      <c r="AA433" s="259"/>
      <c r="AB433" s="260"/>
      <c r="AC433" s="260"/>
      <c r="AD433" s="261"/>
      <c r="AE433" s="262"/>
      <c r="AF433" s="262"/>
      <c r="AG433" s="269"/>
      <c r="AH433" s="270"/>
      <c r="AI433" s="271"/>
      <c r="AJ433" s="272"/>
    </row>
    <row r="434" spans="1:36" x14ac:dyDescent="0.25">
      <c r="A434" s="28" t="str">
        <f>IF(H434&lt;&gt;"",MAX($A$7:A433)+1,"")</f>
        <v/>
      </c>
      <c r="B434" s="243" t="str">
        <f t="shared" si="14"/>
        <v/>
      </c>
      <c r="C434" s="158" t="str">
        <f t="shared" si="15"/>
        <v/>
      </c>
      <c r="D434" s="246"/>
      <c r="E434" s="247"/>
      <c r="F434" s="258"/>
      <c r="G434" s="248"/>
      <c r="H434" s="241"/>
      <c r="I434" s="259"/>
      <c r="J434" s="260"/>
      <c r="K434" s="260"/>
      <c r="L434" s="261"/>
      <c r="M434" s="262"/>
      <c r="N434" s="262"/>
      <c r="O434" s="261"/>
      <c r="P434" s="262"/>
      <c r="Q434" s="262"/>
      <c r="R434" s="263"/>
      <c r="S434" s="264"/>
      <c r="T434" s="264"/>
      <c r="U434" s="265"/>
      <c r="V434" s="266"/>
      <c r="W434" s="266"/>
      <c r="X434" s="267"/>
      <c r="Y434" s="268"/>
      <c r="Z434" s="268"/>
      <c r="AA434" s="259"/>
      <c r="AB434" s="260"/>
      <c r="AC434" s="260"/>
      <c r="AD434" s="261"/>
      <c r="AE434" s="262"/>
      <c r="AF434" s="262"/>
      <c r="AG434" s="269"/>
      <c r="AH434" s="270"/>
      <c r="AI434" s="271"/>
      <c r="AJ434" s="272"/>
    </row>
    <row r="435" spans="1:36" x14ac:dyDescent="0.25">
      <c r="A435" s="28" t="str">
        <f>IF(H435&lt;&gt;"",MAX($A$7:A434)+1,"")</f>
        <v/>
      </c>
      <c r="B435" s="243" t="str">
        <f t="shared" si="14"/>
        <v/>
      </c>
      <c r="C435" s="158" t="str">
        <f t="shared" si="15"/>
        <v/>
      </c>
      <c r="D435" s="246"/>
      <c r="E435" s="247"/>
      <c r="F435" s="258"/>
      <c r="G435" s="248"/>
      <c r="H435" s="241"/>
      <c r="I435" s="259"/>
      <c r="J435" s="260"/>
      <c r="K435" s="260"/>
      <c r="L435" s="261"/>
      <c r="M435" s="262"/>
      <c r="N435" s="262"/>
      <c r="O435" s="261"/>
      <c r="P435" s="262"/>
      <c r="Q435" s="262"/>
      <c r="R435" s="263"/>
      <c r="S435" s="264"/>
      <c r="T435" s="264"/>
      <c r="U435" s="265"/>
      <c r="V435" s="266"/>
      <c r="W435" s="266"/>
      <c r="X435" s="267"/>
      <c r="Y435" s="268"/>
      <c r="Z435" s="268"/>
      <c r="AA435" s="259"/>
      <c r="AB435" s="260"/>
      <c r="AC435" s="260"/>
      <c r="AD435" s="261"/>
      <c r="AE435" s="262"/>
      <c r="AF435" s="262"/>
      <c r="AG435" s="269"/>
      <c r="AH435" s="270"/>
      <c r="AI435" s="271"/>
      <c r="AJ435" s="272"/>
    </row>
    <row r="436" spans="1:36" x14ac:dyDescent="0.25">
      <c r="A436" s="28" t="str">
        <f>IF(H436&lt;&gt;"",MAX($A$7:A435)+1,"")</f>
        <v/>
      </c>
      <c r="B436" s="243" t="str">
        <f t="shared" si="14"/>
        <v/>
      </c>
      <c r="C436" s="158" t="str">
        <f t="shared" si="15"/>
        <v/>
      </c>
      <c r="D436" s="246"/>
      <c r="E436" s="247"/>
      <c r="F436" s="258"/>
      <c r="G436" s="248"/>
      <c r="H436" s="241"/>
      <c r="I436" s="259"/>
      <c r="J436" s="260"/>
      <c r="K436" s="260"/>
      <c r="L436" s="261"/>
      <c r="M436" s="262"/>
      <c r="N436" s="262"/>
      <c r="O436" s="261"/>
      <c r="P436" s="262"/>
      <c r="Q436" s="262"/>
      <c r="R436" s="263"/>
      <c r="S436" s="264"/>
      <c r="T436" s="264"/>
      <c r="U436" s="265"/>
      <c r="V436" s="266"/>
      <c r="W436" s="266"/>
      <c r="X436" s="267"/>
      <c r="Y436" s="268"/>
      <c r="Z436" s="268"/>
      <c r="AA436" s="259"/>
      <c r="AB436" s="260"/>
      <c r="AC436" s="260"/>
      <c r="AD436" s="261"/>
      <c r="AE436" s="262"/>
      <c r="AF436" s="262"/>
      <c r="AG436" s="269"/>
      <c r="AH436" s="270"/>
      <c r="AI436" s="271"/>
      <c r="AJ436" s="272"/>
    </row>
    <row r="437" spans="1:36" x14ac:dyDescent="0.25">
      <c r="A437" s="28" t="str">
        <f>IF(H437&lt;&gt;"",MAX($A$7:A436)+1,"")</f>
        <v/>
      </c>
      <c r="B437" s="243" t="str">
        <f t="shared" si="14"/>
        <v/>
      </c>
      <c r="C437" s="158" t="str">
        <f t="shared" si="15"/>
        <v/>
      </c>
      <c r="D437" s="246"/>
      <c r="E437" s="247"/>
      <c r="F437" s="258"/>
      <c r="G437" s="248"/>
      <c r="H437" s="241"/>
      <c r="I437" s="259"/>
      <c r="J437" s="260"/>
      <c r="K437" s="260"/>
      <c r="L437" s="261"/>
      <c r="M437" s="262"/>
      <c r="N437" s="262"/>
      <c r="O437" s="261"/>
      <c r="P437" s="262"/>
      <c r="Q437" s="262"/>
      <c r="R437" s="263"/>
      <c r="S437" s="264"/>
      <c r="T437" s="264"/>
      <c r="U437" s="265"/>
      <c r="V437" s="266"/>
      <c r="W437" s="266"/>
      <c r="X437" s="267"/>
      <c r="Y437" s="268"/>
      <c r="Z437" s="268"/>
      <c r="AA437" s="259"/>
      <c r="AB437" s="260"/>
      <c r="AC437" s="260"/>
      <c r="AD437" s="261"/>
      <c r="AE437" s="262"/>
      <c r="AF437" s="262"/>
      <c r="AG437" s="269"/>
      <c r="AH437" s="270"/>
      <c r="AI437" s="271"/>
      <c r="AJ437" s="272"/>
    </row>
    <row r="438" spans="1:36" x14ac:dyDescent="0.25">
      <c r="A438" s="28" t="str">
        <f>IF(H438&lt;&gt;"",MAX($A$7:A437)+1,"")</f>
        <v/>
      </c>
      <c r="B438" s="243" t="str">
        <f t="shared" si="14"/>
        <v/>
      </c>
      <c r="C438" s="158" t="str">
        <f t="shared" si="15"/>
        <v/>
      </c>
      <c r="D438" s="246"/>
      <c r="E438" s="247"/>
      <c r="F438" s="258"/>
      <c r="G438" s="248"/>
      <c r="H438" s="241"/>
      <c r="I438" s="259"/>
      <c r="J438" s="260"/>
      <c r="K438" s="260"/>
      <c r="L438" s="261"/>
      <c r="M438" s="262"/>
      <c r="N438" s="262"/>
      <c r="O438" s="261"/>
      <c r="P438" s="262"/>
      <c r="Q438" s="262"/>
      <c r="R438" s="263"/>
      <c r="S438" s="264"/>
      <c r="T438" s="264"/>
      <c r="U438" s="265"/>
      <c r="V438" s="266"/>
      <c r="W438" s="266"/>
      <c r="X438" s="267"/>
      <c r="Y438" s="268"/>
      <c r="Z438" s="268"/>
      <c r="AA438" s="259"/>
      <c r="AB438" s="260"/>
      <c r="AC438" s="260"/>
      <c r="AD438" s="261"/>
      <c r="AE438" s="262"/>
      <c r="AF438" s="262"/>
      <c r="AG438" s="269"/>
      <c r="AH438" s="270"/>
      <c r="AI438" s="271"/>
      <c r="AJ438" s="272"/>
    </row>
    <row r="439" spans="1:36" x14ac:dyDescent="0.25">
      <c r="A439" s="28" t="str">
        <f>IF(H439&lt;&gt;"",MAX($A$7:A438)+1,"")</f>
        <v/>
      </c>
      <c r="B439" s="243" t="str">
        <f t="shared" si="14"/>
        <v/>
      </c>
      <c r="C439" s="158" t="str">
        <f t="shared" si="15"/>
        <v/>
      </c>
      <c r="D439" s="246"/>
      <c r="E439" s="247"/>
      <c r="F439" s="258"/>
      <c r="G439" s="248"/>
      <c r="H439" s="241"/>
      <c r="I439" s="259"/>
      <c r="J439" s="260"/>
      <c r="K439" s="260"/>
      <c r="L439" s="261"/>
      <c r="M439" s="262"/>
      <c r="N439" s="262"/>
      <c r="O439" s="261"/>
      <c r="P439" s="262"/>
      <c r="Q439" s="262"/>
      <c r="R439" s="263"/>
      <c r="S439" s="264"/>
      <c r="T439" s="264"/>
      <c r="U439" s="265"/>
      <c r="V439" s="266"/>
      <c r="W439" s="266"/>
      <c r="X439" s="267"/>
      <c r="Y439" s="268"/>
      <c r="Z439" s="268"/>
      <c r="AA439" s="259"/>
      <c r="AB439" s="260"/>
      <c r="AC439" s="260"/>
      <c r="AD439" s="261"/>
      <c r="AE439" s="262"/>
      <c r="AF439" s="262"/>
      <c r="AG439" s="269"/>
      <c r="AH439" s="270"/>
      <c r="AI439" s="271"/>
      <c r="AJ439" s="272"/>
    </row>
    <row r="440" spans="1:36" x14ac:dyDescent="0.25">
      <c r="A440" s="28" t="str">
        <f>IF(H440&lt;&gt;"",MAX($A$7:A439)+1,"")</f>
        <v/>
      </c>
      <c r="B440" s="243" t="str">
        <f t="shared" si="14"/>
        <v/>
      </c>
      <c r="C440" s="158" t="str">
        <f t="shared" si="15"/>
        <v/>
      </c>
      <c r="D440" s="246"/>
      <c r="E440" s="247"/>
      <c r="F440" s="258"/>
      <c r="G440" s="248"/>
      <c r="H440" s="241"/>
      <c r="I440" s="259"/>
      <c r="J440" s="260"/>
      <c r="K440" s="260"/>
      <c r="L440" s="261"/>
      <c r="M440" s="262"/>
      <c r="N440" s="262"/>
      <c r="O440" s="261"/>
      <c r="P440" s="262"/>
      <c r="Q440" s="262"/>
      <c r="R440" s="263"/>
      <c r="S440" s="264"/>
      <c r="T440" s="264"/>
      <c r="U440" s="265"/>
      <c r="V440" s="266"/>
      <c r="W440" s="266"/>
      <c r="X440" s="267"/>
      <c r="Y440" s="268"/>
      <c r="Z440" s="268"/>
      <c r="AA440" s="259"/>
      <c r="AB440" s="260"/>
      <c r="AC440" s="260"/>
      <c r="AD440" s="261"/>
      <c r="AE440" s="262"/>
      <c r="AF440" s="262"/>
      <c r="AG440" s="269"/>
      <c r="AH440" s="270"/>
      <c r="AI440" s="271"/>
      <c r="AJ440" s="272"/>
    </row>
    <row r="441" spans="1:36" x14ac:dyDescent="0.25">
      <c r="A441" s="28" t="str">
        <f>IF(H441&lt;&gt;"",MAX($A$7:A440)+1,"")</f>
        <v/>
      </c>
      <c r="B441" s="243" t="str">
        <f t="shared" si="14"/>
        <v/>
      </c>
      <c r="C441" s="158" t="str">
        <f t="shared" si="15"/>
        <v/>
      </c>
      <c r="D441" s="246"/>
      <c r="E441" s="247"/>
      <c r="F441" s="258"/>
      <c r="G441" s="248"/>
      <c r="H441" s="241"/>
      <c r="I441" s="259"/>
      <c r="J441" s="260"/>
      <c r="K441" s="260"/>
      <c r="L441" s="261"/>
      <c r="M441" s="262"/>
      <c r="N441" s="262"/>
      <c r="O441" s="261"/>
      <c r="P441" s="262"/>
      <c r="Q441" s="262"/>
      <c r="R441" s="263"/>
      <c r="S441" s="264"/>
      <c r="T441" s="264"/>
      <c r="U441" s="265"/>
      <c r="V441" s="266"/>
      <c r="W441" s="266"/>
      <c r="X441" s="267"/>
      <c r="Y441" s="268"/>
      <c r="Z441" s="268"/>
      <c r="AA441" s="259"/>
      <c r="AB441" s="260"/>
      <c r="AC441" s="260"/>
      <c r="AD441" s="261"/>
      <c r="AE441" s="262"/>
      <c r="AF441" s="262"/>
      <c r="AG441" s="269"/>
      <c r="AH441" s="270"/>
      <c r="AI441" s="271"/>
      <c r="AJ441" s="272"/>
    </row>
    <row r="442" spans="1:36" x14ac:dyDescent="0.25">
      <c r="A442" s="28" t="str">
        <f>IF(H442&lt;&gt;"",MAX($A$7:A441)+1,"")</f>
        <v/>
      </c>
      <c r="B442" s="243" t="str">
        <f t="shared" si="14"/>
        <v/>
      </c>
      <c r="C442" s="158" t="str">
        <f t="shared" si="15"/>
        <v/>
      </c>
      <c r="D442" s="246"/>
      <c r="E442" s="247"/>
      <c r="F442" s="258"/>
      <c r="G442" s="248"/>
      <c r="H442" s="241"/>
      <c r="I442" s="259"/>
      <c r="J442" s="260"/>
      <c r="K442" s="260"/>
      <c r="L442" s="261"/>
      <c r="M442" s="262"/>
      <c r="N442" s="262"/>
      <c r="O442" s="261"/>
      <c r="P442" s="262"/>
      <c r="Q442" s="262"/>
      <c r="R442" s="263"/>
      <c r="S442" s="264"/>
      <c r="T442" s="264"/>
      <c r="U442" s="265"/>
      <c r="V442" s="266"/>
      <c r="W442" s="266"/>
      <c r="X442" s="267"/>
      <c r="Y442" s="268"/>
      <c r="Z442" s="268"/>
      <c r="AA442" s="259"/>
      <c r="AB442" s="260"/>
      <c r="AC442" s="260"/>
      <c r="AD442" s="261"/>
      <c r="AE442" s="262"/>
      <c r="AF442" s="262"/>
      <c r="AG442" s="269"/>
      <c r="AH442" s="270"/>
      <c r="AI442" s="271"/>
      <c r="AJ442" s="272"/>
    </row>
    <row r="443" spans="1:36" x14ac:dyDescent="0.25">
      <c r="A443" s="28" t="str">
        <f>IF(H443&lt;&gt;"",MAX($A$7:A442)+1,"")</f>
        <v/>
      </c>
      <c r="B443" s="243" t="str">
        <f t="shared" si="14"/>
        <v/>
      </c>
      <c r="C443" s="158" t="str">
        <f t="shared" si="15"/>
        <v/>
      </c>
      <c r="D443" s="246"/>
      <c r="E443" s="247"/>
      <c r="F443" s="258"/>
      <c r="G443" s="248"/>
      <c r="H443" s="241"/>
      <c r="I443" s="259"/>
      <c r="J443" s="260"/>
      <c r="K443" s="260"/>
      <c r="L443" s="261"/>
      <c r="M443" s="262"/>
      <c r="N443" s="262"/>
      <c r="O443" s="261"/>
      <c r="P443" s="262"/>
      <c r="Q443" s="262"/>
      <c r="R443" s="263"/>
      <c r="S443" s="264"/>
      <c r="T443" s="264"/>
      <c r="U443" s="265"/>
      <c r="V443" s="266"/>
      <c r="W443" s="266"/>
      <c r="X443" s="267"/>
      <c r="Y443" s="268"/>
      <c r="Z443" s="268"/>
      <c r="AA443" s="259"/>
      <c r="AB443" s="260"/>
      <c r="AC443" s="260"/>
      <c r="AD443" s="261"/>
      <c r="AE443" s="262"/>
      <c r="AF443" s="262"/>
      <c r="AG443" s="269"/>
      <c r="AH443" s="270"/>
      <c r="AI443" s="271"/>
      <c r="AJ443" s="272"/>
    </row>
    <row r="444" spans="1:36" x14ac:dyDescent="0.25">
      <c r="A444" s="28" t="str">
        <f>IF(H444&lt;&gt;"",MAX($A$7:A443)+1,"")</f>
        <v/>
      </c>
      <c r="B444" s="243" t="str">
        <f t="shared" si="14"/>
        <v/>
      </c>
      <c r="C444" s="158" t="str">
        <f t="shared" si="15"/>
        <v/>
      </c>
      <c r="D444" s="246"/>
      <c r="E444" s="247"/>
      <c r="F444" s="258"/>
      <c r="G444" s="248"/>
      <c r="H444" s="241"/>
      <c r="I444" s="259"/>
      <c r="J444" s="260"/>
      <c r="K444" s="260"/>
      <c r="L444" s="261"/>
      <c r="M444" s="262"/>
      <c r="N444" s="262"/>
      <c r="O444" s="261"/>
      <c r="P444" s="262"/>
      <c r="Q444" s="262"/>
      <c r="R444" s="263"/>
      <c r="S444" s="264"/>
      <c r="T444" s="264"/>
      <c r="U444" s="265"/>
      <c r="V444" s="266"/>
      <c r="W444" s="266"/>
      <c r="X444" s="267"/>
      <c r="Y444" s="268"/>
      <c r="Z444" s="268"/>
      <c r="AA444" s="259"/>
      <c r="AB444" s="260"/>
      <c r="AC444" s="260"/>
      <c r="AD444" s="261"/>
      <c r="AE444" s="262"/>
      <c r="AF444" s="262"/>
      <c r="AG444" s="269"/>
      <c r="AH444" s="270"/>
      <c r="AI444" s="271"/>
      <c r="AJ444" s="272"/>
    </row>
    <row r="445" spans="1:36" x14ac:dyDescent="0.25">
      <c r="A445" s="28" t="str">
        <f>IF(H445&lt;&gt;"",MAX($A$7:A444)+1,"")</f>
        <v/>
      </c>
      <c r="B445" s="243" t="str">
        <f t="shared" si="14"/>
        <v/>
      </c>
      <c r="C445" s="158" t="str">
        <f t="shared" si="15"/>
        <v/>
      </c>
      <c r="D445" s="246"/>
      <c r="E445" s="247"/>
      <c r="F445" s="258"/>
      <c r="G445" s="248"/>
      <c r="H445" s="241"/>
      <c r="I445" s="259"/>
      <c r="J445" s="260"/>
      <c r="K445" s="260"/>
      <c r="L445" s="261"/>
      <c r="M445" s="262"/>
      <c r="N445" s="262"/>
      <c r="O445" s="261"/>
      <c r="P445" s="262"/>
      <c r="Q445" s="262"/>
      <c r="R445" s="263"/>
      <c r="S445" s="264"/>
      <c r="T445" s="264"/>
      <c r="U445" s="265"/>
      <c r="V445" s="266"/>
      <c r="W445" s="266"/>
      <c r="X445" s="267"/>
      <c r="Y445" s="268"/>
      <c r="Z445" s="268"/>
      <c r="AA445" s="259"/>
      <c r="AB445" s="260"/>
      <c r="AC445" s="260"/>
      <c r="AD445" s="261"/>
      <c r="AE445" s="262"/>
      <c r="AF445" s="262"/>
      <c r="AG445" s="269"/>
      <c r="AH445" s="270"/>
      <c r="AI445" s="271"/>
      <c r="AJ445" s="272"/>
    </row>
    <row r="446" spans="1:36" x14ac:dyDescent="0.25">
      <c r="A446" s="28" t="str">
        <f>IF(H446&lt;&gt;"",MAX($A$7:A445)+1,"")</f>
        <v/>
      </c>
      <c r="B446" s="243" t="str">
        <f t="shared" si="14"/>
        <v/>
      </c>
      <c r="C446" s="158" t="str">
        <f t="shared" si="15"/>
        <v/>
      </c>
      <c r="D446" s="246"/>
      <c r="E446" s="247"/>
      <c r="F446" s="258"/>
      <c r="G446" s="248"/>
      <c r="H446" s="241"/>
      <c r="I446" s="259"/>
      <c r="J446" s="260"/>
      <c r="K446" s="260"/>
      <c r="L446" s="261"/>
      <c r="M446" s="262"/>
      <c r="N446" s="262"/>
      <c r="O446" s="261"/>
      <c r="P446" s="262"/>
      <c r="Q446" s="262"/>
      <c r="R446" s="263"/>
      <c r="S446" s="264"/>
      <c r="T446" s="264"/>
      <c r="U446" s="265"/>
      <c r="V446" s="266"/>
      <c r="W446" s="266"/>
      <c r="X446" s="267"/>
      <c r="Y446" s="268"/>
      <c r="Z446" s="268"/>
      <c r="AA446" s="259"/>
      <c r="AB446" s="260"/>
      <c r="AC446" s="260"/>
      <c r="AD446" s="261"/>
      <c r="AE446" s="262"/>
      <c r="AF446" s="262"/>
      <c r="AG446" s="269"/>
      <c r="AH446" s="270"/>
      <c r="AI446" s="271"/>
      <c r="AJ446" s="272"/>
    </row>
    <row r="447" spans="1:36" x14ac:dyDescent="0.25">
      <c r="A447" s="28" t="str">
        <f>IF(H447&lt;&gt;"",MAX($A$7:A446)+1,"")</f>
        <v/>
      </c>
      <c r="B447" s="243" t="str">
        <f t="shared" si="14"/>
        <v/>
      </c>
      <c r="C447" s="158" t="str">
        <f t="shared" si="15"/>
        <v/>
      </c>
      <c r="D447" s="246"/>
      <c r="E447" s="247"/>
      <c r="F447" s="258"/>
      <c r="G447" s="248"/>
      <c r="H447" s="241"/>
      <c r="I447" s="259"/>
      <c r="J447" s="260"/>
      <c r="K447" s="260"/>
      <c r="L447" s="261"/>
      <c r="M447" s="262"/>
      <c r="N447" s="262"/>
      <c r="O447" s="261"/>
      <c r="P447" s="262"/>
      <c r="Q447" s="262"/>
      <c r="R447" s="263"/>
      <c r="S447" s="264"/>
      <c r="T447" s="264"/>
      <c r="U447" s="265"/>
      <c r="V447" s="266"/>
      <c r="W447" s="266"/>
      <c r="X447" s="267"/>
      <c r="Y447" s="268"/>
      <c r="Z447" s="268"/>
      <c r="AA447" s="259"/>
      <c r="AB447" s="260"/>
      <c r="AC447" s="260"/>
      <c r="AD447" s="261"/>
      <c r="AE447" s="262"/>
      <c r="AF447" s="262"/>
      <c r="AG447" s="269"/>
      <c r="AH447" s="270"/>
      <c r="AI447" s="271"/>
      <c r="AJ447" s="272"/>
    </row>
    <row r="448" spans="1:36" x14ac:dyDescent="0.25">
      <c r="A448" s="28" t="str">
        <f>IF(H448&lt;&gt;"",MAX($A$7:A447)+1,"")</f>
        <v/>
      </c>
      <c r="B448" s="243" t="str">
        <f t="shared" si="14"/>
        <v/>
      </c>
      <c r="C448" s="158" t="str">
        <f t="shared" si="15"/>
        <v/>
      </c>
      <c r="D448" s="246"/>
      <c r="E448" s="247"/>
      <c r="F448" s="258"/>
      <c r="G448" s="248"/>
      <c r="H448" s="241"/>
      <c r="I448" s="259"/>
      <c r="J448" s="260"/>
      <c r="K448" s="260"/>
      <c r="L448" s="261"/>
      <c r="M448" s="262"/>
      <c r="N448" s="262"/>
      <c r="O448" s="261"/>
      <c r="P448" s="262"/>
      <c r="Q448" s="262"/>
      <c r="R448" s="263"/>
      <c r="S448" s="264"/>
      <c r="T448" s="264"/>
      <c r="U448" s="265"/>
      <c r="V448" s="266"/>
      <c r="W448" s="266"/>
      <c r="X448" s="267"/>
      <c r="Y448" s="268"/>
      <c r="Z448" s="268"/>
      <c r="AA448" s="259"/>
      <c r="AB448" s="260"/>
      <c r="AC448" s="260"/>
      <c r="AD448" s="261"/>
      <c r="AE448" s="262"/>
      <c r="AF448" s="262"/>
      <c r="AG448" s="269"/>
      <c r="AH448" s="270"/>
      <c r="AI448" s="271"/>
      <c r="AJ448" s="272"/>
    </row>
    <row r="449" spans="1:36" x14ac:dyDescent="0.25">
      <c r="A449" s="28" t="str">
        <f>IF(H449&lt;&gt;"",MAX($A$7:A448)+1,"")</f>
        <v/>
      </c>
      <c r="B449" s="243" t="str">
        <f t="shared" si="14"/>
        <v/>
      </c>
      <c r="C449" s="158" t="str">
        <f t="shared" si="15"/>
        <v/>
      </c>
      <c r="D449" s="246"/>
      <c r="E449" s="247"/>
      <c r="F449" s="258"/>
      <c r="G449" s="248"/>
      <c r="H449" s="241"/>
      <c r="I449" s="259"/>
      <c r="J449" s="260"/>
      <c r="K449" s="260"/>
      <c r="L449" s="261"/>
      <c r="M449" s="262"/>
      <c r="N449" s="262"/>
      <c r="O449" s="261"/>
      <c r="P449" s="262"/>
      <c r="Q449" s="262"/>
      <c r="R449" s="263"/>
      <c r="S449" s="264"/>
      <c r="T449" s="264"/>
      <c r="U449" s="265"/>
      <c r="V449" s="266"/>
      <c r="W449" s="266"/>
      <c r="X449" s="267"/>
      <c r="Y449" s="268"/>
      <c r="Z449" s="268"/>
      <c r="AA449" s="259"/>
      <c r="AB449" s="260"/>
      <c r="AC449" s="260"/>
      <c r="AD449" s="261"/>
      <c r="AE449" s="262"/>
      <c r="AF449" s="262"/>
      <c r="AG449" s="269"/>
      <c r="AH449" s="270"/>
      <c r="AI449" s="271"/>
      <c r="AJ449" s="272"/>
    </row>
    <row r="450" spans="1:36" x14ac:dyDescent="0.25">
      <c r="A450" s="28" t="str">
        <f>IF(H450&lt;&gt;"",MAX($A$7:A449)+1,"")</f>
        <v/>
      </c>
      <c r="B450" s="243" t="str">
        <f t="shared" si="14"/>
        <v/>
      </c>
      <c r="C450" s="158" t="str">
        <f t="shared" si="15"/>
        <v/>
      </c>
      <c r="D450" s="246"/>
      <c r="E450" s="247"/>
      <c r="F450" s="258"/>
      <c r="G450" s="248"/>
      <c r="H450" s="241"/>
      <c r="I450" s="259"/>
      <c r="J450" s="260"/>
      <c r="K450" s="260"/>
      <c r="L450" s="261"/>
      <c r="M450" s="262"/>
      <c r="N450" s="262"/>
      <c r="O450" s="261"/>
      <c r="P450" s="262"/>
      <c r="Q450" s="262"/>
      <c r="R450" s="263"/>
      <c r="S450" s="264"/>
      <c r="T450" s="264"/>
      <c r="U450" s="265"/>
      <c r="V450" s="266"/>
      <c r="W450" s="266"/>
      <c r="X450" s="267"/>
      <c r="Y450" s="268"/>
      <c r="Z450" s="268"/>
      <c r="AA450" s="259"/>
      <c r="AB450" s="260"/>
      <c r="AC450" s="260"/>
      <c r="AD450" s="261"/>
      <c r="AE450" s="262"/>
      <c r="AF450" s="262"/>
      <c r="AG450" s="269"/>
      <c r="AH450" s="270"/>
      <c r="AI450" s="271"/>
      <c r="AJ450" s="272"/>
    </row>
    <row r="451" spans="1:36" x14ac:dyDescent="0.25">
      <c r="A451" s="28" t="str">
        <f>IF(H451&lt;&gt;"",MAX($A$7:A450)+1,"")</f>
        <v/>
      </c>
      <c r="B451" s="243" t="str">
        <f t="shared" si="14"/>
        <v/>
      </c>
      <c r="C451" s="158" t="str">
        <f t="shared" si="15"/>
        <v/>
      </c>
      <c r="D451" s="246"/>
      <c r="E451" s="247"/>
      <c r="F451" s="258"/>
      <c r="G451" s="248"/>
      <c r="H451" s="241"/>
      <c r="I451" s="259"/>
      <c r="J451" s="260"/>
      <c r="K451" s="260"/>
      <c r="L451" s="261"/>
      <c r="M451" s="262"/>
      <c r="N451" s="262"/>
      <c r="O451" s="261"/>
      <c r="P451" s="262"/>
      <c r="Q451" s="262"/>
      <c r="R451" s="263"/>
      <c r="S451" s="264"/>
      <c r="T451" s="264"/>
      <c r="U451" s="265"/>
      <c r="V451" s="266"/>
      <c r="W451" s="266"/>
      <c r="X451" s="267"/>
      <c r="Y451" s="268"/>
      <c r="Z451" s="268"/>
      <c r="AA451" s="259"/>
      <c r="AB451" s="260"/>
      <c r="AC451" s="260"/>
      <c r="AD451" s="261"/>
      <c r="AE451" s="262"/>
      <c r="AF451" s="262"/>
      <c r="AG451" s="269"/>
      <c r="AH451" s="270"/>
      <c r="AI451" s="271"/>
      <c r="AJ451" s="272"/>
    </row>
    <row r="452" spans="1:36" x14ac:dyDescent="0.25">
      <c r="A452" s="28" t="str">
        <f>IF(H452&lt;&gt;"",MAX($A$7:A451)+1,"")</f>
        <v/>
      </c>
      <c r="B452" s="243" t="str">
        <f t="shared" si="14"/>
        <v/>
      </c>
      <c r="C452" s="158" t="str">
        <f t="shared" si="15"/>
        <v/>
      </c>
      <c r="D452" s="246"/>
      <c r="E452" s="247"/>
      <c r="F452" s="258"/>
      <c r="G452" s="248"/>
      <c r="H452" s="241"/>
      <c r="I452" s="259"/>
      <c r="J452" s="260"/>
      <c r="K452" s="260"/>
      <c r="L452" s="261"/>
      <c r="M452" s="262"/>
      <c r="N452" s="262"/>
      <c r="O452" s="261"/>
      <c r="P452" s="262"/>
      <c r="Q452" s="262"/>
      <c r="R452" s="263"/>
      <c r="S452" s="264"/>
      <c r="T452" s="264"/>
      <c r="U452" s="265"/>
      <c r="V452" s="266"/>
      <c r="W452" s="266"/>
      <c r="X452" s="267"/>
      <c r="Y452" s="268"/>
      <c r="Z452" s="268"/>
      <c r="AA452" s="259"/>
      <c r="AB452" s="260"/>
      <c r="AC452" s="260"/>
      <c r="AD452" s="261"/>
      <c r="AE452" s="262"/>
      <c r="AF452" s="262"/>
      <c r="AG452" s="269"/>
      <c r="AH452" s="270"/>
      <c r="AI452" s="271"/>
      <c r="AJ452" s="272"/>
    </row>
    <row r="453" spans="1:36" x14ac:dyDescent="0.25">
      <c r="A453" s="28" t="str">
        <f>IF(H453&lt;&gt;"",MAX($A$7:A452)+1,"")</f>
        <v/>
      </c>
      <c r="B453" s="243" t="str">
        <f t="shared" si="14"/>
        <v/>
      </c>
      <c r="C453" s="158" t="str">
        <f t="shared" si="15"/>
        <v/>
      </c>
      <c r="D453" s="246"/>
      <c r="E453" s="247"/>
      <c r="F453" s="258"/>
      <c r="G453" s="248"/>
      <c r="H453" s="241"/>
      <c r="I453" s="259"/>
      <c r="J453" s="260"/>
      <c r="K453" s="260"/>
      <c r="L453" s="261"/>
      <c r="M453" s="262"/>
      <c r="N453" s="262"/>
      <c r="O453" s="261"/>
      <c r="P453" s="262"/>
      <c r="Q453" s="262"/>
      <c r="R453" s="263"/>
      <c r="S453" s="264"/>
      <c r="T453" s="264"/>
      <c r="U453" s="265"/>
      <c r="V453" s="266"/>
      <c r="W453" s="266"/>
      <c r="X453" s="267"/>
      <c r="Y453" s="268"/>
      <c r="Z453" s="268"/>
      <c r="AA453" s="259"/>
      <c r="AB453" s="260"/>
      <c r="AC453" s="260"/>
      <c r="AD453" s="261"/>
      <c r="AE453" s="262"/>
      <c r="AF453" s="262"/>
      <c r="AG453" s="269"/>
      <c r="AH453" s="270"/>
      <c r="AI453" s="271"/>
      <c r="AJ453" s="272"/>
    </row>
    <row r="454" spans="1:36" x14ac:dyDescent="0.25">
      <c r="A454" s="28" t="str">
        <f>IF(H454&lt;&gt;"",MAX($A$7:A453)+1,"")</f>
        <v/>
      </c>
      <c r="B454" s="243" t="str">
        <f t="shared" si="14"/>
        <v/>
      </c>
      <c r="C454" s="158" t="str">
        <f t="shared" si="15"/>
        <v/>
      </c>
      <c r="D454" s="246"/>
      <c r="E454" s="247"/>
      <c r="F454" s="258"/>
      <c r="G454" s="248"/>
      <c r="H454" s="241"/>
      <c r="I454" s="259"/>
      <c r="J454" s="260"/>
      <c r="K454" s="260"/>
      <c r="L454" s="261"/>
      <c r="M454" s="262"/>
      <c r="N454" s="262"/>
      <c r="O454" s="261"/>
      <c r="P454" s="262"/>
      <c r="Q454" s="262"/>
      <c r="R454" s="263"/>
      <c r="S454" s="264"/>
      <c r="T454" s="264"/>
      <c r="U454" s="265"/>
      <c r="V454" s="266"/>
      <c r="W454" s="266"/>
      <c r="X454" s="267"/>
      <c r="Y454" s="268"/>
      <c r="Z454" s="268"/>
      <c r="AA454" s="259"/>
      <c r="AB454" s="260"/>
      <c r="AC454" s="260"/>
      <c r="AD454" s="261"/>
      <c r="AE454" s="262"/>
      <c r="AF454" s="262"/>
      <c r="AG454" s="269"/>
      <c r="AH454" s="270"/>
      <c r="AI454" s="271"/>
      <c r="AJ454" s="272"/>
    </row>
    <row r="455" spans="1:36" x14ac:dyDescent="0.25">
      <c r="A455" s="28" t="str">
        <f>IF(H455&lt;&gt;"",MAX($A$7:A454)+1,"")</f>
        <v/>
      </c>
      <c r="B455" s="243" t="str">
        <f t="shared" ref="B455:B518" si="16">IF(A455="","",PREF_PREGUNTA&amp;" - "&amp;IF(MAX($A$7:$A$156)&gt;99,IF(A455&lt;100,"0",""),"")&amp;IF(A455&lt;10,"0","")&amp;A455&amp;IF(G455&lt;&gt;""," "&amp;G455,""))</f>
        <v/>
      </c>
      <c r="C455" s="158" t="str">
        <f t="shared" ref="C455:C508" si="17">IF(COUNTA(I455:N455)-D455=0,"",COUNTA(I455:N455)-D455)</f>
        <v/>
      </c>
      <c r="D455" s="246"/>
      <c r="E455" s="247"/>
      <c r="F455" s="258"/>
      <c r="G455" s="248"/>
      <c r="H455" s="241"/>
      <c r="I455" s="259"/>
      <c r="J455" s="260"/>
      <c r="K455" s="260"/>
      <c r="L455" s="261"/>
      <c r="M455" s="262"/>
      <c r="N455" s="262"/>
      <c r="O455" s="261"/>
      <c r="P455" s="262"/>
      <c r="Q455" s="262"/>
      <c r="R455" s="263"/>
      <c r="S455" s="264"/>
      <c r="T455" s="264"/>
      <c r="U455" s="265"/>
      <c r="V455" s="266"/>
      <c r="W455" s="266"/>
      <c r="X455" s="267"/>
      <c r="Y455" s="268"/>
      <c r="Z455" s="268"/>
      <c r="AA455" s="259"/>
      <c r="AB455" s="260"/>
      <c r="AC455" s="260"/>
      <c r="AD455" s="261"/>
      <c r="AE455" s="262"/>
      <c r="AF455" s="262"/>
      <c r="AG455" s="269"/>
      <c r="AH455" s="270"/>
      <c r="AI455" s="271"/>
      <c r="AJ455" s="272"/>
    </row>
    <row r="456" spans="1:36" x14ac:dyDescent="0.25">
      <c r="A456" s="28" t="str">
        <f>IF(H456&lt;&gt;"",MAX($A$7:A455)+1,"")</f>
        <v/>
      </c>
      <c r="B456" s="243" t="str">
        <f t="shared" si="16"/>
        <v/>
      </c>
      <c r="C456" s="158" t="str">
        <f t="shared" si="17"/>
        <v/>
      </c>
      <c r="D456" s="246"/>
      <c r="E456" s="247"/>
      <c r="F456" s="258"/>
      <c r="G456" s="248"/>
      <c r="H456" s="241"/>
      <c r="I456" s="259"/>
      <c r="J456" s="260"/>
      <c r="K456" s="260"/>
      <c r="L456" s="261"/>
      <c r="M456" s="262"/>
      <c r="N456" s="262"/>
      <c r="O456" s="261"/>
      <c r="P456" s="262"/>
      <c r="Q456" s="262"/>
      <c r="R456" s="263"/>
      <c r="S456" s="264"/>
      <c r="T456" s="264"/>
      <c r="U456" s="265"/>
      <c r="V456" s="266"/>
      <c r="W456" s="266"/>
      <c r="X456" s="267"/>
      <c r="Y456" s="268"/>
      <c r="Z456" s="268"/>
      <c r="AA456" s="259"/>
      <c r="AB456" s="260"/>
      <c r="AC456" s="260"/>
      <c r="AD456" s="261"/>
      <c r="AE456" s="262"/>
      <c r="AF456" s="262"/>
      <c r="AG456" s="269"/>
      <c r="AH456" s="270"/>
      <c r="AI456" s="271"/>
      <c r="AJ456" s="272"/>
    </row>
    <row r="457" spans="1:36" x14ac:dyDescent="0.25">
      <c r="A457" s="28" t="str">
        <f>IF(H457&lt;&gt;"",MAX($A$7:A456)+1,"")</f>
        <v/>
      </c>
      <c r="B457" s="243" t="str">
        <f t="shared" si="16"/>
        <v/>
      </c>
      <c r="C457" s="158" t="str">
        <f t="shared" si="17"/>
        <v/>
      </c>
      <c r="D457" s="246"/>
      <c r="E457" s="247"/>
      <c r="F457" s="258"/>
      <c r="G457" s="248"/>
      <c r="H457" s="241"/>
      <c r="I457" s="259"/>
      <c r="J457" s="260"/>
      <c r="K457" s="260"/>
      <c r="L457" s="261"/>
      <c r="M457" s="262"/>
      <c r="N457" s="262"/>
      <c r="O457" s="261"/>
      <c r="P457" s="262"/>
      <c r="Q457" s="262"/>
      <c r="R457" s="263"/>
      <c r="S457" s="264"/>
      <c r="T457" s="264"/>
      <c r="U457" s="265"/>
      <c r="V457" s="266"/>
      <c r="W457" s="266"/>
      <c r="X457" s="267"/>
      <c r="Y457" s="268"/>
      <c r="Z457" s="268"/>
      <c r="AA457" s="259"/>
      <c r="AB457" s="260"/>
      <c r="AC457" s="260"/>
      <c r="AD457" s="261"/>
      <c r="AE457" s="262"/>
      <c r="AF457" s="262"/>
      <c r="AG457" s="269"/>
      <c r="AH457" s="270"/>
      <c r="AI457" s="271"/>
      <c r="AJ457" s="272"/>
    </row>
    <row r="458" spans="1:36" x14ac:dyDescent="0.25">
      <c r="A458" s="28" t="str">
        <f>IF(H458&lt;&gt;"",MAX($A$7:A457)+1,"")</f>
        <v/>
      </c>
      <c r="B458" s="243" t="str">
        <f t="shared" si="16"/>
        <v/>
      </c>
      <c r="C458" s="158" t="str">
        <f t="shared" si="17"/>
        <v/>
      </c>
      <c r="D458" s="246"/>
      <c r="E458" s="247"/>
      <c r="F458" s="258"/>
      <c r="G458" s="248"/>
      <c r="H458" s="241"/>
      <c r="I458" s="259"/>
      <c r="J458" s="260"/>
      <c r="K458" s="260"/>
      <c r="L458" s="261"/>
      <c r="M458" s="262"/>
      <c r="N458" s="262"/>
      <c r="O458" s="261"/>
      <c r="P458" s="262"/>
      <c r="Q458" s="262"/>
      <c r="R458" s="263"/>
      <c r="S458" s="264"/>
      <c r="T458" s="264"/>
      <c r="U458" s="265"/>
      <c r="V458" s="266"/>
      <c r="W458" s="266"/>
      <c r="X458" s="267"/>
      <c r="Y458" s="268"/>
      <c r="Z458" s="268"/>
      <c r="AA458" s="259"/>
      <c r="AB458" s="260"/>
      <c r="AC458" s="260"/>
      <c r="AD458" s="261"/>
      <c r="AE458" s="262"/>
      <c r="AF458" s="262"/>
      <c r="AG458" s="269"/>
      <c r="AH458" s="270"/>
      <c r="AI458" s="271"/>
      <c r="AJ458" s="272"/>
    </row>
    <row r="459" spans="1:36" x14ac:dyDescent="0.25">
      <c r="A459" s="28" t="str">
        <f>IF(H459&lt;&gt;"",MAX($A$7:A458)+1,"")</f>
        <v/>
      </c>
      <c r="B459" s="243" t="str">
        <f t="shared" si="16"/>
        <v/>
      </c>
      <c r="C459" s="158" t="str">
        <f t="shared" si="17"/>
        <v/>
      </c>
      <c r="D459" s="246"/>
      <c r="E459" s="247"/>
      <c r="F459" s="258"/>
      <c r="G459" s="248"/>
      <c r="H459" s="241"/>
      <c r="I459" s="259"/>
      <c r="J459" s="260"/>
      <c r="K459" s="260"/>
      <c r="L459" s="261"/>
      <c r="M459" s="262"/>
      <c r="N459" s="262"/>
      <c r="O459" s="261"/>
      <c r="P459" s="262"/>
      <c r="Q459" s="262"/>
      <c r="R459" s="263"/>
      <c r="S459" s="264"/>
      <c r="T459" s="264"/>
      <c r="U459" s="265"/>
      <c r="V459" s="266"/>
      <c r="W459" s="266"/>
      <c r="X459" s="267"/>
      <c r="Y459" s="268"/>
      <c r="Z459" s="268"/>
      <c r="AA459" s="259"/>
      <c r="AB459" s="260"/>
      <c r="AC459" s="260"/>
      <c r="AD459" s="261"/>
      <c r="AE459" s="262"/>
      <c r="AF459" s="262"/>
      <c r="AG459" s="269"/>
      <c r="AH459" s="270"/>
      <c r="AI459" s="271"/>
      <c r="AJ459" s="272"/>
    </row>
    <row r="460" spans="1:36" x14ac:dyDescent="0.25">
      <c r="A460" s="28" t="str">
        <f>IF(H460&lt;&gt;"",MAX($A$7:A459)+1,"")</f>
        <v/>
      </c>
      <c r="B460" s="243" t="str">
        <f t="shared" si="16"/>
        <v/>
      </c>
      <c r="C460" s="158" t="str">
        <f t="shared" si="17"/>
        <v/>
      </c>
      <c r="D460" s="246"/>
      <c r="E460" s="247"/>
      <c r="F460" s="258"/>
      <c r="G460" s="248"/>
      <c r="H460" s="241"/>
      <c r="I460" s="259"/>
      <c r="J460" s="260"/>
      <c r="K460" s="260"/>
      <c r="L460" s="261"/>
      <c r="M460" s="262"/>
      <c r="N460" s="262"/>
      <c r="O460" s="261"/>
      <c r="P460" s="262"/>
      <c r="Q460" s="262"/>
      <c r="R460" s="263"/>
      <c r="S460" s="264"/>
      <c r="T460" s="264"/>
      <c r="U460" s="265"/>
      <c r="V460" s="266"/>
      <c r="W460" s="266"/>
      <c r="X460" s="267"/>
      <c r="Y460" s="268"/>
      <c r="Z460" s="268"/>
      <c r="AA460" s="259"/>
      <c r="AB460" s="260"/>
      <c r="AC460" s="260"/>
      <c r="AD460" s="261"/>
      <c r="AE460" s="262"/>
      <c r="AF460" s="262"/>
      <c r="AG460" s="269"/>
      <c r="AH460" s="270"/>
      <c r="AI460" s="271"/>
      <c r="AJ460" s="272"/>
    </row>
    <row r="461" spans="1:36" x14ac:dyDescent="0.25">
      <c r="A461" s="28" t="str">
        <f>IF(H461&lt;&gt;"",MAX($A$7:A460)+1,"")</f>
        <v/>
      </c>
      <c r="B461" s="243" t="str">
        <f t="shared" si="16"/>
        <v/>
      </c>
      <c r="C461" s="158" t="str">
        <f t="shared" si="17"/>
        <v/>
      </c>
      <c r="D461" s="246"/>
      <c r="E461" s="247"/>
      <c r="F461" s="258"/>
      <c r="G461" s="248"/>
      <c r="H461" s="241"/>
      <c r="I461" s="259"/>
      <c r="J461" s="260"/>
      <c r="K461" s="260"/>
      <c r="L461" s="261"/>
      <c r="M461" s="262"/>
      <c r="N461" s="262"/>
      <c r="O461" s="261"/>
      <c r="P461" s="262"/>
      <c r="Q461" s="262"/>
      <c r="R461" s="263"/>
      <c r="S461" s="264"/>
      <c r="T461" s="264"/>
      <c r="U461" s="265"/>
      <c r="V461" s="266"/>
      <c r="W461" s="266"/>
      <c r="X461" s="267"/>
      <c r="Y461" s="268"/>
      <c r="Z461" s="268"/>
      <c r="AA461" s="259"/>
      <c r="AB461" s="260"/>
      <c r="AC461" s="260"/>
      <c r="AD461" s="261"/>
      <c r="AE461" s="262"/>
      <c r="AF461" s="262"/>
      <c r="AG461" s="269"/>
      <c r="AH461" s="270"/>
      <c r="AI461" s="271"/>
      <c r="AJ461" s="272"/>
    </row>
    <row r="462" spans="1:36" x14ac:dyDescent="0.25">
      <c r="A462" s="28" t="str">
        <f>IF(H462&lt;&gt;"",MAX($A$7:A461)+1,"")</f>
        <v/>
      </c>
      <c r="B462" s="243" t="str">
        <f t="shared" si="16"/>
        <v/>
      </c>
      <c r="C462" s="158" t="str">
        <f t="shared" si="17"/>
        <v/>
      </c>
      <c r="D462" s="246"/>
      <c r="E462" s="247"/>
      <c r="F462" s="258"/>
      <c r="G462" s="248"/>
      <c r="H462" s="241"/>
      <c r="I462" s="259"/>
      <c r="J462" s="260"/>
      <c r="K462" s="260"/>
      <c r="L462" s="261"/>
      <c r="M462" s="262"/>
      <c r="N462" s="262"/>
      <c r="O462" s="261"/>
      <c r="P462" s="262"/>
      <c r="Q462" s="262"/>
      <c r="R462" s="263"/>
      <c r="S462" s="264"/>
      <c r="T462" s="264"/>
      <c r="U462" s="265"/>
      <c r="V462" s="266"/>
      <c r="W462" s="266"/>
      <c r="X462" s="267"/>
      <c r="Y462" s="268"/>
      <c r="Z462" s="268"/>
      <c r="AA462" s="259"/>
      <c r="AB462" s="260"/>
      <c r="AC462" s="260"/>
      <c r="AD462" s="261"/>
      <c r="AE462" s="262"/>
      <c r="AF462" s="262"/>
      <c r="AG462" s="269"/>
      <c r="AH462" s="270"/>
      <c r="AI462" s="271"/>
      <c r="AJ462" s="272"/>
    </row>
    <row r="463" spans="1:36" x14ac:dyDescent="0.25">
      <c r="A463" s="28" t="str">
        <f>IF(H463&lt;&gt;"",MAX($A$7:A462)+1,"")</f>
        <v/>
      </c>
      <c r="B463" s="243" t="str">
        <f t="shared" si="16"/>
        <v/>
      </c>
      <c r="C463" s="158" t="str">
        <f t="shared" si="17"/>
        <v/>
      </c>
      <c r="D463" s="246"/>
      <c r="E463" s="247"/>
      <c r="F463" s="258"/>
      <c r="G463" s="248"/>
      <c r="H463" s="241"/>
      <c r="I463" s="259"/>
      <c r="J463" s="260"/>
      <c r="K463" s="260"/>
      <c r="L463" s="261"/>
      <c r="M463" s="262"/>
      <c r="N463" s="262"/>
      <c r="O463" s="261"/>
      <c r="P463" s="262"/>
      <c r="Q463" s="262"/>
      <c r="R463" s="263"/>
      <c r="S463" s="264"/>
      <c r="T463" s="264"/>
      <c r="U463" s="265"/>
      <c r="V463" s="266"/>
      <c r="W463" s="266"/>
      <c r="X463" s="267"/>
      <c r="Y463" s="268"/>
      <c r="Z463" s="268"/>
      <c r="AA463" s="259"/>
      <c r="AB463" s="260"/>
      <c r="AC463" s="260"/>
      <c r="AD463" s="261"/>
      <c r="AE463" s="262"/>
      <c r="AF463" s="262"/>
      <c r="AG463" s="269"/>
      <c r="AH463" s="270"/>
      <c r="AI463" s="271"/>
      <c r="AJ463" s="272"/>
    </row>
    <row r="464" spans="1:36" x14ac:dyDescent="0.25">
      <c r="A464" s="28" t="str">
        <f>IF(H464&lt;&gt;"",MAX($A$7:A463)+1,"")</f>
        <v/>
      </c>
      <c r="B464" s="243" t="str">
        <f t="shared" si="16"/>
        <v/>
      </c>
      <c r="C464" s="158" t="str">
        <f t="shared" si="17"/>
        <v/>
      </c>
      <c r="D464" s="246"/>
      <c r="E464" s="247"/>
      <c r="F464" s="258"/>
      <c r="G464" s="248"/>
      <c r="H464" s="241"/>
      <c r="I464" s="259"/>
      <c r="J464" s="260"/>
      <c r="K464" s="260"/>
      <c r="L464" s="261"/>
      <c r="M464" s="262"/>
      <c r="N464" s="262"/>
      <c r="O464" s="261"/>
      <c r="P464" s="262"/>
      <c r="Q464" s="262"/>
      <c r="R464" s="263"/>
      <c r="S464" s="264"/>
      <c r="T464" s="264"/>
      <c r="U464" s="265"/>
      <c r="V464" s="266"/>
      <c r="W464" s="266"/>
      <c r="X464" s="267"/>
      <c r="Y464" s="268"/>
      <c r="Z464" s="268"/>
      <c r="AA464" s="259"/>
      <c r="AB464" s="260"/>
      <c r="AC464" s="260"/>
      <c r="AD464" s="261"/>
      <c r="AE464" s="262"/>
      <c r="AF464" s="262"/>
      <c r="AG464" s="269"/>
      <c r="AH464" s="270"/>
      <c r="AI464" s="271"/>
      <c r="AJ464" s="272"/>
    </row>
    <row r="465" spans="1:36" x14ac:dyDescent="0.25">
      <c r="A465" s="28" t="str">
        <f>IF(H465&lt;&gt;"",MAX($A$7:A464)+1,"")</f>
        <v/>
      </c>
      <c r="B465" s="243" t="str">
        <f t="shared" si="16"/>
        <v/>
      </c>
      <c r="C465" s="158" t="str">
        <f t="shared" si="17"/>
        <v/>
      </c>
      <c r="D465" s="246"/>
      <c r="E465" s="247"/>
      <c r="F465" s="258"/>
      <c r="G465" s="248"/>
      <c r="H465" s="241"/>
      <c r="I465" s="259"/>
      <c r="J465" s="260"/>
      <c r="K465" s="260"/>
      <c r="L465" s="261"/>
      <c r="M465" s="262"/>
      <c r="N465" s="262"/>
      <c r="O465" s="261"/>
      <c r="P465" s="262"/>
      <c r="Q465" s="262"/>
      <c r="R465" s="263"/>
      <c r="S465" s="264"/>
      <c r="T465" s="264"/>
      <c r="U465" s="265"/>
      <c r="V465" s="266"/>
      <c r="W465" s="266"/>
      <c r="X465" s="267"/>
      <c r="Y465" s="268"/>
      <c r="Z465" s="268"/>
      <c r="AA465" s="259"/>
      <c r="AB465" s="260"/>
      <c r="AC465" s="260"/>
      <c r="AD465" s="261"/>
      <c r="AE465" s="262"/>
      <c r="AF465" s="262"/>
      <c r="AG465" s="269"/>
      <c r="AH465" s="270"/>
      <c r="AI465" s="271"/>
      <c r="AJ465" s="272"/>
    </row>
    <row r="466" spans="1:36" x14ac:dyDescent="0.25">
      <c r="A466" s="28" t="str">
        <f>IF(H466&lt;&gt;"",MAX($A$7:A465)+1,"")</f>
        <v/>
      </c>
      <c r="B466" s="243" t="str">
        <f t="shared" si="16"/>
        <v/>
      </c>
      <c r="C466" s="158" t="str">
        <f t="shared" si="17"/>
        <v/>
      </c>
      <c r="D466" s="246"/>
      <c r="E466" s="247"/>
      <c r="F466" s="258"/>
      <c r="G466" s="248"/>
      <c r="H466" s="241"/>
      <c r="I466" s="259"/>
      <c r="J466" s="260"/>
      <c r="K466" s="260"/>
      <c r="L466" s="261"/>
      <c r="M466" s="262"/>
      <c r="N466" s="262"/>
      <c r="O466" s="261"/>
      <c r="P466" s="262"/>
      <c r="Q466" s="262"/>
      <c r="R466" s="263"/>
      <c r="S466" s="264"/>
      <c r="T466" s="264"/>
      <c r="U466" s="265"/>
      <c r="V466" s="266"/>
      <c r="W466" s="266"/>
      <c r="X466" s="267"/>
      <c r="Y466" s="268"/>
      <c r="Z466" s="268"/>
      <c r="AA466" s="259"/>
      <c r="AB466" s="260"/>
      <c r="AC466" s="260"/>
      <c r="AD466" s="261"/>
      <c r="AE466" s="262"/>
      <c r="AF466" s="262"/>
      <c r="AG466" s="269"/>
      <c r="AH466" s="270"/>
      <c r="AI466" s="271"/>
      <c r="AJ466" s="272"/>
    </row>
    <row r="467" spans="1:36" x14ac:dyDescent="0.25">
      <c r="A467" s="28" t="str">
        <f>IF(H467&lt;&gt;"",MAX($A$7:A466)+1,"")</f>
        <v/>
      </c>
      <c r="B467" s="243" t="str">
        <f t="shared" si="16"/>
        <v/>
      </c>
      <c r="C467" s="158" t="str">
        <f t="shared" si="17"/>
        <v/>
      </c>
      <c r="D467" s="246"/>
      <c r="E467" s="247"/>
      <c r="F467" s="258"/>
      <c r="G467" s="248"/>
      <c r="H467" s="241"/>
      <c r="I467" s="259"/>
      <c r="J467" s="260"/>
      <c r="K467" s="260"/>
      <c r="L467" s="261"/>
      <c r="M467" s="262"/>
      <c r="N467" s="262"/>
      <c r="O467" s="261"/>
      <c r="P467" s="262"/>
      <c r="Q467" s="262"/>
      <c r="R467" s="263"/>
      <c r="S467" s="264"/>
      <c r="T467" s="264"/>
      <c r="U467" s="265"/>
      <c r="V467" s="266"/>
      <c r="W467" s="266"/>
      <c r="X467" s="267"/>
      <c r="Y467" s="268"/>
      <c r="Z467" s="268"/>
      <c r="AA467" s="259"/>
      <c r="AB467" s="260"/>
      <c r="AC467" s="260"/>
      <c r="AD467" s="261"/>
      <c r="AE467" s="262"/>
      <c r="AF467" s="262"/>
      <c r="AG467" s="269"/>
      <c r="AH467" s="270"/>
      <c r="AI467" s="271"/>
      <c r="AJ467" s="272"/>
    </row>
    <row r="468" spans="1:36" x14ac:dyDescent="0.25">
      <c r="A468" s="28" t="str">
        <f>IF(H468&lt;&gt;"",MAX($A$7:A467)+1,"")</f>
        <v/>
      </c>
      <c r="B468" s="243" t="str">
        <f t="shared" si="16"/>
        <v/>
      </c>
      <c r="C468" s="158" t="str">
        <f t="shared" si="17"/>
        <v/>
      </c>
      <c r="D468" s="246"/>
      <c r="E468" s="247"/>
      <c r="F468" s="258"/>
      <c r="G468" s="248"/>
      <c r="H468" s="241"/>
      <c r="I468" s="259"/>
      <c r="J468" s="260"/>
      <c r="K468" s="260"/>
      <c r="L468" s="261"/>
      <c r="M468" s="262"/>
      <c r="N468" s="262"/>
      <c r="O468" s="261"/>
      <c r="P468" s="262"/>
      <c r="Q468" s="262"/>
      <c r="R468" s="263"/>
      <c r="S468" s="264"/>
      <c r="T468" s="264"/>
      <c r="U468" s="265"/>
      <c r="V468" s="266"/>
      <c r="W468" s="266"/>
      <c r="X468" s="267"/>
      <c r="Y468" s="268"/>
      <c r="Z468" s="268"/>
      <c r="AA468" s="259"/>
      <c r="AB468" s="260"/>
      <c r="AC468" s="260"/>
      <c r="AD468" s="261"/>
      <c r="AE468" s="262"/>
      <c r="AF468" s="262"/>
      <c r="AG468" s="269"/>
      <c r="AH468" s="270"/>
      <c r="AI468" s="271"/>
      <c r="AJ468" s="272"/>
    </row>
    <row r="469" spans="1:36" x14ac:dyDescent="0.25">
      <c r="A469" s="28" t="str">
        <f>IF(H469&lt;&gt;"",MAX($A$7:A468)+1,"")</f>
        <v/>
      </c>
      <c r="B469" s="243" t="str">
        <f t="shared" si="16"/>
        <v/>
      </c>
      <c r="C469" s="158" t="str">
        <f t="shared" si="17"/>
        <v/>
      </c>
      <c r="D469" s="246"/>
      <c r="E469" s="247"/>
      <c r="F469" s="258"/>
      <c r="G469" s="248"/>
      <c r="H469" s="241"/>
      <c r="I469" s="259"/>
      <c r="J469" s="260"/>
      <c r="K469" s="260"/>
      <c r="L469" s="261"/>
      <c r="M469" s="262"/>
      <c r="N469" s="262"/>
      <c r="O469" s="261"/>
      <c r="P469" s="262"/>
      <c r="Q469" s="262"/>
      <c r="R469" s="263"/>
      <c r="S469" s="264"/>
      <c r="T469" s="264"/>
      <c r="U469" s="265"/>
      <c r="V469" s="266"/>
      <c r="W469" s="266"/>
      <c r="X469" s="267"/>
      <c r="Y469" s="268"/>
      <c r="Z469" s="268"/>
      <c r="AA469" s="259"/>
      <c r="AB469" s="260"/>
      <c r="AC469" s="260"/>
      <c r="AD469" s="261"/>
      <c r="AE469" s="262"/>
      <c r="AF469" s="262"/>
      <c r="AG469" s="269"/>
      <c r="AH469" s="270"/>
      <c r="AI469" s="271"/>
      <c r="AJ469" s="272"/>
    </row>
    <row r="470" spans="1:36" x14ac:dyDescent="0.25">
      <c r="A470" s="28" t="str">
        <f>IF(H470&lt;&gt;"",MAX($A$7:A469)+1,"")</f>
        <v/>
      </c>
      <c r="B470" s="243" t="str">
        <f t="shared" si="16"/>
        <v/>
      </c>
      <c r="C470" s="158" t="str">
        <f t="shared" si="17"/>
        <v/>
      </c>
      <c r="D470" s="246"/>
      <c r="E470" s="247"/>
      <c r="F470" s="258"/>
      <c r="G470" s="248"/>
      <c r="H470" s="241"/>
      <c r="I470" s="259"/>
      <c r="J470" s="260"/>
      <c r="K470" s="260"/>
      <c r="L470" s="261"/>
      <c r="M470" s="262"/>
      <c r="N470" s="262"/>
      <c r="O470" s="261"/>
      <c r="P470" s="262"/>
      <c r="Q470" s="262"/>
      <c r="R470" s="263"/>
      <c r="S470" s="264"/>
      <c r="T470" s="264"/>
      <c r="U470" s="265"/>
      <c r="V470" s="266"/>
      <c r="W470" s="266"/>
      <c r="X470" s="267"/>
      <c r="Y470" s="268"/>
      <c r="Z470" s="268"/>
      <c r="AA470" s="259"/>
      <c r="AB470" s="260"/>
      <c r="AC470" s="260"/>
      <c r="AD470" s="261"/>
      <c r="AE470" s="262"/>
      <c r="AF470" s="262"/>
      <c r="AG470" s="269"/>
      <c r="AH470" s="270"/>
      <c r="AI470" s="271"/>
      <c r="AJ470" s="272"/>
    </row>
    <row r="471" spans="1:36" x14ac:dyDescent="0.25">
      <c r="A471" s="28" t="str">
        <f>IF(H471&lt;&gt;"",MAX($A$7:A470)+1,"")</f>
        <v/>
      </c>
      <c r="B471" s="243" t="str">
        <f t="shared" si="16"/>
        <v/>
      </c>
      <c r="C471" s="158" t="str">
        <f t="shared" si="17"/>
        <v/>
      </c>
      <c r="D471" s="246"/>
      <c r="E471" s="247"/>
      <c r="F471" s="258"/>
      <c r="G471" s="248"/>
      <c r="H471" s="241"/>
      <c r="I471" s="259"/>
      <c r="J471" s="260"/>
      <c r="K471" s="260"/>
      <c r="L471" s="261"/>
      <c r="M471" s="262"/>
      <c r="N471" s="262"/>
      <c r="O471" s="261"/>
      <c r="P471" s="262"/>
      <c r="Q471" s="262"/>
      <c r="R471" s="263"/>
      <c r="S471" s="264"/>
      <c r="T471" s="264"/>
      <c r="U471" s="265"/>
      <c r="V471" s="266"/>
      <c r="W471" s="266"/>
      <c r="X471" s="267"/>
      <c r="Y471" s="268"/>
      <c r="Z471" s="268"/>
      <c r="AA471" s="259"/>
      <c r="AB471" s="260"/>
      <c r="AC471" s="260"/>
      <c r="AD471" s="261"/>
      <c r="AE471" s="262"/>
      <c r="AF471" s="262"/>
      <c r="AG471" s="269"/>
      <c r="AH471" s="270"/>
      <c r="AI471" s="271"/>
      <c r="AJ471" s="272"/>
    </row>
    <row r="472" spans="1:36" x14ac:dyDescent="0.25">
      <c r="A472" s="28" t="str">
        <f>IF(H472&lt;&gt;"",MAX($A$7:A471)+1,"")</f>
        <v/>
      </c>
      <c r="B472" s="243" t="str">
        <f t="shared" si="16"/>
        <v/>
      </c>
      <c r="C472" s="158" t="str">
        <f t="shared" si="17"/>
        <v/>
      </c>
      <c r="D472" s="246"/>
      <c r="E472" s="247"/>
      <c r="F472" s="258"/>
      <c r="G472" s="248"/>
      <c r="H472" s="241"/>
      <c r="I472" s="259"/>
      <c r="J472" s="260"/>
      <c r="K472" s="260"/>
      <c r="L472" s="261"/>
      <c r="M472" s="262"/>
      <c r="N472" s="262"/>
      <c r="O472" s="261"/>
      <c r="P472" s="262"/>
      <c r="Q472" s="262"/>
      <c r="R472" s="263"/>
      <c r="S472" s="264"/>
      <c r="T472" s="264"/>
      <c r="U472" s="265"/>
      <c r="V472" s="266"/>
      <c r="W472" s="266"/>
      <c r="X472" s="267"/>
      <c r="Y472" s="268"/>
      <c r="Z472" s="268"/>
      <c r="AA472" s="259"/>
      <c r="AB472" s="260"/>
      <c r="AC472" s="260"/>
      <c r="AD472" s="261"/>
      <c r="AE472" s="262"/>
      <c r="AF472" s="262"/>
      <c r="AG472" s="269"/>
      <c r="AH472" s="270"/>
      <c r="AI472" s="271"/>
      <c r="AJ472" s="272"/>
    </row>
    <row r="473" spans="1:36" x14ac:dyDescent="0.25">
      <c r="A473" s="28" t="str">
        <f>IF(H473&lt;&gt;"",MAX($A$7:A472)+1,"")</f>
        <v/>
      </c>
      <c r="B473" s="243" t="str">
        <f t="shared" si="16"/>
        <v/>
      </c>
      <c r="C473" s="158" t="str">
        <f t="shared" si="17"/>
        <v/>
      </c>
      <c r="D473" s="246"/>
      <c r="E473" s="247"/>
      <c r="F473" s="258"/>
      <c r="G473" s="248"/>
      <c r="H473" s="241"/>
      <c r="I473" s="259"/>
      <c r="J473" s="260"/>
      <c r="K473" s="260"/>
      <c r="L473" s="261"/>
      <c r="M473" s="262"/>
      <c r="N473" s="262"/>
      <c r="O473" s="261"/>
      <c r="P473" s="262"/>
      <c r="Q473" s="262"/>
      <c r="R473" s="263"/>
      <c r="S473" s="264"/>
      <c r="T473" s="264"/>
      <c r="U473" s="265"/>
      <c r="V473" s="266"/>
      <c r="W473" s="266"/>
      <c r="X473" s="267"/>
      <c r="Y473" s="268"/>
      <c r="Z473" s="268"/>
      <c r="AA473" s="259"/>
      <c r="AB473" s="260"/>
      <c r="AC473" s="260"/>
      <c r="AD473" s="261"/>
      <c r="AE473" s="262"/>
      <c r="AF473" s="262"/>
      <c r="AG473" s="269"/>
      <c r="AH473" s="270"/>
      <c r="AI473" s="271"/>
      <c r="AJ473" s="272"/>
    </row>
    <row r="474" spans="1:36" x14ac:dyDescent="0.25">
      <c r="A474" s="28" t="str">
        <f>IF(H474&lt;&gt;"",MAX($A$7:A473)+1,"")</f>
        <v/>
      </c>
      <c r="B474" s="243" t="str">
        <f t="shared" si="16"/>
        <v/>
      </c>
      <c r="C474" s="158" t="str">
        <f t="shared" si="17"/>
        <v/>
      </c>
      <c r="D474" s="246"/>
      <c r="E474" s="247"/>
      <c r="F474" s="258"/>
      <c r="G474" s="248"/>
      <c r="H474" s="241"/>
      <c r="I474" s="259"/>
      <c r="J474" s="260"/>
      <c r="K474" s="260"/>
      <c r="L474" s="261"/>
      <c r="M474" s="262"/>
      <c r="N474" s="262"/>
      <c r="O474" s="261"/>
      <c r="P474" s="262"/>
      <c r="Q474" s="262"/>
      <c r="R474" s="263"/>
      <c r="S474" s="264"/>
      <c r="T474" s="264"/>
      <c r="U474" s="265"/>
      <c r="V474" s="266"/>
      <c r="W474" s="266"/>
      <c r="X474" s="267"/>
      <c r="Y474" s="268"/>
      <c r="Z474" s="268"/>
      <c r="AA474" s="259"/>
      <c r="AB474" s="260"/>
      <c r="AC474" s="260"/>
      <c r="AD474" s="261"/>
      <c r="AE474" s="262"/>
      <c r="AF474" s="262"/>
      <c r="AG474" s="269"/>
      <c r="AH474" s="270"/>
      <c r="AI474" s="271"/>
      <c r="AJ474" s="272"/>
    </row>
    <row r="475" spans="1:36" x14ac:dyDescent="0.25">
      <c r="A475" s="28" t="str">
        <f>IF(H475&lt;&gt;"",MAX($A$7:A474)+1,"")</f>
        <v/>
      </c>
      <c r="B475" s="243" t="str">
        <f t="shared" si="16"/>
        <v/>
      </c>
      <c r="C475" s="158" t="str">
        <f t="shared" si="17"/>
        <v/>
      </c>
      <c r="D475" s="246"/>
      <c r="E475" s="247"/>
      <c r="F475" s="258"/>
      <c r="G475" s="248"/>
      <c r="H475" s="241"/>
      <c r="I475" s="259"/>
      <c r="J475" s="260"/>
      <c r="K475" s="260"/>
      <c r="L475" s="261"/>
      <c r="M475" s="262"/>
      <c r="N475" s="262"/>
      <c r="O475" s="261"/>
      <c r="P475" s="262"/>
      <c r="Q475" s="262"/>
      <c r="R475" s="263"/>
      <c r="S475" s="264"/>
      <c r="T475" s="264"/>
      <c r="U475" s="265"/>
      <c r="V475" s="266"/>
      <c r="W475" s="266"/>
      <c r="X475" s="267"/>
      <c r="Y475" s="268"/>
      <c r="Z475" s="268"/>
      <c r="AA475" s="259"/>
      <c r="AB475" s="260"/>
      <c r="AC475" s="260"/>
      <c r="AD475" s="261"/>
      <c r="AE475" s="262"/>
      <c r="AF475" s="262"/>
      <c r="AG475" s="269"/>
      <c r="AH475" s="270"/>
      <c r="AI475" s="271"/>
      <c r="AJ475" s="272"/>
    </row>
    <row r="476" spans="1:36" x14ac:dyDescent="0.25">
      <c r="A476" s="28" t="str">
        <f>IF(H476&lt;&gt;"",MAX($A$7:A475)+1,"")</f>
        <v/>
      </c>
      <c r="B476" s="243" t="str">
        <f t="shared" si="16"/>
        <v/>
      </c>
      <c r="C476" s="158" t="str">
        <f t="shared" si="17"/>
        <v/>
      </c>
      <c r="D476" s="246"/>
      <c r="E476" s="247"/>
      <c r="F476" s="258"/>
      <c r="G476" s="248"/>
      <c r="H476" s="241"/>
      <c r="I476" s="259"/>
      <c r="J476" s="260"/>
      <c r="K476" s="260"/>
      <c r="L476" s="261"/>
      <c r="M476" s="262"/>
      <c r="N476" s="262"/>
      <c r="O476" s="261"/>
      <c r="P476" s="262"/>
      <c r="Q476" s="262"/>
      <c r="R476" s="263"/>
      <c r="S476" s="264"/>
      <c r="T476" s="264"/>
      <c r="U476" s="265"/>
      <c r="V476" s="266"/>
      <c r="W476" s="266"/>
      <c r="X476" s="267"/>
      <c r="Y476" s="268"/>
      <c r="Z476" s="268"/>
      <c r="AA476" s="259"/>
      <c r="AB476" s="260"/>
      <c r="AC476" s="260"/>
      <c r="AD476" s="261"/>
      <c r="AE476" s="262"/>
      <c r="AF476" s="262"/>
      <c r="AG476" s="269"/>
      <c r="AH476" s="270"/>
      <c r="AI476" s="271"/>
      <c r="AJ476" s="272"/>
    </row>
    <row r="477" spans="1:36" x14ac:dyDescent="0.25">
      <c r="A477" s="28" t="str">
        <f>IF(H477&lt;&gt;"",MAX($A$7:A476)+1,"")</f>
        <v/>
      </c>
      <c r="B477" s="243" t="str">
        <f t="shared" si="16"/>
        <v/>
      </c>
      <c r="C477" s="158" t="str">
        <f t="shared" si="17"/>
        <v/>
      </c>
      <c r="D477" s="246"/>
      <c r="E477" s="247"/>
      <c r="F477" s="258"/>
      <c r="G477" s="248"/>
      <c r="H477" s="241"/>
      <c r="I477" s="259"/>
      <c r="J477" s="260"/>
      <c r="K477" s="260"/>
      <c r="L477" s="261"/>
      <c r="M477" s="262"/>
      <c r="N477" s="262"/>
      <c r="O477" s="261"/>
      <c r="P477" s="262"/>
      <c r="Q477" s="262"/>
      <c r="R477" s="263"/>
      <c r="S477" s="264"/>
      <c r="T477" s="264"/>
      <c r="U477" s="265"/>
      <c r="V477" s="266"/>
      <c r="W477" s="266"/>
      <c r="X477" s="267"/>
      <c r="Y477" s="268"/>
      <c r="Z477" s="268"/>
      <c r="AA477" s="259"/>
      <c r="AB477" s="260"/>
      <c r="AC477" s="260"/>
      <c r="AD477" s="261"/>
      <c r="AE477" s="262"/>
      <c r="AF477" s="262"/>
      <c r="AG477" s="269"/>
      <c r="AH477" s="270"/>
      <c r="AI477" s="271"/>
      <c r="AJ477" s="272"/>
    </row>
    <row r="478" spans="1:36" x14ac:dyDescent="0.25">
      <c r="A478" s="28" t="str">
        <f>IF(H478&lt;&gt;"",MAX($A$7:A477)+1,"")</f>
        <v/>
      </c>
      <c r="B478" s="243" t="str">
        <f t="shared" si="16"/>
        <v/>
      </c>
      <c r="C478" s="158" t="str">
        <f t="shared" si="17"/>
        <v/>
      </c>
      <c r="D478" s="246"/>
      <c r="E478" s="247"/>
      <c r="F478" s="258"/>
      <c r="G478" s="248"/>
      <c r="H478" s="241"/>
      <c r="I478" s="259"/>
      <c r="J478" s="260"/>
      <c r="K478" s="260"/>
      <c r="L478" s="261"/>
      <c r="M478" s="262"/>
      <c r="N478" s="262"/>
      <c r="O478" s="261"/>
      <c r="P478" s="262"/>
      <c r="Q478" s="262"/>
      <c r="R478" s="263"/>
      <c r="S478" s="264"/>
      <c r="T478" s="264"/>
      <c r="U478" s="265"/>
      <c r="V478" s="266"/>
      <c r="W478" s="266"/>
      <c r="X478" s="267"/>
      <c r="Y478" s="268"/>
      <c r="Z478" s="268"/>
      <c r="AA478" s="259"/>
      <c r="AB478" s="260"/>
      <c r="AC478" s="260"/>
      <c r="AD478" s="261"/>
      <c r="AE478" s="262"/>
      <c r="AF478" s="262"/>
      <c r="AG478" s="269"/>
      <c r="AH478" s="270"/>
      <c r="AI478" s="271"/>
      <c r="AJ478" s="272"/>
    </row>
    <row r="479" spans="1:36" x14ac:dyDescent="0.25">
      <c r="A479" s="28" t="str">
        <f>IF(H479&lt;&gt;"",MAX($A$7:A478)+1,"")</f>
        <v/>
      </c>
      <c r="B479" s="243" t="str">
        <f t="shared" si="16"/>
        <v/>
      </c>
      <c r="C479" s="158" t="str">
        <f t="shared" si="17"/>
        <v/>
      </c>
      <c r="D479" s="246"/>
      <c r="E479" s="247"/>
      <c r="F479" s="258"/>
      <c r="G479" s="248"/>
      <c r="H479" s="241"/>
      <c r="I479" s="259"/>
      <c r="J479" s="260"/>
      <c r="K479" s="260"/>
      <c r="L479" s="261"/>
      <c r="M479" s="262"/>
      <c r="N479" s="262"/>
      <c r="O479" s="261"/>
      <c r="P479" s="262"/>
      <c r="Q479" s="262"/>
      <c r="R479" s="263"/>
      <c r="S479" s="264"/>
      <c r="T479" s="264"/>
      <c r="U479" s="265"/>
      <c r="V479" s="266"/>
      <c r="W479" s="266"/>
      <c r="X479" s="267"/>
      <c r="Y479" s="268"/>
      <c r="Z479" s="268"/>
      <c r="AA479" s="259"/>
      <c r="AB479" s="260"/>
      <c r="AC479" s="260"/>
      <c r="AD479" s="261"/>
      <c r="AE479" s="262"/>
      <c r="AF479" s="262"/>
      <c r="AG479" s="269"/>
      <c r="AH479" s="270"/>
      <c r="AI479" s="271"/>
      <c r="AJ479" s="272"/>
    </row>
    <row r="480" spans="1:36" x14ac:dyDescent="0.25">
      <c r="A480" s="28" t="str">
        <f>IF(H480&lt;&gt;"",MAX($A$7:A479)+1,"")</f>
        <v/>
      </c>
      <c r="B480" s="243" t="str">
        <f t="shared" si="16"/>
        <v/>
      </c>
      <c r="C480" s="158" t="str">
        <f t="shared" si="17"/>
        <v/>
      </c>
      <c r="D480" s="246"/>
      <c r="E480" s="247"/>
      <c r="F480" s="258"/>
      <c r="G480" s="248"/>
      <c r="H480" s="241"/>
      <c r="I480" s="259"/>
      <c r="J480" s="260"/>
      <c r="K480" s="260"/>
      <c r="L480" s="261"/>
      <c r="M480" s="262"/>
      <c r="N480" s="262"/>
      <c r="O480" s="261"/>
      <c r="P480" s="262"/>
      <c r="Q480" s="262"/>
      <c r="R480" s="263"/>
      <c r="S480" s="264"/>
      <c r="T480" s="264"/>
      <c r="U480" s="265"/>
      <c r="V480" s="266"/>
      <c r="W480" s="266"/>
      <c r="X480" s="267"/>
      <c r="Y480" s="268"/>
      <c r="Z480" s="268"/>
      <c r="AA480" s="259"/>
      <c r="AB480" s="260"/>
      <c r="AC480" s="260"/>
      <c r="AD480" s="261"/>
      <c r="AE480" s="262"/>
      <c r="AF480" s="262"/>
      <c r="AG480" s="269"/>
      <c r="AH480" s="270"/>
      <c r="AI480" s="271"/>
      <c r="AJ480" s="272"/>
    </row>
    <row r="481" spans="1:36" x14ac:dyDescent="0.25">
      <c r="A481" s="28" t="str">
        <f>IF(H481&lt;&gt;"",MAX($A$7:A480)+1,"")</f>
        <v/>
      </c>
      <c r="B481" s="243" t="str">
        <f t="shared" si="16"/>
        <v/>
      </c>
      <c r="C481" s="158" t="str">
        <f t="shared" si="17"/>
        <v/>
      </c>
      <c r="D481" s="246"/>
      <c r="E481" s="247"/>
      <c r="F481" s="258"/>
      <c r="G481" s="248"/>
      <c r="H481" s="241"/>
      <c r="I481" s="259"/>
      <c r="J481" s="260"/>
      <c r="K481" s="260"/>
      <c r="L481" s="261"/>
      <c r="M481" s="262"/>
      <c r="N481" s="262"/>
      <c r="O481" s="261"/>
      <c r="P481" s="262"/>
      <c r="Q481" s="262"/>
      <c r="R481" s="263"/>
      <c r="S481" s="264"/>
      <c r="T481" s="264"/>
      <c r="U481" s="265"/>
      <c r="V481" s="266"/>
      <c r="W481" s="266"/>
      <c r="X481" s="267"/>
      <c r="Y481" s="268"/>
      <c r="Z481" s="268"/>
      <c r="AA481" s="259"/>
      <c r="AB481" s="260"/>
      <c r="AC481" s="260"/>
      <c r="AD481" s="261"/>
      <c r="AE481" s="262"/>
      <c r="AF481" s="262"/>
      <c r="AG481" s="269"/>
      <c r="AH481" s="270"/>
      <c r="AI481" s="271"/>
      <c r="AJ481" s="272"/>
    </row>
    <row r="482" spans="1:36" x14ac:dyDescent="0.25">
      <c r="A482" s="28" t="str">
        <f>IF(H482&lt;&gt;"",MAX($A$7:A481)+1,"")</f>
        <v/>
      </c>
      <c r="B482" s="243" t="str">
        <f t="shared" si="16"/>
        <v/>
      </c>
      <c r="C482" s="158" t="str">
        <f t="shared" si="17"/>
        <v/>
      </c>
      <c r="D482" s="246"/>
      <c r="E482" s="247"/>
      <c r="F482" s="258"/>
      <c r="G482" s="248"/>
      <c r="H482" s="241"/>
      <c r="I482" s="259"/>
      <c r="J482" s="260"/>
      <c r="K482" s="260"/>
      <c r="L482" s="261"/>
      <c r="M482" s="262"/>
      <c r="N482" s="262"/>
      <c r="O482" s="261"/>
      <c r="P482" s="262"/>
      <c r="Q482" s="262"/>
      <c r="R482" s="263"/>
      <c r="S482" s="264"/>
      <c r="T482" s="264"/>
      <c r="U482" s="265"/>
      <c r="V482" s="266"/>
      <c r="W482" s="266"/>
      <c r="X482" s="267"/>
      <c r="Y482" s="268"/>
      <c r="Z482" s="268"/>
      <c r="AA482" s="259"/>
      <c r="AB482" s="260"/>
      <c r="AC482" s="260"/>
      <c r="AD482" s="261"/>
      <c r="AE482" s="262"/>
      <c r="AF482" s="262"/>
      <c r="AG482" s="269"/>
      <c r="AH482" s="270"/>
      <c r="AI482" s="271"/>
      <c r="AJ482" s="272"/>
    </row>
    <row r="483" spans="1:36" x14ac:dyDescent="0.25">
      <c r="A483" s="28" t="str">
        <f>IF(H483&lt;&gt;"",MAX($A$7:A482)+1,"")</f>
        <v/>
      </c>
      <c r="B483" s="243" t="str">
        <f t="shared" si="16"/>
        <v/>
      </c>
      <c r="C483" s="158" t="str">
        <f t="shared" si="17"/>
        <v/>
      </c>
      <c r="D483" s="246"/>
      <c r="E483" s="247"/>
      <c r="F483" s="258"/>
      <c r="G483" s="248"/>
      <c r="H483" s="241"/>
      <c r="I483" s="259"/>
      <c r="J483" s="260"/>
      <c r="K483" s="260"/>
      <c r="L483" s="261"/>
      <c r="M483" s="262"/>
      <c r="N483" s="262"/>
      <c r="O483" s="261"/>
      <c r="P483" s="262"/>
      <c r="Q483" s="262"/>
      <c r="R483" s="263"/>
      <c r="S483" s="264"/>
      <c r="T483" s="264"/>
      <c r="U483" s="265"/>
      <c r="V483" s="266"/>
      <c r="W483" s="266"/>
      <c r="X483" s="267"/>
      <c r="Y483" s="268"/>
      <c r="Z483" s="268"/>
      <c r="AA483" s="259"/>
      <c r="AB483" s="260"/>
      <c r="AC483" s="260"/>
      <c r="AD483" s="261"/>
      <c r="AE483" s="262"/>
      <c r="AF483" s="262"/>
      <c r="AG483" s="269"/>
      <c r="AH483" s="270"/>
      <c r="AI483" s="271"/>
      <c r="AJ483" s="272"/>
    </row>
    <row r="484" spans="1:36" x14ac:dyDescent="0.25">
      <c r="A484" s="28" t="str">
        <f>IF(H484&lt;&gt;"",MAX($A$7:A483)+1,"")</f>
        <v/>
      </c>
      <c r="B484" s="243" t="str">
        <f t="shared" si="16"/>
        <v/>
      </c>
      <c r="C484" s="158" t="str">
        <f t="shared" si="17"/>
        <v/>
      </c>
      <c r="D484" s="246"/>
      <c r="E484" s="247"/>
      <c r="F484" s="258"/>
      <c r="G484" s="248"/>
      <c r="H484" s="241"/>
      <c r="I484" s="259"/>
      <c r="J484" s="260"/>
      <c r="K484" s="260"/>
      <c r="L484" s="261"/>
      <c r="M484" s="262"/>
      <c r="N484" s="262"/>
      <c r="O484" s="261"/>
      <c r="P484" s="262"/>
      <c r="Q484" s="262"/>
      <c r="R484" s="263"/>
      <c r="S484" s="264"/>
      <c r="T484" s="264"/>
      <c r="U484" s="265"/>
      <c r="V484" s="266"/>
      <c r="W484" s="266"/>
      <c r="X484" s="267"/>
      <c r="Y484" s="268"/>
      <c r="Z484" s="268"/>
      <c r="AA484" s="259"/>
      <c r="AB484" s="260"/>
      <c r="AC484" s="260"/>
      <c r="AD484" s="261"/>
      <c r="AE484" s="262"/>
      <c r="AF484" s="262"/>
      <c r="AG484" s="269"/>
      <c r="AH484" s="270"/>
      <c r="AI484" s="271"/>
      <c r="AJ484" s="272"/>
    </row>
    <row r="485" spans="1:36" x14ac:dyDescent="0.25">
      <c r="A485" s="28" t="str">
        <f>IF(H485&lt;&gt;"",MAX($A$7:A484)+1,"")</f>
        <v/>
      </c>
      <c r="B485" s="243" t="str">
        <f t="shared" si="16"/>
        <v/>
      </c>
      <c r="C485" s="158" t="str">
        <f t="shared" si="17"/>
        <v/>
      </c>
      <c r="D485" s="246"/>
      <c r="E485" s="247"/>
      <c r="F485" s="258"/>
      <c r="G485" s="248"/>
      <c r="H485" s="241"/>
      <c r="I485" s="259"/>
      <c r="J485" s="260"/>
      <c r="K485" s="260"/>
      <c r="L485" s="261"/>
      <c r="M485" s="262"/>
      <c r="N485" s="262"/>
      <c r="O485" s="261"/>
      <c r="P485" s="262"/>
      <c r="Q485" s="262"/>
      <c r="R485" s="263"/>
      <c r="S485" s="264"/>
      <c r="T485" s="264"/>
      <c r="U485" s="265"/>
      <c r="V485" s="266"/>
      <c r="W485" s="266"/>
      <c r="X485" s="267"/>
      <c r="Y485" s="268"/>
      <c r="Z485" s="268"/>
      <c r="AA485" s="259"/>
      <c r="AB485" s="260"/>
      <c r="AC485" s="260"/>
      <c r="AD485" s="261"/>
      <c r="AE485" s="262"/>
      <c r="AF485" s="262"/>
      <c r="AG485" s="269"/>
      <c r="AH485" s="270"/>
      <c r="AI485" s="271"/>
      <c r="AJ485" s="272"/>
    </row>
    <row r="486" spans="1:36" x14ac:dyDescent="0.25">
      <c r="A486" s="28" t="str">
        <f>IF(H486&lt;&gt;"",MAX($A$7:A485)+1,"")</f>
        <v/>
      </c>
      <c r="B486" s="243" t="str">
        <f t="shared" si="16"/>
        <v/>
      </c>
      <c r="C486" s="158" t="str">
        <f t="shared" si="17"/>
        <v/>
      </c>
      <c r="D486" s="246"/>
      <c r="E486" s="247"/>
      <c r="F486" s="258"/>
      <c r="G486" s="248"/>
      <c r="H486" s="241"/>
      <c r="I486" s="259"/>
      <c r="J486" s="260"/>
      <c r="K486" s="260"/>
      <c r="L486" s="261"/>
      <c r="M486" s="262"/>
      <c r="N486" s="262"/>
      <c r="O486" s="261"/>
      <c r="P486" s="262"/>
      <c r="Q486" s="262"/>
      <c r="R486" s="263"/>
      <c r="S486" s="264"/>
      <c r="T486" s="264"/>
      <c r="U486" s="265"/>
      <c r="V486" s="266"/>
      <c r="W486" s="266"/>
      <c r="X486" s="267"/>
      <c r="Y486" s="268"/>
      <c r="Z486" s="268"/>
      <c r="AA486" s="259"/>
      <c r="AB486" s="260"/>
      <c r="AC486" s="260"/>
      <c r="AD486" s="261"/>
      <c r="AE486" s="262"/>
      <c r="AF486" s="262"/>
      <c r="AG486" s="269"/>
      <c r="AH486" s="270"/>
      <c r="AI486" s="271"/>
      <c r="AJ486" s="272"/>
    </row>
    <row r="487" spans="1:36" x14ac:dyDescent="0.25">
      <c r="A487" s="28" t="str">
        <f>IF(H487&lt;&gt;"",MAX($A$7:A486)+1,"")</f>
        <v/>
      </c>
      <c r="B487" s="243" t="str">
        <f t="shared" si="16"/>
        <v/>
      </c>
      <c r="C487" s="158" t="str">
        <f t="shared" si="17"/>
        <v/>
      </c>
      <c r="D487" s="246"/>
      <c r="E487" s="247"/>
      <c r="F487" s="258"/>
      <c r="G487" s="248"/>
      <c r="H487" s="241"/>
      <c r="I487" s="259"/>
      <c r="J487" s="260"/>
      <c r="K487" s="260"/>
      <c r="L487" s="261"/>
      <c r="M487" s="262"/>
      <c r="N487" s="262"/>
      <c r="O487" s="261"/>
      <c r="P487" s="262"/>
      <c r="Q487" s="262"/>
      <c r="R487" s="263"/>
      <c r="S487" s="264"/>
      <c r="T487" s="264"/>
      <c r="U487" s="265"/>
      <c r="V487" s="266"/>
      <c r="W487" s="266"/>
      <c r="X487" s="267"/>
      <c r="Y487" s="268"/>
      <c r="Z487" s="268"/>
      <c r="AA487" s="259"/>
      <c r="AB487" s="260"/>
      <c r="AC487" s="260"/>
      <c r="AD487" s="261"/>
      <c r="AE487" s="262"/>
      <c r="AF487" s="262"/>
      <c r="AG487" s="269"/>
      <c r="AH487" s="270"/>
      <c r="AI487" s="271"/>
      <c r="AJ487" s="272"/>
    </row>
    <row r="488" spans="1:36" x14ac:dyDescent="0.25">
      <c r="A488" s="28" t="str">
        <f>IF(H488&lt;&gt;"",MAX($A$7:A487)+1,"")</f>
        <v/>
      </c>
      <c r="B488" s="243" t="str">
        <f t="shared" si="16"/>
        <v/>
      </c>
      <c r="C488" s="158" t="str">
        <f t="shared" si="17"/>
        <v/>
      </c>
      <c r="D488" s="246"/>
      <c r="E488" s="247"/>
      <c r="F488" s="258"/>
      <c r="G488" s="248"/>
      <c r="H488" s="241"/>
      <c r="I488" s="259"/>
      <c r="J488" s="260"/>
      <c r="K488" s="260"/>
      <c r="L488" s="261"/>
      <c r="M488" s="262"/>
      <c r="N488" s="262"/>
      <c r="O488" s="261"/>
      <c r="P488" s="262"/>
      <c r="Q488" s="262"/>
      <c r="R488" s="263"/>
      <c r="S488" s="264"/>
      <c r="T488" s="264"/>
      <c r="U488" s="265"/>
      <c r="V488" s="266"/>
      <c r="W488" s="266"/>
      <c r="X488" s="267"/>
      <c r="Y488" s="268"/>
      <c r="Z488" s="268"/>
      <c r="AA488" s="259"/>
      <c r="AB488" s="260"/>
      <c r="AC488" s="260"/>
      <c r="AD488" s="261"/>
      <c r="AE488" s="262"/>
      <c r="AF488" s="262"/>
      <c r="AG488" s="269"/>
      <c r="AH488" s="270"/>
      <c r="AI488" s="271"/>
      <c r="AJ488" s="272"/>
    </row>
    <row r="489" spans="1:36" x14ac:dyDescent="0.25">
      <c r="A489" s="28" t="str">
        <f>IF(H489&lt;&gt;"",MAX($A$7:A488)+1,"")</f>
        <v/>
      </c>
      <c r="B489" s="243" t="str">
        <f t="shared" si="16"/>
        <v/>
      </c>
      <c r="C489" s="158" t="str">
        <f t="shared" si="17"/>
        <v/>
      </c>
      <c r="D489" s="246"/>
      <c r="E489" s="247"/>
      <c r="F489" s="258"/>
      <c r="G489" s="248"/>
      <c r="H489" s="241"/>
      <c r="I489" s="259"/>
      <c r="J489" s="260"/>
      <c r="K489" s="260"/>
      <c r="L489" s="261"/>
      <c r="M489" s="262"/>
      <c r="N489" s="262"/>
      <c r="O489" s="261"/>
      <c r="P489" s="262"/>
      <c r="Q489" s="262"/>
      <c r="R489" s="263"/>
      <c r="S489" s="264"/>
      <c r="T489" s="264"/>
      <c r="U489" s="265"/>
      <c r="V489" s="266"/>
      <c r="W489" s="266"/>
      <c r="X489" s="267"/>
      <c r="Y489" s="268"/>
      <c r="Z489" s="268"/>
      <c r="AA489" s="259"/>
      <c r="AB489" s="260"/>
      <c r="AC489" s="260"/>
      <c r="AD489" s="261"/>
      <c r="AE489" s="262"/>
      <c r="AF489" s="262"/>
      <c r="AG489" s="269"/>
      <c r="AH489" s="270"/>
      <c r="AI489" s="271"/>
      <c r="AJ489" s="272"/>
    </row>
    <row r="490" spans="1:36" x14ac:dyDescent="0.25">
      <c r="A490" s="28" t="str">
        <f>IF(H490&lt;&gt;"",MAX($A$7:A489)+1,"")</f>
        <v/>
      </c>
      <c r="B490" s="243" t="str">
        <f t="shared" si="16"/>
        <v/>
      </c>
      <c r="C490" s="158" t="str">
        <f t="shared" si="17"/>
        <v/>
      </c>
      <c r="D490" s="246"/>
      <c r="E490" s="247"/>
      <c r="F490" s="258"/>
      <c r="G490" s="248"/>
      <c r="H490" s="241"/>
      <c r="I490" s="259"/>
      <c r="J490" s="260"/>
      <c r="K490" s="260"/>
      <c r="L490" s="261"/>
      <c r="M490" s="262"/>
      <c r="N490" s="262"/>
      <c r="O490" s="261"/>
      <c r="P490" s="262"/>
      <c r="Q490" s="262"/>
      <c r="R490" s="263"/>
      <c r="S490" s="264"/>
      <c r="T490" s="264"/>
      <c r="U490" s="265"/>
      <c r="V490" s="266"/>
      <c r="W490" s="266"/>
      <c r="X490" s="267"/>
      <c r="Y490" s="268"/>
      <c r="Z490" s="268"/>
      <c r="AA490" s="259"/>
      <c r="AB490" s="260"/>
      <c r="AC490" s="260"/>
      <c r="AD490" s="261"/>
      <c r="AE490" s="262"/>
      <c r="AF490" s="262"/>
      <c r="AG490" s="269"/>
      <c r="AH490" s="270"/>
      <c r="AI490" s="271"/>
      <c r="AJ490" s="272"/>
    </row>
    <row r="491" spans="1:36" x14ac:dyDescent="0.25">
      <c r="A491" s="28" t="str">
        <f>IF(H491&lt;&gt;"",MAX($A$7:A490)+1,"")</f>
        <v/>
      </c>
      <c r="B491" s="243" t="str">
        <f t="shared" si="16"/>
        <v/>
      </c>
      <c r="C491" s="158" t="str">
        <f t="shared" si="17"/>
        <v/>
      </c>
      <c r="D491" s="246"/>
      <c r="E491" s="247"/>
      <c r="F491" s="258"/>
      <c r="G491" s="248"/>
      <c r="H491" s="241"/>
      <c r="I491" s="259"/>
      <c r="J491" s="260"/>
      <c r="K491" s="260"/>
      <c r="L491" s="261"/>
      <c r="M491" s="262"/>
      <c r="N491" s="262"/>
      <c r="O491" s="261"/>
      <c r="P491" s="262"/>
      <c r="Q491" s="262"/>
      <c r="R491" s="263"/>
      <c r="S491" s="264"/>
      <c r="T491" s="264"/>
      <c r="U491" s="265"/>
      <c r="V491" s="266"/>
      <c r="W491" s="266"/>
      <c r="X491" s="267"/>
      <c r="Y491" s="268"/>
      <c r="Z491" s="268"/>
      <c r="AA491" s="259"/>
      <c r="AB491" s="260"/>
      <c r="AC491" s="260"/>
      <c r="AD491" s="261"/>
      <c r="AE491" s="262"/>
      <c r="AF491" s="262"/>
      <c r="AG491" s="269"/>
      <c r="AH491" s="270"/>
      <c r="AI491" s="271"/>
      <c r="AJ491" s="272"/>
    </row>
    <row r="492" spans="1:36" x14ac:dyDescent="0.25">
      <c r="A492" s="28" t="str">
        <f>IF(H492&lt;&gt;"",MAX($A$7:A491)+1,"")</f>
        <v/>
      </c>
      <c r="B492" s="243" t="str">
        <f t="shared" si="16"/>
        <v/>
      </c>
      <c r="C492" s="158" t="str">
        <f t="shared" si="17"/>
        <v/>
      </c>
      <c r="D492" s="246"/>
      <c r="E492" s="247"/>
      <c r="F492" s="258"/>
      <c r="G492" s="248"/>
      <c r="H492" s="241"/>
      <c r="I492" s="259"/>
      <c r="J492" s="260"/>
      <c r="K492" s="260"/>
      <c r="L492" s="261"/>
      <c r="M492" s="262"/>
      <c r="N492" s="262"/>
      <c r="O492" s="261"/>
      <c r="P492" s="262"/>
      <c r="Q492" s="262"/>
      <c r="R492" s="263"/>
      <c r="S492" s="264"/>
      <c r="T492" s="264"/>
      <c r="U492" s="265"/>
      <c r="V492" s="266"/>
      <c r="W492" s="266"/>
      <c r="X492" s="267"/>
      <c r="Y492" s="268"/>
      <c r="Z492" s="268"/>
      <c r="AA492" s="259"/>
      <c r="AB492" s="260"/>
      <c r="AC492" s="260"/>
      <c r="AD492" s="261"/>
      <c r="AE492" s="262"/>
      <c r="AF492" s="262"/>
      <c r="AG492" s="269"/>
      <c r="AH492" s="270"/>
      <c r="AI492" s="271"/>
      <c r="AJ492" s="272"/>
    </row>
    <row r="493" spans="1:36" x14ac:dyDescent="0.25">
      <c r="A493" s="28" t="str">
        <f>IF(H493&lt;&gt;"",MAX($A$7:A492)+1,"")</f>
        <v/>
      </c>
      <c r="B493" s="243" t="str">
        <f t="shared" si="16"/>
        <v/>
      </c>
      <c r="C493" s="158" t="str">
        <f t="shared" si="17"/>
        <v/>
      </c>
      <c r="D493" s="246"/>
      <c r="E493" s="247"/>
      <c r="F493" s="258"/>
      <c r="G493" s="248"/>
      <c r="H493" s="241"/>
      <c r="I493" s="259"/>
      <c r="J493" s="260"/>
      <c r="K493" s="260"/>
      <c r="L493" s="261"/>
      <c r="M493" s="262"/>
      <c r="N493" s="262"/>
      <c r="O493" s="261"/>
      <c r="P493" s="262"/>
      <c r="Q493" s="262"/>
      <c r="R493" s="263"/>
      <c r="S493" s="264"/>
      <c r="T493" s="264"/>
      <c r="U493" s="265"/>
      <c r="V493" s="266"/>
      <c r="W493" s="266"/>
      <c r="X493" s="267"/>
      <c r="Y493" s="268"/>
      <c r="Z493" s="268"/>
      <c r="AA493" s="259"/>
      <c r="AB493" s="260"/>
      <c r="AC493" s="260"/>
      <c r="AD493" s="261"/>
      <c r="AE493" s="262"/>
      <c r="AF493" s="262"/>
      <c r="AG493" s="269"/>
      <c r="AH493" s="270"/>
      <c r="AI493" s="271"/>
      <c r="AJ493" s="272"/>
    </row>
    <row r="494" spans="1:36" x14ac:dyDescent="0.25">
      <c r="A494" s="28" t="str">
        <f>IF(H494&lt;&gt;"",MAX($A$7:A493)+1,"")</f>
        <v/>
      </c>
      <c r="B494" s="243" t="str">
        <f t="shared" si="16"/>
        <v/>
      </c>
      <c r="C494" s="158" t="str">
        <f t="shared" si="17"/>
        <v/>
      </c>
      <c r="D494" s="246"/>
      <c r="E494" s="247"/>
      <c r="F494" s="258"/>
      <c r="G494" s="248"/>
      <c r="H494" s="241"/>
      <c r="I494" s="259"/>
      <c r="J494" s="260"/>
      <c r="K494" s="260"/>
      <c r="L494" s="261"/>
      <c r="M494" s="262"/>
      <c r="N494" s="262"/>
      <c r="O494" s="261"/>
      <c r="P494" s="262"/>
      <c r="Q494" s="262"/>
      <c r="R494" s="263"/>
      <c r="S494" s="264"/>
      <c r="T494" s="264"/>
      <c r="U494" s="265"/>
      <c r="V494" s="266"/>
      <c r="W494" s="266"/>
      <c r="X494" s="267"/>
      <c r="Y494" s="268"/>
      <c r="Z494" s="268"/>
      <c r="AA494" s="259"/>
      <c r="AB494" s="260"/>
      <c r="AC494" s="260"/>
      <c r="AD494" s="261"/>
      <c r="AE494" s="262"/>
      <c r="AF494" s="262"/>
      <c r="AG494" s="269"/>
      <c r="AH494" s="270"/>
      <c r="AI494" s="271"/>
      <c r="AJ494" s="272"/>
    </row>
    <row r="495" spans="1:36" x14ac:dyDescent="0.25">
      <c r="A495" s="28" t="str">
        <f>IF(H495&lt;&gt;"",MAX($A$7:A494)+1,"")</f>
        <v/>
      </c>
      <c r="B495" s="243" t="str">
        <f t="shared" si="16"/>
        <v/>
      </c>
      <c r="C495" s="158" t="str">
        <f t="shared" si="17"/>
        <v/>
      </c>
      <c r="D495" s="246"/>
      <c r="E495" s="247"/>
      <c r="F495" s="258"/>
      <c r="G495" s="248"/>
      <c r="H495" s="241"/>
      <c r="I495" s="259"/>
      <c r="J495" s="260"/>
      <c r="K495" s="260"/>
      <c r="L495" s="261"/>
      <c r="M495" s="262"/>
      <c r="N495" s="262"/>
      <c r="O495" s="261"/>
      <c r="P495" s="262"/>
      <c r="Q495" s="262"/>
      <c r="R495" s="263"/>
      <c r="S495" s="264"/>
      <c r="T495" s="264"/>
      <c r="U495" s="265"/>
      <c r="V495" s="266"/>
      <c r="W495" s="266"/>
      <c r="X495" s="267"/>
      <c r="Y495" s="268"/>
      <c r="Z495" s="268"/>
      <c r="AA495" s="259"/>
      <c r="AB495" s="260"/>
      <c r="AC495" s="260"/>
      <c r="AD495" s="261"/>
      <c r="AE495" s="262"/>
      <c r="AF495" s="262"/>
      <c r="AG495" s="269"/>
      <c r="AH495" s="270"/>
      <c r="AI495" s="271"/>
      <c r="AJ495" s="272"/>
    </row>
    <row r="496" spans="1:36" x14ac:dyDescent="0.25">
      <c r="A496" s="28" t="str">
        <f>IF(H496&lt;&gt;"",MAX($A$7:A495)+1,"")</f>
        <v/>
      </c>
      <c r="B496" s="243" t="str">
        <f t="shared" si="16"/>
        <v/>
      </c>
      <c r="C496" s="158" t="str">
        <f t="shared" si="17"/>
        <v/>
      </c>
      <c r="D496" s="246"/>
      <c r="E496" s="247"/>
      <c r="F496" s="258"/>
      <c r="G496" s="248"/>
      <c r="H496" s="241"/>
      <c r="I496" s="259"/>
      <c r="J496" s="260"/>
      <c r="K496" s="260"/>
      <c r="L496" s="261"/>
      <c r="M496" s="262"/>
      <c r="N496" s="262"/>
      <c r="O496" s="261"/>
      <c r="P496" s="262"/>
      <c r="Q496" s="262"/>
      <c r="R496" s="263"/>
      <c r="S496" s="264"/>
      <c r="T496" s="264"/>
      <c r="U496" s="265"/>
      <c r="V496" s="266"/>
      <c r="W496" s="266"/>
      <c r="X496" s="267"/>
      <c r="Y496" s="268"/>
      <c r="Z496" s="268"/>
      <c r="AA496" s="259"/>
      <c r="AB496" s="260"/>
      <c r="AC496" s="260"/>
      <c r="AD496" s="261"/>
      <c r="AE496" s="262"/>
      <c r="AF496" s="262"/>
      <c r="AG496" s="269"/>
      <c r="AH496" s="270"/>
      <c r="AI496" s="271"/>
      <c r="AJ496" s="272"/>
    </row>
    <row r="497" spans="1:36" x14ac:dyDescent="0.25">
      <c r="A497" s="28" t="str">
        <f>IF(H497&lt;&gt;"",MAX($A$7:A496)+1,"")</f>
        <v/>
      </c>
      <c r="B497" s="243" t="str">
        <f t="shared" si="16"/>
        <v/>
      </c>
      <c r="C497" s="158" t="str">
        <f t="shared" si="17"/>
        <v/>
      </c>
      <c r="D497" s="246"/>
      <c r="E497" s="247"/>
      <c r="F497" s="258"/>
      <c r="G497" s="248"/>
      <c r="H497" s="241"/>
      <c r="I497" s="259"/>
      <c r="J497" s="260"/>
      <c r="K497" s="260"/>
      <c r="L497" s="261"/>
      <c r="M497" s="262"/>
      <c r="N497" s="262"/>
      <c r="O497" s="261"/>
      <c r="P497" s="262"/>
      <c r="Q497" s="262"/>
      <c r="R497" s="263"/>
      <c r="S497" s="264"/>
      <c r="T497" s="264"/>
      <c r="U497" s="265"/>
      <c r="V497" s="266"/>
      <c r="W497" s="266"/>
      <c r="X497" s="267"/>
      <c r="Y497" s="268"/>
      <c r="Z497" s="268"/>
      <c r="AA497" s="259"/>
      <c r="AB497" s="260"/>
      <c r="AC497" s="260"/>
      <c r="AD497" s="261"/>
      <c r="AE497" s="262"/>
      <c r="AF497" s="262"/>
      <c r="AG497" s="269"/>
      <c r="AH497" s="270"/>
      <c r="AI497" s="271"/>
      <c r="AJ497" s="272"/>
    </row>
    <row r="498" spans="1:36" x14ac:dyDescent="0.25">
      <c r="A498" s="28" t="str">
        <f>IF(H498&lt;&gt;"",MAX($A$7:A497)+1,"")</f>
        <v/>
      </c>
      <c r="B498" s="243" t="str">
        <f t="shared" si="16"/>
        <v/>
      </c>
      <c r="C498" s="158" t="str">
        <f t="shared" si="17"/>
        <v/>
      </c>
      <c r="D498" s="246"/>
      <c r="E498" s="247"/>
      <c r="F498" s="258"/>
      <c r="G498" s="248"/>
      <c r="H498" s="241"/>
      <c r="I498" s="259"/>
      <c r="J498" s="260"/>
      <c r="K498" s="260"/>
      <c r="L498" s="261"/>
      <c r="M498" s="262"/>
      <c r="N498" s="262"/>
      <c r="O498" s="261"/>
      <c r="P498" s="262"/>
      <c r="Q498" s="262"/>
      <c r="R498" s="263"/>
      <c r="S498" s="264"/>
      <c r="T498" s="264"/>
      <c r="U498" s="265"/>
      <c r="V498" s="266"/>
      <c r="W498" s="266"/>
      <c r="X498" s="267"/>
      <c r="Y498" s="268"/>
      <c r="Z498" s="268"/>
      <c r="AA498" s="259"/>
      <c r="AB498" s="260"/>
      <c r="AC498" s="260"/>
      <c r="AD498" s="261"/>
      <c r="AE498" s="262"/>
      <c r="AF498" s="262"/>
      <c r="AG498" s="269"/>
      <c r="AH498" s="270"/>
      <c r="AI498" s="271"/>
      <c r="AJ498" s="272"/>
    </row>
    <row r="499" spans="1:36" x14ac:dyDescent="0.25">
      <c r="A499" s="28" t="str">
        <f>IF(H499&lt;&gt;"",MAX($A$7:A498)+1,"")</f>
        <v/>
      </c>
      <c r="B499" s="243" t="str">
        <f t="shared" si="16"/>
        <v/>
      </c>
      <c r="C499" s="158" t="str">
        <f t="shared" si="17"/>
        <v/>
      </c>
      <c r="D499" s="246"/>
      <c r="E499" s="247"/>
      <c r="F499" s="258"/>
      <c r="G499" s="248"/>
      <c r="H499" s="241"/>
      <c r="I499" s="259"/>
      <c r="J499" s="260"/>
      <c r="K499" s="260"/>
      <c r="L499" s="261"/>
      <c r="M499" s="262"/>
      <c r="N499" s="262"/>
      <c r="O499" s="261"/>
      <c r="P499" s="262"/>
      <c r="Q499" s="262"/>
      <c r="R499" s="263"/>
      <c r="S499" s="264"/>
      <c r="T499" s="264"/>
      <c r="U499" s="265"/>
      <c r="V499" s="266"/>
      <c r="W499" s="266"/>
      <c r="X499" s="267"/>
      <c r="Y499" s="268"/>
      <c r="Z499" s="268"/>
      <c r="AA499" s="259"/>
      <c r="AB499" s="260"/>
      <c r="AC499" s="260"/>
      <c r="AD499" s="261"/>
      <c r="AE499" s="262"/>
      <c r="AF499" s="262"/>
      <c r="AG499" s="269"/>
      <c r="AH499" s="270"/>
      <c r="AI499" s="271"/>
      <c r="AJ499" s="272"/>
    </row>
    <row r="500" spans="1:36" x14ac:dyDescent="0.25">
      <c r="A500" s="28" t="str">
        <f>IF(H500&lt;&gt;"",MAX($A$7:A499)+1,"")</f>
        <v/>
      </c>
      <c r="B500" s="243" t="str">
        <f t="shared" si="16"/>
        <v/>
      </c>
      <c r="C500" s="158" t="str">
        <f t="shared" si="17"/>
        <v/>
      </c>
      <c r="D500" s="246"/>
      <c r="E500" s="247"/>
      <c r="F500" s="258"/>
      <c r="G500" s="248"/>
      <c r="H500" s="241"/>
      <c r="I500" s="259"/>
      <c r="J500" s="260"/>
      <c r="K500" s="260"/>
      <c r="L500" s="261"/>
      <c r="M500" s="262"/>
      <c r="N500" s="262"/>
      <c r="O500" s="261"/>
      <c r="P500" s="262"/>
      <c r="Q500" s="262"/>
      <c r="R500" s="263"/>
      <c r="S500" s="264"/>
      <c r="T500" s="264"/>
      <c r="U500" s="265"/>
      <c r="V500" s="266"/>
      <c r="W500" s="266"/>
      <c r="X500" s="267"/>
      <c r="Y500" s="268"/>
      <c r="Z500" s="268"/>
      <c r="AA500" s="259"/>
      <c r="AB500" s="260"/>
      <c r="AC500" s="260"/>
      <c r="AD500" s="261"/>
      <c r="AE500" s="262"/>
      <c r="AF500" s="262"/>
      <c r="AG500" s="269"/>
      <c r="AH500" s="270"/>
      <c r="AI500" s="271"/>
      <c r="AJ500" s="272"/>
    </row>
    <row r="501" spans="1:36" x14ac:dyDescent="0.25">
      <c r="A501" s="28" t="str">
        <f>IF(H501&lt;&gt;"",MAX($A$7:A500)+1,"")</f>
        <v/>
      </c>
      <c r="B501" s="243" t="str">
        <f t="shared" si="16"/>
        <v/>
      </c>
      <c r="C501" s="158" t="str">
        <f t="shared" si="17"/>
        <v/>
      </c>
      <c r="D501" s="246"/>
      <c r="E501" s="247"/>
      <c r="F501" s="258"/>
      <c r="G501" s="248"/>
      <c r="H501" s="241"/>
      <c r="I501" s="259"/>
      <c r="J501" s="260"/>
      <c r="K501" s="260"/>
      <c r="L501" s="261"/>
      <c r="M501" s="262"/>
      <c r="N501" s="262"/>
      <c r="O501" s="261"/>
      <c r="P501" s="262"/>
      <c r="Q501" s="262"/>
      <c r="R501" s="263"/>
      <c r="S501" s="264"/>
      <c r="T501" s="264"/>
      <c r="U501" s="265"/>
      <c r="V501" s="266"/>
      <c r="W501" s="266"/>
      <c r="X501" s="267"/>
      <c r="Y501" s="268"/>
      <c r="Z501" s="268"/>
      <c r="AA501" s="259"/>
      <c r="AB501" s="260"/>
      <c r="AC501" s="260"/>
      <c r="AD501" s="261"/>
      <c r="AE501" s="262"/>
      <c r="AF501" s="262"/>
      <c r="AG501" s="269"/>
      <c r="AH501" s="270"/>
      <c r="AI501" s="271"/>
      <c r="AJ501" s="272"/>
    </row>
    <row r="502" spans="1:36" x14ac:dyDescent="0.25">
      <c r="A502" s="28" t="str">
        <f>IF(H502&lt;&gt;"",MAX($A$7:A501)+1,"")</f>
        <v/>
      </c>
      <c r="B502" s="243" t="str">
        <f t="shared" si="16"/>
        <v/>
      </c>
      <c r="C502" s="158" t="str">
        <f t="shared" si="17"/>
        <v/>
      </c>
      <c r="D502" s="246"/>
      <c r="E502" s="247"/>
      <c r="F502" s="258"/>
      <c r="G502" s="248"/>
      <c r="H502" s="241"/>
      <c r="I502" s="259"/>
      <c r="J502" s="260"/>
      <c r="K502" s="260"/>
      <c r="L502" s="261"/>
      <c r="M502" s="262"/>
      <c r="N502" s="262"/>
      <c r="O502" s="261"/>
      <c r="P502" s="262"/>
      <c r="Q502" s="262"/>
      <c r="R502" s="263"/>
      <c r="S502" s="264"/>
      <c r="T502" s="264"/>
      <c r="U502" s="265"/>
      <c r="V502" s="266"/>
      <c r="W502" s="266"/>
      <c r="X502" s="267"/>
      <c r="Y502" s="268"/>
      <c r="Z502" s="268"/>
      <c r="AA502" s="259"/>
      <c r="AB502" s="260"/>
      <c r="AC502" s="260"/>
      <c r="AD502" s="261"/>
      <c r="AE502" s="262"/>
      <c r="AF502" s="262"/>
      <c r="AG502" s="269"/>
      <c r="AH502" s="270"/>
      <c r="AI502" s="271"/>
      <c r="AJ502" s="272"/>
    </row>
    <row r="503" spans="1:36" x14ac:dyDescent="0.25">
      <c r="A503" s="28" t="str">
        <f>IF(H503&lt;&gt;"",MAX($A$7:A502)+1,"")</f>
        <v/>
      </c>
      <c r="B503" s="243" t="str">
        <f t="shared" si="16"/>
        <v/>
      </c>
      <c r="C503" s="158" t="str">
        <f t="shared" si="17"/>
        <v/>
      </c>
      <c r="D503" s="246"/>
      <c r="E503" s="247"/>
      <c r="F503" s="258"/>
      <c r="G503" s="248"/>
      <c r="H503" s="241"/>
      <c r="I503" s="259"/>
      <c r="J503" s="260"/>
      <c r="K503" s="260"/>
      <c r="L503" s="261"/>
      <c r="M503" s="262"/>
      <c r="N503" s="262"/>
      <c r="O503" s="261"/>
      <c r="P503" s="262"/>
      <c r="Q503" s="262"/>
      <c r="R503" s="263"/>
      <c r="S503" s="264"/>
      <c r="T503" s="264"/>
      <c r="U503" s="265"/>
      <c r="V503" s="266"/>
      <c r="W503" s="266"/>
      <c r="X503" s="267"/>
      <c r="Y503" s="268"/>
      <c r="Z503" s="268"/>
      <c r="AA503" s="259"/>
      <c r="AB503" s="260"/>
      <c r="AC503" s="260"/>
      <c r="AD503" s="261"/>
      <c r="AE503" s="262"/>
      <c r="AF503" s="262"/>
      <c r="AG503" s="269"/>
      <c r="AH503" s="270"/>
      <c r="AI503" s="271"/>
      <c r="AJ503" s="272"/>
    </row>
    <row r="504" spans="1:36" x14ac:dyDescent="0.25">
      <c r="A504" s="28" t="str">
        <f>IF(H504&lt;&gt;"",MAX($A$7:A503)+1,"")</f>
        <v/>
      </c>
      <c r="B504" s="243" t="str">
        <f t="shared" si="16"/>
        <v/>
      </c>
      <c r="C504" s="158" t="str">
        <f t="shared" si="17"/>
        <v/>
      </c>
      <c r="D504" s="246"/>
      <c r="E504" s="247"/>
      <c r="F504" s="258"/>
      <c r="G504" s="248"/>
      <c r="H504" s="241"/>
      <c r="I504" s="259"/>
      <c r="J504" s="260"/>
      <c r="K504" s="260"/>
      <c r="L504" s="261"/>
      <c r="M504" s="262"/>
      <c r="N504" s="262"/>
      <c r="O504" s="261"/>
      <c r="P504" s="262"/>
      <c r="Q504" s="262"/>
      <c r="R504" s="263"/>
      <c r="S504" s="264"/>
      <c r="T504" s="264"/>
      <c r="U504" s="265"/>
      <c r="V504" s="266"/>
      <c r="W504" s="266"/>
      <c r="X504" s="267"/>
      <c r="Y504" s="268"/>
      <c r="Z504" s="268"/>
      <c r="AA504" s="259"/>
      <c r="AB504" s="260"/>
      <c r="AC504" s="260"/>
      <c r="AD504" s="261"/>
      <c r="AE504" s="262"/>
      <c r="AF504" s="262"/>
      <c r="AG504" s="269"/>
      <c r="AH504" s="270"/>
      <c r="AI504" s="271"/>
      <c r="AJ504" s="272"/>
    </row>
    <row r="505" spans="1:36" x14ac:dyDescent="0.25">
      <c r="A505" s="28" t="str">
        <f>IF(H505&lt;&gt;"",MAX($A$7:A504)+1,"")</f>
        <v/>
      </c>
      <c r="B505" s="243" t="str">
        <f t="shared" si="16"/>
        <v/>
      </c>
      <c r="C505" s="158" t="str">
        <f t="shared" si="17"/>
        <v/>
      </c>
      <c r="D505" s="246"/>
      <c r="E505" s="247"/>
      <c r="F505" s="258"/>
      <c r="G505" s="248"/>
      <c r="H505" s="241"/>
      <c r="I505" s="259"/>
      <c r="J505" s="260"/>
      <c r="K505" s="260"/>
      <c r="L505" s="261"/>
      <c r="M505" s="262"/>
      <c r="N505" s="262"/>
      <c r="O505" s="261"/>
      <c r="P505" s="262"/>
      <c r="Q505" s="262"/>
      <c r="R505" s="263"/>
      <c r="S505" s="264"/>
      <c r="T505" s="264"/>
      <c r="U505" s="265"/>
      <c r="V505" s="266"/>
      <c r="W505" s="266"/>
      <c r="X505" s="267"/>
      <c r="Y505" s="268"/>
      <c r="Z505" s="268"/>
      <c r="AA505" s="259"/>
      <c r="AB505" s="260"/>
      <c r="AC505" s="260"/>
      <c r="AD505" s="261"/>
      <c r="AE505" s="262"/>
      <c r="AF505" s="262"/>
      <c r="AG505" s="269"/>
      <c r="AH505" s="270"/>
      <c r="AI505" s="271"/>
      <c r="AJ505" s="272"/>
    </row>
    <row r="506" spans="1:36" x14ac:dyDescent="0.25">
      <c r="A506" s="28" t="str">
        <f>IF(H506&lt;&gt;"",MAX($A$7:A505)+1,"")</f>
        <v/>
      </c>
      <c r="B506" s="243" t="str">
        <f t="shared" si="16"/>
        <v/>
      </c>
      <c r="C506" s="158" t="str">
        <f t="shared" si="17"/>
        <v/>
      </c>
      <c r="D506" s="246"/>
      <c r="E506" s="247"/>
      <c r="F506" s="258"/>
      <c r="G506" s="248"/>
      <c r="H506" s="241"/>
      <c r="I506" s="259"/>
      <c r="J506" s="260"/>
      <c r="K506" s="260"/>
      <c r="L506" s="261"/>
      <c r="M506" s="262"/>
      <c r="N506" s="262"/>
      <c r="O506" s="261"/>
      <c r="P506" s="262"/>
      <c r="Q506" s="262"/>
      <c r="R506" s="263"/>
      <c r="S506" s="264"/>
      <c r="T506" s="264"/>
      <c r="U506" s="265"/>
      <c r="V506" s="266"/>
      <c r="W506" s="266"/>
      <c r="X506" s="267"/>
      <c r="Y506" s="268"/>
      <c r="Z506" s="268"/>
      <c r="AA506" s="259"/>
      <c r="AB506" s="260"/>
      <c r="AC506" s="260"/>
      <c r="AD506" s="261"/>
      <c r="AE506" s="262"/>
      <c r="AF506" s="262"/>
      <c r="AG506" s="269"/>
      <c r="AH506" s="270"/>
      <c r="AI506" s="271"/>
      <c r="AJ506" s="272"/>
    </row>
    <row r="507" spans="1:36" x14ac:dyDescent="0.25">
      <c r="A507" s="28" t="str">
        <f>IF(H507&lt;&gt;"",MAX($A$7:A506)+1,"")</f>
        <v/>
      </c>
      <c r="B507" s="243" t="str">
        <f t="shared" si="16"/>
        <v/>
      </c>
      <c r="C507" s="158" t="str">
        <f t="shared" si="17"/>
        <v/>
      </c>
      <c r="D507" s="246"/>
      <c r="E507" s="247"/>
      <c r="F507" s="258"/>
      <c r="G507" s="248"/>
      <c r="H507" s="241"/>
      <c r="I507" s="259"/>
      <c r="J507" s="260"/>
      <c r="K507" s="260"/>
      <c r="L507" s="261"/>
      <c r="M507" s="262"/>
      <c r="N507" s="262"/>
      <c r="O507" s="261"/>
      <c r="P507" s="262"/>
      <c r="Q507" s="262"/>
      <c r="R507" s="263"/>
      <c r="S507" s="264"/>
      <c r="T507" s="264"/>
      <c r="U507" s="265"/>
      <c r="V507" s="266"/>
      <c r="W507" s="266"/>
      <c r="X507" s="267"/>
      <c r="Y507" s="268"/>
      <c r="Z507" s="268"/>
      <c r="AA507" s="259"/>
      <c r="AB507" s="260"/>
      <c r="AC507" s="260"/>
      <c r="AD507" s="261"/>
      <c r="AE507" s="262"/>
      <c r="AF507" s="262"/>
      <c r="AG507" s="269"/>
      <c r="AH507" s="270"/>
      <c r="AI507" s="271"/>
      <c r="AJ507" s="272"/>
    </row>
    <row r="508" spans="1:36" x14ac:dyDescent="0.25">
      <c r="A508" s="28" t="str">
        <f>IF(H508&lt;&gt;"",MAX($A$7:A507)+1,"")</f>
        <v/>
      </c>
      <c r="B508" s="243" t="str">
        <f t="shared" si="16"/>
        <v/>
      </c>
      <c r="C508" s="158" t="str">
        <f t="shared" si="17"/>
        <v/>
      </c>
      <c r="D508" s="246"/>
      <c r="E508" s="247"/>
      <c r="F508" s="258"/>
      <c r="G508" s="248"/>
      <c r="H508" s="241"/>
      <c r="I508" s="259"/>
      <c r="J508" s="260"/>
      <c r="K508" s="260"/>
      <c r="L508" s="261"/>
      <c r="M508" s="262"/>
      <c r="N508" s="262"/>
      <c r="O508" s="261"/>
      <c r="P508" s="262"/>
      <c r="Q508" s="262"/>
      <c r="R508" s="263"/>
      <c r="S508" s="264"/>
      <c r="T508" s="264"/>
      <c r="U508" s="265"/>
      <c r="V508" s="266"/>
      <c r="W508" s="266"/>
      <c r="X508" s="267"/>
      <c r="Y508" s="268"/>
      <c r="Z508" s="268"/>
      <c r="AA508" s="259"/>
      <c r="AB508" s="260"/>
      <c r="AC508" s="260"/>
      <c r="AD508" s="261"/>
      <c r="AE508" s="262"/>
      <c r="AF508" s="262"/>
      <c r="AG508" s="269"/>
      <c r="AH508" s="270"/>
      <c r="AI508" s="271"/>
      <c r="AJ508" s="272"/>
    </row>
  </sheetData>
  <sheetProtection algorithmName="SHA-512" hashValue="INmQBQ8TF0RqEbj/ZerRjSwpvoyxQaX0KkeHyyyxwD85G8PFZbG9x5+IBSyh+kdgXxbw5vtnaTM29j+SlPw+4Q==" saltValue="hjdrmbVbkEWkPSXd6llxXg==" spinCount="100000" sheet="1" objects="1" scenarios="1" selectLockedCells="1"/>
  <conditionalFormatting sqref="B4:D4 H4">
    <cfRule type="expression" dxfId="34" priority="451">
      <formula>MAX($D$7:$D$156)&gt;1</formula>
    </cfRule>
  </conditionalFormatting>
  <conditionalFormatting sqref="B6:C6">
    <cfRule type="cellIs" dxfId="33" priority="386" operator="equal">
      <formula>""</formula>
    </cfRule>
    <cfRule type="cellIs" dxfId="32" priority="387" operator="equal">
      <formula>0</formula>
    </cfRule>
  </conditionalFormatting>
  <conditionalFormatting sqref="D6:E6 G6 I6:AJ6">
    <cfRule type="cellIs" dxfId="31" priority="384" operator="equal">
      <formula>""</formula>
    </cfRule>
    <cfRule type="cellIs" dxfId="30" priority="385" operator="equal">
      <formula>0</formula>
    </cfRule>
  </conditionalFormatting>
  <conditionalFormatting sqref="F6">
    <cfRule type="cellIs" dxfId="29" priority="354" operator="equal">
      <formula>""</formula>
    </cfRule>
    <cfRule type="cellIs" dxfId="28" priority="355" operator="equal">
      <formula>0</formula>
    </cfRule>
  </conditionalFormatting>
  <conditionalFormatting sqref="F5">
    <cfRule type="expression" dxfId="27" priority="335" stopIfTrue="1">
      <formula>$B$43&lt;&gt;$B$40</formula>
    </cfRule>
  </conditionalFormatting>
  <conditionalFormatting sqref="B5:AJ5">
    <cfRule type="cellIs" dxfId="26" priority="398" operator="equal">
      <formula>""</formula>
    </cfRule>
    <cfRule type="cellIs" dxfId="25" priority="399" operator="equal">
      <formula>0</formula>
    </cfRule>
  </conditionalFormatting>
  <conditionalFormatting sqref="H6">
    <cfRule type="cellIs" dxfId="24" priority="21" operator="equal">
      <formula>""</formula>
    </cfRule>
    <cfRule type="cellIs" dxfId="23" priority="22" operator="equal">
      <formula>0</formula>
    </cfRule>
  </conditionalFormatting>
  <conditionalFormatting sqref="B7:C508">
    <cfRule type="cellIs" dxfId="22" priority="4" operator="equal">
      <formula>""</formula>
    </cfRule>
    <cfRule type="cellIs" dxfId="21" priority="5" operator="equal">
      <formula>0</formula>
    </cfRule>
  </conditionalFormatting>
  <conditionalFormatting sqref="F7:F508">
    <cfRule type="expression" dxfId="20" priority="1" stopIfTrue="1">
      <formula>$B$43&lt;&gt;$B$40</formula>
    </cfRule>
  </conditionalFormatting>
  <conditionalFormatting sqref="D7:AJ508">
    <cfRule type="cellIs" dxfId="19" priority="2" operator="equal">
      <formula>""</formula>
    </cfRule>
    <cfRule type="cellIs" dxfId="18" priority="3"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D155">
      <formula1>1</formula1>
      <formula2>IF(C_SIMPLE="true",1,MIN(5,COUNTA(I5:N5)))</formula2>
    </dataValidation>
    <dataValidation type="list" showInputMessage="1" showErrorMessage="1" errorTitle="Error_cuestionario" error="Debes escribir 0 o 1._x000a__x000a_Pulsa ESC para salir." promptTitle="Coincidencia" prompt="Si quieres que tengan que coincidir las MAYÚSCULAS pon 1." sqref="F5">
      <formula1>"0,1"</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D64"/>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57.85546875" customWidth="1"/>
    <col min="2" max="2" width="7.85546875" style="60" hidden="1" customWidth="1"/>
    <col min="3" max="3" width="8" hidden="1" customWidth="1"/>
    <col min="4" max="4" width="31.28515625" hidden="1" customWidth="1"/>
  </cols>
  <sheetData>
    <row r="1" spans="1:4" x14ac:dyDescent="0.25">
      <c r="A1" s="93" t="str">
        <f>"&lt;!-- question: "&amp;'Datos RC'!A2&amp;"  --&gt;"</f>
        <v>&lt;!-- question: 1  --&gt;</v>
      </c>
      <c r="B1" s="53">
        <f ca="1">COUNTA(A:A)-COUNTIF(A:A,"BORRAR")</f>
        <v>64</v>
      </c>
      <c r="C1" s="72"/>
      <c r="D1" s="81"/>
    </row>
    <row r="2" spans="1:4" x14ac:dyDescent="0.25">
      <c r="A2" s="72" t="s">
        <v>179</v>
      </c>
      <c r="B2" s="94" t="s">
        <v>180</v>
      </c>
    </row>
    <row r="3" spans="1:4" x14ac:dyDescent="0.25">
      <c r="A3" t="s">
        <v>75</v>
      </c>
    </row>
    <row r="4" spans="1:4" x14ac:dyDescent="0.25">
      <c r="A4" t="e">
        <f>"      &lt;text&gt;"&amp;B4&amp;"&lt;/text&gt;"</f>
        <v>#N/A</v>
      </c>
      <c r="B4" s="60" t="e">
        <f>NOMBRE_RC</f>
        <v>#N/A</v>
      </c>
    </row>
    <row r="5" spans="1:4" x14ac:dyDescent="0.25">
      <c r="A5" t="s">
        <v>77</v>
      </c>
    </row>
    <row r="6" spans="1:4" x14ac:dyDescent="0.25">
      <c r="A6" t="s">
        <v>78</v>
      </c>
    </row>
    <row r="7" spans="1:4" x14ac:dyDescent="0.25">
      <c r="A7" t="e">
        <f>"      &lt;text&gt;&lt;![CDATA[&lt;p&gt;"&amp;B7&amp;"&lt;/p&gt;]]&gt;&lt;/text&gt;"</f>
        <v>#N/A</v>
      </c>
      <c r="B7" s="60" t="e">
        <f>ENUNCIADO_RC</f>
        <v>#N/A</v>
      </c>
    </row>
    <row r="8" spans="1:4" x14ac:dyDescent="0.25">
      <c r="A8" t="s">
        <v>79</v>
      </c>
    </row>
    <row r="9" spans="1:4" x14ac:dyDescent="0.25">
      <c r="A9" t="s">
        <v>80</v>
      </c>
    </row>
    <row r="10" spans="1:4" x14ac:dyDescent="0.25">
      <c r="A10" t="str">
        <f>"      &lt;text&gt;&lt;![CDATA[&lt;p&gt;"&amp;B10&amp;"&lt;/p&gt;]]&gt;&lt;/text&gt;"</f>
        <v xml:space="preserve">      &lt;text&gt;&lt;![CDATA[&lt;p&gt;Tomo no de tus respuestas&lt;/p&gt;]]&gt;&lt;/text&gt;</v>
      </c>
      <c r="B10" s="60" t="str">
        <f>Retroalim_GENERAL</f>
        <v>Tomo no de tus respuestas</v>
      </c>
    </row>
    <row r="11" spans="1:4" x14ac:dyDescent="0.25">
      <c r="A11" t="s">
        <v>82</v>
      </c>
    </row>
    <row r="12" spans="1:4" x14ac:dyDescent="0.25">
      <c r="A12" t="str">
        <f>"    &lt;defaultgrade&gt;"&amp;B12&amp;"&lt;/defaultgrade&gt;"</f>
        <v xml:space="preserve">    &lt;defaultgrade&gt;1&lt;/defaultgrade&gt;</v>
      </c>
      <c r="B12" s="60">
        <f>PUNTUACION</f>
        <v>1</v>
      </c>
    </row>
    <row r="13" spans="1:4" x14ac:dyDescent="0.25">
      <c r="A13" t="str">
        <f>"    &lt;penalty&gt;"&amp;B13&amp;"&lt;/penalty&gt;"</f>
        <v xml:space="preserve">    &lt;penalty&gt;0,333333333333333&lt;/penalty&gt;</v>
      </c>
      <c r="B13" s="60">
        <f>PENALIZACION</f>
        <v>0.33333333333333331</v>
      </c>
    </row>
    <row r="14" spans="1:4" x14ac:dyDescent="0.25">
      <c r="A14" t="s">
        <v>111</v>
      </c>
      <c r="B14" s="60">
        <f>Oculto</f>
        <v>0</v>
      </c>
    </row>
    <row r="15" spans="1:4" x14ac:dyDescent="0.25">
      <c r="A15" t="str">
        <f>"    &lt;idnumber&gt;"&amp;B15&amp;"&lt;/idnumber&gt;"</f>
        <v xml:space="preserve">    &lt;idnumber&gt;&lt;/idnumber&gt;</v>
      </c>
      <c r="B15" s="60" t="str">
        <f>IF(CONTRASEN_A="","",CONTRASEN_A)</f>
        <v/>
      </c>
      <c r="C15" s="79" t="s">
        <v>181</v>
      </c>
    </row>
    <row r="16" spans="1:4" x14ac:dyDescent="0.25">
      <c r="A16" t="str">
        <f>"    &lt;usecase&gt;"&amp;B16&amp;"&lt;/usecase&gt;"</f>
        <v xml:space="preserve">    &lt;usecase&gt;0&lt;/usecase&gt;</v>
      </c>
      <c r="B16" s="79">
        <f>MAYUSCULAS</f>
        <v>0</v>
      </c>
      <c r="C16" t="s">
        <v>182</v>
      </c>
    </row>
    <row r="17" spans="1:4" x14ac:dyDescent="0.25">
      <c r="A17" s="110" t="e">
        <f t="shared" ref="A17:A53" si="0">IF(B18="","BORRAR",$C$18&amp;B17&amp;$D$18)</f>
        <v>#N/A</v>
      </c>
      <c r="B17" s="79" t="e">
        <f>PT_01</f>
        <v>#N/A</v>
      </c>
    </row>
    <row r="18" spans="1:4" x14ac:dyDescent="0.25">
      <c r="A18" t="e">
        <f t="shared" ref="A18" si="1">IF(B18="","BORRAR","      &lt;text&gt;"&amp;B18&amp;"&lt;/text&gt;")</f>
        <v>#N/A</v>
      </c>
      <c r="B18" s="60" t="e">
        <f>RC_01</f>
        <v>#N/A</v>
      </c>
      <c r="C18" s="82" t="s">
        <v>98</v>
      </c>
      <c r="D18" s="83" t="s">
        <v>183</v>
      </c>
    </row>
    <row r="19" spans="1:4" x14ac:dyDescent="0.25">
      <c r="A19" t="e">
        <f t="shared" ref="A19:A55" si="2">IF(B18="","BORRAR",$D$20)</f>
        <v>#N/A</v>
      </c>
      <c r="C19" s="84"/>
      <c r="D19" s="85"/>
    </row>
    <row r="20" spans="1:4" x14ac:dyDescent="0.25">
      <c r="A20" t="e">
        <f t="shared" ref="A20:A56" si="3">IF(B18="","BORRAR","      &lt;text&gt;&lt;![CDATA[&lt;p&gt;"&amp;B20&amp;"&lt;/p&gt;]]&gt;&lt;/text&gt;")</f>
        <v>#N/A</v>
      </c>
      <c r="B20" s="60" t="e">
        <f>RE_01</f>
        <v>#N/A</v>
      </c>
      <c r="C20" s="86"/>
      <c r="D20" s="87" t="s">
        <v>100</v>
      </c>
    </row>
    <row r="21" spans="1:4" x14ac:dyDescent="0.25">
      <c r="A21" t="e">
        <f t="shared" ref="A21:A57" si="4">IF(B18="","BORRAR","      &lt;/feedback&gt;")</f>
        <v>#N/A</v>
      </c>
    </row>
    <row r="22" spans="1:4" x14ac:dyDescent="0.25">
      <c r="A22" t="e">
        <f t="shared" ref="A22:A58" si="5">IF(B18="","BORRAR","    &lt;/answer&gt;")</f>
        <v>#N/A</v>
      </c>
    </row>
    <row r="23" spans="1:4" x14ac:dyDescent="0.25">
      <c r="A23" s="110" t="e">
        <f t="shared" ca="1" si="0"/>
        <v>#N/A</v>
      </c>
      <c r="B23" s="79" t="e">
        <f ca="1">INDIRECT("PT_0"&amp;C23)</f>
        <v>#N/A</v>
      </c>
      <c r="C23" s="88">
        <v>2</v>
      </c>
    </row>
    <row r="24" spans="1:4" x14ac:dyDescent="0.25">
      <c r="A24" t="e">
        <f t="shared" ref="A24" ca="1" si="6">IF(B24="","BORRAR","      &lt;text&gt;"&amp;B24&amp;"&lt;/text&gt;")</f>
        <v>#N/A</v>
      </c>
      <c r="B24" s="60" t="e">
        <f ca="1">INDIRECT("RC_0"&amp;C23)</f>
        <v>#N/A</v>
      </c>
    </row>
    <row r="25" spans="1:4" x14ac:dyDescent="0.25">
      <c r="A25" t="e">
        <f t="shared" ca="1" si="2"/>
        <v>#N/A</v>
      </c>
    </row>
    <row r="26" spans="1:4" x14ac:dyDescent="0.25">
      <c r="A26" t="e">
        <f t="shared" ca="1" si="3"/>
        <v>#N/A</v>
      </c>
      <c r="B26" s="60" t="e">
        <f ca="1">INDIRECT("RE_0"&amp;C23)</f>
        <v>#N/A</v>
      </c>
    </row>
    <row r="27" spans="1:4" x14ac:dyDescent="0.25">
      <c r="A27" t="e">
        <f t="shared" ca="1" si="4"/>
        <v>#N/A</v>
      </c>
    </row>
    <row r="28" spans="1:4" x14ac:dyDescent="0.25">
      <c r="A28" t="e">
        <f t="shared" ca="1" si="5"/>
        <v>#N/A</v>
      </c>
    </row>
    <row r="29" spans="1:4" x14ac:dyDescent="0.25">
      <c r="A29" s="78" t="e">
        <f t="shared" ca="1" si="0"/>
        <v>#N/A</v>
      </c>
      <c r="B29" s="79" t="e">
        <f t="shared" ref="B29" ca="1" si="7">INDIRECT("PT_0"&amp;C29)</f>
        <v>#N/A</v>
      </c>
      <c r="C29" s="88">
        <f>C23+1</f>
        <v>3</v>
      </c>
    </row>
    <row r="30" spans="1:4" x14ac:dyDescent="0.25">
      <c r="A30" t="e">
        <f t="shared" ref="A30" ca="1" si="8">IF(B30="","BORRAR","      &lt;text&gt;"&amp;B30&amp;"&lt;/text&gt;")</f>
        <v>#N/A</v>
      </c>
      <c r="B30" s="60" t="e">
        <f t="shared" ref="B30" ca="1" si="9">INDIRECT("RC_0"&amp;C29)</f>
        <v>#N/A</v>
      </c>
    </row>
    <row r="31" spans="1:4" x14ac:dyDescent="0.25">
      <c r="A31" t="e">
        <f t="shared" ca="1" si="2"/>
        <v>#N/A</v>
      </c>
    </row>
    <row r="32" spans="1:4" x14ac:dyDescent="0.25">
      <c r="A32" t="e">
        <f t="shared" ca="1" si="3"/>
        <v>#N/A</v>
      </c>
      <c r="B32" s="60" t="e">
        <f ca="1">INDIRECT("RE_0"&amp;C29)</f>
        <v>#N/A</v>
      </c>
    </row>
    <row r="33" spans="1:3" x14ac:dyDescent="0.25">
      <c r="A33" t="e">
        <f t="shared" ca="1" si="4"/>
        <v>#N/A</v>
      </c>
    </row>
    <row r="34" spans="1:3" x14ac:dyDescent="0.25">
      <c r="A34" t="e">
        <f t="shared" ca="1" si="5"/>
        <v>#N/A</v>
      </c>
    </row>
    <row r="35" spans="1:3" x14ac:dyDescent="0.25">
      <c r="A35" s="78" t="e">
        <f t="shared" ca="1" si="0"/>
        <v>#N/A</v>
      </c>
      <c r="B35" s="79" t="e">
        <f t="shared" ref="B35" ca="1" si="10">INDIRECT("PT_0"&amp;C35)</f>
        <v>#N/A</v>
      </c>
      <c r="C35" s="88">
        <f>C29+1</f>
        <v>4</v>
      </c>
    </row>
    <row r="36" spans="1:3" x14ac:dyDescent="0.25">
      <c r="A36" t="e">
        <f t="shared" ref="A36" ca="1" si="11">IF(B36="","BORRAR","      &lt;text&gt;"&amp;B36&amp;"&lt;/text&gt;")</f>
        <v>#N/A</v>
      </c>
      <c r="B36" s="60" t="e">
        <f t="shared" ref="B36" ca="1" si="12">INDIRECT("RC_0"&amp;C35)</f>
        <v>#N/A</v>
      </c>
    </row>
    <row r="37" spans="1:3" x14ac:dyDescent="0.25">
      <c r="A37" t="e">
        <f t="shared" ca="1" si="2"/>
        <v>#N/A</v>
      </c>
    </row>
    <row r="38" spans="1:3" x14ac:dyDescent="0.25">
      <c r="A38" t="e">
        <f t="shared" ca="1" si="3"/>
        <v>#N/A</v>
      </c>
      <c r="B38" s="60" t="e">
        <f ca="1">INDIRECT("RE_0"&amp;C35)</f>
        <v>#N/A</v>
      </c>
    </row>
    <row r="39" spans="1:3" x14ac:dyDescent="0.25">
      <c r="A39" t="e">
        <f t="shared" ca="1" si="4"/>
        <v>#N/A</v>
      </c>
    </row>
    <row r="40" spans="1:3" x14ac:dyDescent="0.25">
      <c r="A40" t="e">
        <f t="shared" ca="1" si="5"/>
        <v>#N/A</v>
      </c>
    </row>
    <row r="41" spans="1:3" x14ac:dyDescent="0.25">
      <c r="A41" s="78" t="e">
        <f t="shared" ca="1" si="0"/>
        <v>#N/A</v>
      </c>
      <c r="B41" s="79" t="e">
        <f t="shared" ref="B41" ca="1" si="13">INDIRECT("PT_0"&amp;C41)</f>
        <v>#N/A</v>
      </c>
      <c r="C41" s="88">
        <f>C35+1</f>
        <v>5</v>
      </c>
    </row>
    <row r="42" spans="1:3" x14ac:dyDescent="0.25">
      <c r="A42" t="e">
        <f t="shared" ref="A42" ca="1" si="14">IF(B42="","BORRAR","      &lt;text&gt;"&amp;B42&amp;"&lt;/text&gt;")</f>
        <v>#N/A</v>
      </c>
      <c r="B42" s="60" t="e">
        <f t="shared" ref="B42" ca="1" si="15">INDIRECT("RC_0"&amp;C41)</f>
        <v>#N/A</v>
      </c>
    </row>
    <row r="43" spans="1:3" x14ac:dyDescent="0.25">
      <c r="A43" t="e">
        <f t="shared" ca="1" si="2"/>
        <v>#N/A</v>
      </c>
    </row>
    <row r="44" spans="1:3" x14ac:dyDescent="0.25">
      <c r="A44" t="e">
        <f t="shared" ca="1" si="3"/>
        <v>#N/A</v>
      </c>
      <c r="B44" s="60" t="e">
        <f ca="1">INDIRECT("RE_0"&amp;C41)</f>
        <v>#N/A</v>
      </c>
    </row>
    <row r="45" spans="1:3" x14ac:dyDescent="0.25">
      <c r="A45" t="e">
        <f t="shared" ca="1" si="4"/>
        <v>#N/A</v>
      </c>
    </row>
    <row r="46" spans="1:3" x14ac:dyDescent="0.25">
      <c r="A46" t="e">
        <f t="shared" ca="1" si="5"/>
        <v>#N/A</v>
      </c>
    </row>
    <row r="47" spans="1:3" x14ac:dyDescent="0.25">
      <c r="A47" s="78" t="e">
        <f t="shared" ca="1" si="0"/>
        <v>#N/A</v>
      </c>
      <c r="B47" s="79" t="e">
        <f t="shared" ref="B47" ca="1" si="16">INDIRECT("PT_0"&amp;C47)</f>
        <v>#N/A</v>
      </c>
      <c r="C47" s="88">
        <f>C41+1</f>
        <v>6</v>
      </c>
    </row>
    <row r="48" spans="1:3" x14ac:dyDescent="0.25">
      <c r="A48" t="e">
        <f t="shared" ref="A48" ca="1" si="17">IF(B48="","BORRAR","      &lt;text&gt;"&amp;B48&amp;"&lt;/text&gt;")</f>
        <v>#N/A</v>
      </c>
      <c r="B48" s="60" t="e">
        <f t="shared" ref="B48" ca="1" si="18">INDIRECT("RC_0"&amp;C47)</f>
        <v>#N/A</v>
      </c>
    </row>
    <row r="49" spans="1:3" x14ac:dyDescent="0.25">
      <c r="A49" t="e">
        <f t="shared" ca="1" si="2"/>
        <v>#N/A</v>
      </c>
    </row>
    <row r="50" spans="1:3" x14ac:dyDescent="0.25">
      <c r="A50" t="e">
        <f t="shared" ca="1" si="3"/>
        <v>#N/A</v>
      </c>
      <c r="B50" s="60" t="e">
        <f ca="1">INDIRECT("RE_0"&amp;C47)</f>
        <v>#N/A</v>
      </c>
    </row>
    <row r="51" spans="1:3" x14ac:dyDescent="0.25">
      <c r="A51" t="e">
        <f t="shared" ca="1" si="4"/>
        <v>#N/A</v>
      </c>
    </row>
    <row r="52" spans="1:3" x14ac:dyDescent="0.25">
      <c r="A52" t="e">
        <f t="shared" ca="1" si="5"/>
        <v>#N/A</v>
      </c>
    </row>
    <row r="53" spans="1:3" x14ac:dyDescent="0.25">
      <c r="A53" s="78" t="e">
        <f t="shared" ca="1" si="0"/>
        <v>#N/A</v>
      </c>
      <c r="B53" s="79" t="e">
        <f t="shared" ref="B53" ca="1" si="19">INDIRECT("PT_0"&amp;C53)</f>
        <v>#N/A</v>
      </c>
      <c r="C53" s="88">
        <f>C47+1</f>
        <v>7</v>
      </c>
    </row>
    <row r="54" spans="1:3" x14ac:dyDescent="0.25">
      <c r="A54" t="e">
        <f t="shared" ref="A54" ca="1" si="20">IF(B54="","BORRAR","      &lt;text&gt;"&amp;B54&amp;"&lt;/text&gt;")</f>
        <v>#N/A</v>
      </c>
      <c r="B54" s="60" t="e">
        <f t="shared" ref="B54" ca="1" si="21">INDIRECT("RC_0"&amp;C53)</f>
        <v>#N/A</v>
      </c>
    </row>
    <row r="55" spans="1:3" x14ac:dyDescent="0.25">
      <c r="A55" t="e">
        <f t="shared" ca="1" si="2"/>
        <v>#N/A</v>
      </c>
    </row>
    <row r="56" spans="1:3" x14ac:dyDescent="0.25">
      <c r="A56" t="e">
        <f t="shared" ca="1" si="3"/>
        <v>#N/A</v>
      </c>
      <c r="B56" s="60" t="e">
        <f ca="1">INDIRECT("RE_0"&amp;C53)</f>
        <v>#N/A</v>
      </c>
    </row>
    <row r="57" spans="1:3" x14ac:dyDescent="0.25">
      <c r="A57" t="e">
        <f t="shared" ca="1" si="4"/>
        <v>#N/A</v>
      </c>
    </row>
    <row r="58" spans="1:3" x14ac:dyDescent="0.25">
      <c r="A58" t="e">
        <f t="shared" ca="1" si="5"/>
        <v>#N/A</v>
      </c>
    </row>
    <row r="59" spans="1:3" x14ac:dyDescent="0.25">
      <c r="A59" s="78" t="e">
        <f t="shared" ref="A59" ca="1" si="22">IF(B60="","BORRAR",$C$18&amp;B59&amp;$D$18)</f>
        <v>#N/A</v>
      </c>
      <c r="B59" s="79" t="e">
        <f t="shared" ref="B59" ca="1" si="23">INDIRECT("PT_0"&amp;C59)</f>
        <v>#N/A</v>
      </c>
      <c r="C59" s="88">
        <f>C53+1</f>
        <v>8</v>
      </c>
    </row>
    <row r="60" spans="1:3" x14ac:dyDescent="0.25">
      <c r="A60" t="e">
        <f ca="1">IF(B60="","BORRAR","      &lt;text&gt;"&amp;B60&amp;"&lt;/text&gt;")</f>
        <v>#N/A</v>
      </c>
      <c r="B60" s="60" t="e">
        <f t="shared" ref="B60" ca="1" si="24">INDIRECT("RC_0"&amp;C59)</f>
        <v>#N/A</v>
      </c>
    </row>
    <row r="61" spans="1:3" x14ac:dyDescent="0.25">
      <c r="A61" t="e">
        <f t="shared" ref="A61" ca="1" si="25">IF(B60="","BORRAR",$D$20)</f>
        <v>#N/A</v>
      </c>
    </row>
    <row r="62" spans="1:3" x14ac:dyDescent="0.25">
      <c r="A62" t="e">
        <f t="shared" ref="A62" ca="1" si="26">IF(B60="","BORRAR","      &lt;text&gt;&lt;![CDATA[&lt;p&gt;"&amp;B62&amp;"&lt;/p&gt;]]&gt;&lt;/text&gt;")</f>
        <v>#N/A</v>
      </c>
      <c r="B62" s="60" t="e">
        <f ca="1">INDIRECT("RE_0"&amp;C59)</f>
        <v>#N/A</v>
      </c>
    </row>
    <row r="63" spans="1:3" x14ac:dyDescent="0.25">
      <c r="A63" t="e">
        <f t="shared" ref="A63" ca="1" si="27">IF(B60="","BORRAR","      &lt;/feedback&gt;")</f>
        <v>#N/A</v>
      </c>
    </row>
    <row r="64" spans="1:3" x14ac:dyDescent="0.25">
      <c r="A64" t="e">
        <f t="shared" ref="A64" ca="1" si="28">IF(B60="","BORRAR","    &lt;/answer&gt;")</f>
        <v>#N/A</v>
      </c>
    </row>
  </sheetData>
  <sheetProtection algorithmName="SHA-512" hashValue="knqmXSiiL62+Kj+PFTJv1fwCVIq2g+iB9tALM5tPqzb5FCNVPBWSJyA4jvd8aYnt7MhShlMDNIfMoqyDEwr4dQ==" saltValue="XAwK6OMVDw5ZT1wnGNUcvw==" spinCount="100000" sheet="1" objects="1" scenarios="1" select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127"/>
  <sheetViews>
    <sheetView showGridLines="0" showRowColHeaders="0" zoomScale="139" zoomScaleNormal="139" workbookViewId="0">
      <pane xSplit="38" ySplit="73" topLeftCell="AM74" activePane="bottomRight" state="frozen"/>
      <selection activeCell="H9" sqref="H9:M9"/>
      <selection pane="topRight" activeCell="H9" sqref="H9:M9"/>
      <selection pane="bottomLeft" activeCell="H9" sqref="H9:M9"/>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72" customWidth="1"/>
    <col min="26" max="27" width="1.7109375" style="4" customWidth="1"/>
    <col min="28" max="16384" width="11.42578125" style="4"/>
  </cols>
  <sheetData>
    <row r="1" spans="1:25" ht="6" customHeight="1" thickTop="1" x14ac:dyDescent="0.25">
      <c r="A1" s="426" t="str">
        <f>'Formulario OM'!A1</f>
        <v>CÓDIGOS ESPECIALES</v>
      </c>
      <c r="B1" s="443" t="str">
        <f>APP&amp;" - "&amp;Tipo_6</f>
        <v>FastTest PlugIn - Palabra Perdida</v>
      </c>
      <c r="C1" s="444"/>
      <c r="D1" s="444"/>
      <c r="E1" s="444"/>
      <c r="F1" s="444"/>
      <c r="G1" s="444"/>
      <c r="H1" s="444"/>
      <c r="I1" s="444"/>
      <c r="J1" s="444"/>
      <c r="K1" s="444"/>
      <c r="L1" s="300"/>
      <c r="M1" s="300"/>
      <c r="N1" s="300"/>
      <c r="O1" s="300"/>
      <c r="P1" s="300"/>
      <c r="Q1" s="300"/>
      <c r="R1" s="300"/>
      <c r="S1" s="300"/>
      <c r="T1" s="300"/>
      <c r="U1" s="300"/>
      <c r="V1" s="300"/>
      <c r="W1" s="300"/>
      <c r="X1" s="301"/>
      <c r="Y1" s="447" t="str">
        <f>'Formulario OM'!Y1</f>
        <v>NO USAR CORTAR [Ctrl+X]</v>
      </c>
    </row>
    <row r="2" spans="1:25" ht="20.100000000000001" customHeight="1" x14ac:dyDescent="0.25">
      <c r="A2" s="427"/>
      <c r="B2" s="445"/>
      <c r="C2" s="446"/>
      <c r="D2" s="446"/>
      <c r="E2" s="446"/>
      <c r="F2" s="446"/>
      <c r="G2" s="446"/>
      <c r="H2" s="446"/>
      <c r="I2" s="446"/>
      <c r="J2" s="446"/>
      <c r="K2" s="446"/>
      <c r="L2" s="474" t="str">
        <f>'Formulario OM'!L2</f>
        <v>DATOS
GENERALES</v>
      </c>
      <c r="M2" s="467">
        <f>'Formulario OM'!M2</f>
        <v>0</v>
      </c>
      <c r="N2" s="466" t="str">
        <f>'Formulario OM'!N2</f>
        <v>BANCO
PREGUNTAS</v>
      </c>
      <c r="O2" s="465">
        <f>'Formulario OM'!O2</f>
        <v>0</v>
      </c>
      <c r="P2" s="464" t="str">
        <f>'Formulario OM'!P2</f>
        <v>LIMPIAR
DATOS</v>
      </c>
      <c r="Q2" s="465">
        <f>'Formulario OM'!Q2</f>
        <v>0</v>
      </c>
      <c r="R2" s="464" t="str">
        <f>'Formulario OM'!R2</f>
        <v>GUARDAR
PREGUNTA</v>
      </c>
      <c r="S2" s="465">
        <f>'Formulario OM'!S2</f>
        <v>0</v>
      </c>
      <c r="T2" s="464" t="str">
        <f>'Formulario OM'!T2</f>
        <v>BORRAR
PREGUNTA</v>
      </c>
      <c r="U2" s="465">
        <f>'Formulario OM'!U2</f>
        <v>0</v>
      </c>
      <c r="V2" s="464" t="str">
        <f>'Formulario OM'!V2</f>
        <v>DAR
FORMATO</v>
      </c>
      <c r="W2" s="472">
        <f>'Formulario OM'!W2</f>
        <v>0</v>
      </c>
      <c r="X2" s="413" t="s">
        <v>372</v>
      </c>
      <c r="Y2" s="448"/>
    </row>
    <row r="3" spans="1:25" ht="6" customHeight="1" thickBot="1" x14ac:dyDescent="0.3">
      <c r="A3" s="428"/>
      <c r="B3" s="445"/>
      <c r="C3" s="446"/>
      <c r="D3" s="446"/>
      <c r="E3" s="446"/>
      <c r="F3" s="446"/>
      <c r="G3" s="446"/>
      <c r="H3" s="446"/>
      <c r="I3" s="446"/>
      <c r="J3" s="446"/>
      <c r="K3" s="446"/>
      <c r="L3" s="316"/>
      <c r="M3" s="317"/>
      <c r="N3" s="318"/>
      <c r="O3" s="319"/>
      <c r="P3" s="318"/>
      <c r="Q3" s="319"/>
      <c r="R3" s="318"/>
      <c r="S3" s="319"/>
      <c r="T3" s="318"/>
      <c r="U3" s="319"/>
      <c r="V3" s="318"/>
      <c r="W3" s="319"/>
      <c r="X3" s="320"/>
      <c r="Y3" s="449"/>
    </row>
    <row r="4" spans="1:25" ht="6" customHeight="1" thickBot="1" x14ac:dyDescent="0.3">
      <c r="A4" s="321"/>
      <c r="B4" s="150"/>
      <c r="C4" s="152"/>
      <c r="D4" s="152"/>
      <c r="E4" s="152"/>
      <c r="F4" s="152"/>
      <c r="G4" s="152"/>
      <c r="H4" s="153"/>
      <c r="I4" s="154"/>
      <c r="J4" s="154"/>
      <c r="K4" s="154"/>
      <c r="L4" s="154"/>
      <c r="M4" s="154"/>
      <c r="N4" s="154"/>
      <c r="O4" s="154"/>
      <c r="P4" s="154"/>
      <c r="Q4" s="154"/>
      <c r="R4" s="154"/>
      <c r="S4" s="154"/>
      <c r="T4" s="153"/>
      <c r="U4" s="153"/>
      <c r="V4" s="153"/>
      <c r="W4" s="153"/>
      <c r="X4" s="155"/>
      <c r="Y4" s="327"/>
    </row>
    <row r="5" spans="1:25" x14ac:dyDescent="0.25">
      <c r="A5" s="324" t="str">
        <f>'Formulario OM'!A5</f>
        <v>FÓRMULA</v>
      </c>
      <c r="B5" s="136"/>
      <c r="C5" s="137"/>
      <c r="D5" s="137"/>
      <c r="E5" s="137"/>
      <c r="F5" s="157"/>
      <c r="G5" s="137" t="str">
        <f>'Formulario OM'!G5</f>
        <v xml:space="preserve">Nº Inicial del Banco de preguntas: </v>
      </c>
      <c r="H5" s="70">
        <f>'Datos PP'!A7</f>
        <v>51</v>
      </c>
      <c r="I5" s="157"/>
      <c r="J5" s="158"/>
      <c r="K5" s="137" t="str">
        <f>'Formulario OM'!K5</f>
        <v xml:space="preserve">Pregunta Nº: </v>
      </c>
      <c r="L5" s="171">
        <v>52</v>
      </c>
      <c r="M5" s="158"/>
      <c r="N5" s="158"/>
      <c r="O5" s="157"/>
      <c r="P5" s="157"/>
      <c r="Q5" s="156"/>
      <c r="R5" s="482" t="str">
        <f ca="1">'DATOS GENERALES'!R5</f>
        <v>Rango de preguntas almacenadas de la 0 a la 0</v>
      </c>
      <c r="S5" s="482"/>
      <c r="T5" s="482"/>
      <c r="U5" s="482"/>
      <c r="V5" s="482"/>
      <c r="W5" s="482"/>
      <c r="X5" s="139"/>
      <c r="Y5" s="329"/>
    </row>
    <row r="6" spans="1:25" ht="6" customHeight="1" x14ac:dyDescent="0.25">
      <c r="A6" s="35"/>
      <c r="B6" s="131"/>
      <c r="C6" s="132"/>
      <c r="D6" s="132"/>
      <c r="E6" s="132"/>
      <c r="F6" s="159"/>
      <c r="G6" s="159"/>
      <c r="H6" s="160">
        <f>'Datos PP'!B3</f>
        <v>2</v>
      </c>
      <c r="I6" s="161"/>
      <c r="J6" s="161"/>
      <c r="K6" s="161"/>
      <c r="L6" s="161">
        <f>N_PP</f>
        <v>52</v>
      </c>
      <c r="M6" s="161"/>
      <c r="N6" s="161"/>
      <c r="O6" s="160"/>
      <c r="P6" s="161"/>
      <c r="Q6" s="161"/>
      <c r="R6" s="161"/>
      <c r="S6" s="121"/>
      <c r="T6" s="121"/>
      <c r="U6" s="121"/>
      <c r="V6" s="160"/>
      <c r="W6" s="160"/>
      <c r="X6" s="135"/>
      <c r="Y6" s="328"/>
    </row>
    <row r="7" spans="1:25" x14ac:dyDescent="0.25">
      <c r="A7" s="324" t="str">
        <f>'Formulario OM'!A7</f>
        <v>SUPERÍNDICE</v>
      </c>
      <c r="B7" s="136"/>
      <c r="C7" s="137"/>
      <c r="D7" s="137"/>
      <c r="E7" s="137"/>
      <c r="F7" s="157"/>
      <c r="G7" s="137" t="str">
        <f>'Formulario OM'!G7</f>
        <v xml:space="preserve">Nombre de la pregunta: </v>
      </c>
      <c r="H7" s="471" t="str">
        <f>IFERROR(VLOOKUP(L5,'Datos PP'!$A$7:$AG$500,2,1),"")</f>
        <v>T01 - 51</v>
      </c>
      <c r="I7" s="471"/>
      <c r="J7" s="471"/>
      <c r="K7" s="471"/>
      <c r="L7" s="471"/>
      <c r="M7" s="471"/>
      <c r="N7" s="471"/>
      <c r="O7" s="160"/>
      <c r="P7" s="157"/>
      <c r="Q7" s="157"/>
      <c r="R7" s="157"/>
      <c r="S7" s="121"/>
      <c r="T7" s="121"/>
      <c r="U7" s="121"/>
      <c r="V7" s="157"/>
      <c r="W7" s="157"/>
      <c r="X7" s="139"/>
      <c r="Y7" s="329"/>
    </row>
    <row r="8" spans="1:25" ht="6" customHeight="1" x14ac:dyDescent="0.25">
      <c r="A8" s="36"/>
      <c r="B8" s="131"/>
      <c r="C8" s="132"/>
      <c r="D8" s="132"/>
      <c r="E8" s="132"/>
      <c r="F8" s="159"/>
      <c r="G8" s="161"/>
      <c r="H8" s="161">
        <f>'Datos PP'!G3</f>
        <v>7</v>
      </c>
      <c r="I8" s="160"/>
      <c r="J8" s="160"/>
      <c r="K8" s="160"/>
      <c r="L8" s="160"/>
      <c r="M8" s="161"/>
      <c r="N8" s="161"/>
      <c r="O8" s="121"/>
      <c r="P8" s="121"/>
      <c r="Q8" s="161"/>
      <c r="R8" s="121"/>
      <c r="S8" s="121"/>
      <c r="T8" s="121"/>
      <c r="U8" s="121"/>
      <c r="V8" s="121"/>
      <c r="W8" s="157"/>
      <c r="X8" s="135"/>
      <c r="Y8" s="173"/>
    </row>
    <row r="9" spans="1:25" x14ac:dyDescent="0.25">
      <c r="A9" s="324" t="str">
        <f>'Formulario OM'!A9</f>
        <v>SUBÍNDICE</v>
      </c>
      <c r="B9" s="136"/>
      <c r="C9" s="137"/>
      <c r="D9" s="137"/>
      <c r="E9" s="137"/>
      <c r="F9" s="157"/>
      <c r="G9" s="137" t="str">
        <f>'Formulario OM'!G9</f>
        <v xml:space="preserve">Descripción: </v>
      </c>
      <c r="H9" s="476"/>
      <c r="I9" s="476"/>
      <c r="J9" s="476"/>
      <c r="K9" s="476"/>
      <c r="L9" s="476"/>
      <c r="M9" s="476"/>
      <c r="N9" s="121"/>
      <c r="O9" s="164"/>
      <c r="P9" s="161"/>
      <c r="Q9" s="156"/>
      <c r="R9" s="121"/>
      <c r="S9" s="121"/>
      <c r="T9" s="121"/>
      <c r="U9" s="121"/>
      <c r="V9" s="157"/>
      <c r="W9" s="157"/>
      <c r="X9" s="139"/>
      <c r="Y9" s="330"/>
    </row>
    <row r="10" spans="1:25" ht="6" customHeight="1" x14ac:dyDescent="0.25">
      <c r="A10" s="35"/>
      <c r="B10" s="131"/>
      <c r="C10" s="132"/>
      <c r="D10" s="132"/>
      <c r="E10" s="132"/>
      <c r="F10" s="159"/>
      <c r="G10" s="159"/>
      <c r="H10" s="160">
        <f>'Datos PP'!H3</f>
        <v>8</v>
      </c>
      <c r="I10" s="161"/>
      <c r="J10" s="161"/>
      <c r="K10" s="161"/>
      <c r="L10" s="161"/>
      <c r="M10" s="161"/>
      <c r="N10" s="161"/>
      <c r="O10" s="161"/>
      <c r="P10" s="161"/>
      <c r="Q10" s="161"/>
      <c r="R10" s="161"/>
      <c r="S10" s="161"/>
      <c r="T10" s="160"/>
      <c r="U10" s="160"/>
      <c r="V10" s="160"/>
      <c r="W10" s="160"/>
      <c r="X10" s="135"/>
      <c r="Y10" s="173"/>
    </row>
    <row r="11" spans="1:25" ht="15" customHeight="1" x14ac:dyDescent="0.25">
      <c r="A11" s="324" t="str">
        <f>'Formulario OM'!A11</f>
        <v xml:space="preserve">SALTO LÍNEA </v>
      </c>
      <c r="B11" s="136"/>
      <c r="C11" s="137"/>
      <c r="D11" s="137"/>
      <c r="E11" s="137"/>
      <c r="F11" s="157"/>
      <c r="G11" s="137" t="str">
        <f>'Formulario OM'!G11</f>
        <v xml:space="preserve">Enunciado de la pregunta: </v>
      </c>
      <c r="H11" s="488"/>
      <c r="I11" s="488"/>
      <c r="J11" s="488"/>
      <c r="K11" s="488"/>
      <c r="L11" s="488"/>
      <c r="M11" s="488"/>
      <c r="N11" s="488"/>
      <c r="O11" s="488"/>
      <c r="P11" s="488"/>
      <c r="Q11" s="488"/>
      <c r="R11" s="488"/>
      <c r="S11" s="488"/>
      <c r="T11" s="488"/>
      <c r="U11" s="488"/>
      <c r="V11" s="488"/>
      <c r="W11" s="488"/>
      <c r="X11" s="139"/>
      <c r="Y11" s="330"/>
    </row>
    <row r="12" spans="1:25" ht="6" customHeight="1" thickBot="1" x14ac:dyDescent="0.3">
      <c r="A12" s="2"/>
      <c r="B12" s="131"/>
      <c r="C12" s="132"/>
      <c r="D12" s="132"/>
      <c r="E12" s="132"/>
      <c r="F12" s="132"/>
      <c r="G12" s="132"/>
      <c r="H12" s="488"/>
      <c r="I12" s="488"/>
      <c r="J12" s="488"/>
      <c r="K12" s="488"/>
      <c r="L12" s="488"/>
      <c r="M12" s="488"/>
      <c r="N12" s="488"/>
      <c r="O12" s="488"/>
      <c r="P12" s="488"/>
      <c r="Q12" s="488"/>
      <c r="R12" s="488"/>
      <c r="S12" s="488"/>
      <c r="T12" s="488"/>
      <c r="U12" s="488"/>
      <c r="V12" s="488"/>
      <c r="W12" s="488"/>
      <c r="X12" s="135"/>
      <c r="Y12" s="173"/>
    </row>
    <row r="13" spans="1:25" x14ac:dyDescent="0.25">
      <c r="A13" s="324" t="str">
        <f>'Formulario OM'!A13</f>
        <v>CONCATENAR</v>
      </c>
      <c r="B13" s="136"/>
      <c r="C13" s="137"/>
      <c r="D13" s="132"/>
      <c r="E13" s="132"/>
      <c r="F13" s="132"/>
      <c r="G13" s="132"/>
      <c r="H13" s="488"/>
      <c r="I13" s="488"/>
      <c r="J13" s="488"/>
      <c r="K13" s="488"/>
      <c r="L13" s="488"/>
      <c r="M13" s="488"/>
      <c r="N13" s="488"/>
      <c r="O13" s="488"/>
      <c r="P13" s="488"/>
      <c r="Q13" s="488"/>
      <c r="R13" s="488"/>
      <c r="S13" s="488"/>
      <c r="T13" s="488"/>
      <c r="U13" s="488"/>
      <c r="V13" s="488"/>
      <c r="W13" s="488"/>
      <c r="X13" s="139"/>
      <c r="Y13" s="177"/>
    </row>
    <row r="14" spans="1:25" ht="6" customHeight="1" x14ac:dyDescent="0.25">
      <c r="B14" s="131"/>
      <c r="C14" s="132"/>
      <c r="D14" s="132"/>
      <c r="E14" s="132"/>
      <c r="F14" s="159"/>
      <c r="G14" s="159"/>
      <c r="H14" s="488"/>
      <c r="I14" s="488"/>
      <c r="J14" s="488"/>
      <c r="K14" s="488"/>
      <c r="L14" s="488"/>
      <c r="M14" s="488"/>
      <c r="N14" s="488"/>
      <c r="O14" s="488"/>
      <c r="P14" s="488"/>
      <c r="Q14" s="488"/>
      <c r="R14" s="488"/>
      <c r="S14" s="488"/>
      <c r="T14" s="488"/>
      <c r="U14" s="488"/>
      <c r="V14" s="488"/>
      <c r="W14" s="488"/>
      <c r="X14" s="135"/>
      <c r="Y14" s="173"/>
    </row>
    <row r="15" spans="1:25" x14ac:dyDescent="0.25">
      <c r="B15" s="136"/>
      <c r="C15" s="137"/>
      <c r="D15" s="137"/>
      <c r="E15" s="137"/>
      <c r="F15" s="479" t="s">
        <v>221</v>
      </c>
      <c r="G15" s="479"/>
      <c r="H15" s="489" t="s">
        <v>276</v>
      </c>
      <c r="I15" s="489"/>
      <c r="J15" s="489"/>
      <c r="K15" s="489"/>
      <c r="L15" s="489"/>
      <c r="M15" s="489"/>
      <c r="N15" s="168"/>
      <c r="O15" s="168"/>
      <c r="P15" s="479" t="s">
        <v>221</v>
      </c>
      <c r="Q15" s="479"/>
      <c r="R15" s="489" t="s">
        <v>276</v>
      </c>
      <c r="S15" s="489"/>
      <c r="T15" s="489"/>
      <c r="U15" s="489"/>
      <c r="V15" s="489"/>
      <c r="W15" s="489"/>
      <c r="X15" s="139"/>
      <c r="Y15" s="330"/>
    </row>
    <row r="16" spans="1:25" ht="6" customHeight="1" thickBot="1" x14ac:dyDescent="0.3">
      <c r="B16" s="131"/>
      <c r="C16" s="132"/>
      <c r="D16" s="132"/>
      <c r="E16" s="132"/>
      <c r="F16" s="160">
        <f>H10+1</f>
        <v>9</v>
      </c>
      <c r="G16" s="161"/>
      <c r="H16" s="161">
        <f>F16+1</f>
        <v>10</v>
      </c>
      <c r="I16" s="161"/>
      <c r="J16" s="161"/>
      <c r="K16" s="161"/>
      <c r="L16" s="161"/>
      <c r="M16" s="161"/>
      <c r="N16" s="161"/>
      <c r="O16" s="161"/>
      <c r="P16" s="161">
        <f>H16+1</f>
        <v>11</v>
      </c>
      <c r="Q16" s="161"/>
      <c r="R16" s="160">
        <f>P16+1</f>
        <v>12</v>
      </c>
      <c r="S16" s="160"/>
      <c r="T16" s="160"/>
      <c r="U16" s="160"/>
      <c r="V16" s="160"/>
      <c r="W16" s="160"/>
      <c r="X16" s="135"/>
      <c r="Y16" s="173"/>
    </row>
    <row r="17" spans="1:26" ht="15" customHeight="1" x14ac:dyDescent="0.25">
      <c r="A17" s="440" t="str">
        <f>'Formulario OM'!A17</f>
        <v>USAR DATOS
VARIABLES</v>
      </c>
      <c r="B17" s="136"/>
      <c r="C17" s="137"/>
      <c r="D17" s="137"/>
      <c r="E17" s="137" t="s">
        <v>222</v>
      </c>
      <c r="F17" s="490"/>
      <c r="G17" s="491"/>
      <c r="H17" s="480"/>
      <c r="I17" s="481"/>
      <c r="J17" s="481"/>
      <c r="K17" s="481"/>
      <c r="L17" s="481"/>
      <c r="M17" s="481"/>
      <c r="N17" s="161"/>
      <c r="O17" s="157" t="s">
        <v>223</v>
      </c>
      <c r="P17" s="490"/>
      <c r="Q17" s="491"/>
      <c r="R17" s="480"/>
      <c r="S17" s="481"/>
      <c r="T17" s="481"/>
      <c r="U17" s="481"/>
      <c r="V17" s="481"/>
      <c r="W17" s="481"/>
      <c r="X17" s="139"/>
      <c r="Y17" s="330"/>
    </row>
    <row r="18" spans="1:26" ht="6" customHeight="1" x14ac:dyDescent="0.25">
      <c r="A18" s="441">
        <f>'Formulario OM'!A18</f>
        <v>0</v>
      </c>
      <c r="B18" s="131"/>
      <c r="C18" s="132"/>
      <c r="D18" s="132"/>
      <c r="E18" s="132"/>
      <c r="F18" s="167">
        <f>R16+1</f>
        <v>13</v>
      </c>
      <c r="G18" s="161"/>
      <c r="H18" s="167">
        <f>F18+1</f>
        <v>14</v>
      </c>
      <c r="I18" s="167"/>
      <c r="J18" s="114"/>
      <c r="K18" s="167"/>
      <c r="L18" s="167"/>
      <c r="M18" s="167"/>
      <c r="N18" s="161"/>
      <c r="O18" s="161"/>
      <c r="P18" s="167">
        <f>H18+1</f>
        <v>15</v>
      </c>
      <c r="Q18" s="161"/>
      <c r="R18" s="167">
        <f>P18+1</f>
        <v>16</v>
      </c>
      <c r="S18" s="167"/>
      <c r="T18" s="114"/>
      <c r="U18" s="167"/>
      <c r="V18" s="167"/>
      <c r="W18" s="167"/>
      <c r="X18" s="135"/>
      <c r="Y18" s="173"/>
    </row>
    <row r="19" spans="1:26" ht="15.75" thickBot="1" x14ac:dyDescent="0.3">
      <c r="A19" s="442">
        <f>'Formulario OM'!A19</f>
        <v>0</v>
      </c>
      <c r="B19" s="136"/>
      <c r="C19" s="137"/>
      <c r="D19" s="137"/>
      <c r="E19" s="137" t="s">
        <v>224</v>
      </c>
      <c r="F19" s="486"/>
      <c r="G19" s="487"/>
      <c r="H19" s="475"/>
      <c r="I19" s="476"/>
      <c r="J19" s="476"/>
      <c r="K19" s="476"/>
      <c r="L19" s="476"/>
      <c r="M19" s="476"/>
      <c r="N19" s="156"/>
      <c r="O19" s="157" t="s">
        <v>225</v>
      </c>
      <c r="P19" s="486"/>
      <c r="Q19" s="487"/>
      <c r="R19" s="475"/>
      <c r="S19" s="476"/>
      <c r="T19" s="476"/>
      <c r="U19" s="476"/>
      <c r="V19" s="476"/>
      <c r="W19" s="476"/>
      <c r="X19" s="139"/>
      <c r="Y19" s="330"/>
    </row>
    <row r="20" spans="1:26" ht="6" customHeight="1" x14ac:dyDescent="0.25">
      <c r="A20" s="326"/>
      <c r="B20" s="131"/>
      <c r="C20" s="132"/>
      <c r="D20" s="132"/>
      <c r="E20" s="132"/>
      <c r="F20" s="167">
        <f>R18+1</f>
        <v>17</v>
      </c>
      <c r="G20" s="161"/>
      <c r="H20" s="167">
        <f>F20+1</f>
        <v>18</v>
      </c>
      <c r="I20" s="167"/>
      <c r="J20" s="114"/>
      <c r="K20" s="167"/>
      <c r="L20" s="167"/>
      <c r="M20" s="167"/>
      <c r="N20" s="161"/>
      <c r="O20" s="161"/>
      <c r="P20" s="167">
        <f>H20+1</f>
        <v>19</v>
      </c>
      <c r="Q20" s="161"/>
      <c r="R20" s="167">
        <f>P20+1</f>
        <v>20</v>
      </c>
      <c r="S20" s="167"/>
      <c r="T20" s="114"/>
      <c r="U20" s="167"/>
      <c r="V20" s="167"/>
      <c r="W20" s="167"/>
      <c r="X20" s="135"/>
      <c r="Y20" s="173"/>
    </row>
    <row r="21" spans="1:26" x14ac:dyDescent="0.25">
      <c r="A21" s="324" t="str">
        <f>'Formulario OM'!A21</f>
        <v>ACTIVAR</v>
      </c>
      <c r="B21" s="136"/>
      <c r="C21" s="137"/>
      <c r="D21" s="137"/>
      <c r="E21" s="137" t="s">
        <v>226</v>
      </c>
      <c r="F21" s="486"/>
      <c r="G21" s="487"/>
      <c r="H21" s="475"/>
      <c r="I21" s="476"/>
      <c r="J21" s="476"/>
      <c r="K21" s="476"/>
      <c r="L21" s="476"/>
      <c r="M21" s="476"/>
      <c r="N21" s="156"/>
      <c r="O21" s="157" t="s">
        <v>227</v>
      </c>
      <c r="P21" s="486"/>
      <c r="Q21" s="487"/>
      <c r="R21" s="475"/>
      <c r="S21" s="476"/>
      <c r="T21" s="476"/>
      <c r="U21" s="476"/>
      <c r="V21" s="476"/>
      <c r="W21" s="476"/>
      <c r="X21" s="139"/>
      <c r="Y21" s="330"/>
    </row>
    <row r="22" spans="1:26" ht="6" customHeight="1" thickBot="1" x14ac:dyDescent="0.3">
      <c r="A22" s="2"/>
      <c r="B22" s="131"/>
      <c r="C22" s="132"/>
      <c r="D22" s="132"/>
      <c r="E22" s="132"/>
      <c r="F22" s="167">
        <f>R20+1</f>
        <v>21</v>
      </c>
      <c r="G22" s="161"/>
      <c r="H22" s="167">
        <f>F22+1</f>
        <v>22</v>
      </c>
      <c r="I22" s="167"/>
      <c r="J22" s="114"/>
      <c r="K22" s="167"/>
      <c r="L22" s="167"/>
      <c r="M22" s="167"/>
      <c r="N22" s="161"/>
      <c r="O22" s="161"/>
      <c r="P22" s="167">
        <f>H22+1</f>
        <v>23</v>
      </c>
      <c r="Q22" s="161"/>
      <c r="R22" s="167">
        <f>P22+1</f>
        <v>24</v>
      </c>
      <c r="S22" s="167"/>
      <c r="T22" s="114"/>
      <c r="U22" s="167"/>
      <c r="V22" s="167"/>
      <c r="W22" s="167"/>
      <c r="X22" s="135"/>
      <c r="Y22" s="173"/>
      <c r="Z22" s="32"/>
    </row>
    <row r="23" spans="1:26" x14ac:dyDescent="0.25">
      <c r="A23" s="324" t="str">
        <f>'Formulario OM'!A23</f>
        <v>DESACTIVAR</v>
      </c>
      <c r="B23" s="136"/>
      <c r="C23" s="137"/>
      <c r="D23" s="137"/>
      <c r="E23" s="137" t="s">
        <v>228</v>
      </c>
      <c r="F23" s="486"/>
      <c r="G23" s="487"/>
      <c r="H23" s="475"/>
      <c r="I23" s="476"/>
      <c r="J23" s="476"/>
      <c r="K23" s="476"/>
      <c r="L23" s="476"/>
      <c r="M23" s="476"/>
      <c r="N23" s="156"/>
      <c r="O23" s="157" t="s">
        <v>229</v>
      </c>
      <c r="P23" s="486"/>
      <c r="Q23" s="487"/>
      <c r="R23" s="475"/>
      <c r="S23" s="476"/>
      <c r="T23" s="476"/>
      <c r="U23" s="476"/>
      <c r="V23" s="476"/>
      <c r="W23" s="476"/>
      <c r="X23" s="139"/>
      <c r="Y23" s="330"/>
      <c r="Z23" s="32"/>
    </row>
    <row r="24" spans="1:26" ht="6" customHeight="1" thickBot="1" x14ac:dyDescent="0.3">
      <c r="B24" s="131"/>
      <c r="C24" s="132"/>
      <c r="D24" s="132"/>
      <c r="E24" s="132"/>
      <c r="F24" s="167">
        <f>R22+1</f>
        <v>25</v>
      </c>
      <c r="G24" s="161"/>
      <c r="H24" s="167">
        <f>F24+1</f>
        <v>26</v>
      </c>
      <c r="I24" s="167"/>
      <c r="J24" s="114"/>
      <c r="K24" s="167"/>
      <c r="L24" s="167"/>
      <c r="M24" s="167"/>
      <c r="N24" s="161"/>
      <c r="O24" s="161"/>
      <c r="P24" s="167">
        <f>H24+1</f>
        <v>27</v>
      </c>
      <c r="Q24" s="161"/>
      <c r="R24" s="167">
        <f>P24+1</f>
        <v>28</v>
      </c>
      <c r="S24" s="167"/>
      <c r="T24" s="114"/>
      <c r="U24" s="167"/>
      <c r="V24" s="167"/>
      <c r="W24" s="167"/>
      <c r="X24" s="135"/>
      <c r="Y24" s="177"/>
      <c r="Z24" s="32"/>
    </row>
    <row r="25" spans="1:26" ht="15" customHeight="1" x14ac:dyDescent="0.25">
      <c r="A25" s="440" t="str">
        <f>'Formulario OM'!A25</f>
        <v>INSERTAR IMÁGENES</v>
      </c>
      <c r="B25" s="136"/>
      <c r="C25" s="137"/>
      <c r="D25" s="137"/>
      <c r="E25" s="137" t="s">
        <v>230</v>
      </c>
      <c r="F25" s="486"/>
      <c r="G25" s="487"/>
      <c r="H25" s="475"/>
      <c r="I25" s="476"/>
      <c r="J25" s="476"/>
      <c r="K25" s="476"/>
      <c r="L25" s="476"/>
      <c r="M25" s="476"/>
      <c r="N25" s="156"/>
      <c r="O25" s="157" t="s">
        <v>231</v>
      </c>
      <c r="P25" s="486"/>
      <c r="Q25" s="487"/>
      <c r="R25" s="475"/>
      <c r="S25" s="476"/>
      <c r="T25" s="476"/>
      <c r="U25" s="476"/>
      <c r="V25" s="476"/>
      <c r="W25" s="476"/>
      <c r="X25" s="139"/>
      <c r="Y25" s="330"/>
      <c r="Z25" s="32"/>
    </row>
    <row r="26" spans="1:26" ht="6" customHeight="1" x14ac:dyDescent="0.25">
      <c r="A26" s="441">
        <f>'Formulario OM'!A26</f>
        <v>0</v>
      </c>
      <c r="B26" s="136"/>
      <c r="C26" s="140"/>
      <c r="D26" s="132"/>
      <c r="E26" s="132"/>
      <c r="F26" s="167">
        <f>R24+1</f>
        <v>29</v>
      </c>
      <c r="G26" s="161"/>
      <c r="H26" s="167">
        <f>F26+1</f>
        <v>30</v>
      </c>
      <c r="I26" s="167"/>
      <c r="J26" s="114"/>
      <c r="K26" s="167"/>
      <c r="L26" s="167"/>
      <c r="M26" s="167"/>
      <c r="N26" s="161"/>
      <c r="O26" s="161"/>
      <c r="P26" s="167">
        <f>H26+1</f>
        <v>31</v>
      </c>
      <c r="Q26" s="161"/>
      <c r="R26" s="167">
        <f>P26+1</f>
        <v>32</v>
      </c>
      <c r="S26" s="167"/>
      <c r="T26" s="114"/>
      <c r="U26" s="167"/>
      <c r="V26" s="167"/>
      <c r="W26" s="167"/>
      <c r="X26" s="139"/>
      <c r="Y26" s="173"/>
      <c r="Z26" s="32"/>
    </row>
    <row r="27" spans="1:26" ht="15" customHeight="1" thickBot="1" x14ac:dyDescent="0.3">
      <c r="A27" s="442">
        <f>'Formulario OM'!A27</f>
        <v>0</v>
      </c>
      <c r="B27" s="136"/>
      <c r="C27" s="140"/>
      <c r="D27" s="137"/>
      <c r="E27" s="137" t="s">
        <v>232</v>
      </c>
      <c r="F27" s="486"/>
      <c r="G27" s="487"/>
      <c r="H27" s="475"/>
      <c r="I27" s="476"/>
      <c r="J27" s="476"/>
      <c r="K27" s="476"/>
      <c r="L27" s="476"/>
      <c r="M27" s="476"/>
      <c r="N27" s="156"/>
      <c r="O27" s="157" t="s">
        <v>233</v>
      </c>
      <c r="P27" s="486"/>
      <c r="Q27" s="487"/>
      <c r="R27" s="475"/>
      <c r="S27" s="476"/>
      <c r="T27" s="476"/>
      <c r="U27" s="476"/>
      <c r="V27" s="476"/>
      <c r="W27" s="476"/>
      <c r="X27" s="139"/>
      <c r="Y27" s="177"/>
      <c r="Z27" s="32"/>
    </row>
    <row r="28" spans="1:26" ht="6" customHeight="1" x14ac:dyDescent="0.25">
      <c r="B28" s="136"/>
      <c r="C28" s="140"/>
      <c r="D28" s="140"/>
      <c r="E28" s="140"/>
      <c r="F28" s="140"/>
      <c r="G28" s="137"/>
      <c r="H28" s="133">
        <f>'Datos PP'!AG3</f>
        <v>33</v>
      </c>
      <c r="I28" s="138"/>
      <c r="J28" s="138"/>
      <c r="K28" s="138"/>
      <c r="L28" s="138"/>
      <c r="M28" s="138"/>
      <c r="N28" s="138"/>
      <c r="O28" s="138"/>
      <c r="P28" s="138"/>
      <c r="Q28" s="138"/>
      <c r="R28" s="138"/>
      <c r="S28" s="138"/>
      <c r="T28" s="138"/>
      <c r="U28" s="138"/>
      <c r="V28" s="138"/>
      <c r="W28" s="138"/>
      <c r="X28" s="139"/>
      <c r="Y28" s="173"/>
      <c r="Z28" s="32"/>
    </row>
    <row r="29" spans="1:26" x14ac:dyDescent="0.25">
      <c r="B29" s="136"/>
      <c r="C29" s="137"/>
      <c r="D29" s="137"/>
      <c r="E29" s="137"/>
      <c r="F29" s="137"/>
      <c r="G29" s="137" t="str">
        <f>'Formulario OM'!G29</f>
        <v xml:space="preserve">Pista 1: </v>
      </c>
      <c r="H29" s="476"/>
      <c r="I29" s="476"/>
      <c r="J29" s="476"/>
      <c r="K29" s="476"/>
      <c r="L29" s="476"/>
      <c r="M29" s="476"/>
      <c r="N29" s="476"/>
      <c r="O29" s="476"/>
      <c r="P29" s="476"/>
      <c r="Q29" s="138"/>
      <c r="R29" s="138"/>
      <c r="S29" s="138"/>
      <c r="T29" s="138"/>
      <c r="U29" s="138"/>
      <c r="V29" s="138"/>
      <c r="W29" s="138"/>
      <c r="X29" s="139"/>
      <c r="Y29" s="177"/>
      <c r="Z29" s="32"/>
    </row>
    <row r="30" spans="1:26" ht="6" customHeight="1" x14ac:dyDescent="0.25">
      <c r="B30" s="136"/>
      <c r="C30" s="140"/>
      <c r="D30" s="140"/>
      <c r="E30" s="140"/>
      <c r="F30" s="140"/>
      <c r="G30" s="137"/>
      <c r="H30" s="142">
        <f>H28+1</f>
        <v>34</v>
      </c>
      <c r="I30" s="143"/>
      <c r="J30" s="143"/>
      <c r="K30" s="143"/>
      <c r="L30" s="143"/>
      <c r="M30" s="143"/>
      <c r="N30" s="143"/>
      <c r="O30" s="143"/>
      <c r="P30" s="143"/>
      <c r="Q30" s="138"/>
      <c r="R30" s="138"/>
      <c r="S30" s="418"/>
      <c r="T30" s="418"/>
      <c r="U30" s="418"/>
      <c r="V30" s="418"/>
      <c r="W30" s="418"/>
      <c r="X30" s="419"/>
      <c r="Y30" s="173"/>
      <c r="Z30" s="32"/>
    </row>
    <row r="31" spans="1:26" x14ac:dyDescent="0.25">
      <c r="B31" s="136"/>
      <c r="C31" s="137"/>
      <c r="D31" s="137"/>
      <c r="E31" s="137"/>
      <c r="F31" s="137"/>
      <c r="G31" s="137" t="str">
        <f>'Formulario OM'!G31</f>
        <v xml:space="preserve">Pista 2: </v>
      </c>
      <c r="H31" s="476"/>
      <c r="I31" s="476"/>
      <c r="J31" s="476"/>
      <c r="K31" s="476"/>
      <c r="L31" s="476"/>
      <c r="M31" s="476"/>
      <c r="N31" s="476"/>
      <c r="O31" s="476"/>
      <c r="P31" s="476"/>
      <c r="Q31" s="138"/>
      <c r="R31" s="138"/>
      <c r="S31" s="418"/>
      <c r="T31" s="418"/>
      <c r="U31" s="418"/>
      <c r="V31" s="418"/>
      <c r="W31" s="418"/>
      <c r="X31" s="419"/>
      <c r="Y31" s="177"/>
      <c r="Z31" s="32"/>
    </row>
    <row r="32" spans="1:26" ht="6" customHeight="1" x14ac:dyDescent="0.25">
      <c r="B32" s="136"/>
      <c r="C32" s="140"/>
      <c r="D32" s="140"/>
      <c r="E32" s="140"/>
      <c r="F32" s="140"/>
      <c r="G32" s="137"/>
      <c r="H32" s="142">
        <f>H30+1</f>
        <v>35</v>
      </c>
      <c r="I32" s="143"/>
      <c r="J32" s="143"/>
      <c r="K32" s="143"/>
      <c r="L32" s="143"/>
      <c r="M32" s="143"/>
      <c r="N32" s="143"/>
      <c r="O32" s="143"/>
      <c r="P32" s="143"/>
      <c r="Q32" s="138"/>
      <c r="R32" s="138"/>
      <c r="S32" s="418"/>
      <c r="T32" s="418"/>
      <c r="U32" s="418"/>
      <c r="V32" s="418"/>
      <c r="W32" s="418"/>
      <c r="X32" s="419"/>
      <c r="Y32" s="173"/>
    </row>
    <row r="33" spans="1:25" x14ac:dyDescent="0.25">
      <c r="B33" s="136"/>
      <c r="C33" s="137"/>
      <c r="D33" s="137"/>
      <c r="E33" s="137"/>
      <c r="F33" s="137"/>
      <c r="G33" s="137" t="str">
        <f>'Formulario OM'!G33</f>
        <v xml:space="preserve">Pista 3: </v>
      </c>
      <c r="H33" s="476"/>
      <c r="I33" s="476"/>
      <c r="J33" s="476"/>
      <c r="K33" s="476"/>
      <c r="L33" s="476"/>
      <c r="M33" s="476"/>
      <c r="N33" s="476"/>
      <c r="O33" s="476"/>
      <c r="P33" s="476"/>
      <c r="Q33" s="138"/>
      <c r="R33" s="138"/>
      <c r="S33" s="418"/>
      <c r="T33" s="418"/>
      <c r="U33" s="418"/>
      <c r="V33" s="418"/>
      <c r="W33" s="418"/>
      <c r="X33" s="419"/>
      <c r="Y33" s="177"/>
    </row>
    <row r="34" spans="1:25" ht="6" customHeight="1" x14ac:dyDescent="0.25">
      <c r="B34" s="136"/>
      <c r="C34" s="140"/>
      <c r="D34" s="140"/>
      <c r="E34" s="140"/>
      <c r="F34" s="140"/>
      <c r="G34" s="137"/>
      <c r="H34" s="142">
        <f>H32+1</f>
        <v>36</v>
      </c>
      <c r="I34" s="143"/>
      <c r="J34" s="143"/>
      <c r="K34" s="143"/>
      <c r="L34" s="143"/>
      <c r="M34" s="143"/>
      <c r="N34" s="144"/>
      <c r="O34" s="144"/>
      <c r="P34" s="144"/>
      <c r="Q34" s="138"/>
      <c r="R34" s="138"/>
      <c r="S34" s="418"/>
      <c r="T34" s="418"/>
      <c r="U34" s="418"/>
      <c r="V34" s="418"/>
      <c r="W34" s="418"/>
      <c r="X34" s="419"/>
      <c r="Y34" s="173"/>
    </row>
    <row r="35" spans="1:25" x14ac:dyDescent="0.25">
      <c r="B35" s="136"/>
      <c r="C35" s="137"/>
      <c r="D35" s="137"/>
      <c r="E35" s="137"/>
      <c r="F35" s="137"/>
      <c r="G35" s="137" t="str">
        <f>'Formulario OM'!G35</f>
        <v xml:space="preserve">Pista 4: </v>
      </c>
      <c r="H35" s="476"/>
      <c r="I35" s="476"/>
      <c r="J35" s="476"/>
      <c r="K35" s="476"/>
      <c r="L35" s="476"/>
      <c r="M35" s="476"/>
      <c r="N35" s="476"/>
      <c r="O35" s="476"/>
      <c r="P35" s="476"/>
      <c r="Q35" s="138"/>
      <c r="R35" s="138"/>
      <c r="S35" s="418"/>
      <c r="T35" s="418"/>
      <c r="U35" s="418"/>
      <c r="V35" s="418"/>
      <c r="W35" s="418"/>
      <c r="X35" s="419"/>
      <c r="Y35" s="177"/>
    </row>
    <row r="36" spans="1:25" ht="9.9499999999999993" customHeight="1" thickBot="1" x14ac:dyDescent="0.3">
      <c r="B36" s="145"/>
      <c r="C36" s="146"/>
      <c r="D36" s="146"/>
      <c r="E36" s="146"/>
      <c r="F36" s="146"/>
      <c r="G36" s="146"/>
      <c r="H36" s="146"/>
      <c r="I36" s="146"/>
      <c r="J36" s="146"/>
      <c r="K36" s="146"/>
      <c r="L36" s="146"/>
      <c r="M36" s="146"/>
      <c r="N36" s="146"/>
      <c r="O36" s="146"/>
      <c r="P36" s="146"/>
      <c r="Q36" s="146"/>
      <c r="R36" s="146"/>
      <c r="S36" s="420"/>
      <c r="T36" s="420"/>
      <c r="U36" s="420"/>
      <c r="V36" s="420"/>
      <c r="W36" s="420"/>
      <c r="X36" s="421"/>
      <c r="Y36" s="173"/>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33"/>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334" t="str">
        <f>IFERROR(IF(VLOOKUP($L$5,'Datos PP'!$A$7:$AJ$508,R126)="","",VLOOKUP($L$5,'Datos PP'!$A$7:$AJ$508,R126,0)),"")</f>
        <v/>
      </c>
    </row>
  </sheetData>
  <sheetProtection algorithmName="SHA-512" hashValue="cubRyoHwtKYGzHAX+FKWPC0XhhW7N+29/GQrt7AHd6VoqKOtMxk37aNBojuV5mLbI29Da6P8U6RMJ62cIlVBIg==" saltValue="RP8JV8PsHRD1urulwfq+Vg==" spinCount="100000" sheet="1" objects="1" scenarios="1" selectLockedCells="1"/>
  <mergeCells count="48">
    <mergeCell ref="B1:K3"/>
    <mergeCell ref="A1:A3"/>
    <mergeCell ref="S30:X36"/>
    <mergeCell ref="A17:A19"/>
    <mergeCell ref="Y1:Y3"/>
    <mergeCell ref="L2:M2"/>
    <mergeCell ref="V2:W2"/>
    <mergeCell ref="T2:U2"/>
    <mergeCell ref="R2:S2"/>
    <mergeCell ref="P2:Q2"/>
    <mergeCell ref="N2:O2"/>
    <mergeCell ref="H35:P35"/>
    <mergeCell ref="H25:M25"/>
    <mergeCell ref="P23:Q23"/>
    <mergeCell ref="P25:Q25"/>
    <mergeCell ref="H29:P29"/>
    <mergeCell ref="H31:P31"/>
    <mergeCell ref="H33:P33"/>
    <mergeCell ref="P15:Q15"/>
    <mergeCell ref="H9:M9"/>
    <mergeCell ref="R5:W5"/>
    <mergeCell ref="H7:N7"/>
    <mergeCell ref="R25:W25"/>
    <mergeCell ref="R23:W23"/>
    <mergeCell ref="H15:M15"/>
    <mergeCell ref="H17:M17"/>
    <mergeCell ref="H19:M19"/>
    <mergeCell ref="H21:M21"/>
    <mergeCell ref="H23:M23"/>
    <mergeCell ref="P17:Q17"/>
    <mergeCell ref="P19:Q19"/>
    <mergeCell ref="P21:Q21"/>
    <mergeCell ref="F19:G19"/>
    <mergeCell ref="F17:G17"/>
    <mergeCell ref="F15:G15"/>
    <mergeCell ref="F21:G21"/>
    <mergeCell ref="F23:G23"/>
    <mergeCell ref="H11:W14"/>
    <mergeCell ref="R21:W21"/>
    <mergeCell ref="R19:W19"/>
    <mergeCell ref="R17:W17"/>
    <mergeCell ref="R15:W15"/>
    <mergeCell ref="A25:A27"/>
    <mergeCell ref="F27:G27"/>
    <mergeCell ref="P27:Q27"/>
    <mergeCell ref="H27:M27"/>
    <mergeCell ref="R27:W27"/>
    <mergeCell ref="F25:G25"/>
  </mergeCells>
  <dataValidations xWindow="114" yWindow="657" count="10">
    <dataValidation allowBlank="1" showInputMessage="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InputMessage="1" showErrorMessage="1" promptTitle="Descripción" prompt="Escirbe lo que quieras que aparezca en el NOMBRE de la pregunta. Éste se formará con el PREFIJO puesto en Datos Generales + el número de la pregunta + la Descripción." sqref="H9"/>
    <dataValidation allowBlank="1" showInputMessage="1" showErrorMessage="1" promptTitle="Pista 4" prompt="Comentario que aparecerá si configuras MOODLE para que pueda dar pistas cuando se dejen más de un intento." sqref="H35:P35"/>
    <dataValidation allowBlank="1" showInputMessage="1" showErrorMessage="1" promptTitle="Pista 3" prompt="Comentario que aparecerá si configuras MOODLE para que pueda dar pistas cuando se dejen más de un intento." sqref="H33:P33"/>
    <dataValidation allowBlank="1" showInputMessage="1" showErrorMessage="1" promptTitle="Pista 2" prompt="Comentario que aparecerá si configuras MOODLE para que pueda dar pistas cuando se dejen más de un intento." sqref="H31:P31"/>
    <dataValidation allowBlank="1" showInputMessage="1" showErrorMessage="1" promptTitle="Pista 1" prompt="Comentario que aparecerá si configuras MOODLE para que pueda dar pistas cuando se dejen más de un intento." sqref="H29"/>
    <dataValidation type="whole" allowBlank="1" showInputMessage="1" showErrorMessage="1" sqref="H5">
      <formula1>1</formula1>
      <formula2>1000</formula2>
    </dataValidation>
    <dataValidation allowBlank="1" showInputMessage="1" showErrorMessage="1" promptTitle="Grupo Palabra" prompt="Nº del grupo para esta palabra" sqref="P25 F17 F19 F21 F23 F25 F27 P17 P19 P21 P23 P27"/>
    <dataValidation allowBlank="1" showInputMessage="1" showErrorMessage="1" promptTitle="Palabra" prompt="Palabra perdida que se listará en el grupo asignado" sqref="R17:W17 H17 H21:M21 H23:M23 H25:M25 H27:M27 R27:W27 R25:W25 R23:W23 R21:W21 R19:W19 H19"/>
    <dataValidation allowBlank="1" showInputMessage="1" showErrorMessage="1" promptTitle="Enunciado de la pregunta" prompt="Escribe el enunciado de la pregunta. Entre [[  ]] Debes escribir el número de la palabra correspondiente a ese hueco." sqref="H11:W14"/>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3553" r:id="rId6" name="Spinner 1">
              <controlPr defaultSize="0" print="0" autoPict="0" macro="[0]!Ver_Datos_Preguntas" altText="Para consultar los datos de cada pregunta.">
                <anchor moveWithCells="1" sizeWithCells="1">
                  <from>
                    <xdr:col>12</xdr:col>
                    <xdr:colOff>9525</xdr:colOff>
                    <xdr:row>3</xdr:row>
                    <xdr:rowOff>66675</xdr:rowOff>
                  </from>
                  <to>
                    <xdr:col>12</xdr:col>
                    <xdr:colOff>142875</xdr:colOff>
                    <xdr:row>5</xdr:row>
                    <xdr:rowOff>28575</xdr:rowOff>
                  </to>
                </anchor>
              </controlPr>
            </control>
          </mc:Choice>
        </mc:AlternateContent>
        <mc:AlternateContent xmlns:mc="http://schemas.openxmlformats.org/markup-compatibility/2006">
          <mc:Choice Requires="x14">
            <control shapeId="2355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3555"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D7" sqref="D7"/>
      <selection pane="topRight" activeCell="D7" sqref="D7"/>
      <selection pane="bottomLeft" activeCell="D7" sqref="D7"/>
      <selection pane="bottomRight" activeCell="D7" sqref="D7:AJ508"/>
    </sheetView>
  </sheetViews>
  <sheetFormatPr baseColWidth="10" defaultColWidth="11.42578125" defaultRowHeight="15" x14ac:dyDescent="0.25"/>
  <cols>
    <col min="1" max="1" width="3.5703125" style="14" hidden="1" customWidth="1"/>
    <col min="2" max="2" width="7.7109375" style="29" customWidth="1"/>
    <col min="3" max="3" width="3.5703125" style="14" customWidth="1"/>
    <col min="4" max="4" width="3.42578125" style="14" hidden="1" customWidth="1"/>
    <col min="5" max="5" width="5.28515625" style="30" hidden="1" customWidth="1"/>
    <col min="6" max="6" width="5.7109375" style="30" hidden="1" customWidth="1"/>
    <col min="7" max="7" width="10.140625" style="30" customWidth="1"/>
    <col min="8" max="8" width="62.140625" style="14" customWidth="1"/>
    <col min="9" max="14" width="12.5703125" style="14" customWidth="1"/>
    <col min="15" max="29" width="14.28515625" style="14" customWidth="1"/>
    <col min="30" max="16384" width="11.42578125" style="14"/>
  </cols>
  <sheetData>
    <row r="1" spans="1:36" hidden="1" x14ac:dyDescent="0.25">
      <c r="A1" s="12">
        <f>MAX(A7:A550)</f>
        <v>51</v>
      </c>
      <c r="B1" s="13" t="str">
        <f>B5</f>
        <v>T01 - 00</v>
      </c>
      <c r="C1" s="13" t="str">
        <f t="shared" ref="C1:AJ1" si="0">C6</f>
        <v>PALABRAS</v>
      </c>
      <c r="D1" s="13">
        <f t="shared" si="0"/>
        <v>0</v>
      </c>
      <c r="E1" s="13">
        <f t="shared" si="0"/>
        <v>0</v>
      </c>
      <c r="F1" s="13">
        <f t="shared" si="0"/>
        <v>0</v>
      </c>
      <c r="G1" s="13" t="str">
        <f t="shared" si="0"/>
        <v>Descrip.
Pregunta</v>
      </c>
      <c r="H1" s="13" t="str">
        <f t="shared" si="0"/>
        <v>Enunciado  | FastTest PlugIn - Palabra Perdida</v>
      </c>
      <c r="I1" s="13" t="str">
        <f t="shared" si="0"/>
        <v>Par 01.1</v>
      </c>
      <c r="J1" s="13" t="str">
        <f t="shared" si="0"/>
        <v>Par 01.2</v>
      </c>
      <c r="K1" s="13" t="str">
        <f t="shared" si="0"/>
        <v>Par 02.1</v>
      </c>
      <c r="L1" s="13" t="str">
        <f t="shared" si="0"/>
        <v>Par 02.2</v>
      </c>
      <c r="M1" s="13" t="str">
        <f t="shared" si="0"/>
        <v>Par 03.1</v>
      </c>
      <c r="N1" s="13" t="str">
        <f t="shared" si="0"/>
        <v>Par 03.2</v>
      </c>
      <c r="O1" s="13" t="str">
        <f t="shared" si="0"/>
        <v>Par 04.1</v>
      </c>
      <c r="P1" s="13" t="str">
        <f t="shared" si="0"/>
        <v>Par 04.2</v>
      </c>
      <c r="Q1" s="13" t="str">
        <f t="shared" si="0"/>
        <v>Par 05.1</v>
      </c>
      <c r="R1" s="13" t="str">
        <f t="shared" si="0"/>
        <v>Par 05.2</v>
      </c>
      <c r="S1" s="13" t="str">
        <f t="shared" si="0"/>
        <v>Par 06.1</v>
      </c>
      <c r="T1" s="13" t="str">
        <f t="shared" si="0"/>
        <v>Par 06.2</v>
      </c>
      <c r="U1" s="13" t="str">
        <f t="shared" si="0"/>
        <v>Par 07.1</v>
      </c>
      <c r="V1" s="13" t="str">
        <f t="shared" si="0"/>
        <v>Par 07.2</v>
      </c>
      <c r="W1" s="13" t="str">
        <f t="shared" si="0"/>
        <v>Par 08.1</v>
      </c>
      <c r="X1" s="13" t="str">
        <f t="shared" si="0"/>
        <v>Par 08.2</v>
      </c>
      <c r="Y1" s="13" t="str">
        <f t="shared" si="0"/>
        <v>Par 09.1</v>
      </c>
      <c r="Z1" s="13" t="str">
        <f t="shared" si="0"/>
        <v>Par 09.2</v>
      </c>
      <c r="AA1" s="13" t="str">
        <f t="shared" si="0"/>
        <v>Par 10.1</v>
      </c>
      <c r="AB1" s="13" t="str">
        <f t="shared" si="0"/>
        <v>Par 10.2</v>
      </c>
      <c r="AC1" s="13" t="str">
        <f t="shared" si="0"/>
        <v>Par 11.1</v>
      </c>
      <c r="AD1" s="13" t="str">
        <f t="shared" si="0"/>
        <v>Par 11.2</v>
      </c>
      <c r="AE1" s="13" t="str">
        <f t="shared" si="0"/>
        <v>Par 12.1</v>
      </c>
      <c r="AF1" s="13" t="str">
        <f t="shared" si="0"/>
        <v>Par 12.2</v>
      </c>
      <c r="AG1" s="13" t="str">
        <f t="shared" si="0"/>
        <v>Pista 1</v>
      </c>
      <c r="AH1" s="13" t="str">
        <f t="shared" si="0"/>
        <v>Pista 2</v>
      </c>
      <c r="AI1" s="13" t="str">
        <f t="shared" si="0"/>
        <v>Pista 3</v>
      </c>
      <c r="AJ1" s="13" t="str">
        <f t="shared" si="0"/>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405">
        <v>2</v>
      </c>
      <c r="C3" s="393">
        <f t="shared" ref="C3:AJ3" si="1">B3+1</f>
        <v>3</v>
      </c>
      <c r="D3" s="393">
        <f t="shared" si="1"/>
        <v>4</v>
      </c>
      <c r="E3" s="393">
        <f t="shared" si="1"/>
        <v>5</v>
      </c>
      <c r="F3" s="393">
        <f t="shared" si="1"/>
        <v>6</v>
      </c>
      <c r="G3" s="393">
        <f t="shared" si="1"/>
        <v>7</v>
      </c>
      <c r="H3" s="393">
        <f>G3+1</f>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401"/>
      <c r="C4" s="402"/>
      <c r="D4" s="401"/>
      <c r="E4" s="403"/>
      <c r="F4" s="403"/>
      <c r="G4" s="404"/>
      <c r="H4" s="390" t="str">
        <f>'Datos OM'!E4</f>
        <v>DATOS GENERALES | Ir A FORMULARIO | Dar FORMATO</v>
      </c>
      <c r="I4" s="229">
        <f>COUNTA(H7:H500)</f>
        <v>0</v>
      </c>
      <c r="J4" s="336" t="str">
        <f>'Datos RC'!$J$4</f>
        <v>Preguntas almacenadas</v>
      </c>
    </row>
    <row r="5" spans="1:36" s="257" customFormat="1" hidden="1" x14ac:dyDescent="0.25">
      <c r="A5" s="245">
        <v>0</v>
      </c>
      <c r="B5" s="244" t="str">
        <f>IF(A5="","",PREF_PREGUNTA&amp;" - "&amp;IF(MAX($A$7:$A$156)&gt;99,IF(A5&lt;100,"0",""),"")&amp;IF(A5&lt;10,"0","")&amp;A5&amp;IF(G5&lt;&gt;""," "&amp;G5,""))</f>
        <v>T01 - 00</v>
      </c>
      <c r="C5" s="62">
        <f>IF(COUNTA(I5:N5)-D5=0,"",COUNTA(I5:N5)-D5)</f>
        <v>6</v>
      </c>
      <c r="D5" s="246"/>
      <c r="E5" s="247"/>
      <c r="F5" s="247"/>
      <c r="G5" s="248" t="str">
        <f>IF('Formulario PP'!H9="","",'Formulario PP'!H9)</f>
        <v/>
      </c>
      <c r="H5" s="241" t="str">
        <f>IF('Formulario PP'!H11="","",'Formulario PP'!H11)</f>
        <v/>
      </c>
      <c r="I5" s="249" t="str">
        <f>IF('Formulario PP'!$F17="","",'Formulario PP'!$F17)</f>
        <v/>
      </c>
      <c r="J5" s="250" t="str">
        <f>IF('Formulario PP'!$H17="","",'Formulario PP'!$H17)</f>
        <v/>
      </c>
      <c r="K5" s="251" t="str">
        <f>IF('Formulario PP'!$P17="","",'Formulario PP'!$P17)</f>
        <v/>
      </c>
      <c r="L5" s="252" t="str">
        <f>IF('Formulario PP'!$R17="","",'Formulario PP'!$R17)</f>
        <v/>
      </c>
      <c r="M5" s="249" t="str">
        <f>IF('Formulario PP'!$F19="","",'Formulario PP'!$F19)</f>
        <v/>
      </c>
      <c r="N5" s="250" t="str">
        <f>IF('Formulario PP'!$H19="","",'Formulario PP'!$H19)</f>
        <v/>
      </c>
      <c r="O5" s="251" t="str">
        <f>IF('Formulario PP'!$P19="","",'Formulario PP'!$P19)</f>
        <v/>
      </c>
      <c r="P5" s="252" t="str">
        <f>IF('Formulario PP'!$R19="","",'Formulario PP'!$R19)</f>
        <v/>
      </c>
      <c r="Q5" s="249" t="str">
        <f>IF('Formulario PP'!$F21="","",'Formulario PP'!$F21)</f>
        <v/>
      </c>
      <c r="R5" s="250" t="str">
        <f>IF('Formulario PP'!$H21="","",'Formulario PP'!$H21)</f>
        <v/>
      </c>
      <c r="S5" s="251" t="str">
        <f>IF('Formulario PP'!$P21="","",'Formulario PP'!$P21)</f>
        <v/>
      </c>
      <c r="T5" s="252" t="str">
        <f>IF('Formulario PP'!$R21="","",'Formulario PP'!$R21)</f>
        <v/>
      </c>
      <c r="U5" s="249" t="str">
        <f>IF('Formulario PP'!$F23="","",'Formulario PP'!$F23)</f>
        <v/>
      </c>
      <c r="V5" s="250" t="str">
        <f>IF('Formulario PP'!$H23="","",'Formulario PP'!$H23)</f>
        <v/>
      </c>
      <c r="W5" s="251" t="str">
        <f>IF('Formulario PP'!$P23="","",'Formulario PP'!$P23)</f>
        <v/>
      </c>
      <c r="X5" s="252" t="str">
        <f>IF('Formulario PP'!$R23="","",'Formulario PP'!$R23)</f>
        <v/>
      </c>
      <c r="Y5" s="249" t="str">
        <f>IF('Formulario PP'!$F25="","",'Formulario PP'!$F25)</f>
        <v/>
      </c>
      <c r="Z5" s="250" t="str">
        <f>IF('Formulario PP'!$H25="","",'Formulario PP'!$H25)</f>
        <v/>
      </c>
      <c r="AA5" s="251" t="str">
        <f>IF('Formulario PP'!$P25="","",'Formulario PP'!$P25)</f>
        <v/>
      </c>
      <c r="AB5" s="252" t="str">
        <f>IF('Formulario PP'!$R25="","",'Formulario PP'!$R25)</f>
        <v/>
      </c>
      <c r="AC5" s="249" t="str">
        <f>IF('Formulario PP'!$F27="","",'Formulario PP'!$F27)</f>
        <v/>
      </c>
      <c r="AD5" s="250" t="str">
        <f>IF('Formulario PP'!$H27="","",'Formulario PP'!$H27)</f>
        <v/>
      </c>
      <c r="AE5" s="251" t="str">
        <f>IF('Formulario PP'!$P27="","",'Formulario PP'!$P27)</f>
        <v/>
      </c>
      <c r="AF5" s="252" t="str">
        <f>IF('Formulario PP'!$R27="","",'Formulario PP'!$R27)</f>
        <v/>
      </c>
      <c r="AG5" s="253" t="str">
        <f>IF('Formulario PP'!H29="","",'Formulario PP'!H29)</f>
        <v/>
      </c>
      <c r="AH5" s="254" t="str">
        <f>IF('Formulario PP'!H31="","",'Formulario PP'!H31)</f>
        <v/>
      </c>
      <c r="AI5" s="255" t="str">
        <f>IF('Formulario PP'!H33="","",'Formulario PP'!H33)</f>
        <v/>
      </c>
      <c r="AJ5" s="256" t="str">
        <f>IF('Formulario PP'!H35="","",'Formulario PP'!H35)</f>
        <v/>
      </c>
    </row>
    <row r="6" spans="1:36" s="27" customFormat="1" ht="24.75" x14ac:dyDescent="0.25">
      <c r="A6" s="26">
        <v>0</v>
      </c>
      <c r="B6" s="337" t="s">
        <v>41</v>
      </c>
      <c r="C6" s="338" t="s">
        <v>258</v>
      </c>
      <c r="D6" s="97"/>
      <c r="E6" s="98"/>
      <c r="F6" s="98"/>
      <c r="G6" s="64" t="s">
        <v>43</v>
      </c>
      <c r="H6" s="348" t="str">
        <f>"Enunciado  | "&amp;'Formulario PP'!B1</f>
        <v>Enunciado  | FastTest PlugIn - Palabra Perdida</v>
      </c>
      <c r="I6" s="99" t="s">
        <v>234</v>
      </c>
      <c r="J6" s="99" t="s">
        <v>235</v>
      </c>
      <c r="K6" s="100" t="s">
        <v>236</v>
      </c>
      <c r="L6" s="100" t="s">
        <v>237</v>
      </c>
      <c r="M6" s="99" t="s">
        <v>238</v>
      </c>
      <c r="N6" s="99" t="s">
        <v>239</v>
      </c>
      <c r="O6" s="100" t="s">
        <v>240</v>
      </c>
      <c r="P6" s="100" t="s">
        <v>241</v>
      </c>
      <c r="Q6" s="99" t="s">
        <v>242</v>
      </c>
      <c r="R6" s="99" t="s">
        <v>243</v>
      </c>
      <c r="S6" s="100" t="s">
        <v>244</v>
      </c>
      <c r="T6" s="100" t="s">
        <v>245</v>
      </c>
      <c r="U6" s="99" t="s">
        <v>246</v>
      </c>
      <c r="V6" s="99" t="s">
        <v>247</v>
      </c>
      <c r="W6" s="100" t="s">
        <v>248</v>
      </c>
      <c r="X6" s="100" t="s">
        <v>249</v>
      </c>
      <c r="Y6" s="99" t="s">
        <v>250</v>
      </c>
      <c r="Z6" s="99" t="s">
        <v>251</v>
      </c>
      <c r="AA6" s="100" t="s">
        <v>252</v>
      </c>
      <c r="AB6" s="100" t="s">
        <v>253</v>
      </c>
      <c r="AC6" s="99" t="s">
        <v>254</v>
      </c>
      <c r="AD6" s="99" t="s">
        <v>255</v>
      </c>
      <c r="AE6" s="100" t="s">
        <v>256</v>
      </c>
      <c r="AF6" s="100" t="s">
        <v>257</v>
      </c>
      <c r="AG6" s="101" t="s">
        <v>54</v>
      </c>
      <c r="AH6" s="102" t="s">
        <v>55</v>
      </c>
      <c r="AI6" s="103" t="s">
        <v>56</v>
      </c>
      <c r="AJ6" s="104" t="s">
        <v>57</v>
      </c>
    </row>
    <row r="7" spans="1:36" s="106" customFormat="1" x14ac:dyDescent="0.25">
      <c r="A7" s="105">
        <v>51</v>
      </c>
      <c r="B7" s="244" t="str">
        <f t="shared" ref="B7:B70" si="2">IF(A7="","",PREF_PREGUNTA&amp;" - "&amp;IF(MAX($A$7:$A$156)&gt;99,IF(A7&lt;100,"0",""),"")&amp;IF(A7&lt;10,"0","")&amp;A7&amp;IF(G7&lt;&gt;""," "&amp;G7,""))</f>
        <v>T01 - 51</v>
      </c>
      <c r="C7" s="62" t="str">
        <f t="shared" ref="C7:C70" si="3">IF(COUNTA(I7:N7)-D7=0,"",COUNTA(I7:N7)-D7)</f>
        <v/>
      </c>
      <c r="D7" s="246"/>
      <c r="E7" s="247"/>
      <c r="F7" s="247"/>
      <c r="G7" s="248"/>
      <c r="H7" s="241"/>
      <c r="I7" s="249"/>
      <c r="J7" s="250"/>
      <c r="K7" s="251"/>
      <c r="L7" s="252"/>
      <c r="M7" s="249"/>
      <c r="N7" s="250"/>
      <c r="O7" s="251"/>
      <c r="P7" s="252"/>
      <c r="Q7" s="249"/>
      <c r="R7" s="250"/>
      <c r="S7" s="251"/>
      <c r="T7" s="252"/>
      <c r="U7" s="249"/>
      <c r="V7" s="250"/>
      <c r="W7" s="251"/>
      <c r="X7" s="252"/>
      <c r="Y7" s="249"/>
      <c r="Z7" s="250"/>
      <c r="AA7" s="251"/>
      <c r="AB7" s="252"/>
      <c r="AC7" s="249"/>
      <c r="AD7" s="250"/>
      <c r="AE7" s="251"/>
      <c r="AF7" s="252"/>
      <c r="AG7" s="253"/>
      <c r="AH7" s="254"/>
      <c r="AI7" s="255"/>
      <c r="AJ7" s="256"/>
    </row>
    <row r="8" spans="1:36" s="106" customFormat="1" x14ac:dyDescent="0.25">
      <c r="A8" s="107" t="str">
        <f>IF(H8&lt;&gt;"",MAX($A$7:A7)+1,"")</f>
        <v/>
      </c>
      <c r="B8" s="244" t="str">
        <f t="shared" si="2"/>
        <v/>
      </c>
      <c r="C8" s="62" t="str">
        <f t="shared" si="3"/>
        <v/>
      </c>
      <c r="D8" s="246"/>
      <c r="E8" s="247"/>
      <c r="F8" s="247"/>
      <c r="G8" s="248"/>
      <c r="H8" s="241"/>
      <c r="I8" s="249"/>
      <c r="J8" s="250"/>
      <c r="K8" s="251"/>
      <c r="L8" s="252"/>
      <c r="M8" s="249"/>
      <c r="N8" s="250"/>
      <c r="O8" s="251"/>
      <c r="P8" s="252"/>
      <c r="Q8" s="249"/>
      <c r="R8" s="250"/>
      <c r="S8" s="251"/>
      <c r="T8" s="252"/>
      <c r="U8" s="249"/>
      <c r="V8" s="250"/>
      <c r="W8" s="251"/>
      <c r="X8" s="252"/>
      <c r="Y8" s="249"/>
      <c r="Z8" s="250"/>
      <c r="AA8" s="251"/>
      <c r="AB8" s="252"/>
      <c r="AC8" s="249"/>
      <c r="AD8" s="250"/>
      <c r="AE8" s="251"/>
      <c r="AF8" s="252"/>
      <c r="AG8" s="253"/>
      <c r="AH8" s="254"/>
      <c r="AI8" s="255"/>
      <c r="AJ8" s="256"/>
    </row>
    <row r="9" spans="1:36" s="106" customFormat="1" x14ac:dyDescent="0.25">
      <c r="A9" s="107" t="str">
        <f>IF(H9&lt;&gt;"",MAX($A$7:A8)+1,"")</f>
        <v/>
      </c>
      <c r="B9" s="244" t="str">
        <f t="shared" si="2"/>
        <v/>
      </c>
      <c r="C9" s="62" t="str">
        <f t="shared" si="3"/>
        <v/>
      </c>
      <c r="D9" s="246"/>
      <c r="E9" s="247"/>
      <c r="F9" s="247"/>
      <c r="G9" s="248"/>
      <c r="H9" s="241"/>
      <c r="I9" s="249"/>
      <c r="J9" s="250"/>
      <c r="K9" s="251"/>
      <c r="L9" s="252"/>
      <c r="M9" s="249"/>
      <c r="N9" s="250"/>
      <c r="O9" s="251"/>
      <c r="P9" s="252"/>
      <c r="Q9" s="249"/>
      <c r="R9" s="250"/>
      <c r="S9" s="251"/>
      <c r="T9" s="252"/>
      <c r="U9" s="249"/>
      <c r="V9" s="250"/>
      <c r="W9" s="251"/>
      <c r="X9" s="252"/>
      <c r="Y9" s="249"/>
      <c r="Z9" s="250"/>
      <c r="AA9" s="251"/>
      <c r="AB9" s="252"/>
      <c r="AC9" s="249"/>
      <c r="AD9" s="250"/>
      <c r="AE9" s="251"/>
      <c r="AF9" s="252"/>
      <c r="AG9" s="253"/>
      <c r="AH9" s="254"/>
      <c r="AI9" s="255"/>
      <c r="AJ9" s="256"/>
    </row>
    <row r="10" spans="1:36" s="106" customFormat="1" x14ac:dyDescent="0.25">
      <c r="A10" s="107" t="str">
        <f>IF(H10&lt;&gt;"",MAX($A$7:A9)+1,"")</f>
        <v/>
      </c>
      <c r="B10" s="244" t="str">
        <f t="shared" si="2"/>
        <v/>
      </c>
      <c r="C10" s="62" t="str">
        <f t="shared" si="3"/>
        <v/>
      </c>
      <c r="D10" s="246"/>
      <c r="E10" s="247"/>
      <c r="F10" s="247"/>
      <c r="G10" s="248"/>
      <c r="H10" s="241"/>
      <c r="I10" s="249"/>
      <c r="J10" s="250"/>
      <c r="K10" s="251"/>
      <c r="L10" s="252"/>
      <c r="M10" s="249"/>
      <c r="N10" s="250"/>
      <c r="O10" s="251"/>
      <c r="P10" s="252"/>
      <c r="Q10" s="249"/>
      <c r="R10" s="250"/>
      <c r="S10" s="251"/>
      <c r="T10" s="252"/>
      <c r="U10" s="249"/>
      <c r="V10" s="250"/>
      <c r="W10" s="251"/>
      <c r="X10" s="252"/>
      <c r="Y10" s="249"/>
      <c r="Z10" s="250"/>
      <c r="AA10" s="251"/>
      <c r="AB10" s="252"/>
      <c r="AC10" s="249"/>
      <c r="AD10" s="250"/>
      <c r="AE10" s="251"/>
      <c r="AF10" s="252"/>
      <c r="AG10" s="253"/>
      <c r="AH10" s="254"/>
      <c r="AI10" s="255"/>
      <c r="AJ10" s="256"/>
    </row>
    <row r="11" spans="1:36" s="106" customFormat="1" x14ac:dyDescent="0.25">
      <c r="A11" s="107" t="str">
        <f>IF(H11&lt;&gt;"",MAX($A$7:A10)+1,"")</f>
        <v/>
      </c>
      <c r="B11" s="244" t="str">
        <f t="shared" si="2"/>
        <v/>
      </c>
      <c r="C11" s="62" t="str">
        <f t="shared" si="3"/>
        <v/>
      </c>
      <c r="D11" s="246"/>
      <c r="E11" s="247"/>
      <c r="F11" s="247"/>
      <c r="G11" s="248"/>
      <c r="H11" s="241"/>
      <c r="I11" s="249"/>
      <c r="J11" s="250"/>
      <c r="K11" s="251"/>
      <c r="L11" s="252"/>
      <c r="M11" s="249"/>
      <c r="N11" s="250"/>
      <c r="O11" s="251"/>
      <c r="P11" s="252"/>
      <c r="Q11" s="249"/>
      <c r="R11" s="250"/>
      <c r="S11" s="251"/>
      <c r="T11" s="252"/>
      <c r="U11" s="249"/>
      <c r="V11" s="250"/>
      <c r="W11" s="251"/>
      <c r="X11" s="252"/>
      <c r="Y11" s="249"/>
      <c r="Z11" s="250"/>
      <c r="AA11" s="251"/>
      <c r="AB11" s="252"/>
      <c r="AC11" s="249"/>
      <c r="AD11" s="250"/>
      <c r="AE11" s="251"/>
      <c r="AF11" s="252"/>
      <c r="AG11" s="253"/>
      <c r="AH11" s="254"/>
      <c r="AI11" s="255"/>
      <c r="AJ11" s="256"/>
    </row>
    <row r="12" spans="1:36" s="106" customFormat="1" x14ac:dyDescent="0.25">
      <c r="A12" s="107" t="str">
        <f>IF(H12&lt;&gt;"",MAX($A$7:A11)+1,"")</f>
        <v/>
      </c>
      <c r="B12" s="244" t="str">
        <f t="shared" si="2"/>
        <v/>
      </c>
      <c r="C12" s="62" t="str">
        <f t="shared" si="3"/>
        <v/>
      </c>
      <c r="D12" s="246"/>
      <c r="E12" s="247"/>
      <c r="F12" s="247"/>
      <c r="G12" s="248"/>
      <c r="H12" s="241"/>
      <c r="I12" s="249"/>
      <c r="J12" s="250"/>
      <c r="K12" s="251"/>
      <c r="L12" s="252"/>
      <c r="M12" s="249"/>
      <c r="N12" s="250"/>
      <c r="O12" s="251"/>
      <c r="P12" s="252"/>
      <c r="Q12" s="249"/>
      <c r="R12" s="250"/>
      <c r="S12" s="251"/>
      <c r="T12" s="252"/>
      <c r="U12" s="249"/>
      <c r="V12" s="250"/>
      <c r="W12" s="251"/>
      <c r="X12" s="252"/>
      <c r="Y12" s="249"/>
      <c r="Z12" s="250"/>
      <c r="AA12" s="251"/>
      <c r="AB12" s="252"/>
      <c r="AC12" s="249"/>
      <c r="AD12" s="250"/>
      <c r="AE12" s="251"/>
      <c r="AF12" s="252"/>
      <c r="AG12" s="253"/>
      <c r="AH12" s="254"/>
      <c r="AI12" s="255"/>
      <c r="AJ12" s="256"/>
    </row>
    <row r="13" spans="1:36" s="106" customFormat="1" x14ac:dyDescent="0.25">
      <c r="A13" s="107" t="str">
        <f>IF(H13&lt;&gt;"",MAX($A$7:A12)+1,"")</f>
        <v/>
      </c>
      <c r="B13" s="244" t="str">
        <f t="shared" si="2"/>
        <v/>
      </c>
      <c r="C13" s="62" t="str">
        <f t="shared" si="3"/>
        <v/>
      </c>
      <c r="D13" s="246"/>
      <c r="E13" s="247"/>
      <c r="F13" s="247"/>
      <c r="G13" s="248"/>
      <c r="H13" s="241"/>
      <c r="I13" s="249"/>
      <c r="J13" s="250"/>
      <c r="K13" s="251"/>
      <c r="L13" s="252"/>
      <c r="M13" s="249"/>
      <c r="N13" s="250"/>
      <c r="O13" s="251"/>
      <c r="P13" s="252"/>
      <c r="Q13" s="249"/>
      <c r="R13" s="250"/>
      <c r="S13" s="251"/>
      <c r="T13" s="252"/>
      <c r="U13" s="249"/>
      <c r="V13" s="250"/>
      <c r="W13" s="251"/>
      <c r="X13" s="252"/>
      <c r="Y13" s="249"/>
      <c r="Z13" s="250"/>
      <c r="AA13" s="251"/>
      <c r="AB13" s="252"/>
      <c r="AC13" s="249"/>
      <c r="AD13" s="250"/>
      <c r="AE13" s="251"/>
      <c r="AF13" s="252"/>
      <c r="AG13" s="253"/>
      <c r="AH13" s="254"/>
      <c r="AI13" s="255"/>
      <c r="AJ13" s="256"/>
    </row>
    <row r="14" spans="1:36" s="106" customFormat="1" x14ac:dyDescent="0.25">
      <c r="A14" s="107" t="str">
        <f>IF(H14&lt;&gt;"",MAX($A$7:A13)+1,"")</f>
        <v/>
      </c>
      <c r="B14" s="244" t="str">
        <f t="shared" si="2"/>
        <v/>
      </c>
      <c r="C14" s="62" t="str">
        <f t="shared" si="3"/>
        <v/>
      </c>
      <c r="D14" s="246"/>
      <c r="E14" s="247"/>
      <c r="F14" s="247"/>
      <c r="G14" s="248"/>
      <c r="H14" s="241"/>
      <c r="I14" s="249"/>
      <c r="J14" s="250"/>
      <c r="K14" s="251"/>
      <c r="L14" s="252"/>
      <c r="M14" s="249"/>
      <c r="N14" s="250"/>
      <c r="O14" s="251"/>
      <c r="P14" s="252"/>
      <c r="Q14" s="249"/>
      <c r="R14" s="250"/>
      <c r="S14" s="251"/>
      <c r="T14" s="252"/>
      <c r="U14" s="249"/>
      <c r="V14" s="250"/>
      <c r="W14" s="251"/>
      <c r="X14" s="252"/>
      <c r="Y14" s="249"/>
      <c r="Z14" s="250"/>
      <c r="AA14" s="251"/>
      <c r="AB14" s="252"/>
      <c r="AC14" s="249"/>
      <c r="AD14" s="250"/>
      <c r="AE14" s="251"/>
      <c r="AF14" s="252"/>
      <c r="AG14" s="253"/>
      <c r="AH14" s="254"/>
      <c r="AI14" s="255"/>
      <c r="AJ14" s="256"/>
    </row>
    <row r="15" spans="1:36" s="106" customFormat="1" x14ac:dyDescent="0.25">
      <c r="A15" s="107" t="str">
        <f>IF(H15&lt;&gt;"",MAX($A$7:A14)+1,"")</f>
        <v/>
      </c>
      <c r="B15" s="244" t="str">
        <f t="shared" si="2"/>
        <v/>
      </c>
      <c r="C15" s="62" t="str">
        <f t="shared" si="3"/>
        <v/>
      </c>
      <c r="D15" s="246"/>
      <c r="E15" s="247"/>
      <c r="F15" s="247"/>
      <c r="G15" s="248"/>
      <c r="H15" s="241"/>
      <c r="I15" s="249"/>
      <c r="J15" s="250"/>
      <c r="K15" s="251"/>
      <c r="L15" s="252"/>
      <c r="M15" s="249"/>
      <c r="N15" s="250"/>
      <c r="O15" s="251"/>
      <c r="P15" s="252"/>
      <c r="Q15" s="249"/>
      <c r="R15" s="250"/>
      <c r="S15" s="251"/>
      <c r="T15" s="252"/>
      <c r="U15" s="249"/>
      <c r="V15" s="250"/>
      <c r="W15" s="251"/>
      <c r="X15" s="252"/>
      <c r="Y15" s="249"/>
      <c r="Z15" s="250"/>
      <c r="AA15" s="251"/>
      <c r="AB15" s="252"/>
      <c r="AC15" s="249"/>
      <c r="AD15" s="250"/>
      <c r="AE15" s="251"/>
      <c r="AF15" s="252"/>
      <c r="AG15" s="253"/>
      <c r="AH15" s="254"/>
      <c r="AI15" s="255"/>
      <c r="AJ15" s="256"/>
    </row>
    <row r="16" spans="1:36" s="106" customFormat="1" x14ac:dyDescent="0.25">
      <c r="A16" s="107" t="str">
        <f>IF(H16&lt;&gt;"",MAX($A$7:A15)+1,"")</f>
        <v/>
      </c>
      <c r="B16" s="244" t="str">
        <f t="shared" si="2"/>
        <v/>
      </c>
      <c r="C16" s="62" t="str">
        <f t="shared" si="3"/>
        <v/>
      </c>
      <c r="D16" s="246"/>
      <c r="E16" s="247"/>
      <c r="F16" s="247"/>
      <c r="G16" s="248"/>
      <c r="H16" s="241"/>
      <c r="I16" s="249"/>
      <c r="J16" s="250"/>
      <c r="K16" s="251"/>
      <c r="L16" s="252"/>
      <c r="M16" s="249"/>
      <c r="N16" s="250"/>
      <c r="O16" s="251"/>
      <c r="P16" s="252"/>
      <c r="Q16" s="249"/>
      <c r="R16" s="250"/>
      <c r="S16" s="251"/>
      <c r="T16" s="252"/>
      <c r="U16" s="249"/>
      <c r="V16" s="250"/>
      <c r="W16" s="251"/>
      <c r="X16" s="252"/>
      <c r="Y16" s="249"/>
      <c r="Z16" s="250"/>
      <c r="AA16" s="251"/>
      <c r="AB16" s="252"/>
      <c r="AC16" s="249"/>
      <c r="AD16" s="250"/>
      <c r="AE16" s="251"/>
      <c r="AF16" s="252"/>
      <c r="AG16" s="253"/>
      <c r="AH16" s="254"/>
      <c r="AI16" s="255"/>
      <c r="AJ16" s="256"/>
    </row>
    <row r="17" spans="1:36" s="106" customFormat="1" x14ac:dyDescent="0.25">
      <c r="A17" s="107" t="str">
        <f>IF(H17&lt;&gt;"",MAX($A$7:A16)+1,"")</f>
        <v/>
      </c>
      <c r="B17" s="244" t="str">
        <f t="shared" si="2"/>
        <v/>
      </c>
      <c r="C17" s="62" t="str">
        <f t="shared" si="3"/>
        <v/>
      </c>
      <c r="D17" s="246"/>
      <c r="E17" s="247"/>
      <c r="F17" s="247"/>
      <c r="G17" s="248"/>
      <c r="H17" s="241"/>
      <c r="I17" s="249"/>
      <c r="J17" s="250"/>
      <c r="K17" s="251"/>
      <c r="L17" s="252"/>
      <c r="M17" s="249"/>
      <c r="N17" s="250"/>
      <c r="O17" s="251"/>
      <c r="P17" s="252"/>
      <c r="Q17" s="249"/>
      <c r="R17" s="250"/>
      <c r="S17" s="251"/>
      <c r="T17" s="252"/>
      <c r="U17" s="249"/>
      <c r="V17" s="250"/>
      <c r="W17" s="251"/>
      <c r="X17" s="252"/>
      <c r="Y17" s="249"/>
      <c r="Z17" s="250"/>
      <c r="AA17" s="251"/>
      <c r="AB17" s="252"/>
      <c r="AC17" s="249"/>
      <c r="AD17" s="250"/>
      <c r="AE17" s="251"/>
      <c r="AF17" s="252"/>
      <c r="AG17" s="253"/>
      <c r="AH17" s="254"/>
      <c r="AI17" s="255"/>
      <c r="AJ17" s="256"/>
    </row>
    <row r="18" spans="1:36" s="106" customFormat="1" x14ac:dyDescent="0.25">
      <c r="A18" s="107" t="str">
        <f>IF(H18&lt;&gt;"",MAX($A$7:A17)+1,"")</f>
        <v/>
      </c>
      <c r="B18" s="244" t="str">
        <f t="shared" si="2"/>
        <v/>
      </c>
      <c r="C18" s="62" t="str">
        <f t="shared" si="3"/>
        <v/>
      </c>
      <c r="D18" s="246"/>
      <c r="E18" s="247"/>
      <c r="F18" s="247"/>
      <c r="G18" s="248"/>
      <c r="H18" s="241"/>
      <c r="I18" s="249"/>
      <c r="J18" s="250"/>
      <c r="K18" s="251"/>
      <c r="L18" s="252"/>
      <c r="M18" s="249"/>
      <c r="N18" s="250"/>
      <c r="O18" s="251"/>
      <c r="P18" s="252"/>
      <c r="Q18" s="249"/>
      <c r="R18" s="250"/>
      <c r="S18" s="251"/>
      <c r="T18" s="252"/>
      <c r="U18" s="249"/>
      <c r="V18" s="250"/>
      <c r="W18" s="251"/>
      <c r="X18" s="252"/>
      <c r="Y18" s="249"/>
      <c r="Z18" s="250"/>
      <c r="AA18" s="251"/>
      <c r="AB18" s="252"/>
      <c r="AC18" s="249"/>
      <c r="AD18" s="250"/>
      <c r="AE18" s="251"/>
      <c r="AF18" s="252"/>
      <c r="AG18" s="253"/>
      <c r="AH18" s="254"/>
      <c r="AI18" s="255"/>
      <c r="AJ18" s="256"/>
    </row>
    <row r="19" spans="1:36" s="106" customFormat="1" x14ac:dyDescent="0.25">
      <c r="A19" s="107" t="str">
        <f>IF(H19&lt;&gt;"",MAX($A$7:A18)+1,"")</f>
        <v/>
      </c>
      <c r="B19" s="244" t="str">
        <f t="shared" si="2"/>
        <v/>
      </c>
      <c r="C19" s="62" t="str">
        <f t="shared" si="3"/>
        <v/>
      </c>
      <c r="D19" s="246"/>
      <c r="E19" s="247"/>
      <c r="F19" s="247"/>
      <c r="G19" s="248"/>
      <c r="H19" s="241"/>
      <c r="I19" s="249"/>
      <c r="J19" s="250"/>
      <c r="K19" s="251"/>
      <c r="L19" s="252"/>
      <c r="M19" s="249"/>
      <c r="N19" s="250"/>
      <c r="O19" s="251"/>
      <c r="P19" s="252"/>
      <c r="Q19" s="249"/>
      <c r="R19" s="250"/>
      <c r="S19" s="251"/>
      <c r="T19" s="252"/>
      <c r="U19" s="249"/>
      <c r="V19" s="250"/>
      <c r="W19" s="251"/>
      <c r="X19" s="252"/>
      <c r="Y19" s="249"/>
      <c r="Z19" s="250"/>
      <c r="AA19" s="251"/>
      <c r="AB19" s="252"/>
      <c r="AC19" s="249"/>
      <c r="AD19" s="250"/>
      <c r="AE19" s="251"/>
      <c r="AF19" s="252"/>
      <c r="AG19" s="253"/>
      <c r="AH19" s="254"/>
      <c r="AI19" s="255"/>
      <c r="AJ19" s="256"/>
    </row>
    <row r="20" spans="1:36" s="106" customFormat="1" x14ac:dyDescent="0.25">
      <c r="A20" s="107" t="str">
        <f>IF(H20&lt;&gt;"",MAX($A$7:A19)+1,"")</f>
        <v/>
      </c>
      <c r="B20" s="244" t="str">
        <f t="shared" si="2"/>
        <v/>
      </c>
      <c r="C20" s="62" t="str">
        <f t="shared" si="3"/>
        <v/>
      </c>
      <c r="D20" s="246"/>
      <c r="E20" s="247"/>
      <c r="F20" s="247"/>
      <c r="G20" s="248"/>
      <c r="H20" s="241"/>
      <c r="I20" s="249"/>
      <c r="J20" s="250"/>
      <c r="K20" s="251"/>
      <c r="L20" s="252"/>
      <c r="M20" s="249"/>
      <c r="N20" s="250"/>
      <c r="O20" s="251"/>
      <c r="P20" s="252"/>
      <c r="Q20" s="249"/>
      <c r="R20" s="250"/>
      <c r="S20" s="251"/>
      <c r="T20" s="252"/>
      <c r="U20" s="249"/>
      <c r="V20" s="250"/>
      <c r="W20" s="251"/>
      <c r="X20" s="252"/>
      <c r="Y20" s="249"/>
      <c r="Z20" s="250"/>
      <c r="AA20" s="251"/>
      <c r="AB20" s="252"/>
      <c r="AC20" s="249"/>
      <c r="AD20" s="250"/>
      <c r="AE20" s="251"/>
      <c r="AF20" s="252"/>
      <c r="AG20" s="253"/>
      <c r="AH20" s="254"/>
      <c r="AI20" s="255"/>
      <c r="AJ20" s="256"/>
    </row>
    <row r="21" spans="1:36" s="106" customFormat="1" x14ac:dyDescent="0.25">
      <c r="A21" s="107" t="str">
        <f>IF(H21&lt;&gt;"",MAX($A$7:A20)+1,"")</f>
        <v/>
      </c>
      <c r="B21" s="244" t="str">
        <f t="shared" si="2"/>
        <v/>
      </c>
      <c r="C21" s="62" t="str">
        <f t="shared" si="3"/>
        <v/>
      </c>
      <c r="D21" s="246"/>
      <c r="E21" s="247"/>
      <c r="F21" s="247"/>
      <c r="G21" s="248"/>
      <c r="H21" s="241"/>
      <c r="I21" s="249"/>
      <c r="J21" s="250"/>
      <c r="K21" s="251"/>
      <c r="L21" s="252"/>
      <c r="M21" s="249"/>
      <c r="N21" s="250"/>
      <c r="O21" s="251"/>
      <c r="P21" s="252"/>
      <c r="Q21" s="249"/>
      <c r="R21" s="250"/>
      <c r="S21" s="251"/>
      <c r="T21" s="252"/>
      <c r="U21" s="249"/>
      <c r="V21" s="250"/>
      <c r="W21" s="251"/>
      <c r="X21" s="252"/>
      <c r="Y21" s="249"/>
      <c r="Z21" s="250"/>
      <c r="AA21" s="251"/>
      <c r="AB21" s="252"/>
      <c r="AC21" s="249"/>
      <c r="AD21" s="250"/>
      <c r="AE21" s="251"/>
      <c r="AF21" s="252"/>
      <c r="AG21" s="253"/>
      <c r="AH21" s="254"/>
      <c r="AI21" s="255"/>
      <c r="AJ21" s="256"/>
    </row>
    <row r="22" spans="1:36" s="106" customFormat="1" x14ac:dyDescent="0.25">
      <c r="A22" s="107" t="str">
        <f>IF(H22&lt;&gt;"",MAX($A$7:A21)+1,"")</f>
        <v/>
      </c>
      <c r="B22" s="244" t="str">
        <f t="shared" si="2"/>
        <v/>
      </c>
      <c r="C22" s="62" t="str">
        <f t="shared" si="3"/>
        <v/>
      </c>
      <c r="D22" s="246"/>
      <c r="E22" s="247"/>
      <c r="F22" s="247"/>
      <c r="G22" s="248"/>
      <c r="H22" s="241"/>
      <c r="I22" s="249"/>
      <c r="J22" s="250"/>
      <c r="K22" s="251"/>
      <c r="L22" s="252"/>
      <c r="M22" s="249"/>
      <c r="N22" s="250"/>
      <c r="O22" s="251"/>
      <c r="P22" s="252"/>
      <c r="Q22" s="249"/>
      <c r="R22" s="250"/>
      <c r="S22" s="251"/>
      <c r="T22" s="252"/>
      <c r="U22" s="249"/>
      <c r="V22" s="250"/>
      <c r="W22" s="251"/>
      <c r="X22" s="252"/>
      <c r="Y22" s="249"/>
      <c r="Z22" s="250"/>
      <c r="AA22" s="251"/>
      <c r="AB22" s="252"/>
      <c r="AC22" s="249"/>
      <c r="AD22" s="250"/>
      <c r="AE22" s="251"/>
      <c r="AF22" s="252"/>
      <c r="AG22" s="253"/>
      <c r="AH22" s="254"/>
      <c r="AI22" s="255"/>
      <c r="AJ22" s="256"/>
    </row>
    <row r="23" spans="1:36" s="106" customFormat="1" x14ac:dyDescent="0.25">
      <c r="A23" s="107" t="str">
        <f>IF(H23&lt;&gt;"",MAX($A$7:A22)+1,"")</f>
        <v/>
      </c>
      <c r="B23" s="244" t="str">
        <f t="shared" si="2"/>
        <v/>
      </c>
      <c r="C23" s="62" t="str">
        <f t="shared" si="3"/>
        <v/>
      </c>
      <c r="D23" s="246"/>
      <c r="E23" s="247"/>
      <c r="F23" s="247"/>
      <c r="G23" s="248"/>
      <c r="H23" s="241"/>
      <c r="I23" s="249"/>
      <c r="J23" s="250"/>
      <c r="K23" s="251"/>
      <c r="L23" s="252"/>
      <c r="M23" s="249"/>
      <c r="N23" s="250"/>
      <c r="O23" s="251"/>
      <c r="P23" s="252"/>
      <c r="Q23" s="249"/>
      <c r="R23" s="250"/>
      <c r="S23" s="251"/>
      <c r="T23" s="252"/>
      <c r="U23" s="249"/>
      <c r="V23" s="250"/>
      <c r="W23" s="251"/>
      <c r="X23" s="252"/>
      <c r="Y23" s="249"/>
      <c r="Z23" s="250"/>
      <c r="AA23" s="251"/>
      <c r="AB23" s="252"/>
      <c r="AC23" s="249"/>
      <c r="AD23" s="250"/>
      <c r="AE23" s="251"/>
      <c r="AF23" s="252"/>
      <c r="AG23" s="253"/>
      <c r="AH23" s="254"/>
      <c r="AI23" s="255"/>
      <c r="AJ23" s="256"/>
    </row>
    <row r="24" spans="1:36" s="106" customFormat="1" x14ac:dyDescent="0.25">
      <c r="A24" s="107" t="str">
        <f>IF(H24&lt;&gt;"",MAX($A$7:A23)+1,"")</f>
        <v/>
      </c>
      <c r="B24" s="244" t="str">
        <f t="shared" si="2"/>
        <v/>
      </c>
      <c r="C24" s="62" t="str">
        <f t="shared" si="3"/>
        <v/>
      </c>
      <c r="D24" s="246"/>
      <c r="E24" s="247"/>
      <c r="F24" s="247"/>
      <c r="G24" s="248"/>
      <c r="H24" s="241"/>
      <c r="I24" s="249"/>
      <c r="J24" s="250"/>
      <c r="K24" s="251"/>
      <c r="L24" s="252"/>
      <c r="M24" s="249"/>
      <c r="N24" s="250"/>
      <c r="O24" s="251"/>
      <c r="P24" s="252"/>
      <c r="Q24" s="249"/>
      <c r="R24" s="250"/>
      <c r="S24" s="251"/>
      <c r="T24" s="252"/>
      <c r="U24" s="249"/>
      <c r="V24" s="250"/>
      <c r="W24" s="251"/>
      <c r="X24" s="252"/>
      <c r="Y24" s="249"/>
      <c r="Z24" s="250"/>
      <c r="AA24" s="251"/>
      <c r="AB24" s="252"/>
      <c r="AC24" s="249"/>
      <c r="AD24" s="250"/>
      <c r="AE24" s="251"/>
      <c r="AF24" s="252"/>
      <c r="AG24" s="253"/>
      <c r="AH24" s="254"/>
      <c r="AI24" s="255"/>
      <c r="AJ24" s="256"/>
    </row>
    <row r="25" spans="1:36" s="106" customFormat="1" x14ac:dyDescent="0.25">
      <c r="A25" s="107" t="str">
        <f>IF(H25&lt;&gt;"",MAX($A$7:A24)+1,"")</f>
        <v/>
      </c>
      <c r="B25" s="244" t="str">
        <f t="shared" si="2"/>
        <v/>
      </c>
      <c r="C25" s="62" t="str">
        <f t="shared" si="3"/>
        <v/>
      </c>
      <c r="D25" s="246"/>
      <c r="E25" s="247"/>
      <c r="F25" s="247"/>
      <c r="G25" s="248"/>
      <c r="H25" s="241"/>
      <c r="I25" s="249"/>
      <c r="J25" s="250"/>
      <c r="K25" s="251"/>
      <c r="L25" s="252"/>
      <c r="M25" s="249"/>
      <c r="N25" s="250"/>
      <c r="O25" s="251"/>
      <c r="P25" s="252"/>
      <c r="Q25" s="249"/>
      <c r="R25" s="250"/>
      <c r="S25" s="251"/>
      <c r="T25" s="252"/>
      <c r="U25" s="249"/>
      <c r="V25" s="250"/>
      <c r="W25" s="251"/>
      <c r="X25" s="252"/>
      <c r="Y25" s="249"/>
      <c r="Z25" s="250"/>
      <c r="AA25" s="251"/>
      <c r="AB25" s="252"/>
      <c r="AC25" s="249"/>
      <c r="AD25" s="250"/>
      <c r="AE25" s="251"/>
      <c r="AF25" s="252"/>
      <c r="AG25" s="253"/>
      <c r="AH25" s="254"/>
      <c r="AI25" s="255"/>
      <c r="AJ25" s="256"/>
    </row>
    <row r="26" spans="1:36" s="106" customFormat="1" x14ac:dyDescent="0.25">
      <c r="A26" s="107" t="str">
        <f>IF(H26&lt;&gt;"",MAX($A$7:A25)+1,"")</f>
        <v/>
      </c>
      <c r="B26" s="244" t="str">
        <f t="shared" si="2"/>
        <v/>
      </c>
      <c r="C26" s="62" t="str">
        <f t="shared" si="3"/>
        <v/>
      </c>
      <c r="D26" s="246"/>
      <c r="E26" s="247"/>
      <c r="F26" s="247"/>
      <c r="G26" s="248"/>
      <c r="H26" s="241"/>
      <c r="I26" s="249"/>
      <c r="J26" s="250"/>
      <c r="K26" s="251"/>
      <c r="L26" s="252"/>
      <c r="M26" s="249"/>
      <c r="N26" s="250"/>
      <c r="O26" s="251"/>
      <c r="P26" s="252"/>
      <c r="Q26" s="249"/>
      <c r="R26" s="250"/>
      <c r="S26" s="251"/>
      <c r="T26" s="252"/>
      <c r="U26" s="249"/>
      <c r="V26" s="250"/>
      <c r="W26" s="251"/>
      <c r="X26" s="252"/>
      <c r="Y26" s="249"/>
      <c r="Z26" s="250"/>
      <c r="AA26" s="251"/>
      <c r="AB26" s="252"/>
      <c r="AC26" s="249"/>
      <c r="AD26" s="250"/>
      <c r="AE26" s="251"/>
      <c r="AF26" s="252"/>
      <c r="AG26" s="253"/>
      <c r="AH26" s="254"/>
      <c r="AI26" s="255"/>
      <c r="AJ26" s="256"/>
    </row>
    <row r="27" spans="1:36" s="106" customFormat="1" x14ac:dyDescent="0.25">
      <c r="A27" s="107" t="str">
        <f>IF(H27&lt;&gt;"",MAX($A$7:A26)+1,"")</f>
        <v/>
      </c>
      <c r="B27" s="244" t="str">
        <f t="shared" si="2"/>
        <v/>
      </c>
      <c r="C27" s="62" t="str">
        <f t="shared" si="3"/>
        <v/>
      </c>
      <c r="D27" s="246"/>
      <c r="E27" s="247"/>
      <c r="F27" s="247"/>
      <c r="G27" s="248"/>
      <c r="H27" s="241"/>
      <c r="I27" s="249"/>
      <c r="J27" s="250"/>
      <c r="K27" s="251"/>
      <c r="L27" s="252"/>
      <c r="M27" s="249"/>
      <c r="N27" s="250"/>
      <c r="O27" s="251"/>
      <c r="P27" s="252"/>
      <c r="Q27" s="249"/>
      <c r="R27" s="250"/>
      <c r="S27" s="251"/>
      <c r="T27" s="252"/>
      <c r="U27" s="249"/>
      <c r="V27" s="250"/>
      <c r="W27" s="251"/>
      <c r="X27" s="252"/>
      <c r="Y27" s="249"/>
      <c r="Z27" s="250"/>
      <c r="AA27" s="251"/>
      <c r="AB27" s="252"/>
      <c r="AC27" s="249"/>
      <c r="AD27" s="250"/>
      <c r="AE27" s="251"/>
      <c r="AF27" s="252"/>
      <c r="AG27" s="253"/>
      <c r="AH27" s="254"/>
      <c r="AI27" s="255"/>
      <c r="AJ27" s="256"/>
    </row>
    <row r="28" spans="1:36" s="106" customFormat="1" x14ac:dyDescent="0.25">
      <c r="A28" s="107" t="str">
        <f>IF(H28&lt;&gt;"",MAX($A$7:A27)+1,"")</f>
        <v/>
      </c>
      <c r="B28" s="244" t="str">
        <f t="shared" si="2"/>
        <v/>
      </c>
      <c r="C28" s="62" t="str">
        <f t="shared" si="3"/>
        <v/>
      </c>
      <c r="D28" s="246"/>
      <c r="E28" s="247"/>
      <c r="F28" s="247"/>
      <c r="G28" s="248"/>
      <c r="H28" s="241"/>
      <c r="I28" s="249"/>
      <c r="J28" s="250"/>
      <c r="K28" s="251"/>
      <c r="L28" s="252"/>
      <c r="M28" s="249"/>
      <c r="N28" s="250"/>
      <c r="O28" s="251"/>
      <c r="P28" s="252"/>
      <c r="Q28" s="249"/>
      <c r="R28" s="250"/>
      <c r="S28" s="251"/>
      <c r="T28" s="252"/>
      <c r="U28" s="249"/>
      <c r="V28" s="250"/>
      <c r="W28" s="251"/>
      <c r="X28" s="252"/>
      <c r="Y28" s="249"/>
      <c r="Z28" s="250"/>
      <c r="AA28" s="251"/>
      <c r="AB28" s="252"/>
      <c r="AC28" s="249"/>
      <c r="AD28" s="250"/>
      <c r="AE28" s="251"/>
      <c r="AF28" s="252"/>
      <c r="AG28" s="253"/>
      <c r="AH28" s="254"/>
      <c r="AI28" s="255"/>
      <c r="AJ28" s="256"/>
    </row>
    <row r="29" spans="1:36" s="106" customFormat="1" x14ac:dyDescent="0.25">
      <c r="A29" s="107" t="str">
        <f>IF(H29&lt;&gt;"",MAX($A$7:A28)+1,"")</f>
        <v/>
      </c>
      <c r="B29" s="244" t="str">
        <f t="shared" si="2"/>
        <v/>
      </c>
      <c r="C29" s="62" t="str">
        <f t="shared" si="3"/>
        <v/>
      </c>
      <c r="D29" s="246"/>
      <c r="E29" s="247"/>
      <c r="F29" s="247"/>
      <c r="G29" s="248"/>
      <c r="H29" s="241"/>
      <c r="I29" s="249"/>
      <c r="J29" s="250"/>
      <c r="K29" s="251"/>
      <c r="L29" s="252"/>
      <c r="M29" s="249"/>
      <c r="N29" s="250"/>
      <c r="O29" s="251"/>
      <c r="P29" s="252"/>
      <c r="Q29" s="249"/>
      <c r="R29" s="250"/>
      <c r="S29" s="251"/>
      <c r="T29" s="252"/>
      <c r="U29" s="249"/>
      <c r="V29" s="250"/>
      <c r="W29" s="251"/>
      <c r="X29" s="252"/>
      <c r="Y29" s="249"/>
      <c r="Z29" s="250"/>
      <c r="AA29" s="251"/>
      <c r="AB29" s="252"/>
      <c r="AC29" s="249"/>
      <c r="AD29" s="250"/>
      <c r="AE29" s="251"/>
      <c r="AF29" s="252"/>
      <c r="AG29" s="253"/>
      <c r="AH29" s="254"/>
      <c r="AI29" s="255"/>
      <c r="AJ29" s="256"/>
    </row>
    <row r="30" spans="1:36" s="106" customFormat="1" x14ac:dyDescent="0.25">
      <c r="A30" s="107" t="str">
        <f>IF(H30&lt;&gt;"",MAX($A$7:A29)+1,"")</f>
        <v/>
      </c>
      <c r="B30" s="244" t="str">
        <f t="shared" si="2"/>
        <v/>
      </c>
      <c r="C30" s="62" t="str">
        <f t="shared" si="3"/>
        <v/>
      </c>
      <c r="D30" s="246"/>
      <c r="E30" s="247"/>
      <c r="F30" s="247"/>
      <c r="G30" s="248"/>
      <c r="H30" s="241"/>
      <c r="I30" s="249"/>
      <c r="J30" s="250"/>
      <c r="K30" s="251"/>
      <c r="L30" s="252"/>
      <c r="M30" s="249"/>
      <c r="N30" s="250"/>
      <c r="O30" s="251"/>
      <c r="P30" s="252"/>
      <c r="Q30" s="249"/>
      <c r="R30" s="250"/>
      <c r="S30" s="251"/>
      <c r="T30" s="252"/>
      <c r="U30" s="249"/>
      <c r="V30" s="250"/>
      <c r="W30" s="251"/>
      <c r="X30" s="252"/>
      <c r="Y30" s="249"/>
      <c r="Z30" s="250"/>
      <c r="AA30" s="251"/>
      <c r="AB30" s="252"/>
      <c r="AC30" s="249"/>
      <c r="AD30" s="250"/>
      <c r="AE30" s="251"/>
      <c r="AF30" s="252"/>
      <c r="AG30" s="253"/>
      <c r="AH30" s="254"/>
      <c r="AI30" s="255"/>
      <c r="AJ30" s="256"/>
    </row>
    <row r="31" spans="1:36" s="106" customFormat="1" x14ac:dyDescent="0.25">
      <c r="A31" s="107" t="str">
        <f>IF(H31&lt;&gt;"",MAX($A$7:A30)+1,"")</f>
        <v/>
      </c>
      <c r="B31" s="244" t="str">
        <f t="shared" si="2"/>
        <v/>
      </c>
      <c r="C31" s="62" t="str">
        <f t="shared" si="3"/>
        <v/>
      </c>
      <c r="D31" s="246"/>
      <c r="E31" s="247"/>
      <c r="F31" s="247"/>
      <c r="G31" s="248"/>
      <c r="H31" s="241"/>
      <c r="I31" s="249"/>
      <c r="J31" s="250"/>
      <c r="K31" s="251"/>
      <c r="L31" s="252"/>
      <c r="M31" s="249"/>
      <c r="N31" s="250"/>
      <c r="O31" s="251"/>
      <c r="P31" s="252"/>
      <c r="Q31" s="249"/>
      <c r="R31" s="250"/>
      <c r="S31" s="251"/>
      <c r="T31" s="252"/>
      <c r="U31" s="249"/>
      <c r="V31" s="250"/>
      <c r="W31" s="251"/>
      <c r="X31" s="252"/>
      <c r="Y31" s="249"/>
      <c r="Z31" s="250"/>
      <c r="AA31" s="251"/>
      <c r="AB31" s="252"/>
      <c r="AC31" s="249"/>
      <c r="AD31" s="250"/>
      <c r="AE31" s="251"/>
      <c r="AF31" s="252"/>
      <c r="AG31" s="253"/>
      <c r="AH31" s="254"/>
      <c r="AI31" s="255"/>
      <c r="AJ31" s="256"/>
    </row>
    <row r="32" spans="1:36" s="106" customFormat="1" x14ac:dyDescent="0.25">
      <c r="A32" s="107" t="str">
        <f>IF(H32&lt;&gt;"",MAX($A$7:A31)+1,"")</f>
        <v/>
      </c>
      <c r="B32" s="244" t="str">
        <f t="shared" si="2"/>
        <v/>
      </c>
      <c r="C32" s="62" t="str">
        <f t="shared" si="3"/>
        <v/>
      </c>
      <c r="D32" s="246"/>
      <c r="E32" s="247"/>
      <c r="F32" s="247"/>
      <c r="G32" s="248"/>
      <c r="H32" s="241"/>
      <c r="I32" s="249"/>
      <c r="J32" s="250"/>
      <c r="K32" s="251"/>
      <c r="L32" s="252"/>
      <c r="M32" s="249"/>
      <c r="N32" s="250"/>
      <c r="O32" s="251"/>
      <c r="P32" s="252"/>
      <c r="Q32" s="249"/>
      <c r="R32" s="250"/>
      <c r="S32" s="251"/>
      <c r="T32" s="252"/>
      <c r="U32" s="249"/>
      <c r="V32" s="250"/>
      <c r="W32" s="251"/>
      <c r="X32" s="252"/>
      <c r="Y32" s="249"/>
      <c r="Z32" s="250"/>
      <c r="AA32" s="251"/>
      <c r="AB32" s="252"/>
      <c r="AC32" s="249"/>
      <c r="AD32" s="250"/>
      <c r="AE32" s="251"/>
      <c r="AF32" s="252"/>
      <c r="AG32" s="253"/>
      <c r="AH32" s="254"/>
      <c r="AI32" s="255"/>
      <c r="AJ32" s="256"/>
    </row>
    <row r="33" spans="1:36" s="106" customFormat="1" x14ac:dyDescent="0.25">
      <c r="A33" s="107" t="str">
        <f>IF(H33&lt;&gt;"",MAX($A$7:A32)+1,"")</f>
        <v/>
      </c>
      <c r="B33" s="244" t="str">
        <f t="shared" si="2"/>
        <v/>
      </c>
      <c r="C33" s="62" t="str">
        <f t="shared" si="3"/>
        <v/>
      </c>
      <c r="D33" s="246"/>
      <c r="E33" s="247"/>
      <c r="F33" s="247"/>
      <c r="G33" s="248"/>
      <c r="H33" s="241"/>
      <c r="I33" s="249"/>
      <c r="J33" s="250"/>
      <c r="K33" s="251"/>
      <c r="L33" s="252"/>
      <c r="M33" s="249"/>
      <c r="N33" s="250"/>
      <c r="O33" s="251"/>
      <c r="P33" s="252"/>
      <c r="Q33" s="249"/>
      <c r="R33" s="250"/>
      <c r="S33" s="251"/>
      <c r="T33" s="252"/>
      <c r="U33" s="249"/>
      <c r="V33" s="250"/>
      <c r="W33" s="251"/>
      <c r="X33" s="252"/>
      <c r="Y33" s="249"/>
      <c r="Z33" s="250"/>
      <c r="AA33" s="251"/>
      <c r="AB33" s="252"/>
      <c r="AC33" s="249"/>
      <c r="AD33" s="250"/>
      <c r="AE33" s="251"/>
      <c r="AF33" s="252"/>
      <c r="AG33" s="253"/>
      <c r="AH33" s="254"/>
      <c r="AI33" s="255"/>
      <c r="AJ33" s="256"/>
    </row>
    <row r="34" spans="1:36" s="106" customFormat="1" x14ac:dyDescent="0.25">
      <c r="A34" s="107" t="str">
        <f>IF(H34&lt;&gt;"",MAX($A$7:A33)+1,"")</f>
        <v/>
      </c>
      <c r="B34" s="244" t="str">
        <f t="shared" si="2"/>
        <v/>
      </c>
      <c r="C34" s="62" t="str">
        <f t="shared" si="3"/>
        <v/>
      </c>
      <c r="D34" s="246"/>
      <c r="E34" s="247"/>
      <c r="F34" s="247"/>
      <c r="G34" s="248"/>
      <c r="H34" s="241"/>
      <c r="I34" s="249"/>
      <c r="J34" s="250"/>
      <c r="K34" s="251"/>
      <c r="L34" s="252"/>
      <c r="M34" s="249"/>
      <c r="N34" s="250"/>
      <c r="O34" s="251"/>
      <c r="P34" s="252"/>
      <c r="Q34" s="249"/>
      <c r="R34" s="250"/>
      <c r="S34" s="251"/>
      <c r="T34" s="252"/>
      <c r="U34" s="249"/>
      <c r="V34" s="250"/>
      <c r="W34" s="251"/>
      <c r="X34" s="252"/>
      <c r="Y34" s="249"/>
      <c r="Z34" s="250"/>
      <c r="AA34" s="251"/>
      <c r="AB34" s="252"/>
      <c r="AC34" s="249"/>
      <c r="AD34" s="250"/>
      <c r="AE34" s="251"/>
      <c r="AF34" s="252"/>
      <c r="AG34" s="253"/>
      <c r="AH34" s="254"/>
      <c r="AI34" s="255"/>
      <c r="AJ34" s="256"/>
    </row>
    <row r="35" spans="1:36" s="106" customFormat="1" x14ac:dyDescent="0.25">
      <c r="A35" s="107" t="str">
        <f>IF(H35&lt;&gt;"",MAX($A$7:A34)+1,"")</f>
        <v/>
      </c>
      <c r="B35" s="244" t="str">
        <f t="shared" si="2"/>
        <v/>
      </c>
      <c r="C35" s="62" t="str">
        <f t="shared" si="3"/>
        <v/>
      </c>
      <c r="D35" s="246"/>
      <c r="E35" s="247"/>
      <c r="F35" s="247"/>
      <c r="G35" s="248"/>
      <c r="H35" s="241"/>
      <c r="I35" s="249"/>
      <c r="J35" s="250"/>
      <c r="K35" s="251"/>
      <c r="L35" s="252"/>
      <c r="M35" s="249"/>
      <c r="N35" s="250"/>
      <c r="O35" s="251"/>
      <c r="P35" s="252"/>
      <c r="Q35" s="249"/>
      <c r="R35" s="250"/>
      <c r="S35" s="251"/>
      <c r="T35" s="252"/>
      <c r="U35" s="249"/>
      <c r="V35" s="250"/>
      <c r="W35" s="251"/>
      <c r="X35" s="252"/>
      <c r="Y35" s="249"/>
      <c r="Z35" s="250"/>
      <c r="AA35" s="251"/>
      <c r="AB35" s="252"/>
      <c r="AC35" s="249"/>
      <c r="AD35" s="250"/>
      <c r="AE35" s="251"/>
      <c r="AF35" s="252"/>
      <c r="AG35" s="253"/>
      <c r="AH35" s="254"/>
      <c r="AI35" s="255"/>
      <c r="AJ35" s="256"/>
    </row>
    <row r="36" spans="1:36" s="106" customFormat="1" x14ac:dyDescent="0.25">
      <c r="A36" s="107" t="str">
        <f>IF(H36&lt;&gt;"",MAX($A$7:A35)+1,"")</f>
        <v/>
      </c>
      <c r="B36" s="244" t="str">
        <f t="shared" si="2"/>
        <v/>
      </c>
      <c r="C36" s="62" t="str">
        <f t="shared" si="3"/>
        <v/>
      </c>
      <c r="D36" s="246"/>
      <c r="E36" s="247"/>
      <c r="F36" s="247"/>
      <c r="G36" s="248"/>
      <c r="H36" s="241"/>
      <c r="I36" s="249"/>
      <c r="J36" s="250"/>
      <c r="K36" s="251"/>
      <c r="L36" s="252"/>
      <c r="M36" s="249"/>
      <c r="N36" s="250"/>
      <c r="O36" s="251"/>
      <c r="P36" s="252"/>
      <c r="Q36" s="249"/>
      <c r="R36" s="250"/>
      <c r="S36" s="251"/>
      <c r="T36" s="252"/>
      <c r="U36" s="249"/>
      <c r="V36" s="250"/>
      <c r="W36" s="251"/>
      <c r="X36" s="252"/>
      <c r="Y36" s="249"/>
      <c r="Z36" s="250"/>
      <c r="AA36" s="251"/>
      <c r="AB36" s="252"/>
      <c r="AC36" s="249"/>
      <c r="AD36" s="250"/>
      <c r="AE36" s="251"/>
      <c r="AF36" s="252"/>
      <c r="AG36" s="253"/>
      <c r="AH36" s="254"/>
      <c r="AI36" s="255"/>
      <c r="AJ36" s="256"/>
    </row>
    <row r="37" spans="1:36" s="106" customFormat="1" x14ac:dyDescent="0.25">
      <c r="A37" s="107" t="str">
        <f>IF(H37&lt;&gt;"",MAX($A$7:A36)+1,"")</f>
        <v/>
      </c>
      <c r="B37" s="244" t="str">
        <f t="shared" si="2"/>
        <v/>
      </c>
      <c r="C37" s="62" t="str">
        <f t="shared" si="3"/>
        <v/>
      </c>
      <c r="D37" s="246"/>
      <c r="E37" s="247"/>
      <c r="F37" s="247"/>
      <c r="G37" s="248"/>
      <c r="H37" s="241"/>
      <c r="I37" s="249"/>
      <c r="J37" s="250"/>
      <c r="K37" s="251"/>
      <c r="L37" s="252"/>
      <c r="M37" s="249"/>
      <c r="N37" s="250"/>
      <c r="O37" s="251"/>
      <c r="P37" s="252"/>
      <c r="Q37" s="249"/>
      <c r="R37" s="250"/>
      <c r="S37" s="251"/>
      <c r="T37" s="252"/>
      <c r="U37" s="249"/>
      <c r="V37" s="250"/>
      <c r="W37" s="251"/>
      <c r="X37" s="252"/>
      <c r="Y37" s="249"/>
      <c r="Z37" s="250"/>
      <c r="AA37" s="251"/>
      <c r="AB37" s="252"/>
      <c r="AC37" s="249"/>
      <c r="AD37" s="250"/>
      <c r="AE37" s="251"/>
      <c r="AF37" s="252"/>
      <c r="AG37" s="253"/>
      <c r="AH37" s="254"/>
      <c r="AI37" s="255"/>
      <c r="AJ37" s="256"/>
    </row>
    <row r="38" spans="1:36" s="106" customFormat="1" x14ac:dyDescent="0.25">
      <c r="A38" s="107" t="str">
        <f>IF(H38&lt;&gt;"",MAX($A$7:A37)+1,"")</f>
        <v/>
      </c>
      <c r="B38" s="244" t="str">
        <f t="shared" si="2"/>
        <v/>
      </c>
      <c r="C38" s="62" t="str">
        <f t="shared" si="3"/>
        <v/>
      </c>
      <c r="D38" s="246"/>
      <c r="E38" s="247"/>
      <c r="F38" s="247"/>
      <c r="G38" s="248"/>
      <c r="H38" s="241"/>
      <c r="I38" s="249"/>
      <c r="J38" s="250"/>
      <c r="K38" s="251"/>
      <c r="L38" s="252"/>
      <c r="M38" s="249"/>
      <c r="N38" s="250"/>
      <c r="O38" s="251"/>
      <c r="P38" s="252"/>
      <c r="Q38" s="249"/>
      <c r="R38" s="250"/>
      <c r="S38" s="251"/>
      <c r="T38" s="252"/>
      <c r="U38" s="249"/>
      <c r="V38" s="250"/>
      <c r="W38" s="251"/>
      <c r="X38" s="252"/>
      <c r="Y38" s="249"/>
      <c r="Z38" s="250"/>
      <c r="AA38" s="251"/>
      <c r="AB38" s="252"/>
      <c r="AC38" s="249"/>
      <c r="AD38" s="250"/>
      <c r="AE38" s="251"/>
      <c r="AF38" s="252"/>
      <c r="AG38" s="253"/>
      <c r="AH38" s="254"/>
      <c r="AI38" s="255"/>
      <c r="AJ38" s="256"/>
    </row>
    <row r="39" spans="1:36" s="106" customFormat="1" x14ac:dyDescent="0.25">
      <c r="A39" s="107" t="str">
        <f>IF(H39&lt;&gt;"",MAX($A$7:A38)+1,"")</f>
        <v/>
      </c>
      <c r="B39" s="244" t="str">
        <f t="shared" si="2"/>
        <v/>
      </c>
      <c r="C39" s="62" t="str">
        <f t="shared" si="3"/>
        <v/>
      </c>
      <c r="D39" s="246"/>
      <c r="E39" s="247"/>
      <c r="F39" s="247"/>
      <c r="G39" s="248"/>
      <c r="H39" s="241"/>
      <c r="I39" s="249"/>
      <c r="J39" s="250"/>
      <c r="K39" s="251"/>
      <c r="L39" s="252"/>
      <c r="M39" s="249"/>
      <c r="N39" s="250"/>
      <c r="O39" s="251"/>
      <c r="P39" s="252"/>
      <c r="Q39" s="249"/>
      <c r="R39" s="250"/>
      <c r="S39" s="251"/>
      <c r="T39" s="252"/>
      <c r="U39" s="249"/>
      <c r="V39" s="250"/>
      <c r="W39" s="251"/>
      <c r="X39" s="252"/>
      <c r="Y39" s="249"/>
      <c r="Z39" s="250"/>
      <c r="AA39" s="251"/>
      <c r="AB39" s="252"/>
      <c r="AC39" s="249"/>
      <c r="AD39" s="250"/>
      <c r="AE39" s="251"/>
      <c r="AF39" s="252"/>
      <c r="AG39" s="253"/>
      <c r="AH39" s="254"/>
      <c r="AI39" s="255"/>
      <c r="AJ39" s="256"/>
    </row>
    <row r="40" spans="1:36" s="106" customFormat="1" x14ac:dyDescent="0.25">
      <c r="A40" s="107" t="str">
        <f>IF(H40&lt;&gt;"",MAX($A$7:A39)+1,"")</f>
        <v/>
      </c>
      <c r="B40" s="244" t="str">
        <f t="shared" si="2"/>
        <v/>
      </c>
      <c r="C40" s="62" t="str">
        <f t="shared" si="3"/>
        <v/>
      </c>
      <c r="D40" s="246"/>
      <c r="E40" s="247"/>
      <c r="F40" s="247"/>
      <c r="G40" s="248"/>
      <c r="H40" s="241"/>
      <c r="I40" s="249"/>
      <c r="J40" s="250"/>
      <c r="K40" s="251"/>
      <c r="L40" s="252"/>
      <c r="M40" s="249"/>
      <c r="N40" s="250"/>
      <c r="O40" s="251"/>
      <c r="P40" s="252"/>
      <c r="Q40" s="249"/>
      <c r="R40" s="250"/>
      <c r="S40" s="251"/>
      <c r="T40" s="252"/>
      <c r="U40" s="249"/>
      <c r="V40" s="250"/>
      <c r="W40" s="251"/>
      <c r="X40" s="252"/>
      <c r="Y40" s="249"/>
      <c r="Z40" s="250"/>
      <c r="AA40" s="251"/>
      <c r="AB40" s="252"/>
      <c r="AC40" s="249"/>
      <c r="AD40" s="250"/>
      <c r="AE40" s="251"/>
      <c r="AF40" s="252"/>
      <c r="AG40" s="253"/>
      <c r="AH40" s="254"/>
      <c r="AI40" s="255"/>
      <c r="AJ40" s="256"/>
    </row>
    <row r="41" spans="1:36" s="106" customFormat="1" x14ac:dyDescent="0.25">
      <c r="A41" s="107" t="str">
        <f>IF(H41&lt;&gt;"",MAX($A$7:A40)+1,"")</f>
        <v/>
      </c>
      <c r="B41" s="244" t="str">
        <f t="shared" si="2"/>
        <v/>
      </c>
      <c r="C41" s="62" t="str">
        <f t="shared" si="3"/>
        <v/>
      </c>
      <c r="D41" s="246"/>
      <c r="E41" s="247"/>
      <c r="F41" s="247"/>
      <c r="G41" s="248"/>
      <c r="H41" s="241"/>
      <c r="I41" s="249"/>
      <c r="J41" s="250"/>
      <c r="K41" s="251"/>
      <c r="L41" s="252"/>
      <c r="M41" s="249"/>
      <c r="N41" s="250"/>
      <c r="O41" s="251"/>
      <c r="P41" s="252"/>
      <c r="Q41" s="249"/>
      <c r="R41" s="250"/>
      <c r="S41" s="251"/>
      <c r="T41" s="252"/>
      <c r="U41" s="249"/>
      <c r="V41" s="250"/>
      <c r="W41" s="251"/>
      <c r="X41" s="252"/>
      <c r="Y41" s="249"/>
      <c r="Z41" s="250"/>
      <c r="AA41" s="251"/>
      <c r="AB41" s="252"/>
      <c r="AC41" s="249"/>
      <c r="AD41" s="250"/>
      <c r="AE41" s="251"/>
      <c r="AF41" s="252"/>
      <c r="AG41" s="253"/>
      <c r="AH41" s="254"/>
      <c r="AI41" s="255"/>
      <c r="AJ41" s="256"/>
    </row>
    <row r="42" spans="1:36" s="106" customFormat="1" x14ac:dyDescent="0.25">
      <c r="A42" s="107" t="str">
        <f>IF(H42&lt;&gt;"",MAX($A$7:A41)+1,"")</f>
        <v/>
      </c>
      <c r="B42" s="244" t="str">
        <f t="shared" si="2"/>
        <v/>
      </c>
      <c r="C42" s="62" t="str">
        <f t="shared" si="3"/>
        <v/>
      </c>
      <c r="D42" s="246"/>
      <c r="E42" s="247"/>
      <c r="F42" s="247"/>
      <c r="G42" s="248"/>
      <c r="H42" s="241"/>
      <c r="I42" s="249"/>
      <c r="J42" s="250"/>
      <c r="K42" s="251"/>
      <c r="L42" s="252"/>
      <c r="M42" s="249"/>
      <c r="N42" s="250"/>
      <c r="O42" s="251"/>
      <c r="P42" s="252"/>
      <c r="Q42" s="249"/>
      <c r="R42" s="250"/>
      <c r="S42" s="251"/>
      <c r="T42" s="252"/>
      <c r="U42" s="249"/>
      <c r="V42" s="250"/>
      <c r="W42" s="251"/>
      <c r="X42" s="252"/>
      <c r="Y42" s="249"/>
      <c r="Z42" s="250"/>
      <c r="AA42" s="251"/>
      <c r="AB42" s="252"/>
      <c r="AC42" s="249"/>
      <c r="AD42" s="250"/>
      <c r="AE42" s="251"/>
      <c r="AF42" s="252"/>
      <c r="AG42" s="253"/>
      <c r="AH42" s="254"/>
      <c r="AI42" s="255"/>
      <c r="AJ42" s="256"/>
    </row>
    <row r="43" spans="1:36" s="106" customFormat="1" x14ac:dyDescent="0.25">
      <c r="A43" s="107" t="str">
        <f>IF(H43&lt;&gt;"",MAX($A$7:A42)+1,"")</f>
        <v/>
      </c>
      <c r="B43" s="244" t="str">
        <f t="shared" si="2"/>
        <v/>
      </c>
      <c r="C43" s="62" t="str">
        <f t="shared" si="3"/>
        <v/>
      </c>
      <c r="D43" s="246"/>
      <c r="E43" s="247"/>
      <c r="F43" s="247"/>
      <c r="G43" s="248"/>
      <c r="H43" s="241"/>
      <c r="I43" s="249"/>
      <c r="J43" s="250"/>
      <c r="K43" s="251"/>
      <c r="L43" s="252"/>
      <c r="M43" s="249"/>
      <c r="N43" s="250"/>
      <c r="O43" s="251"/>
      <c r="P43" s="252"/>
      <c r="Q43" s="249"/>
      <c r="R43" s="250"/>
      <c r="S43" s="251"/>
      <c r="T43" s="252"/>
      <c r="U43" s="249"/>
      <c r="V43" s="250"/>
      <c r="W43" s="251"/>
      <c r="X43" s="252"/>
      <c r="Y43" s="249"/>
      <c r="Z43" s="250"/>
      <c r="AA43" s="251"/>
      <c r="AB43" s="252"/>
      <c r="AC43" s="249"/>
      <c r="AD43" s="250"/>
      <c r="AE43" s="251"/>
      <c r="AF43" s="252"/>
      <c r="AG43" s="253"/>
      <c r="AH43" s="254"/>
      <c r="AI43" s="255"/>
      <c r="AJ43" s="256"/>
    </row>
    <row r="44" spans="1:36" s="106" customFormat="1" x14ac:dyDescent="0.25">
      <c r="A44" s="107" t="str">
        <f>IF(H44&lt;&gt;"",MAX($A$7:A43)+1,"")</f>
        <v/>
      </c>
      <c r="B44" s="244" t="str">
        <f t="shared" si="2"/>
        <v/>
      </c>
      <c r="C44" s="62" t="str">
        <f t="shared" si="3"/>
        <v/>
      </c>
      <c r="D44" s="246"/>
      <c r="E44" s="247"/>
      <c r="F44" s="247"/>
      <c r="G44" s="248"/>
      <c r="H44" s="241"/>
      <c r="I44" s="249"/>
      <c r="J44" s="250"/>
      <c r="K44" s="251"/>
      <c r="L44" s="252"/>
      <c r="M44" s="249"/>
      <c r="N44" s="250"/>
      <c r="O44" s="251"/>
      <c r="P44" s="252"/>
      <c r="Q44" s="249"/>
      <c r="R44" s="250"/>
      <c r="S44" s="251"/>
      <c r="T44" s="252"/>
      <c r="U44" s="249"/>
      <c r="V44" s="250"/>
      <c r="W44" s="251"/>
      <c r="X44" s="252"/>
      <c r="Y44" s="249"/>
      <c r="Z44" s="250"/>
      <c r="AA44" s="251"/>
      <c r="AB44" s="252"/>
      <c r="AC44" s="249"/>
      <c r="AD44" s="250"/>
      <c r="AE44" s="251"/>
      <c r="AF44" s="252"/>
      <c r="AG44" s="253"/>
      <c r="AH44" s="254"/>
      <c r="AI44" s="255"/>
      <c r="AJ44" s="256"/>
    </row>
    <row r="45" spans="1:36" s="106" customFormat="1" x14ac:dyDescent="0.25">
      <c r="A45" s="107" t="str">
        <f>IF(H45&lt;&gt;"",MAX($A$7:A44)+1,"")</f>
        <v/>
      </c>
      <c r="B45" s="244" t="str">
        <f t="shared" si="2"/>
        <v/>
      </c>
      <c r="C45" s="62" t="str">
        <f t="shared" si="3"/>
        <v/>
      </c>
      <c r="D45" s="246"/>
      <c r="E45" s="247"/>
      <c r="F45" s="247"/>
      <c r="G45" s="248"/>
      <c r="H45" s="241"/>
      <c r="I45" s="249"/>
      <c r="J45" s="250"/>
      <c r="K45" s="251"/>
      <c r="L45" s="252"/>
      <c r="M45" s="249"/>
      <c r="N45" s="250"/>
      <c r="O45" s="251"/>
      <c r="P45" s="252"/>
      <c r="Q45" s="249"/>
      <c r="R45" s="250"/>
      <c r="S45" s="251"/>
      <c r="T45" s="252"/>
      <c r="U45" s="249"/>
      <c r="V45" s="250"/>
      <c r="W45" s="251"/>
      <c r="X45" s="252"/>
      <c r="Y45" s="249"/>
      <c r="Z45" s="250"/>
      <c r="AA45" s="251"/>
      <c r="AB45" s="252"/>
      <c r="AC45" s="249"/>
      <c r="AD45" s="250"/>
      <c r="AE45" s="251"/>
      <c r="AF45" s="252"/>
      <c r="AG45" s="253"/>
      <c r="AH45" s="254"/>
      <c r="AI45" s="255"/>
      <c r="AJ45" s="256"/>
    </row>
    <row r="46" spans="1:36" s="106" customFormat="1" x14ac:dyDescent="0.25">
      <c r="A46" s="107" t="str">
        <f>IF(H46&lt;&gt;"",MAX($A$7:A45)+1,"")</f>
        <v/>
      </c>
      <c r="B46" s="244" t="str">
        <f t="shared" si="2"/>
        <v/>
      </c>
      <c r="C46" s="62" t="str">
        <f t="shared" si="3"/>
        <v/>
      </c>
      <c r="D46" s="246"/>
      <c r="E46" s="247"/>
      <c r="F46" s="247"/>
      <c r="G46" s="248"/>
      <c r="H46" s="241"/>
      <c r="I46" s="249"/>
      <c r="J46" s="250"/>
      <c r="K46" s="251"/>
      <c r="L46" s="252"/>
      <c r="M46" s="249"/>
      <c r="N46" s="250"/>
      <c r="O46" s="251"/>
      <c r="P46" s="252"/>
      <c r="Q46" s="249"/>
      <c r="R46" s="250"/>
      <c r="S46" s="251"/>
      <c r="T46" s="252"/>
      <c r="U46" s="249"/>
      <c r="V46" s="250"/>
      <c r="W46" s="251"/>
      <c r="X46" s="252"/>
      <c r="Y46" s="249"/>
      <c r="Z46" s="250"/>
      <c r="AA46" s="251"/>
      <c r="AB46" s="252"/>
      <c r="AC46" s="249"/>
      <c r="AD46" s="250"/>
      <c r="AE46" s="251"/>
      <c r="AF46" s="252"/>
      <c r="AG46" s="253"/>
      <c r="AH46" s="254"/>
      <c r="AI46" s="255"/>
      <c r="AJ46" s="256"/>
    </row>
    <row r="47" spans="1:36" s="106" customFormat="1" x14ac:dyDescent="0.25">
      <c r="A47" s="107" t="str">
        <f>IF(H47&lt;&gt;"",MAX($A$7:A46)+1,"")</f>
        <v/>
      </c>
      <c r="B47" s="244" t="str">
        <f t="shared" si="2"/>
        <v/>
      </c>
      <c r="C47" s="62" t="str">
        <f t="shared" si="3"/>
        <v/>
      </c>
      <c r="D47" s="246"/>
      <c r="E47" s="247"/>
      <c r="F47" s="247"/>
      <c r="G47" s="248"/>
      <c r="H47" s="241"/>
      <c r="I47" s="249"/>
      <c r="J47" s="250"/>
      <c r="K47" s="251"/>
      <c r="L47" s="252"/>
      <c r="M47" s="249"/>
      <c r="N47" s="250"/>
      <c r="O47" s="251"/>
      <c r="P47" s="252"/>
      <c r="Q47" s="249"/>
      <c r="R47" s="250"/>
      <c r="S47" s="251"/>
      <c r="T47" s="252"/>
      <c r="U47" s="249"/>
      <c r="V47" s="250"/>
      <c r="W47" s="251"/>
      <c r="X47" s="252"/>
      <c r="Y47" s="249"/>
      <c r="Z47" s="250"/>
      <c r="AA47" s="251"/>
      <c r="AB47" s="252"/>
      <c r="AC47" s="249"/>
      <c r="AD47" s="250"/>
      <c r="AE47" s="251"/>
      <c r="AF47" s="252"/>
      <c r="AG47" s="253"/>
      <c r="AH47" s="254"/>
      <c r="AI47" s="255"/>
      <c r="AJ47" s="256"/>
    </row>
    <row r="48" spans="1:36" s="106" customFormat="1" x14ac:dyDescent="0.25">
      <c r="A48" s="107" t="str">
        <f>IF(H48&lt;&gt;"",MAX($A$7:A47)+1,"")</f>
        <v/>
      </c>
      <c r="B48" s="244" t="str">
        <f t="shared" si="2"/>
        <v/>
      </c>
      <c r="C48" s="62" t="str">
        <f t="shared" si="3"/>
        <v/>
      </c>
      <c r="D48" s="246"/>
      <c r="E48" s="247"/>
      <c r="F48" s="247"/>
      <c r="G48" s="248"/>
      <c r="H48" s="241"/>
      <c r="I48" s="249"/>
      <c r="J48" s="250"/>
      <c r="K48" s="251"/>
      <c r="L48" s="252"/>
      <c r="M48" s="249"/>
      <c r="N48" s="250"/>
      <c r="O48" s="251"/>
      <c r="P48" s="252"/>
      <c r="Q48" s="249"/>
      <c r="R48" s="250"/>
      <c r="S48" s="251"/>
      <c r="T48" s="252"/>
      <c r="U48" s="249"/>
      <c r="V48" s="250"/>
      <c r="W48" s="251"/>
      <c r="X48" s="252"/>
      <c r="Y48" s="249"/>
      <c r="Z48" s="250"/>
      <c r="AA48" s="251"/>
      <c r="AB48" s="252"/>
      <c r="AC48" s="249"/>
      <c r="AD48" s="250"/>
      <c r="AE48" s="251"/>
      <c r="AF48" s="252"/>
      <c r="AG48" s="253"/>
      <c r="AH48" s="254"/>
      <c r="AI48" s="255"/>
      <c r="AJ48" s="256"/>
    </row>
    <row r="49" spans="1:36" s="106" customFormat="1" x14ac:dyDescent="0.25">
      <c r="A49" s="107" t="str">
        <f>IF(H49&lt;&gt;"",MAX($A$7:A48)+1,"")</f>
        <v/>
      </c>
      <c r="B49" s="244" t="str">
        <f t="shared" si="2"/>
        <v/>
      </c>
      <c r="C49" s="62" t="str">
        <f t="shared" si="3"/>
        <v/>
      </c>
      <c r="D49" s="246"/>
      <c r="E49" s="247"/>
      <c r="F49" s="247"/>
      <c r="G49" s="248"/>
      <c r="H49" s="241"/>
      <c r="I49" s="249"/>
      <c r="J49" s="250"/>
      <c r="K49" s="251"/>
      <c r="L49" s="252"/>
      <c r="M49" s="249"/>
      <c r="N49" s="250"/>
      <c r="O49" s="251"/>
      <c r="P49" s="252"/>
      <c r="Q49" s="249"/>
      <c r="R49" s="250"/>
      <c r="S49" s="251"/>
      <c r="T49" s="252"/>
      <c r="U49" s="249"/>
      <c r="V49" s="250"/>
      <c r="W49" s="251"/>
      <c r="X49" s="252"/>
      <c r="Y49" s="249"/>
      <c r="Z49" s="250"/>
      <c r="AA49" s="251"/>
      <c r="AB49" s="252"/>
      <c r="AC49" s="249"/>
      <c r="AD49" s="250"/>
      <c r="AE49" s="251"/>
      <c r="AF49" s="252"/>
      <c r="AG49" s="253"/>
      <c r="AH49" s="254"/>
      <c r="AI49" s="255"/>
      <c r="AJ49" s="256"/>
    </row>
    <row r="50" spans="1:36" s="106" customFormat="1" x14ac:dyDescent="0.25">
      <c r="A50" s="107" t="str">
        <f>IF(H50&lt;&gt;"",MAX($A$7:A49)+1,"")</f>
        <v/>
      </c>
      <c r="B50" s="244" t="str">
        <f t="shared" si="2"/>
        <v/>
      </c>
      <c r="C50" s="62" t="str">
        <f t="shared" si="3"/>
        <v/>
      </c>
      <c r="D50" s="246"/>
      <c r="E50" s="247"/>
      <c r="F50" s="247"/>
      <c r="G50" s="248"/>
      <c r="H50" s="241"/>
      <c r="I50" s="249"/>
      <c r="J50" s="250"/>
      <c r="K50" s="251"/>
      <c r="L50" s="252"/>
      <c r="M50" s="249"/>
      <c r="N50" s="250"/>
      <c r="O50" s="251"/>
      <c r="P50" s="252"/>
      <c r="Q50" s="249"/>
      <c r="R50" s="250"/>
      <c r="S50" s="251"/>
      <c r="T50" s="252"/>
      <c r="U50" s="249"/>
      <c r="V50" s="250"/>
      <c r="W50" s="251"/>
      <c r="X50" s="252"/>
      <c r="Y50" s="249"/>
      <c r="Z50" s="250"/>
      <c r="AA50" s="251"/>
      <c r="AB50" s="252"/>
      <c r="AC50" s="249"/>
      <c r="AD50" s="250"/>
      <c r="AE50" s="251"/>
      <c r="AF50" s="252"/>
      <c r="AG50" s="253"/>
      <c r="AH50" s="254"/>
      <c r="AI50" s="255"/>
      <c r="AJ50" s="256"/>
    </row>
    <row r="51" spans="1:36" s="106" customFormat="1" x14ac:dyDescent="0.25">
      <c r="A51" s="107" t="str">
        <f>IF(H51&lt;&gt;"",MAX($A$7:A50)+1,"")</f>
        <v/>
      </c>
      <c r="B51" s="244" t="str">
        <f t="shared" si="2"/>
        <v/>
      </c>
      <c r="C51" s="62" t="str">
        <f t="shared" si="3"/>
        <v/>
      </c>
      <c r="D51" s="246"/>
      <c r="E51" s="247"/>
      <c r="F51" s="247"/>
      <c r="G51" s="248"/>
      <c r="H51" s="241"/>
      <c r="I51" s="249"/>
      <c r="J51" s="250"/>
      <c r="K51" s="251"/>
      <c r="L51" s="252"/>
      <c r="M51" s="249"/>
      <c r="N51" s="250"/>
      <c r="O51" s="251"/>
      <c r="P51" s="252"/>
      <c r="Q51" s="249"/>
      <c r="R51" s="250"/>
      <c r="S51" s="251"/>
      <c r="T51" s="252"/>
      <c r="U51" s="249"/>
      <c r="V51" s="250"/>
      <c r="W51" s="251"/>
      <c r="X51" s="252"/>
      <c r="Y51" s="249"/>
      <c r="Z51" s="250"/>
      <c r="AA51" s="251"/>
      <c r="AB51" s="252"/>
      <c r="AC51" s="249"/>
      <c r="AD51" s="250"/>
      <c r="AE51" s="251"/>
      <c r="AF51" s="252"/>
      <c r="AG51" s="253"/>
      <c r="AH51" s="254"/>
      <c r="AI51" s="255"/>
      <c r="AJ51" s="256"/>
    </row>
    <row r="52" spans="1:36" s="106" customFormat="1" x14ac:dyDescent="0.25">
      <c r="A52" s="107" t="str">
        <f>IF(H52&lt;&gt;"",MAX($A$7:A51)+1,"")</f>
        <v/>
      </c>
      <c r="B52" s="244" t="str">
        <f t="shared" si="2"/>
        <v/>
      </c>
      <c r="C52" s="62" t="str">
        <f t="shared" si="3"/>
        <v/>
      </c>
      <c r="D52" s="246"/>
      <c r="E52" s="247"/>
      <c r="F52" s="247"/>
      <c r="G52" s="248"/>
      <c r="H52" s="241"/>
      <c r="I52" s="249"/>
      <c r="J52" s="250"/>
      <c r="K52" s="251"/>
      <c r="L52" s="252"/>
      <c r="M52" s="249"/>
      <c r="N52" s="250"/>
      <c r="O52" s="251"/>
      <c r="P52" s="252"/>
      <c r="Q52" s="249"/>
      <c r="R52" s="250"/>
      <c r="S52" s="251"/>
      <c r="T52" s="252"/>
      <c r="U52" s="249"/>
      <c r="V52" s="250"/>
      <c r="W52" s="251"/>
      <c r="X52" s="252"/>
      <c r="Y52" s="249"/>
      <c r="Z52" s="250"/>
      <c r="AA52" s="251"/>
      <c r="AB52" s="252"/>
      <c r="AC52" s="249"/>
      <c r="AD52" s="250"/>
      <c r="AE52" s="251"/>
      <c r="AF52" s="252"/>
      <c r="AG52" s="253"/>
      <c r="AH52" s="254"/>
      <c r="AI52" s="255"/>
      <c r="AJ52" s="256"/>
    </row>
    <row r="53" spans="1:36" s="106" customFormat="1" x14ac:dyDescent="0.25">
      <c r="A53" s="107" t="str">
        <f>IF(H53&lt;&gt;"",MAX($A$7:A52)+1,"")</f>
        <v/>
      </c>
      <c r="B53" s="244" t="str">
        <f t="shared" si="2"/>
        <v/>
      </c>
      <c r="C53" s="62" t="str">
        <f t="shared" si="3"/>
        <v/>
      </c>
      <c r="D53" s="246"/>
      <c r="E53" s="247"/>
      <c r="F53" s="247"/>
      <c r="G53" s="248"/>
      <c r="H53" s="241"/>
      <c r="I53" s="249"/>
      <c r="J53" s="250"/>
      <c r="K53" s="251"/>
      <c r="L53" s="252"/>
      <c r="M53" s="249"/>
      <c r="N53" s="250"/>
      <c r="O53" s="251"/>
      <c r="P53" s="252"/>
      <c r="Q53" s="249"/>
      <c r="R53" s="250"/>
      <c r="S53" s="251"/>
      <c r="T53" s="252"/>
      <c r="U53" s="249"/>
      <c r="V53" s="250"/>
      <c r="W53" s="251"/>
      <c r="X53" s="252"/>
      <c r="Y53" s="249"/>
      <c r="Z53" s="250"/>
      <c r="AA53" s="251"/>
      <c r="AB53" s="252"/>
      <c r="AC53" s="249"/>
      <c r="AD53" s="250"/>
      <c r="AE53" s="251"/>
      <c r="AF53" s="252"/>
      <c r="AG53" s="253"/>
      <c r="AH53" s="254"/>
      <c r="AI53" s="255"/>
      <c r="AJ53" s="256"/>
    </row>
    <row r="54" spans="1:36" s="106" customFormat="1" x14ac:dyDescent="0.25">
      <c r="A54" s="107" t="str">
        <f>IF(H54&lt;&gt;"",MAX($A$7:A53)+1,"")</f>
        <v/>
      </c>
      <c r="B54" s="244" t="str">
        <f t="shared" si="2"/>
        <v/>
      </c>
      <c r="C54" s="62" t="str">
        <f t="shared" si="3"/>
        <v/>
      </c>
      <c r="D54" s="246"/>
      <c r="E54" s="247"/>
      <c r="F54" s="247"/>
      <c r="G54" s="248"/>
      <c r="H54" s="241"/>
      <c r="I54" s="249"/>
      <c r="J54" s="250"/>
      <c r="K54" s="251"/>
      <c r="L54" s="252"/>
      <c r="M54" s="249"/>
      <c r="N54" s="250"/>
      <c r="O54" s="251"/>
      <c r="P54" s="252"/>
      <c r="Q54" s="249"/>
      <c r="R54" s="250"/>
      <c r="S54" s="251"/>
      <c r="T54" s="252"/>
      <c r="U54" s="249"/>
      <c r="V54" s="250"/>
      <c r="W54" s="251"/>
      <c r="X54" s="252"/>
      <c r="Y54" s="249"/>
      <c r="Z54" s="250"/>
      <c r="AA54" s="251"/>
      <c r="AB54" s="252"/>
      <c r="AC54" s="249"/>
      <c r="AD54" s="250"/>
      <c r="AE54" s="251"/>
      <c r="AF54" s="252"/>
      <c r="AG54" s="253"/>
      <c r="AH54" s="254"/>
      <c r="AI54" s="255"/>
      <c r="AJ54" s="256"/>
    </row>
    <row r="55" spans="1:36" s="106" customFormat="1" x14ac:dyDescent="0.25">
      <c r="A55" s="107" t="str">
        <f>IF(H55&lt;&gt;"",MAX($A$7:A54)+1,"")</f>
        <v/>
      </c>
      <c r="B55" s="244" t="str">
        <f t="shared" si="2"/>
        <v/>
      </c>
      <c r="C55" s="62" t="str">
        <f t="shared" si="3"/>
        <v/>
      </c>
      <c r="D55" s="246"/>
      <c r="E55" s="247"/>
      <c r="F55" s="247"/>
      <c r="G55" s="248"/>
      <c r="H55" s="241"/>
      <c r="I55" s="249"/>
      <c r="J55" s="250"/>
      <c r="K55" s="251"/>
      <c r="L55" s="252"/>
      <c r="M55" s="249"/>
      <c r="N55" s="250"/>
      <c r="O55" s="251"/>
      <c r="P55" s="252"/>
      <c r="Q55" s="249"/>
      <c r="R55" s="250"/>
      <c r="S55" s="251"/>
      <c r="T55" s="252"/>
      <c r="U55" s="249"/>
      <c r="V55" s="250"/>
      <c r="W55" s="251"/>
      <c r="X55" s="252"/>
      <c r="Y55" s="249"/>
      <c r="Z55" s="250"/>
      <c r="AA55" s="251"/>
      <c r="AB55" s="252"/>
      <c r="AC55" s="249"/>
      <c r="AD55" s="250"/>
      <c r="AE55" s="251"/>
      <c r="AF55" s="252"/>
      <c r="AG55" s="253"/>
      <c r="AH55" s="254"/>
      <c r="AI55" s="255"/>
      <c r="AJ55" s="256"/>
    </row>
    <row r="56" spans="1:36" s="106" customFormat="1" x14ac:dyDescent="0.25">
      <c r="A56" s="107" t="str">
        <f>IF(H56&lt;&gt;"",MAX($A$7:A55)+1,"")</f>
        <v/>
      </c>
      <c r="B56" s="244" t="str">
        <f t="shared" si="2"/>
        <v/>
      </c>
      <c r="C56" s="62" t="str">
        <f t="shared" si="3"/>
        <v/>
      </c>
      <c r="D56" s="246"/>
      <c r="E56" s="247"/>
      <c r="F56" s="247"/>
      <c r="G56" s="248"/>
      <c r="H56" s="241"/>
      <c r="I56" s="249"/>
      <c r="J56" s="250"/>
      <c r="K56" s="251"/>
      <c r="L56" s="252"/>
      <c r="M56" s="249"/>
      <c r="N56" s="250"/>
      <c r="O56" s="251"/>
      <c r="P56" s="252"/>
      <c r="Q56" s="249"/>
      <c r="R56" s="250"/>
      <c r="S56" s="251"/>
      <c r="T56" s="252"/>
      <c r="U56" s="249"/>
      <c r="V56" s="250"/>
      <c r="W56" s="251"/>
      <c r="X56" s="252"/>
      <c r="Y56" s="249"/>
      <c r="Z56" s="250"/>
      <c r="AA56" s="251"/>
      <c r="AB56" s="252"/>
      <c r="AC56" s="249"/>
      <c r="AD56" s="250"/>
      <c r="AE56" s="251"/>
      <c r="AF56" s="252"/>
      <c r="AG56" s="253"/>
      <c r="AH56" s="254"/>
      <c r="AI56" s="255"/>
      <c r="AJ56" s="256"/>
    </row>
    <row r="57" spans="1:36" s="106" customFormat="1" x14ac:dyDescent="0.25">
      <c r="A57" s="107" t="str">
        <f>IF(H57&lt;&gt;"",MAX($A$7:A56)+1,"")</f>
        <v/>
      </c>
      <c r="B57" s="244" t="str">
        <f t="shared" si="2"/>
        <v/>
      </c>
      <c r="C57" s="62" t="str">
        <f t="shared" si="3"/>
        <v/>
      </c>
      <c r="D57" s="246"/>
      <c r="E57" s="247"/>
      <c r="F57" s="247"/>
      <c r="G57" s="248"/>
      <c r="H57" s="241"/>
      <c r="I57" s="249"/>
      <c r="J57" s="250"/>
      <c r="K57" s="251"/>
      <c r="L57" s="252"/>
      <c r="M57" s="249"/>
      <c r="N57" s="250"/>
      <c r="O57" s="251"/>
      <c r="P57" s="252"/>
      <c r="Q57" s="249"/>
      <c r="R57" s="250"/>
      <c r="S57" s="251"/>
      <c r="T57" s="252"/>
      <c r="U57" s="249"/>
      <c r="V57" s="250"/>
      <c r="W57" s="251"/>
      <c r="X57" s="252"/>
      <c r="Y57" s="249"/>
      <c r="Z57" s="250"/>
      <c r="AA57" s="251"/>
      <c r="AB57" s="252"/>
      <c r="AC57" s="249"/>
      <c r="AD57" s="250"/>
      <c r="AE57" s="251"/>
      <c r="AF57" s="252"/>
      <c r="AG57" s="253"/>
      <c r="AH57" s="254"/>
      <c r="AI57" s="255"/>
      <c r="AJ57" s="256"/>
    </row>
    <row r="58" spans="1:36" s="106" customFormat="1" x14ac:dyDescent="0.25">
      <c r="A58" s="107" t="str">
        <f>IF(H58&lt;&gt;"",MAX($A$7:A57)+1,"")</f>
        <v/>
      </c>
      <c r="B58" s="244" t="str">
        <f t="shared" si="2"/>
        <v/>
      </c>
      <c r="C58" s="62" t="str">
        <f t="shared" si="3"/>
        <v/>
      </c>
      <c r="D58" s="246"/>
      <c r="E58" s="247"/>
      <c r="F58" s="247"/>
      <c r="G58" s="248"/>
      <c r="H58" s="241"/>
      <c r="I58" s="249"/>
      <c r="J58" s="250"/>
      <c r="K58" s="251"/>
      <c r="L58" s="252"/>
      <c r="M58" s="249"/>
      <c r="N58" s="250"/>
      <c r="O58" s="251"/>
      <c r="P58" s="252"/>
      <c r="Q58" s="249"/>
      <c r="R58" s="250"/>
      <c r="S58" s="251"/>
      <c r="T58" s="252"/>
      <c r="U58" s="249"/>
      <c r="V58" s="250"/>
      <c r="W58" s="251"/>
      <c r="X58" s="252"/>
      <c r="Y58" s="249"/>
      <c r="Z58" s="250"/>
      <c r="AA58" s="251"/>
      <c r="AB58" s="252"/>
      <c r="AC58" s="249"/>
      <c r="AD58" s="250"/>
      <c r="AE58" s="251"/>
      <c r="AF58" s="252"/>
      <c r="AG58" s="253"/>
      <c r="AH58" s="254"/>
      <c r="AI58" s="255"/>
      <c r="AJ58" s="256"/>
    </row>
    <row r="59" spans="1:36" s="106" customFormat="1" x14ac:dyDescent="0.25">
      <c r="A59" s="107" t="str">
        <f>IF(H59&lt;&gt;"",MAX($A$7:A58)+1,"")</f>
        <v/>
      </c>
      <c r="B59" s="244" t="str">
        <f t="shared" si="2"/>
        <v/>
      </c>
      <c r="C59" s="62" t="str">
        <f t="shared" si="3"/>
        <v/>
      </c>
      <c r="D59" s="246"/>
      <c r="E59" s="247"/>
      <c r="F59" s="247"/>
      <c r="G59" s="248"/>
      <c r="H59" s="241"/>
      <c r="I59" s="249"/>
      <c r="J59" s="250"/>
      <c r="K59" s="251"/>
      <c r="L59" s="252"/>
      <c r="M59" s="249"/>
      <c r="N59" s="250"/>
      <c r="O59" s="251"/>
      <c r="P59" s="252"/>
      <c r="Q59" s="249"/>
      <c r="R59" s="250"/>
      <c r="S59" s="251"/>
      <c r="T59" s="252"/>
      <c r="U59" s="249"/>
      <c r="V59" s="250"/>
      <c r="W59" s="251"/>
      <c r="X59" s="252"/>
      <c r="Y59" s="249"/>
      <c r="Z59" s="250"/>
      <c r="AA59" s="251"/>
      <c r="AB59" s="252"/>
      <c r="AC59" s="249"/>
      <c r="AD59" s="250"/>
      <c r="AE59" s="251"/>
      <c r="AF59" s="252"/>
      <c r="AG59" s="253"/>
      <c r="AH59" s="254"/>
      <c r="AI59" s="255"/>
      <c r="AJ59" s="256"/>
    </row>
    <row r="60" spans="1:36" s="106" customFormat="1" x14ac:dyDescent="0.25">
      <c r="A60" s="107" t="str">
        <f>IF(H60&lt;&gt;"",MAX($A$7:A59)+1,"")</f>
        <v/>
      </c>
      <c r="B60" s="244" t="str">
        <f t="shared" si="2"/>
        <v/>
      </c>
      <c r="C60" s="62" t="str">
        <f t="shared" si="3"/>
        <v/>
      </c>
      <c r="D60" s="246"/>
      <c r="E60" s="247"/>
      <c r="F60" s="247"/>
      <c r="G60" s="248"/>
      <c r="H60" s="241"/>
      <c r="I60" s="249"/>
      <c r="J60" s="250"/>
      <c r="K60" s="251"/>
      <c r="L60" s="252"/>
      <c r="M60" s="249"/>
      <c r="N60" s="250"/>
      <c r="O60" s="251"/>
      <c r="P60" s="252"/>
      <c r="Q60" s="249"/>
      <c r="R60" s="250"/>
      <c r="S60" s="251"/>
      <c r="T60" s="252"/>
      <c r="U60" s="249"/>
      <c r="V60" s="250"/>
      <c r="W60" s="251"/>
      <c r="X60" s="252"/>
      <c r="Y60" s="249"/>
      <c r="Z60" s="250"/>
      <c r="AA60" s="251"/>
      <c r="AB60" s="252"/>
      <c r="AC60" s="249"/>
      <c r="AD60" s="250"/>
      <c r="AE60" s="251"/>
      <c r="AF60" s="252"/>
      <c r="AG60" s="253"/>
      <c r="AH60" s="254"/>
      <c r="AI60" s="255"/>
      <c r="AJ60" s="256"/>
    </row>
    <row r="61" spans="1:36" s="106" customFormat="1" x14ac:dyDescent="0.25">
      <c r="A61" s="107" t="str">
        <f>IF(H61&lt;&gt;"",MAX($A$7:A60)+1,"")</f>
        <v/>
      </c>
      <c r="B61" s="244" t="str">
        <f t="shared" si="2"/>
        <v/>
      </c>
      <c r="C61" s="62" t="str">
        <f t="shared" si="3"/>
        <v/>
      </c>
      <c r="D61" s="246"/>
      <c r="E61" s="247"/>
      <c r="F61" s="247"/>
      <c r="G61" s="248"/>
      <c r="H61" s="241"/>
      <c r="I61" s="249"/>
      <c r="J61" s="250"/>
      <c r="K61" s="251"/>
      <c r="L61" s="252"/>
      <c r="M61" s="249"/>
      <c r="N61" s="250"/>
      <c r="O61" s="251"/>
      <c r="P61" s="252"/>
      <c r="Q61" s="249"/>
      <c r="R61" s="250"/>
      <c r="S61" s="251"/>
      <c r="T61" s="252"/>
      <c r="U61" s="249"/>
      <c r="V61" s="250"/>
      <c r="W61" s="251"/>
      <c r="X61" s="252"/>
      <c r="Y61" s="249"/>
      <c r="Z61" s="250"/>
      <c r="AA61" s="251"/>
      <c r="AB61" s="252"/>
      <c r="AC61" s="249"/>
      <c r="AD61" s="250"/>
      <c r="AE61" s="251"/>
      <c r="AF61" s="252"/>
      <c r="AG61" s="253"/>
      <c r="AH61" s="254"/>
      <c r="AI61" s="255"/>
      <c r="AJ61" s="256"/>
    </row>
    <row r="62" spans="1:36" s="106" customFormat="1" x14ac:dyDescent="0.25">
      <c r="A62" s="107" t="str">
        <f>IF(H62&lt;&gt;"",MAX($A$7:A61)+1,"")</f>
        <v/>
      </c>
      <c r="B62" s="244" t="str">
        <f t="shared" si="2"/>
        <v/>
      </c>
      <c r="C62" s="62" t="str">
        <f t="shared" si="3"/>
        <v/>
      </c>
      <c r="D62" s="246"/>
      <c r="E62" s="247"/>
      <c r="F62" s="247"/>
      <c r="G62" s="248"/>
      <c r="H62" s="241"/>
      <c r="I62" s="249"/>
      <c r="J62" s="250"/>
      <c r="K62" s="251"/>
      <c r="L62" s="252"/>
      <c r="M62" s="249"/>
      <c r="N62" s="250"/>
      <c r="O62" s="251"/>
      <c r="P62" s="252"/>
      <c r="Q62" s="249"/>
      <c r="R62" s="250"/>
      <c r="S62" s="251"/>
      <c r="T62" s="252"/>
      <c r="U62" s="249"/>
      <c r="V62" s="250"/>
      <c r="W62" s="251"/>
      <c r="X62" s="252"/>
      <c r="Y62" s="249"/>
      <c r="Z62" s="250"/>
      <c r="AA62" s="251"/>
      <c r="AB62" s="252"/>
      <c r="AC62" s="249"/>
      <c r="AD62" s="250"/>
      <c r="AE62" s="251"/>
      <c r="AF62" s="252"/>
      <c r="AG62" s="253"/>
      <c r="AH62" s="254"/>
      <c r="AI62" s="255"/>
      <c r="AJ62" s="256"/>
    </row>
    <row r="63" spans="1:36" s="106" customFormat="1" x14ac:dyDescent="0.25">
      <c r="A63" s="107" t="str">
        <f>IF(H63&lt;&gt;"",MAX($A$7:A62)+1,"")</f>
        <v/>
      </c>
      <c r="B63" s="244" t="str">
        <f t="shared" si="2"/>
        <v/>
      </c>
      <c r="C63" s="62" t="str">
        <f t="shared" si="3"/>
        <v/>
      </c>
      <c r="D63" s="246"/>
      <c r="E63" s="247"/>
      <c r="F63" s="247"/>
      <c r="G63" s="248"/>
      <c r="H63" s="241"/>
      <c r="I63" s="249"/>
      <c r="J63" s="250"/>
      <c r="K63" s="251"/>
      <c r="L63" s="252"/>
      <c r="M63" s="249"/>
      <c r="N63" s="250"/>
      <c r="O63" s="251"/>
      <c r="P63" s="252"/>
      <c r="Q63" s="249"/>
      <c r="R63" s="250"/>
      <c r="S63" s="251"/>
      <c r="T63" s="252"/>
      <c r="U63" s="249"/>
      <c r="V63" s="250"/>
      <c r="W63" s="251"/>
      <c r="X63" s="252"/>
      <c r="Y63" s="249"/>
      <c r="Z63" s="250"/>
      <c r="AA63" s="251"/>
      <c r="AB63" s="252"/>
      <c r="AC63" s="249"/>
      <c r="AD63" s="250"/>
      <c r="AE63" s="251"/>
      <c r="AF63" s="252"/>
      <c r="AG63" s="253"/>
      <c r="AH63" s="254"/>
      <c r="AI63" s="255"/>
      <c r="AJ63" s="256"/>
    </row>
    <row r="64" spans="1:36" s="106" customFormat="1" x14ac:dyDescent="0.25">
      <c r="A64" s="107" t="str">
        <f>IF(H64&lt;&gt;"",MAX($A$7:A63)+1,"")</f>
        <v/>
      </c>
      <c r="B64" s="244" t="str">
        <f t="shared" si="2"/>
        <v/>
      </c>
      <c r="C64" s="62" t="str">
        <f t="shared" si="3"/>
        <v/>
      </c>
      <c r="D64" s="246"/>
      <c r="E64" s="247"/>
      <c r="F64" s="247"/>
      <c r="G64" s="248"/>
      <c r="H64" s="241"/>
      <c r="I64" s="249"/>
      <c r="J64" s="250"/>
      <c r="K64" s="251"/>
      <c r="L64" s="252"/>
      <c r="M64" s="249"/>
      <c r="N64" s="250"/>
      <c r="O64" s="251"/>
      <c r="P64" s="252"/>
      <c r="Q64" s="249"/>
      <c r="R64" s="250"/>
      <c r="S64" s="251"/>
      <c r="T64" s="252"/>
      <c r="U64" s="249"/>
      <c r="V64" s="250"/>
      <c r="W64" s="251"/>
      <c r="X64" s="252"/>
      <c r="Y64" s="249"/>
      <c r="Z64" s="250"/>
      <c r="AA64" s="251"/>
      <c r="AB64" s="252"/>
      <c r="AC64" s="249"/>
      <c r="AD64" s="250"/>
      <c r="AE64" s="251"/>
      <c r="AF64" s="252"/>
      <c r="AG64" s="253"/>
      <c r="AH64" s="254"/>
      <c r="AI64" s="255"/>
      <c r="AJ64" s="256"/>
    </row>
    <row r="65" spans="1:36" s="106" customFormat="1" x14ac:dyDescent="0.25">
      <c r="A65" s="107" t="str">
        <f>IF(H65&lt;&gt;"",MAX($A$7:A64)+1,"")</f>
        <v/>
      </c>
      <c r="B65" s="244" t="str">
        <f t="shared" si="2"/>
        <v/>
      </c>
      <c r="C65" s="62" t="str">
        <f t="shared" si="3"/>
        <v/>
      </c>
      <c r="D65" s="246"/>
      <c r="E65" s="247"/>
      <c r="F65" s="247"/>
      <c r="G65" s="248"/>
      <c r="H65" s="241"/>
      <c r="I65" s="249"/>
      <c r="J65" s="250"/>
      <c r="K65" s="251"/>
      <c r="L65" s="252"/>
      <c r="M65" s="249"/>
      <c r="N65" s="250"/>
      <c r="O65" s="251"/>
      <c r="P65" s="252"/>
      <c r="Q65" s="249"/>
      <c r="R65" s="250"/>
      <c r="S65" s="251"/>
      <c r="T65" s="252"/>
      <c r="U65" s="249"/>
      <c r="V65" s="250"/>
      <c r="W65" s="251"/>
      <c r="X65" s="252"/>
      <c r="Y65" s="249"/>
      <c r="Z65" s="250"/>
      <c r="AA65" s="251"/>
      <c r="AB65" s="252"/>
      <c r="AC65" s="249"/>
      <c r="AD65" s="250"/>
      <c r="AE65" s="251"/>
      <c r="AF65" s="252"/>
      <c r="AG65" s="253"/>
      <c r="AH65" s="254"/>
      <c r="AI65" s="255"/>
      <c r="AJ65" s="256"/>
    </row>
    <row r="66" spans="1:36" s="106" customFormat="1" x14ac:dyDescent="0.25">
      <c r="A66" s="107" t="str">
        <f>IF(H66&lt;&gt;"",MAX($A$7:A65)+1,"")</f>
        <v/>
      </c>
      <c r="B66" s="244" t="str">
        <f t="shared" si="2"/>
        <v/>
      </c>
      <c r="C66" s="62" t="str">
        <f t="shared" si="3"/>
        <v/>
      </c>
      <c r="D66" s="246"/>
      <c r="E66" s="247"/>
      <c r="F66" s="247"/>
      <c r="G66" s="248"/>
      <c r="H66" s="241"/>
      <c r="I66" s="249"/>
      <c r="J66" s="250"/>
      <c r="K66" s="251"/>
      <c r="L66" s="252"/>
      <c r="M66" s="249"/>
      <c r="N66" s="250"/>
      <c r="O66" s="251"/>
      <c r="P66" s="252"/>
      <c r="Q66" s="249"/>
      <c r="R66" s="250"/>
      <c r="S66" s="251"/>
      <c r="T66" s="252"/>
      <c r="U66" s="249"/>
      <c r="V66" s="250"/>
      <c r="W66" s="251"/>
      <c r="X66" s="252"/>
      <c r="Y66" s="249"/>
      <c r="Z66" s="250"/>
      <c r="AA66" s="251"/>
      <c r="AB66" s="252"/>
      <c r="AC66" s="249"/>
      <c r="AD66" s="250"/>
      <c r="AE66" s="251"/>
      <c r="AF66" s="252"/>
      <c r="AG66" s="253"/>
      <c r="AH66" s="254"/>
      <c r="AI66" s="255"/>
      <c r="AJ66" s="256"/>
    </row>
    <row r="67" spans="1:36" s="106" customFormat="1" x14ac:dyDescent="0.25">
      <c r="A67" s="107" t="str">
        <f>IF(H67&lt;&gt;"",MAX($A$7:A66)+1,"")</f>
        <v/>
      </c>
      <c r="B67" s="244" t="str">
        <f t="shared" si="2"/>
        <v/>
      </c>
      <c r="C67" s="62" t="str">
        <f t="shared" si="3"/>
        <v/>
      </c>
      <c r="D67" s="246"/>
      <c r="E67" s="247"/>
      <c r="F67" s="247"/>
      <c r="G67" s="248"/>
      <c r="H67" s="241"/>
      <c r="I67" s="249"/>
      <c r="J67" s="250"/>
      <c r="K67" s="251"/>
      <c r="L67" s="252"/>
      <c r="M67" s="249"/>
      <c r="N67" s="250"/>
      <c r="O67" s="251"/>
      <c r="P67" s="252"/>
      <c r="Q67" s="249"/>
      <c r="R67" s="250"/>
      <c r="S67" s="251"/>
      <c r="T67" s="252"/>
      <c r="U67" s="249"/>
      <c r="V67" s="250"/>
      <c r="W67" s="251"/>
      <c r="X67" s="252"/>
      <c r="Y67" s="249"/>
      <c r="Z67" s="250"/>
      <c r="AA67" s="251"/>
      <c r="AB67" s="252"/>
      <c r="AC67" s="249"/>
      <c r="AD67" s="250"/>
      <c r="AE67" s="251"/>
      <c r="AF67" s="252"/>
      <c r="AG67" s="253"/>
      <c r="AH67" s="254"/>
      <c r="AI67" s="255"/>
      <c r="AJ67" s="256"/>
    </row>
    <row r="68" spans="1:36" s="106" customFormat="1" x14ac:dyDescent="0.25">
      <c r="A68" s="107" t="str">
        <f>IF(H68&lt;&gt;"",MAX($A$7:A67)+1,"")</f>
        <v/>
      </c>
      <c r="B68" s="244" t="str">
        <f t="shared" si="2"/>
        <v/>
      </c>
      <c r="C68" s="62" t="str">
        <f t="shared" si="3"/>
        <v/>
      </c>
      <c r="D68" s="246"/>
      <c r="E68" s="247"/>
      <c r="F68" s="247"/>
      <c r="G68" s="248"/>
      <c r="H68" s="241"/>
      <c r="I68" s="249"/>
      <c r="J68" s="250"/>
      <c r="K68" s="251"/>
      <c r="L68" s="252"/>
      <c r="M68" s="249"/>
      <c r="N68" s="250"/>
      <c r="O68" s="251"/>
      <c r="P68" s="252"/>
      <c r="Q68" s="249"/>
      <c r="R68" s="250"/>
      <c r="S68" s="251"/>
      <c r="T68" s="252"/>
      <c r="U68" s="249"/>
      <c r="V68" s="250"/>
      <c r="W68" s="251"/>
      <c r="X68" s="252"/>
      <c r="Y68" s="249"/>
      <c r="Z68" s="250"/>
      <c r="AA68" s="251"/>
      <c r="AB68" s="252"/>
      <c r="AC68" s="249"/>
      <c r="AD68" s="250"/>
      <c r="AE68" s="251"/>
      <c r="AF68" s="252"/>
      <c r="AG68" s="253"/>
      <c r="AH68" s="254"/>
      <c r="AI68" s="255"/>
      <c r="AJ68" s="256"/>
    </row>
    <row r="69" spans="1:36" s="106" customFormat="1" x14ac:dyDescent="0.25">
      <c r="A69" s="107" t="str">
        <f>IF(H69&lt;&gt;"",MAX($A$7:A68)+1,"")</f>
        <v/>
      </c>
      <c r="B69" s="244" t="str">
        <f t="shared" si="2"/>
        <v/>
      </c>
      <c r="C69" s="62" t="str">
        <f t="shared" si="3"/>
        <v/>
      </c>
      <c r="D69" s="246"/>
      <c r="E69" s="247"/>
      <c r="F69" s="247"/>
      <c r="G69" s="248"/>
      <c r="H69" s="241"/>
      <c r="I69" s="249"/>
      <c r="J69" s="250"/>
      <c r="K69" s="251"/>
      <c r="L69" s="252"/>
      <c r="M69" s="249"/>
      <c r="N69" s="250"/>
      <c r="O69" s="251"/>
      <c r="P69" s="252"/>
      <c r="Q69" s="249"/>
      <c r="R69" s="250"/>
      <c r="S69" s="251"/>
      <c r="T69" s="252"/>
      <c r="U69" s="249"/>
      <c r="V69" s="250"/>
      <c r="W69" s="251"/>
      <c r="X69" s="252"/>
      <c r="Y69" s="249"/>
      <c r="Z69" s="250"/>
      <c r="AA69" s="251"/>
      <c r="AB69" s="252"/>
      <c r="AC69" s="249"/>
      <c r="AD69" s="250"/>
      <c r="AE69" s="251"/>
      <c r="AF69" s="252"/>
      <c r="AG69" s="253"/>
      <c r="AH69" s="254"/>
      <c r="AI69" s="255"/>
      <c r="AJ69" s="256"/>
    </row>
    <row r="70" spans="1:36" s="106" customFormat="1" x14ac:dyDescent="0.25">
      <c r="A70" s="107" t="str">
        <f>IF(H70&lt;&gt;"",MAX($A$7:A69)+1,"")</f>
        <v/>
      </c>
      <c r="B70" s="244" t="str">
        <f t="shared" si="2"/>
        <v/>
      </c>
      <c r="C70" s="62" t="str">
        <f t="shared" si="3"/>
        <v/>
      </c>
      <c r="D70" s="246"/>
      <c r="E70" s="247"/>
      <c r="F70" s="247"/>
      <c r="G70" s="248"/>
      <c r="H70" s="241"/>
      <c r="I70" s="249"/>
      <c r="J70" s="250"/>
      <c r="K70" s="251"/>
      <c r="L70" s="252"/>
      <c r="M70" s="249"/>
      <c r="N70" s="250"/>
      <c r="O70" s="251"/>
      <c r="P70" s="252"/>
      <c r="Q70" s="249"/>
      <c r="R70" s="250"/>
      <c r="S70" s="251"/>
      <c r="T70" s="252"/>
      <c r="U70" s="249"/>
      <c r="V70" s="250"/>
      <c r="W70" s="251"/>
      <c r="X70" s="252"/>
      <c r="Y70" s="249"/>
      <c r="Z70" s="250"/>
      <c r="AA70" s="251"/>
      <c r="AB70" s="252"/>
      <c r="AC70" s="249"/>
      <c r="AD70" s="250"/>
      <c r="AE70" s="251"/>
      <c r="AF70" s="252"/>
      <c r="AG70" s="253"/>
      <c r="AH70" s="254"/>
      <c r="AI70" s="255"/>
      <c r="AJ70" s="256"/>
    </row>
    <row r="71" spans="1:36" s="106" customFormat="1" x14ac:dyDescent="0.25">
      <c r="A71" s="107" t="str">
        <f>IF(H71&lt;&gt;"",MAX($A$7:A70)+1,"")</f>
        <v/>
      </c>
      <c r="B71" s="244" t="str">
        <f t="shared" ref="B71:B134" si="4">IF(A71="","",PREF_PREGUNTA&amp;" - "&amp;IF(MAX($A$7:$A$156)&gt;99,IF(A71&lt;100,"0",""),"")&amp;IF(A71&lt;10,"0","")&amp;A71&amp;IF(G71&lt;&gt;""," "&amp;G71,""))</f>
        <v/>
      </c>
      <c r="C71" s="62" t="str">
        <f t="shared" ref="C71:C134" si="5">IF(COUNTA(I71:N71)-D71=0,"",COUNTA(I71:N71)-D71)</f>
        <v/>
      </c>
      <c r="D71" s="246"/>
      <c r="E71" s="247"/>
      <c r="F71" s="247"/>
      <c r="G71" s="248"/>
      <c r="H71" s="241"/>
      <c r="I71" s="249"/>
      <c r="J71" s="250"/>
      <c r="K71" s="251"/>
      <c r="L71" s="252"/>
      <c r="M71" s="249"/>
      <c r="N71" s="250"/>
      <c r="O71" s="251"/>
      <c r="P71" s="252"/>
      <c r="Q71" s="249"/>
      <c r="R71" s="250"/>
      <c r="S71" s="251"/>
      <c r="T71" s="252"/>
      <c r="U71" s="249"/>
      <c r="V71" s="250"/>
      <c r="W71" s="251"/>
      <c r="X71" s="252"/>
      <c r="Y71" s="249"/>
      <c r="Z71" s="250"/>
      <c r="AA71" s="251"/>
      <c r="AB71" s="252"/>
      <c r="AC71" s="249"/>
      <c r="AD71" s="250"/>
      <c r="AE71" s="251"/>
      <c r="AF71" s="252"/>
      <c r="AG71" s="253"/>
      <c r="AH71" s="254"/>
      <c r="AI71" s="255"/>
      <c r="AJ71" s="256"/>
    </row>
    <row r="72" spans="1:36" s="106" customFormat="1" x14ac:dyDescent="0.25">
      <c r="A72" s="107" t="str">
        <f>IF(H72&lt;&gt;"",MAX($A$7:A71)+1,"")</f>
        <v/>
      </c>
      <c r="B72" s="244" t="str">
        <f t="shared" si="4"/>
        <v/>
      </c>
      <c r="C72" s="62" t="str">
        <f t="shared" si="5"/>
        <v/>
      </c>
      <c r="D72" s="246"/>
      <c r="E72" s="247"/>
      <c r="F72" s="247"/>
      <c r="G72" s="248"/>
      <c r="H72" s="241"/>
      <c r="I72" s="249"/>
      <c r="J72" s="250"/>
      <c r="K72" s="251"/>
      <c r="L72" s="252"/>
      <c r="M72" s="249"/>
      <c r="N72" s="250"/>
      <c r="O72" s="251"/>
      <c r="P72" s="252"/>
      <c r="Q72" s="249"/>
      <c r="R72" s="250"/>
      <c r="S72" s="251"/>
      <c r="T72" s="252"/>
      <c r="U72" s="249"/>
      <c r="V72" s="250"/>
      <c r="W72" s="251"/>
      <c r="X72" s="252"/>
      <c r="Y72" s="249"/>
      <c r="Z72" s="250"/>
      <c r="AA72" s="251"/>
      <c r="AB72" s="252"/>
      <c r="AC72" s="249"/>
      <c r="AD72" s="250"/>
      <c r="AE72" s="251"/>
      <c r="AF72" s="252"/>
      <c r="AG72" s="253"/>
      <c r="AH72" s="254"/>
      <c r="AI72" s="255"/>
      <c r="AJ72" s="256"/>
    </row>
    <row r="73" spans="1:36" s="106" customFormat="1" x14ac:dyDescent="0.25">
      <c r="A73" s="107" t="str">
        <f>IF(H73&lt;&gt;"",MAX($A$7:A72)+1,"")</f>
        <v/>
      </c>
      <c r="B73" s="244" t="str">
        <f t="shared" si="4"/>
        <v/>
      </c>
      <c r="C73" s="62" t="str">
        <f t="shared" si="5"/>
        <v/>
      </c>
      <c r="D73" s="246"/>
      <c r="E73" s="247"/>
      <c r="F73" s="247"/>
      <c r="G73" s="248"/>
      <c r="H73" s="241"/>
      <c r="I73" s="249"/>
      <c r="J73" s="250"/>
      <c r="K73" s="251"/>
      <c r="L73" s="252"/>
      <c r="M73" s="249"/>
      <c r="N73" s="250"/>
      <c r="O73" s="251"/>
      <c r="P73" s="252"/>
      <c r="Q73" s="249"/>
      <c r="R73" s="250"/>
      <c r="S73" s="251"/>
      <c r="T73" s="252"/>
      <c r="U73" s="249"/>
      <c r="V73" s="250"/>
      <c r="W73" s="251"/>
      <c r="X73" s="252"/>
      <c r="Y73" s="249"/>
      <c r="Z73" s="250"/>
      <c r="AA73" s="251"/>
      <c r="AB73" s="252"/>
      <c r="AC73" s="249"/>
      <c r="AD73" s="250"/>
      <c r="AE73" s="251"/>
      <c r="AF73" s="252"/>
      <c r="AG73" s="253"/>
      <c r="AH73" s="254"/>
      <c r="AI73" s="255"/>
      <c r="AJ73" s="256"/>
    </row>
    <row r="74" spans="1:36" s="106" customFormat="1" x14ac:dyDescent="0.25">
      <c r="A74" s="107" t="str">
        <f>IF(H74&lt;&gt;"",MAX($A$7:A73)+1,"")</f>
        <v/>
      </c>
      <c r="B74" s="244" t="str">
        <f t="shared" si="4"/>
        <v/>
      </c>
      <c r="C74" s="62" t="str">
        <f t="shared" si="5"/>
        <v/>
      </c>
      <c r="D74" s="246"/>
      <c r="E74" s="247"/>
      <c r="F74" s="247"/>
      <c r="G74" s="248"/>
      <c r="H74" s="241"/>
      <c r="I74" s="249"/>
      <c r="J74" s="250"/>
      <c r="K74" s="251"/>
      <c r="L74" s="252"/>
      <c r="M74" s="249"/>
      <c r="N74" s="250"/>
      <c r="O74" s="251"/>
      <c r="P74" s="252"/>
      <c r="Q74" s="249"/>
      <c r="R74" s="250"/>
      <c r="S74" s="251"/>
      <c r="T74" s="252"/>
      <c r="U74" s="249"/>
      <c r="V74" s="250"/>
      <c r="W74" s="251"/>
      <c r="X74" s="252"/>
      <c r="Y74" s="249"/>
      <c r="Z74" s="250"/>
      <c r="AA74" s="251"/>
      <c r="AB74" s="252"/>
      <c r="AC74" s="249"/>
      <c r="AD74" s="250"/>
      <c r="AE74" s="251"/>
      <c r="AF74" s="252"/>
      <c r="AG74" s="253"/>
      <c r="AH74" s="254"/>
      <c r="AI74" s="255"/>
      <c r="AJ74" s="256"/>
    </row>
    <row r="75" spans="1:36" s="106" customFormat="1" x14ac:dyDescent="0.25">
      <c r="A75" s="107" t="str">
        <f>IF(H75&lt;&gt;"",MAX($A$7:A74)+1,"")</f>
        <v/>
      </c>
      <c r="B75" s="244" t="str">
        <f t="shared" si="4"/>
        <v/>
      </c>
      <c r="C75" s="62" t="str">
        <f t="shared" si="5"/>
        <v/>
      </c>
      <c r="D75" s="246"/>
      <c r="E75" s="247"/>
      <c r="F75" s="247"/>
      <c r="G75" s="248"/>
      <c r="H75" s="241"/>
      <c r="I75" s="249"/>
      <c r="J75" s="250"/>
      <c r="K75" s="251"/>
      <c r="L75" s="252"/>
      <c r="M75" s="249"/>
      <c r="N75" s="250"/>
      <c r="O75" s="251"/>
      <c r="P75" s="252"/>
      <c r="Q75" s="249"/>
      <c r="R75" s="250"/>
      <c r="S75" s="251"/>
      <c r="T75" s="252"/>
      <c r="U75" s="249"/>
      <c r="V75" s="250"/>
      <c r="W75" s="251"/>
      <c r="X75" s="252"/>
      <c r="Y75" s="249"/>
      <c r="Z75" s="250"/>
      <c r="AA75" s="251"/>
      <c r="AB75" s="252"/>
      <c r="AC75" s="249"/>
      <c r="AD75" s="250"/>
      <c r="AE75" s="251"/>
      <c r="AF75" s="252"/>
      <c r="AG75" s="253"/>
      <c r="AH75" s="254"/>
      <c r="AI75" s="255"/>
      <c r="AJ75" s="256"/>
    </row>
    <row r="76" spans="1:36" s="106" customFormat="1" x14ac:dyDescent="0.25">
      <c r="A76" s="107" t="str">
        <f>IF(H76&lt;&gt;"",MAX($A$7:A75)+1,"")</f>
        <v/>
      </c>
      <c r="B76" s="244" t="str">
        <f t="shared" si="4"/>
        <v/>
      </c>
      <c r="C76" s="62" t="str">
        <f t="shared" si="5"/>
        <v/>
      </c>
      <c r="D76" s="246"/>
      <c r="E76" s="247"/>
      <c r="F76" s="247"/>
      <c r="G76" s="248"/>
      <c r="H76" s="241"/>
      <c r="I76" s="249"/>
      <c r="J76" s="250"/>
      <c r="K76" s="251"/>
      <c r="L76" s="252"/>
      <c r="M76" s="249"/>
      <c r="N76" s="250"/>
      <c r="O76" s="251"/>
      <c r="P76" s="252"/>
      <c r="Q76" s="249"/>
      <c r="R76" s="250"/>
      <c r="S76" s="251"/>
      <c r="T76" s="252"/>
      <c r="U76" s="249"/>
      <c r="V76" s="250"/>
      <c r="W76" s="251"/>
      <c r="X76" s="252"/>
      <c r="Y76" s="249"/>
      <c r="Z76" s="250"/>
      <c r="AA76" s="251"/>
      <c r="AB76" s="252"/>
      <c r="AC76" s="249"/>
      <c r="AD76" s="250"/>
      <c r="AE76" s="251"/>
      <c r="AF76" s="252"/>
      <c r="AG76" s="253"/>
      <c r="AH76" s="254"/>
      <c r="AI76" s="255"/>
      <c r="AJ76" s="256"/>
    </row>
    <row r="77" spans="1:36" s="106" customFormat="1" x14ac:dyDescent="0.25">
      <c r="A77" s="107" t="str">
        <f>IF(H77&lt;&gt;"",MAX($A$7:A76)+1,"")</f>
        <v/>
      </c>
      <c r="B77" s="244" t="str">
        <f t="shared" si="4"/>
        <v/>
      </c>
      <c r="C77" s="62" t="str">
        <f t="shared" si="5"/>
        <v/>
      </c>
      <c r="D77" s="246"/>
      <c r="E77" s="247"/>
      <c r="F77" s="247"/>
      <c r="G77" s="248"/>
      <c r="H77" s="241"/>
      <c r="I77" s="249"/>
      <c r="J77" s="250"/>
      <c r="K77" s="251"/>
      <c r="L77" s="252"/>
      <c r="M77" s="249"/>
      <c r="N77" s="250"/>
      <c r="O77" s="251"/>
      <c r="P77" s="252"/>
      <c r="Q77" s="249"/>
      <c r="R77" s="250"/>
      <c r="S77" s="251"/>
      <c r="T77" s="252"/>
      <c r="U77" s="249"/>
      <c r="V77" s="250"/>
      <c r="W77" s="251"/>
      <c r="X77" s="252"/>
      <c r="Y77" s="249"/>
      <c r="Z77" s="250"/>
      <c r="AA77" s="251"/>
      <c r="AB77" s="252"/>
      <c r="AC77" s="249"/>
      <c r="AD77" s="250"/>
      <c r="AE77" s="251"/>
      <c r="AF77" s="252"/>
      <c r="AG77" s="253"/>
      <c r="AH77" s="254"/>
      <c r="AI77" s="255"/>
      <c r="AJ77" s="256"/>
    </row>
    <row r="78" spans="1:36" s="106" customFormat="1" x14ac:dyDescent="0.25">
      <c r="A78" s="107" t="str">
        <f>IF(H78&lt;&gt;"",MAX($A$7:A77)+1,"")</f>
        <v/>
      </c>
      <c r="B78" s="244" t="str">
        <f t="shared" si="4"/>
        <v/>
      </c>
      <c r="C78" s="62" t="str">
        <f t="shared" si="5"/>
        <v/>
      </c>
      <c r="D78" s="246"/>
      <c r="E78" s="247"/>
      <c r="F78" s="247"/>
      <c r="G78" s="248"/>
      <c r="H78" s="241"/>
      <c r="I78" s="249"/>
      <c r="J78" s="250"/>
      <c r="K78" s="251"/>
      <c r="L78" s="252"/>
      <c r="M78" s="249"/>
      <c r="N78" s="250"/>
      <c r="O78" s="251"/>
      <c r="P78" s="252"/>
      <c r="Q78" s="249"/>
      <c r="R78" s="250"/>
      <c r="S78" s="251"/>
      <c r="T78" s="252"/>
      <c r="U78" s="249"/>
      <c r="V78" s="250"/>
      <c r="W78" s="251"/>
      <c r="X78" s="252"/>
      <c r="Y78" s="249"/>
      <c r="Z78" s="250"/>
      <c r="AA78" s="251"/>
      <c r="AB78" s="252"/>
      <c r="AC78" s="249"/>
      <c r="AD78" s="250"/>
      <c r="AE78" s="251"/>
      <c r="AF78" s="252"/>
      <c r="AG78" s="253"/>
      <c r="AH78" s="254"/>
      <c r="AI78" s="255"/>
      <c r="AJ78" s="256"/>
    </row>
    <row r="79" spans="1:36" s="106" customFormat="1" x14ac:dyDescent="0.25">
      <c r="A79" s="107" t="str">
        <f>IF(H79&lt;&gt;"",MAX($A$7:A78)+1,"")</f>
        <v/>
      </c>
      <c r="B79" s="244" t="str">
        <f t="shared" si="4"/>
        <v/>
      </c>
      <c r="C79" s="62" t="str">
        <f t="shared" si="5"/>
        <v/>
      </c>
      <c r="D79" s="246"/>
      <c r="E79" s="247"/>
      <c r="F79" s="247"/>
      <c r="G79" s="248"/>
      <c r="H79" s="241"/>
      <c r="I79" s="249"/>
      <c r="J79" s="250"/>
      <c r="K79" s="251"/>
      <c r="L79" s="252"/>
      <c r="M79" s="249"/>
      <c r="N79" s="250"/>
      <c r="O79" s="251"/>
      <c r="P79" s="252"/>
      <c r="Q79" s="249"/>
      <c r="R79" s="250"/>
      <c r="S79" s="251"/>
      <c r="T79" s="252"/>
      <c r="U79" s="249"/>
      <c r="V79" s="250"/>
      <c r="W79" s="251"/>
      <c r="X79" s="252"/>
      <c r="Y79" s="249"/>
      <c r="Z79" s="250"/>
      <c r="AA79" s="251"/>
      <c r="AB79" s="252"/>
      <c r="AC79" s="249"/>
      <c r="AD79" s="250"/>
      <c r="AE79" s="251"/>
      <c r="AF79" s="252"/>
      <c r="AG79" s="253"/>
      <c r="AH79" s="254"/>
      <c r="AI79" s="255"/>
      <c r="AJ79" s="256"/>
    </row>
    <row r="80" spans="1:36" s="106" customFormat="1" x14ac:dyDescent="0.25">
      <c r="A80" s="107" t="str">
        <f>IF(H80&lt;&gt;"",MAX($A$7:A79)+1,"")</f>
        <v/>
      </c>
      <c r="B80" s="244" t="str">
        <f t="shared" si="4"/>
        <v/>
      </c>
      <c r="C80" s="62" t="str">
        <f t="shared" si="5"/>
        <v/>
      </c>
      <c r="D80" s="246"/>
      <c r="E80" s="247"/>
      <c r="F80" s="247"/>
      <c r="G80" s="248"/>
      <c r="H80" s="241"/>
      <c r="I80" s="249"/>
      <c r="J80" s="250"/>
      <c r="K80" s="251"/>
      <c r="L80" s="252"/>
      <c r="M80" s="249"/>
      <c r="N80" s="250"/>
      <c r="O80" s="251"/>
      <c r="P80" s="252"/>
      <c r="Q80" s="249"/>
      <c r="R80" s="250"/>
      <c r="S80" s="251"/>
      <c r="T80" s="252"/>
      <c r="U80" s="249"/>
      <c r="V80" s="250"/>
      <c r="W80" s="251"/>
      <c r="X80" s="252"/>
      <c r="Y80" s="249"/>
      <c r="Z80" s="250"/>
      <c r="AA80" s="251"/>
      <c r="AB80" s="252"/>
      <c r="AC80" s="249"/>
      <c r="AD80" s="250"/>
      <c r="AE80" s="251"/>
      <c r="AF80" s="252"/>
      <c r="AG80" s="253"/>
      <c r="AH80" s="254"/>
      <c r="AI80" s="255"/>
      <c r="AJ80" s="256"/>
    </row>
    <row r="81" spans="1:36" s="106" customFormat="1" x14ac:dyDescent="0.25">
      <c r="A81" s="107" t="str">
        <f>IF(H81&lt;&gt;"",MAX($A$7:A80)+1,"")</f>
        <v/>
      </c>
      <c r="B81" s="244" t="str">
        <f t="shared" si="4"/>
        <v/>
      </c>
      <c r="C81" s="62" t="str">
        <f t="shared" si="5"/>
        <v/>
      </c>
      <c r="D81" s="246"/>
      <c r="E81" s="247"/>
      <c r="F81" s="247"/>
      <c r="G81" s="248"/>
      <c r="H81" s="241"/>
      <c r="I81" s="249"/>
      <c r="J81" s="250"/>
      <c r="K81" s="251"/>
      <c r="L81" s="252"/>
      <c r="M81" s="249"/>
      <c r="N81" s="250"/>
      <c r="O81" s="251"/>
      <c r="P81" s="252"/>
      <c r="Q81" s="249"/>
      <c r="R81" s="250"/>
      <c r="S81" s="251"/>
      <c r="T81" s="252"/>
      <c r="U81" s="249"/>
      <c r="V81" s="250"/>
      <c r="W81" s="251"/>
      <c r="X81" s="252"/>
      <c r="Y81" s="249"/>
      <c r="Z81" s="250"/>
      <c r="AA81" s="251"/>
      <c r="AB81" s="252"/>
      <c r="AC81" s="249"/>
      <c r="AD81" s="250"/>
      <c r="AE81" s="251"/>
      <c r="AF81" s="252"/>
      <c r="AG81" s="253"/>
      <c r="AH81" s="254"/>
      <c r="AI81" s="255"/>
      <c r="AJ81" s="256"/>
    </row>
    <row r="82" spans="1:36" s="106" customFormat="1" x14ac:dyDescent="0.25">
      <c r="A82" s="107" t="str">
        <f>IF(H82&lt;&gt;"",MAX($A$7:A81)+1,"")</f>
        <v/>
      </c>
      <c r="B82" s="244" t="str">
        <f t="shared" si="4"/>
        <v/>
      </c>
      <c r="C82" s="62" t="str">
        <f t="shared" si="5"/>
        <v/>
      </c>
      <c r="D82" s="246"/>
      <c r="E82" s="247"/>
      <c r="F82" s="247"/>
      <c r="G82" s="248"/>
      <c r="H82" s="241"/>
      <c r="I82" s="249"/>
      <c r="J82" s="250"/>
      <c r="K82" s="251"/>
      <c r="L82" s="252"/>
      <c r="M82" s="249"/>
      <c r="N82" s="250"/>
      <c r="O82" s="251"/>
      <c r="P82" s="252"/>
      <c r="Q82" s="249"/>
      <c r="R82" s="250"/>
      <c r="S82" s="251"/>
      <c r="T82" s="252"/>
      <c r="U82" s="249"/>
      <c r="V82" s="250"/>
      <c r="W82" s="251"/>
      <c r="X82" s="252"/>
      <c r="Y82" s="249"/>
      <c r="Z82" s="250"/>
      <c r="AA82" s="251"/>
      <c r="AB82" s="252"/>
      <c r="AC82" s="249"/>
      <c r="AD82" s="250"/>
      <c r="AE82" s="251"/>
      <c r="AF82" s="252"/>
      <c r="AG82" s="253"/>
      <c r="AH82" s="254"/>
      <c r="AI82" s="255"/>
      <c r="AJ82" s="256"/>
    </row>
    <row r="83" spans="1:36" s="106" customFormat="1" x14ac:dyDescent="0.25">
      <c r="A83" s="107" t="str">
        <f>IF(H83&lt;&gt;"",MAX($A$7:A82)+1,"")</f>
        <v/>
      </c>
      <c r="B83" s="244" t="str">
        <f t="shared" si="4"/>
        <v/>
      </c>
      <c r="C83" s="62" t="str">
        <f t="shared" si="5"/>
        <v/>
      </c>
      <c r="D83" s="246"/>
      <c r="E83" s="247"/>
      <c r="F83" s="247"/>
      <c r="G83" s="248"/>
      <c r="H83" s="241"/>
      <c r="I83" s="249"/>
      <c r="J83" s="250"/>
      <c r="K83" s="251"/>
      <c r="L83" s="252"/>
      <c r="M83" s="249"/>
      <c r="N83" s="250"/>
      <c r="O83" s="251"/>
      <c r="P83" s="252"/>
      <c r="Q83" s="249"/>
      <c r="R83" s="250"/>
      <c r="S83" s="251"/>
      <c r="T83" s="252"/>
      <c r="U83" s="249"/>
      <c r="V83" s="250"/>
      <c r="W83" s="251"/>
      <c r="X83" s="252"/>
      <c r="Y83" s="249"/>
      <c r="Z83" s="250"/>
      <c r="AA83" s="251"/>
      <c r="AB83" s="252"/>
      <c r="AC83" s="249"/>
      <c r="AD83" s="250"/>
      <c r="AE83" s="251"/>
      <c r="AF83" s="252"/>
      <c r="AG83" s="253"/>
      <c r="AH83" s="254"/>
      <c r="AI83" s="255"/>
      <c r="AJ83" s="256"/>
    </row>
    <row r="84" spans="1:36" s="106" customFormat="1" x14ac:dyDescent="0.25">
      <c r="A84" s="107" t="str">
        <f>IF(H84&lt;&gt;"",MAX($A$7:A83)+1,"")</f>
        <v/>
      </c>
      <c r="B84" s="244" t="str">
        <f t="shared" si="4"/>
        <v/>
      </c>
      <c r="C84" s="62" t="str">
        <f t="shared" si="5"/>
        <v/>
      </c>
      <c r="D84" s="246"/>
      <c r="E84" s="247"/>
      <c r="F84" s="247"/>
      <c r="G84" s="248"/>
      <c r="H84" s="241"/>
      <c r="I84" s="249"/>
      <c r="J84" s="250"/>
      <c r="K84" s="251"/>
      <c r="L84" s="252"/>
      <c r="M84" s="249"/>
      <c r="N84" s="250"/>
      <c r="O84" s="251"/>
      <c r="P84" s="252"/>
      <c r="Q84" s="249"/>
      <c r="R84" s="250"/>
      <c r="S84" s="251"/>
      <c r="T84" s="252"/>
      <c r="U84" s="249"/>
      <c r="V84" s="250"/>
      <c r="W84" s="251"/>
      <c r="X84" s="252"/>
      <c r="Y84" s="249"/>
      <c r="Z84" s="250"/>
      <c r="AA84" s="251"/>
      <c r="AB84" s="252"/>
      <c r="AC84" s="249"/>
      <c r="AD84" s="250"/>
      <c r="AE84" s="251"/>
      <c r="AF84" s="252"/>
      <c r="AG84" s="253"/>
      <c r="AH84" s="254"/>
      <c r="AI84" s="255"/>
      <c r="AJ84" s="256"/>
    </row>
    <row r="85" spans="1:36" s="106" customFormat="1" x14ac:dyDescent="0.25">
      <c r="A85" s="107" t="str">
        <f>IF(H85&lt;&gt;"",MAX($A$7:A84)+1,"")</f>
        <v/>
      </c>
      <c r="B85" s="244" t="str">
        <f t="shared" si="4"/>
        <v/>
      </c>
      <c r="C85" s="62" t="str">
        <f t="shared" si="5"/>
        <v/>
      </c>
      <c r="D85" s="246"/>
      <c r="E85" s="247"/>
      <c r="F85" s="247"/>
      <c r="G85" s="248"/>
      <c r="H85" s="241"/>
      <c r="I85" s="249"/>
      <c r="J85" s="250"/>
      <c r="K85" s="251"/>
      <c r="L85" s="252"/>
      <c r="M85" s="249"/>
      <c r="N85" s="250"/>
      <c r="O85" s="251"/>
      <c r="P85" s="252"/>
      <c r="Q85" s="249"/>
      <c r="R85" s="250"/>
      <c r="S85" s="251"/>
      <c r="T85" s="252"/>
      <c r="U85" s="249"/>
      <c r="V85" s="250"/>
      <c r="W85" s="251"/>
      <c r="X85" s="252"/>
      <c r="Y85" s="249"/>
      <c r="Z85" s="250"/>
      <c r="AA85" s="251"/>
      <c r="AB85" s="252"/>
      <c r="AC85" s="249"/>
      <c r="AD85" s="250"/>
      <c r="AE85" s="251"/>
      <c r="AF85" s="252"/>
      <c r="AG85" s="253"/>
      <c r="AH85" s="254"/>
      <c r="AI85" s="255"/>
      <c r="AJ85" s="256"/>
    </row>
    <row r="86" spans="1:36" s="106" customFormat="1" x14ac:dyDescent="0.25">
      <c r="A86" s="107" t="str">
        <f>IF(H86&lt;&gt;"",MAX($A$7:A85)+1,"")</f>
        <v/>
      </c>
      <c r="B86" s="244" t="str">
        <f t="shared" si="4"/>
        <v/>
      </c>
      <c r="C86" s="62" t="str">
        <f t="shared" si="5"/>
        <v/>
      </c>
      <c r="D86" s="246"/>
      <c r="E86" s="247"/>
      <c r="F86" s="247"/>
      <c r="G86" s="248"/>
      <c r="H86" s="241"/>
      <c r="I86" s="249"/>
      <c r="J86" s="250"/>
      <c r="K86" s="251"/>
      <c r="L86" s="252"/>
      <c r="M86" s="249"/>
      <c r="N86" s="250"/>
      <c r="O86" s="251"/>
      <c r="P86" s="252"/>
      <c r="Q86" s="249"/>
      <c r="R86" s="250"/>
      <c r="S86" s="251"/>
      <c r="T86" s="252"/>
      <c r="U86" s="249"/>
      <c r="V86" s="250"/>
      <c r="W86" s="251"/>
      <c r="X86" s="252"/>
      <c r="Y86" s="249"/>
      <c r="Z86" s="250"/>
      <c r="AA86" s="251"/>
      <c r="AB86" s="252"/>
      <c r="AC86" s="249"/>
      <c r="AD86" s="250"/>
      <c r="AE86" s="251"/>
      <c r="AF86" s="252"/>
      <c r="AG86" s="253"/>
      <c r="AH86" s="254"/>
      <c r="AI86" s="255"/>
      <c r="AJ86" s="256"/>
    </row>
    <row r="87" spans="1:36" s="106" customFormat="1" x14ac:dyDescent="0.25">
      <c r="A87" s="107" t="str">
        <f>IF(H87&lt;&gt;"",MAX($A$7:A86)+1,"")</f>
        <v/>
      </c>
      <c r="B87" s="244" t="str">
        <f t="shared" si="4"/>
        <v/>
      </c>
      <c r="C87" s="62" t="str">
        <f t="shared" si="5"/>
        <v/>
      </c>
      <c r="D87" s="246"/>
      <c r="E87" s="247"/>
      <c r="F87" s="247"/>
      <c r="G87" s="248"/>
      <c r="H87" s="241"/>
      <c r="I87" s="249"/>
      <c r="J87" s="250"/>
      <c r="K87" s="251"/>
      <c r="L87" s="252"/>
      <c r="M87" s="249"/>
      <c r="N87" s="250"/>
      <c r="O87" s="251"/>
      <c r="P87" s="252"/>
      <c r="Q87" s="249"/>
      <c r="R87" s="250"/>
      <c r="S87" s="251"/>
      <c r="T87" s="252"/>
      <c r="U87" s="249"/>
      <c r="V87" s="250"/>
      <c r="W87" s="251"/>
      <c r="X87" s="252"/>
      <c r="Y87" s="249"/>
      <c r="Z87" s="250"/>
      <c r="AA87" s="251"/>
      <c r="AB87" s="252"/>
      <c r="AC87" s="249"/>
      <c r="AD87" s="250"/>
      <c r="AE87" s="251"/>
      <c r="AF87" s="252"/>
      <c r="AG87" s="253"/>
      <c r="AH87" s="254"/>
      <c r="AI87" s="255"/>
      <c r="AJ87" s="256"/>
    </row>
    <row r="88" spans="1:36" s="106" customFormat="1" x14ac:dyDescent="0.25">
      <c r="A88" s="107" t="str">
        <f>IF(H88&lt;&gt;"",MAX($A$7:A87)+1,"")</f>
        <v/>
      </c>
      <c r="B88" s="244" t="str">
        <f t="shared" si="4"/>
        <v/>
      </c>
      <c r="C88" s="62" t="str">
        <f t="shared" si="5"/>
        <v/>
      </c>
      <c r="D88" s="246"/>
      <c r="E88" s="247"/>
      <c r="F88" s="247"/>
      <c r="G88" s="248"/>
      <c r="H88" s="241"/>
      <c r="I88" s="249"/>
      <c r="J88" s="250"/>
      <c r="K88" s="251"/>
      <c r="L88" s="252"/>
      <c r="M88" s="249"/>
      <c r="N88" s="250"/>
      <c r="O88" s="251"/>
      <c r="P88" s="252"/>
      <c r="Q88" s="249"/>
      <c r="R88" s="250"/>
      <c r="S88" s="251"/>
      <c r="T88" s="252"/>
      <c r="U88" s="249"/>
      <c r="V88" s="250"/>
      <c r="W88" s="251"/>
      <c r="X88" s="252"/>
      <c r="Y88" s="249"/>
      <c r="Z88" s="250"/>
      <c r="AA88" s="251"/>
      <c r="AB88" s="252"/>
      <c r="AC88" s="249"/>
      <c r="AD88" s="250"/>
      <c r="AE88" s="251"/>
      <c r="AF88" s="252"/>
      <c r="AG88" s="253"/>
      <c r="AH88" s="254"/>
      <c r="AI88" s="255"/>
      <c r="AJ88" s="256"/>
    </row>
    <row r="89" spans="1:36" s="106" customFormat="1" x14ac:dyDescent="0.25">
      <c r="A89" s="107" t="str">
        <f>IF(H89&lt;&gt;"",MAX($A$7:A88)+1,"")</f>
        <v/>
      </c>
      <c r="B89" s="244" t="str">
        <f t="shared" si="4"/>
        <v/>
      </c>
      <c r="C89" s="62" t="str">
        <f t="shared" si="5"/>
        <v/>
      </c>
      <c r="D89" s="246"/>
      <c r="E89" s="247"/>
      <c r="F89" s="247"/>
      <c r="G89" s="248"/>
      <c r="H89" s="241"/>
      <c r="I89" s="249"/>
      <c r="J89" s="250"/>
      <c r="K89" s="251"/>
      <c r="L89" s="252"/>
      <c r="M89" s="249"/>
      <c r="N89" s="250"/>
      <c r="O89" s="251"/>
      <c r="P89" s="252"/>
      <c r="Q89" s="249"/>
      <c r="R89" s="250"/>
      <c r="S89" s="251"/>
      <c r="T89" s="252"/>
      <c r="U89" s="249"/>
      <c r="V89" s="250"/>
      <c r="W89" s="251"/>
      <c r="X89" s="252"/>
      <c r="Y89" s="249"/>
      <c r="Z89" s="250"/>
      <c r="AA89" s="251"/>
      <c r="AB89" s="252"/>
      <c r="AC89" s="249"/>
      <c r="AD89" s="250"/>
      <c r="AE89" s="251"/>
      <c r="AF89" s="252"/>
      <c r="AG89" s="253"/>
      <c r="AH89" s="254"/>
      <c r="AI89" s="255"/>
      <c r="AJ89" s="256"/>
    </row>
    <row r="90" spans="1:36" s="106" customFormat="1" x14ac:dyDescent="0.25">
      <c r="A90" s="107" t="str">
        <f>IF(H90&lt;&gt;"",MAX($A$7:A89)+1,"")</f>
        <v/>
      </c>
      <c r="B90" s="244" t="str">
        <f t="shared" si="4"/>
        <v/>
      </c>
      <c r="C90" s="62" t="str">
        <f t="shared" si="5"/>
        <v/>
      </c>
      <c r="D90" s="246"/>
      <c r="E90" s="247"/>
      <c r="F90" s="247"/>
      <c r="G90" s="248"/>
      <c r="H90" s="241"/>
      <c r="I90" s="249"/>
      <c r="J90" s="250"/>
      <c r="K90" s="251"/>
      <c r="L90" s="252"/>
      <c r="M90" s="249"/>
      <c r="N90" s="250"/>
      <c r="O90" s="251"/>
      <c r="P90" s="252"/>
      <c r="Q90" s="249"/>
      <c r="R90" s="250"/>
      <c r="S90" s="251"/>
      <c r="T90" s="252"/>
      <c r="U90" s="249"/>
      <c r="V90" s="250"/>
      <c r="W90" s="251"/>
      <c r="X90" s="252"/>
      <c r="Y90" s="249"/>
      <c r="Z90" s="250"/>
      <c r="AA90" s="251"/>
      <c r="AB90" s="252"/>
      <c r="AC90" s="249"/>
      <c r="AD90" s="250"/>
      <c r="AE90" s="251"/>
      <c r="AF90" s="252"/>
      <c r="AG90" s="253"/>
      <c r="AH90" s="254"/>
      <c r="AI90" s="255"/>
      <c r="AJ90" s="256"/>
    </row>
    <row r="91" spans="1:36" s="106" customFormat="1" x14ac:dyDescent="0.25">
      <c r="A91" s="107" t="str">
        <f>IF(H91&lt;&gt;"",MAX($A$7:A90)+1,"")</f>
        <v/>
      </c>
      <c r="B91" s="244" t="str">
        <f t="shared" si="4"/>
        <v/>
      </c>
      <c r="C91" s="62" t="str">
        <f t="shared" si="5"/>
        <v/>
      </c>
      <c r="D91" s="246"/>
      <c r="E91" s="247"/>
      <c r="F91" s="247"/>
      <c r="G91" s="248"/>
      <c r="H91" s="241"/>
      <c r="I91" s="249"/>
      <c r="J91" s="250"/>
      <c r="K91" s="251"/>
      <c r="L91" s="252"/>
      <c r="M91" s="249"/>
      <c r="N91" s="250"/>
      <c r="O91" s="251"/>
      <c r="P91" s="252"/>
      <c r="Q91" s="249"/>
      <c r="R91" s="250"/>
      <c r="S91" s="251"/>
      <c r="T91" s="252"/>
      <c r="U91" s="249"/>
      <c r="V91" s="250"/>
      <c r="W91" s="251"/>
      <c r="X91" s="252"/>
      <c r="Y91" s="249"/>
      <c r="Z91" s="250"/>
      <c r="AA91" s="251"/>
      <c r="AB91" s="252"/>
      <c r="AC91" s="249"/>
      <c r="AD91" s="250"/>
      <c r="AE91" s="251"/>
      <c r="AF91" s="252"/>
      <c r="AG91" s="253"/>
      <c r="AH91" s="254"/>
      <c r="AI91" s="255"/>
      <c r="AJ91" s="256"/>
    </row>
    <row r="92" spans="1:36" s="106" customFormat="1" x14ac:dyDescent="0.25">
      <c r="A92" s="107" t="str">
        <f>IF(H92&lt;&gt;"",MAX($A$7:A91)+1,"")</f>
        <v/>
      </c>
      <c r="B92" s="244" t="str">
        <f t="shared" si="4"/>
        <v/>
      </c>
      <c r="C92" s="62" t="str">
        <f t="shared" si="5"/>
        <v/>
      </c>
      <c r="D92" s="246"/>
      <c r="E92" s="247"/>
      <c r="F92" s="247"/>
      <c r="G92" s="248"/>
      <c r="H92" s="241"/>
      <c r="I92" s="249"/>
      <c r="J92" s="250"/>
      <c r="K92" s="251"/>
      <c r="L92" s="252"/>
      <c r="M92" s="249"/>
      <c r="N92" s="250"/>
      <c r="O92" s="251"/>
      <c r="P92" s="252"/>
      <c r="Q92" s="249"/>
      <c r="R92" s="250"/>
      <c r="S92" s="251"/>
      <c r="T92" s="252"/>
      <c r="U92" s="249"/>
      <c r="V92" s="250"/>
      <c r="W92" s="251"/>
      <c r="X92" s="252"/>
      <c r="Y92" s="249"/>
      <c r="Z92" s="250"/>
      <c r="AA92" s="251"/>
      <c r="AB92" s="252"/>
      <c r="AC92" s="249"/>
      <c r="AD92" s="250"/>
      <c r="AE92" s="251"/>
      <c r="AF92" s="252"/>
      <c r="AG92" s="253"/>
      <c r="AH92" s="254"/>
      <c r="AI92" s="255"/>
      <c r="AJ92" s="256"/>
    </row>
    <row r="93" spans="1:36" s="106" customFormat="1" x14ac:dyDescent="0.25">
      <c r="A93" s="107" t="str">
        <f>IF(H93&lt;&gt;"",MAX($A$7:A92)+1,"")</f>
        <v/>
      </c>
      <c r="B93" s="244" t="str">
        <f t="shared" si="4"/>
        <v/>
      </c>
      <c r="C93" s="62" t="str">
        <f t="shared" si="5"/>
        <v/>
      </c>
      <c r="D93" s="246"/>
      <c r="E93" s="247"/>
      <c r="F93" s="247"/>
      <c r="G93" s="248"/>
      <c r="H93" s="241"/>
      <c r="I93" s="249"/>
      <c r="J93" s="250"/>
      <c r="K93" s="251"/>
      <c r="L93" s="252"/>
      <c r="M93" s="249"/>
      <c r="N93" s="250"/>
      <c r="O93" s="251"/>
      <c r="P93" s="252"/>
      <c r="Q93" s="249"/>
      <c r="R93" s="250"/>
      <c r="S93" s="251"/>
      <c r="T93" s="252"/>
      <c r="U93" s="249"/>
      <c r="V93" s="250"/>
      <c r="W93" s="251"/>
      <c r="X93" s="252"/>
      <c r="Y93" s="249"/>
      <c r="Z93" s="250"/>
      <c r="AA93" s="251"/>
      <c r="AB93" s="252"/>
      <c r="AC93" s="249"/>
      <c r="AD93" s="250"/>
      <c r="AE93" s="251"/>
      <c r="AF93" s="252"/>
      <c r="AG93" s="253"/>
      <c r="AH93" s="254"/>
      <c r="AI93" s="255"/>
      <c r="AJ93" s="256"/>
    </row>
    <row r="94" spans="1:36" s="106" customFormat="1" x14ac:dyDescent="0.25">
      <c r="A94" s="107" t="str">
        <f>IF(H94&lt;&gt;"",MAX($A$7:A93)+1,"")</f>
        <v/>
      </c>
      <c r="B94" s="244" t="str">
        <f t="shared" si="4"/>
        <v/>
      </c>
      <c r="C94" s="62" t="str">
        <f t="shared" si="5"/>
        <v/>
      </c>
      <c r="D94" s="246"/>
      <c r="E94" s="247"/>
      <c r="F94" s="247"/>
      <c r="G94" s="248"/>
      <c r="H94" s="241"/>
      <c r="I94" s="249"/>
      <c r="J94" s="250"/>
      <c r="K94" s="251"/>
      <c r="L94" s="252"/>
      <c r="M94" s="249"/>
      <c r="N94" s="250"/>
      <c r="O94" s="251"/>
      <c r="P94" s="252"/>
      <c r="Q94" s="249"/>
      <c r="R94" s="250"/>
      <c r="S94" s="251"/>
      <c r="T94" s="252"/>
      <c r="U94" s="249"/>
      <c r="V94" s="250"/>
      <c r="W94" s="251"/>
      <c r="X94" s="252"/>
      <c r="Y94" s="249"/>
      <c r="Z94" s="250"/>
      <c r="AA94" s="251"/>
      <c r="AB94" s="252"/>
      <c r="AC94" s="249"/>
      <c r="AD94" s="250"/>
      <c r="AE94" s="251"/>
      <c r="AF94" s="252"/>
      <c r="AG94" s="253"/>
      <c r="AH94" s="254"/>
      <c r="AI94" s="255"/>
      <c r="AJ94" s="256"/>
    </row>
    <row r="95" spans="1:36" s="106" customFormat="1" x14ac:dyDescent="0.25">
      <c r="A95" s="107" t="str">
        <f>IF(H95&lt;&gt;"",MAX($A$7:A94)+1,"")</f>
        <v/>
      </c>
      <c r="B95" s="244" t="str">
        <f t="shared" si="4"/>
        <v/>
      </c>
      <c r="C95" s="62" t="str">
        <f t="shared" si="5"/>
        <v/>
      </c>
      <c r="D95" s="246"/>
      <c r="E95" s="247"/>
      <c r="F95" s="247"/>
      <c r="G95" s="248"/>
      <c r="H95" s="241"/>
      <c r="I95" s="249"/>
      <c r="J95" s="250"/>
      <c r="K95" s="251"/>
      <c r="L95" s="252"/>
      <c r="M95" s="249"/>
      <c r="N95" s="250"/>
      <c r="O95" s="251"/>
      <c r="P95" s="252"/>
      <c r="Q95" s="249"/>
      <c r="R95" s="250"/>
      <c r="S95" s="251"/>
      <c r="T95" s="252"/>
      <c r="U95" s="249"/>
      <c r="V95" s="250"/>
      <c r="W95" s="251"/>
      <c r="X95" s="252"/>
      <c r="Y95" s="249"/>
      <c r="Z95" s="250"/>
      <c r="AA95" s="251"/>
      <c r="AB95" s="252"/>
      <c r="AC95" s="249"/>
      <c r="AD95" s="250"/>
      <c r="AE95" s="251"/>
      <c r="AF95" s="252"/>
      <c r="AG95" s="253"/>
      <c r="AH95" s="254"/>
      <c r="AI95" s="255"/>
      <c r="AJ95" s="256"/>
    </row>
    <row r="96" spans="1:36" s="106" customFormat="1" x14ac:dyDescent="0.25">
      <c r="A96" s="107" t="str">
        <f>IF(H96&lt;&gt;"",MAX($A$7:A95)+1,"")</f>
        <v/>
      </c>
      <c r="B96" s="244" t="str">
        <f t="shared" si="4"/>
        <v/>
      </c>
      <c r="C96" s="62" t="str">
        <f t="shared" si="5"/>
        <v/>
      </c>
      <c r="D96" s="246"/>
      <c r="E96" s="247"/>
      <c r="F96" s="247"/>
      <c r="G96" s="248"/>
      <c r="H96" s="241"/>
      <c r="I96" s="249"/>
      <c r="J96" s="250"/>
      <c r="K96" s="251"/>
      <c r="L96" s="252"/>
      <c r="M96" s="249"/>
      <c r="N96" s="250"/>
      <c r="O96" s="251"/>
      <c r="P96" s="252"/>
      <c r="Q96" s="249"/>
      <c r="R96" s="250"/>
      <c r="S96" s="251"/>
      <c r="T96" s="252"/>
      <c r="U96" s="249"/>
      <c r="V96" s="250"/>
      <c r="W96" s="251"/>
      <c r="X96" s="252"/>
      <c r="Y96" s="249"/>
      <c r="Z96" s="250"/>
      <c r="AA96" s="251"/>
      <c r="AB96" s="252"/>
      <c r="AC96" s="249"/>
      <c r="AD96" s="250"/>
      <c r="AE96" s="251"/>
      <c r="AF96" s="252"/>
      <c r="AG96" s="253"/>
      <c r="AH96" s="254"/>
      <c r="AI96" s="255"/>
      <c r="AJ96" s="256"/>
    </row>
    <row r="97" spans="1:36" s="106" customFormat="1" x14ac:dyDescent="0.25">
      <c r="A97" s="107" t="str">
        <f>IF(H97&lt;&gt;"",MAX($A$7:A96)+1,"")</f>
        <v/>
      </c>
      <c r="B97" s="244" t="str">
        <f t="shared" si="4"/>
        <v/>
      </c>
      <c r="C97" s="62" t="str">
        <f t="shared" si="5"/>
        <v/>
      </c>
      <c r="D97" s="246"/>
      <c r="E97" s="247"/>
      <c r="F97" s="247"/>
      <c r="G97" s="248"/>
      <c r="H97" s="241"/>
      <c r="I97" s="249"/>
      <c r="J97" s="250"/>
      <c r="K97" s="251"/>
      <c r="L97" s="252"/>
      <c r="M97" s="249"/>
      <c r="N97" s="250"/>
      <c r="O97" s="251"/>
      <c r="P97" s="252"/>
      <c r="Q97" s="249"/>
      <c r="R97" s="250"/>
      <c r="S97" s="251"/>
      <c r="T97" s="252"/>
      <c r="U97" s="249"/>
      <c r="V97" s="250"/>
      <c r="W97" s="251"/>
      <c r="X97" s="252"/>
      <c r="Y97" s="249"/>
      <c r="Z97" s="250"/>
      <c r="AA97" s="251"/>
      <c r="AB97" s="252"/>
      <c r="AC97" s="249"/>
      <c r="AD97" s="250"/>
      <c r="AE97" s="251"/>
      <c r="AF97" s="252"/>
      <c r="AG97" s="253"/>
      <c r="AH97" s="254"/>
      <c r="AI97" s="255"/>
      <c r="AJ97" s="256"/>
    </row>
    <row r="98" spans="1:36" s="106" customFormat="1" x14ac:dyDescent="0.25">
      <c r="A98" s="107" t="str">
        <f>IF(H98&lt;&gt;"",MAX($A$7:A97)+1,"")</f>
        <v/>
      </c>
      <c r="B98" s="244" t="str">
        <f t="shared" si="4"/>
        <v/>
      </c>
      <c r="C98" s="62" t="str">
        <f t="shared" si="5"/>
        <v/>
      </c>
      <c r="D98" s="246"/>
      <c r="E98" s="247"/>
      <c r="F98" s="247"/>
      <c r="G98" s="248"/>
      <c r="H98" s="241"/>
      <c r="I98" s="249"/>
      <c r="J98" s="250"/>
      <c r="K98" s="251"/>
      <c r="L98" s="252"/>
      <c r="M98" s="249"/>
      <c r="N98" s="250"/>
      <c r="O98" s="251"/>
      <c r="P98" s="252"/>
      <c r="Q98" s="249"/>
      <c r="R98" s="250"/>
      <c r="S98" s="251"/>
      <c r="T98" s="252"/>
      <c r="U98" s="249"/>
      <c r="V98" s="250"/>
      <c r="W98" s="251"/>
      <c r="X98" s="252"/>
      <c r="Y98" s="249"/>
      <c r="Z98" s="250"/>
      <c r="AA98" s="251"/>
      <c r="AB98" s="252"/>
      <c r="AC98" s="249"/>
      <c r="AD98" s="250"/>
      <c r="AE98" s="251"/>
      <c r="AF98" s="252"/>
      <c r="AG98" s="253"/>
      <c r="AH98" s="254"/>
      <c r="AI98" s="255"/>
      <c r="AJ98" s="256"/>
    </row>
    <row r="99" spans="1:36" s="106" customFormat="1" x14ac:dyDescent="0.25">
      <c r="A99" s="107" t="str">
        <f>IF(H99&lt;&gt;"",MAX($A$7:A98)+1,"")</f>
        <v/>
      </c>
      <c r="B99" s="244" t="str">
        <f t="shared" si="4"/>
        <v/>
      </c>
      <c r="C99" s="62" t="str">
        <f t="shared" si="5"/>
        <v/>
      </c>
      <c r="D99" s="246"/>
      <c r="E99" s="247"/>
      <c r="F99" s="247"/>
      <c r="G99" s="248"/>
      <c r="H99" s="241"/>
      <c r="I99" s="249"/>
      <c r="J99" s="250"/>
      <c r="K99" s="251"/>
      <c r="L99" s="252"/>
      <c r="M99" s="249"/>
      <c r="N99" s="250"/>
      <c r="O99" s="251"/>
      <c r="P99" s="252"/>
      <c r="Q99" s="249"/>
      <c r="R99" s="250"/>
      <c r="S99" s="251"/>
      <c r="T99" s="252"/>
      <c r="U99" s="249"/>
      <c r="V99" s="250"/>
      <c r="W99" s="251"/>
      <c r="X99" s="252"/>
      <c r="Y99" s="249"/>
      <c r="Z99" s="250"/>
      <c r="AA99" s="251"/>
      <c r="AB99" s="252"/>
      <c r="AC99" s="249"/>
      <c r="AD99" s="250"/>
      <c r="AE99" s="251"/>
      <c r="AF99" s="252"/>
      <c r="AG99" s="253"/>
      <c r="AH99" s="254"/>
      <c r="AI99" s="255"/>
      <c r="AJ99" s="256"/>
    </row>
    <row r="100" spans="1:36" s="106" customFormat="1" x14ac:dyDescent="0.25">
      <c r="A100" s="107" t="str">
        <f>IF(H100&lt;&gt;"",MAX($A$7:A99)+1,"")</f>
        <v/>
      </c>
      <c r="B100" s="244" t="str">
        <f t="shared" si="4"/>
        <v/>
      </c>
      <c r="C100" s="62" t="str">
        <f t="shared" si="5"/>
        <v/>
      </c>
      <c r="D100" s="246"/>
      <c r="E100" s="247"/>
      <c r="F100" s="247"/>
      <c r="G100" s="248"/>
      <c r="H100" s="241"/>
      <c r="I100" s="249"/>
      <c r="J100" s="250"/>
      <c r="K100" s="251"/>
      <c r="L100" s="252"/>
      <c r="M100" s="249"/>
      <c r="N100" s="250"/>
      <c r="O100" s="251"/>
      <c r="P100" s="252"/>
      <c r="Q100" s="249"/>
      <c r="R100" s="250"/>
      <c r="S100" s="251"/>
      <c r="T100" s="252"/>
      <c r="U100" s="249"/>
      <c r="V100" s="250"/>
      <c r="W100" s="251"/>
      <c r="X100" s="252"/>
      <c r="Y100" s="249"/>
      <c r="Z100" s="250"/>
      <c r="AA100" s="251"/>
      <c r="AB100" s="252"/>
      <c r="AC100" s="249"/>
      <c r="AD100" s="250"/>
      <c r="AE100" s="251"/>
      <c r="AF100" s="252"/>
      <c r="AG100" s="253"/>
      <c r="AH100" s="254"/>
      <c r="AI100" s="255"/>
      <c r="AJ100" s="256"/>
    </row>
    <row r="101" spans="1:36" s="106" customFormat="1" x14ac:dyDescent="0.25">
      <c r="A101" s="107" t="str">
        <f>IF(H101&lt;&gt;"",MAX($A$7:A100)+1,"")</f>
        <v/>
      </c>
      <c r="B101" s="244" t="str">
        <f t="shared" si="4"/>
        <v/>
      </c>
      <c r="C101" s="62" t="str">
        <f t="shared" si="5"/>
        <v/>
      </c>
      <c r="D101" s="246"/>
      <c r="E101" s="247"/>
      <c r="F101" s="247"/>
      <c r="G101" s="248"/>
      <c r="H101" s="241"/>
      <c r="I101" s="249"/>
      <c r="J101" s="250"/>
      <c r="K101" s="251"/>
      <c r="L101" s="252"/>
      <c r="M101" s="249"/>
      <c r="N101" s="250"/>
      <c r="O101" s="251"/>
      <c r="P101" s="252"/>
      <c r="Q101" s="249"/>
      <c r="R101" s="250"/>
      <c r="S101" s="251"/>
      <c r="T101" s="252"/>
      <c r="U101" s="249"/>
      <c r="V101" s="250"/>
      <c r="W101" s="251"/>
      <c r="X101" s="252"/>
      <c r="Y101" s="249"/>
      <c r="Z101" s="250"/>
      <c r="AA101" s="251"/>
      <c r="AB101" s="252"/>
      <c r="AC101" s="249"/>
      <c r="AD101" s="250"/>
      <c r="AE101" s="251"/>
      <c r="AF101" s="252"/>
      <c r="AG101" s="253"/>
      <c r="AH101" s="254"/>
      <c r="AI101" s="255"/>
      <c r="AJ101" s="256"/>
    </row>
    <row r="102" spans="1:36" s="106" customFormat="1" x14ac:dyDescent="0.25">
      <c r="A102" s="107" t="str">
        <f>IF(H102&lt;&gt;"",MAX($A$7:A101)+1,"")</f>
        <v/>
      </c>
      <c r="B102" s="244" t="str">
        <f t="shared" si="4"/>
        <v/>
      </c>
      <c r="C102" s="62" t="str">
        <f t="shared" si="5"/>
        <v/>
      </c>
      <c r="D102" s="246"/>
      <c r="E102" s="247"/>
      <c r="F102" s="247"/>
      <c r="G102" s="248"/>
      <c r="H102" s="241"/>
      <c r="I102" s="249"/>
      <c r="J102" s="250"/>
      <c r="K102" s="251"/>
      <c r="L102" s="252"/>
      <c r="M102" s="249"/>
      <c r="N102" s="250"/>
      <c r="O102" s="251"/>
      <c r="P102" s="252"/>
      <c r="Q102" s="249"/>
      <c r="R102" s="250"/>
      <c r="S102" s="251"/>
      <c r="T102" s="252"/>
      <c r="U102" s="249"/>
      <c r="V102" s="250"/>
      <c r="W102" s="251"/>
      <c r="X102" s="252"/>
      <c r="Y102" s="249"/>
      <c r="Z102" s="250"/>
      <c r="AA102" s="251"/>
      <c r="AB102" s="252"/>
      <c r="AC102" s="249"/>
      <c r="AD102" s="250"/>
      <c r="AE102" s="251"/>
      <c r="AF102" s="252"/>
      <c r="AG102" s="253"/>
      <c r="AH102" s="254"/>
      <c r="AI102" s="255"/>
      <c r="AJ102" s="256"/>
    </row>
    <row r="103" spans="1:36" s="106" customFormat="1" x14ac:dyDescent="0.25">
      <c r="A103" s="107" t="str">
        <f>IF(H103&lt;&gt;"",MAX($A$7:A102)+1,"")</f>
        <v/>
      </c>
      <c r="B103" s="244" t="str">
        <f t="shared" si="4"/>
        <v/>
      </c>
      <c r="C103" s="62" t="str">
        <f t="shared" si="5"/>
        <v/>
      </c>
      <c r="D103" s="246"/>
      <c r="E103" s="247"/>
      <c r="F103" s="247"/>
      <c r="G103" s="248"/>
      <c r="H103" s="241"/>
      <c r="I103" s="249"/>
      <c r="J103" s="250"/>
      <c r="K103" s="251"/>
      <c r="L103" s="252"/>
      <c r="M103" s="249"/>
      <c r="N103" s="250"/>
      <c r="O103" s="251"/>
      <c r="P103" s="252"/>
      <c r="Q103" s="249"/>
      <c r="R103" s="250"/>
      <c r="S103" s="251"/>
      <c r="T103" s="252"/>
      <c r="U103" s="249"/>
      <c r="V103" s="250"/>
      <c r="W103" s="251"/>
      <c r="X103" s="252"/>
      <c r="Y103" s="249"/>
      <c r="Z103" s="250"/>
      <c r="AA103" s="251"/>
      <c r="AB103" s="252"/>
      <c r="AC103" s="249"/>
      <c r="AD103" s="250"/>
      <c r="AE103" s="251"/>
      <c r="AF103" s="252"/>
      <c r="AG103" s="253"/>
      <c r="AH103" s="254"/>
      <c r="AI103" s="255"/>
      <c r="AJ103" s="256"/>
    </row>
    <row r="104" spans="1:36" s="106" customFormat="1" x14ac:dyDescent="0.25">
      <c r="A104" s="107" t="str">
        <f>IF(H104&lt;&gt;"",MAX($A$7:A103)+1,"")</f>
        <v/>
      </c>
      <c r="B104" s="244" t="str">
        <f t="shared" si="4"/>
        <v/>
      </c>
      <c r="C104" s="62" t="str">
        <f t="shared" si="5"/>
        <v/>
      </c>
      <c r="D104" s="246"/>
      <c r="E104" s="247"/>
      <c r="F104" s="247"/>
      <c r="G104" s="248"/>
      <c r="H104" s="241"/>
      <c r="I104" s="249"/>
      <c r="J104" s="250"/>
      <c r="K104" s="251"/>
      <c r="L104" s="252"/>
      <c r="M104" s="249"/>
      <c r="N104" s="250"/>
      <c r="O104" s="251"/>
      <c r="P104" s="252"/>
      <c r="Q104" s="249"/>
      <c r="R104" s="250"/>
      <c r="S104" s="251"/>
      <c r="T104" s="252"/>
      <c r="U104" s="249"/>
      <c r="V104" s="250"/>
      <c r="W104" s="251"/>
      <c r="X104" s="252"/>
      <c r="Y104" s="249"/>
      <c r="Z104" s="250"/>
      <c r="AA104" s="251"/>
      <c r="AB104" s="252"/>
      <c r="AC104" s="249"/>
      <c r="AD104" s="250"/>
      <c r="AE104" s="251"/>
      <c r="AF104" s="252"/>
      <c r="AG104" s="253"/>
      <c r="AH104" s="254"/>
      <c r="AI104" s="255"/>
      <c r="AJ104" s="256"/>
    </row>
    <row r="105" spans="1:36" s="106" customFormat="1" x14ac:dyDescent="0.25">
      <c r="A105" s="107" t="str">
        <f>IF(H105&lt;&gt;"",MAX($A$7:A104)+1,"")</f>
        <v/>
      </c>
      <c r="B105" s="244" t="str">
        <f t="shared" si="4"/>
        <v/>
      </c>
      <c r="C105" s="62" t="str">
        <f t="shared" si="5"/>
        <v/>
      </c>
      <c r="D105" s="246"/>
      <c r="E105" s="247"/>
      <c r="F105" s="247"/>
      <c r="G105" s="248"/>
      <c r="H105" s="241"/>
      <c r="I105" s="249"/>
      <c r="J105" s="250"/>
      <c r="K105" s="251"/>
      <c r="L105" s="252"/>
      <c r="M105" s="249"/>
      <c r="N105" s="250"/>
      <c r="O105" s="251"/>
      <c r="P105" s="252"/>
      <c r="Q105" s="249"/>
      <c r="R105" s="250"/>
      <c r="S105" s="251"/>
      <c r="T105" s="252"/>
      <c r="U105" s="249"/>
      <c r="V105" s="250"/>
      <c r="W105" s="251"/>
      <c r="X105" s="252"/>
      <c r="Y105" s="249"/>
      <c r="Z105" s="250"/>
      <c r="AA105" s="251"/>
      <c r="AB105" s="252"/>
      <c r="AC105" s="249"/>
      <c r="AD105" s="250"/>
      <c r="AE105" s="251"/>
      <c r="AF105" s="252"/>
      <c r="AG105" s="253"/>
      <c r="AH105" s="254"/>
      <c r="AI105" s="255"/>
      <c r="AJ105" s="256"/>
    </row>
    <row r="106" spans="1:36" s="106" customFormat="1" x14ac:dyDescent="0.25">
      <c r="A106" s="107" t="str">
        <f>IF(H106&lt;&gt;"",MAX($A$7:A105)+1,"")</f>
        <v/>
      </c>
      <c r="B106" s="244" t="str">
        <f t="shared" si="4"/>
        <v/>
      </c>
      <c r="C106" s="62" t="str">
        <f t="shared" si="5"/>
        <v/>
      </c>
      <c r="D106" s="246"/>
      <c r="E106" s="247"/>
      <c r="F106" s="247"/>
      <c r="G106" s="248"/>
      <c r="H106" s="241"/>
      <c r="I106" s="249"/>
      <c r="J106" s="250"/>
      <c r="K106" s="251"/>
      <c r="L106" s="252"/>
      <c r="M106" s="249"/>
      <c r="N106" s="250"/>
      <c r="O106" s="251"/>
      <c r="P106" s="252"/>
      <c r="Q106" s="249"/>
      <c r="R106" s="250"/>
      <c r="S106" s="251"/>
      <c r="T106" s="252"/>
      <c r="U106" s="249"/>
      <c r="V106" s="250"/>
      <c r="W106" s="251"/>
      <c r="X106" s="252"/>
      <c r="Y106" s="249"/>
      <c r="Z106" s="250"/>
      <c r="AA106" s="251"/>
      <c r="AB106" s="252"/>
      <c r="AC106" s="249"/>
      <c r="AD106" s="250"/>
      <c r="AE106" s="251"/>
      <c r="AF106" s="252"/>
      <c r="AG106" s="253"/>
      <c r="AH106" s="254"/>
      <c r="AI106" s="255"/>
      <c r="AJ106" s="256"/>
    </row>
    <row r="107" spans="1:36" s="106" customFormat="1" x14ac:dyDescent="0.25">
      <c r="A107" s="107" t="str">
        <f>IF(H107&lt;&gt;"",MAX($A$7:A106)+1,"")</f>
        <v/>
      </c>
      <c r="B107" s="244" t="str">
        <f t="shared" si="4"/>
        <v/>
      </c>
      <c r="C107" s="62" t="str">
        <f t="shared" si="5"/>
        <v/>
      </c>
      <c r="D107" s="246"/>
      <c r="E107" s="247"/>
      <c r="F107" s="247"/>
      <c r="G107" s="248"/>
      <c r="H107" s="241"/>
      <c r="I107" s="249"/>
      <c r="J107" s="250"/>
      <c r="K107" s="251"/>
      <c r="L107" s="252"/>
      <c r="M107" s="249"/>
      <c r="N107" s="250"/>
      <c r="O107" s="251"/>
      <c r="P107" s="252"/>
      <c r="Q107" s="249"/>
      <c r="R107" s="250"/>
      <c r="S107" s="251"/>
      <c r="T107" s="252"/>
      <c r="U107" s="249"/>
      <c r="V107" s="250"/>
      <c r="W107" s="251"/>
      <c r="X107" s="252"/>
      <c r="Y107" s="249"/>
      <c r="Z107" s="250"/>
      <c r="AA107" s="251"/>
      <c r="AB107" s="252"/>
      <c r="AC107" s="249"/>
      <c r="AD107" s="250"/>
      <c r="AE107" s="251"/>
      <c r="AF107" s="252"/>
      <c r="AG107" s="253"/>
      <c r="AH107" s="254"/>
      <c r="AI107" s="255"/>
      <c r="AJ107" s="256"/>
    </row>
    <row r="108" spans="1:36" s="106" customFormat="1" x14ac:dyDescent="0.25">
      <c r="A108" s="107" t="str">
        <f>IF(H108&lt;&gt;"",MAX($A$7:A107)+1,"")</f>
        <v/>
      </c>
      <c r="B108" s="244" t="str">
        <f t="shared" si="4"/>
        <v/>
      </c>
      <c r="C108" s="62" t="str">
        <f t="shared" si="5"/>
        <v/>
      </c>
      <c r="D108" s="246"/>
      <c r="E108" s="247"/>
      <c r="F108" s="247"/>
      <c r="G108" s="248"/>
      <c r="H108" s="241"/>
      <c r="I108" s="249"/>
      <c r="J108" s="250"/>
      <c r="K108" s="251"/>
      <c r="L108" s="252"/>
      <c r="M108" s="249"/>
      <c r="N108" s="250"/>
      <c r="O108" s="251"/>
      <c r="P108" s="252"/>
      <c r="Q108" s="249"/>
      <c r="R108" s="250"/>
      <c r="S108" s="251"/>
      <c r="T108" s="252"/>
      <c r="U108" s="249"/>
      <c r="V108" s="250"/>
      <c r="W108" s="251"/>
      <c r="X108" s="252"/>
      <c r="Y108" s="249"/>
      <c r="Z108" s="250"/>
      <c r="AA108" s="251"/>
      <c r="AB108" s="252"/>
      <c r="AC108" s="249"/>
      <c r="AD108" s="250"/>
      <c r="AE108" s="251"/>
      <c r="AF108" s="252"/>
      <c r="AG108" s="253"/>
      <c r="AH108" s="254"/>
      <c r="AI108" s="255"/>
      <c r="AJ108" s="256"/>
    </row>
    <row r="109" spans="1:36" s="106" customFormat="1" x14ac:dyDescent="0.25">
      <c r="A109" s="107" t="str">
        <f>IF(H109&lt;&gt;"",MAX($A$7:A108)+1,"")</f>
        <v/>
      </c>
      <c r="B109" s="244" t="str">
        <f t="shared" si="4"/>
        <v/>
      </c>
      <c r="C109" s="62" t="str">
        <f t="shared" si="5"/>
        <v/>
      </c>
      <c r="D109" s="246"/>
      <c r="E109" s="247"/>
      <c r="F109" s="247"/>
      <c r="G109" s="248"/>
      <c r="H109" s="241"/>
      <c r="I109" s="249"/>
      <c r="J109" s="250"/>
      <c r="K109" s="251"/>
      <c r="L109" s="252"/>
      <c r="M109" s="249"/>
      <c r="N109" s="250"/>
      <c r="O109" s="251"/>
      <c r="P109" s="252"/>
      <c r="Q109" s="249"/>
      <c r="R109" s="250"/>
      <c r="S109" s="251"/>
      <c r="T109" s="252"/>
      <c r="U109" s="249"/>
      <c r="V109" s="250"/>
      <c r="W109" s="251"/>
      <c r="X109" s="252"/>
      <c r="Y109" s="249"/>
      <c r="Z109" s="250"/>
      <c r="AA109" s="251"/>
      <c r="AB109" s="252"/>
      <c r="AC109" s="249"/>
      <c r="AD109" s="250"/>
      <c r="AE109" s="251"/>
      <c r="AF109" s="252"/>
      <c r="AG109" s="253"/>
      <c r="AH109" s="254"/>
      <c r="AI109" s="255"/>
      <c r="AJ109" s="256"/>
    </row>
    <row r="110" spans="1:36" s="106" customFormat="1" x14ac:dyDescent="0.25">
      <c r="A110" s="107" t="str">
        <f>IF(H110&lt;&gt;"",MAX($A$7:A109)+1,"")</f>
        <v/>
      </c>
      <c r="B110" s="244" t="str">
        <f t="shared" si="4"/>
        <v/>
      </c>
      <c r="C110" s="62" t="str">
        <f t="shared" si="5"/>
        <v/>
      </c>
      <c r="D110" s="246"/>
      <c r="E110" s="247"/>
      <c r="F110" s="247"/>
      <c r="G110" s="248"/>
      <c r="H110" s="241"/>
      <c r="I110" s="249"/>
      <c r="J110" s="250"/>
      <c r="K110" s="251"/>
      <c r="L110" s="252"/>
      <c r="M110" s="249"/>
      <c r="N110" s="250"/>
      <c r="O110" s="251"/>
      <c r="P110" s="252"/>
      <c r="Q110" s="249"/>
      <c r="R110" s="250"/>
      <c r="S110" s="251"/>
      <c r="T110" s="252"/>
      <c r="U110" s="249"/>
      <c r="V110" s="250"/>
      <c r="W110" s="251"/>
      <c r="X110" s="252"/>
      <c r="Y110" s="249"/>
      <c r="Z110" s="250"/>
      <c r="AA110" s="251"/>
      <c r="AB110" s="252"/>
      <c r="AC110" s="249"/>
      <c r="AD110" s="250"/>
      <c r="AE110" s="251"/>
      <c r="AF110" s="252"/>
      <c r="AG110" s="253"/>
      <c r="AH110" s="254"/>
      <c r="AI110" s="255"/>
      <c r="AJ110" s="256"/>
    </row>
    <row r="111" spans="1:36" s="106" customFormat="1" x14ac:dyDescent="0.25">
      <c r="A111" s="107" t="str">
        <f>IF(H111&lt;&gt;"",MAX($A$7:A110)+1,"")</f>
        <v/>
      </c>
      <c r="B111" s="244" t="str">
        <f t="shared" si="4"/>
        <v/>
      </c>
      <c r="C111" s="62" t="str">
        <f t="shared" si="5"/>
        <v/>
      </c>
      <c r="D111" s="246"/>
      <c r="E111" s="247"/>
      <c r="F111" s="247"/>
      <c r="G111" s="248"/>
      <c r="H111" s="241"/>
      <c r="I111" s="249"/>
      <c r="J111" s="250"/>
      <c r="K111" s="251"/>
      <c r="L111" s="252"/>
      <c r="M111" s="249"/>
      <c r="N111" s="250"/>
      <c r="O111" s="251"/>
      <c r="P111" s="252"/>
      <c r="Q111" s="249"/>
      <c r="R111" s="250"/>
      <c r="S111" s="251"/>
      <c r="T111" s="252"/>
      <c r="U111" s="249"/>
      <c r="V111" s="250"/>
      <c r="W111" s="251"/>
      <c r="X111" s="252"/>
      <c r="Y111" s="249"/>
      <c r="Z111" s="250"/>
      <c r="AA111" s="251"/>
      <c r="AB111" s="252"/>
      <c r="AC111" s="249"/>
      <c r="AD111" s="250"/>
      <c r="AE111" s="251"/>
      <c r="AF111" s="252"/>
      <c r="AG111" s="253"/>
      <c r="AH111" s="254"/>
      <c r="AI111" s="255"/>
      <c r="AJ111" s="256"/>
    </row>
    <row r="112" spans="1:36" s="106" customFormat="1" x14ac:dyDescent="0.25">
      <c r="A112" s="107" t="str">
        <f>IF(H112&lt;&gt;"",MAX($A$7:A111)+1,"")</f>
        <v/>
      </c>
      <c r="B112" s="244" t="str">
        <f t="shared" si="4"/>
        <v/>
      </c>
      <c r="C112" s="62" t="str">
        <f t="shared" si="5"/>
        <v/>
      </c>
      <c r="D112" s="246"/>
      <c r="E112" s="247"/>
      <c r="F112" s="247"/>
      <c r="G112" s="248"/>
      <c r="H112" s="241"/>
      <c r="I112" s="249"/>
      <c r="J112" s="250"/>
      <c r="K112" s="251"/>
      <c r="L112" s="252"/>
      <c r="M112" s="249"/>
      <c r="N112" s="250"/>
      <c r="O112" s="251"/>
      <c r="P112" s="252"/>
      <c r="Q112" s="249"/>
      <c r="R112" s="250"/>
      <c r="S112" s="251"/>
      <c r="T112" s="252"/>
      <c r="U112" s="249"/>
      <c r="V112" s="250"/>
      <c r="W112" s="251"/>
      <c r="X112" s="252"/>
      <c r="Y112" s="249"/>
      <c r="Z112" s="250"/>
      <c r="AA112" s="251"/>
      <c r="AB112" s="252"/>
      <c r="AC112" s="249"/>
      <c r="AD112" s="250"/>
      <c r="AE112" s="251"/>
      <c r="AF112" s="252"/>
      <c r="AG112" s="253"/>
      <c r="AH112" s="254"/>
      <c r="AI112" s="255"/>
      <c r="AJ112" s="256"/>
    </row>
    <row r="113" spans="1:36" s="106" customFormat="1" x14ac:dyDescent="0.25">
      <c r="A113" s="107" t="str">
        <f>IF(H113&lt;&gt;"",MAX($A$7:A112)+1,"")</f>
        <v/>
      </c>
      <c r="B113" s="244" t="str">
        <f t="shared" si="4"/>
        <v/>
      </c>
      <c r="C113" s="62" t="str">
        <f t="shared" si="5"/>
        <v/>
      </c>
      <c r="D113" s="246"/>
      <c r="E113" s="247"/>
      <c r="F113" s="247"/>
      <c r="G113" s="248"/>
      <c r="H113" s="241"/>
      <c r="I113" s="249"/>
      <c r="J113" s="250"/>
      <c r="K113" s="251"/>
      <c r="L113" s="252"/>
      <c r="M113" s="249"/>
      <c r="N113" s="250"/>
      <c r="O113" s="251"/>
      <c r="P113" s="252"/>
      <c r="Q113" s="249"/>
      <c r="R113" s="250"/>
      <c r="S113" s="251"/>
      <c r="T113" s="252"/>
      <c r="U113" s="249"/>
      <c r="V113" s="250"/>
      <c r="W113" s="251"/>
      <c r="X113" s="252"/>
      <c r="Y113" s="249"/>
      <c r="Z113" s="250"/>
      <c r="AA113" s="251"/>
      <c r="AB113" s="252"/>
      <c r="AC113" s="249"/>
      <c r="AD113" s="250"/>
      <c r="AE113" s="251"/>
      <c r="AF113" s="252"/>
      <c r="AG113" s="253"/>
      <c r="AH113" s="254"/>
      <c r="AI113" s="255"/>
      <c r="AJ113" s="256"/>
    </row>
    <row r="114" spans="1:36" s="106" customFormat="1" x14ac:dyDescent="0.25">
      <c r="A114" s="107" t="str">
        <f>IF(H114&lt;&gt;"",MAX($A$7:A113)+1,"")</f>
        <v/>
      </c>
      <c r="B114" s="244" t="str">
        <f t="shared" si="4"/>
        <v/>
      </c>
      <c r="C114" s="62" t="str">
        <f t="shared" si="5"/>
        <v/>
      </c>
      <c r="D114" s="246"/>
      <c r="E114" s="247"/>
      <c r="F114" s="247"/>
      <c r="G114" s="248"/>
      <c r="H114" s="241"/>
      <c r="I114" s="249"/>
      <c r="J114" s="250"/>
      <c r="K114" s="251"/>
      <c r="L114" s="252"/>
      <c r="M114" s="249"/>
      <c r="N114" s="250"/>
      <c r="O114" s="251"/>
      <c r="P114" s="252"/>
      <c r="Q114" s="249"/>
      <c r="R114" s="250"/>
      <c r="S114" s="251"/>
      <c r="T114" s="252"/>
      <c r="U114" s="249"/>
      <c r="V114" s="250"/>
      <c r="W114" s="251"/>
      <c r="X114" s="252"/>
      <c r="Y114" s="249"/>
      <c r="Z114" s="250"/>
      <c r="AA114" s="251"/>
      <c r="AB114" s="252"/>
      <c r="AC114" s="249"/>
      <c r="AD114" s="250"/>
      <c r="AE114" s="251"/>
      <c r="AF114" s="252"/>
      <c r="AG114" s="253"/>
      <c r="AH114" s="254"/>
      <c r="AI114" s="255"/>
      <c r="AJ114" s="256"/>
    </row>
    <row r="115" spans="1:36" s="106" customFormat="1" x14ac:dyDescent="0.25">
      <c r="A115" s="107" t="str">
        <f>IF(H115&lt;&gt;"",MAX($A$7:A114)+1,"")</f>
        <v/>
      </c>
      <c r="B115" s="244" t="str">
        <f t="shared" si="4"/>
        <v/>
      </c>
      <c r="C115" s="62" t="str">
        <f t="shared" si="5"/>
        <v/>
      </c>
      <c r="D115" s="246"/>
      <c r="E115" s="247"/>
      <c r="F115" s="247"/>
      <c r="G115" s="248"/>
      <c r="H115" s="241"/>
      <c r="I115" s="249"/>
      <c r="J115" s="250"/>
      <c r="K115" s="251"/>
      <c r="L115" s="252"/>
      <c r="M115" s="249"/>
      <c r="N115" s="250"/>
      <c r="O115" s="251"/>
      <c r="P115" s="252"/>
      <c r="Q115" s="249"/>
      <c r="R115" s="250"/>
      <c r="S115" s="251"/>
      <c r="T115" s="252"/>
      <c r="U115" s="249"/>
      <c r="V115" s="250"/>
      <c r="W115" s="251"/>
      <c r="X115" s="252"/>
      <c r="Y115" s="249"/>
      <c r="Z115" s="250"/>
      <c r="AA115" s="251"/>
      <c r="AB115" s="252"/>
      <c r="AC115" s="249"/>
      <c r="AD115" s="250"/>
      <c r="AE115" s="251"/>
      <c r="AF115" s="252"/>
      <c r="AG115" s="253"/>
      <c r="AH115" s="254"/>
      <c r="AI115" s="255"/>
      <c r="AJ115" s="256"/>
    </row>
    <row r="116" spans="1:36" s="106" customFormat="1" x14ac:dyDescent="0.25">
      <c r="A116" s="107" t="str">
        <f>IF(H116&lt;&gt;"",MAX($A$7:A115)+1,"")</f>
        <v/>
      </c>
      <c r="B116" s="244" t="str">
        <f t="shared" si="4"/>
        <v/>
      </c>
      <c r="C116" s="62" t="str">
        <f t="shared" si="5"/>
        <v/>
      </c>
      <c r="D116" s="246"/>
      <c r="E116" s="247"/>
      <c r="F116" s="247"/>
      <c r="G116" s="248"/>
      <c r="H116" s="241"/>
      <c r="I116" s="249"/>
      <c r="J116" s="250"/>
      <c r="K116" s="251"/>
      <c r="L116" s="252"/>
      <c r="M116" s="249"/>
      <c r="N116" s="250"/>
      <c r="O116" s="251"/>
      <c r="P116" s="252"/>
      <c r="Q116" s="249"/>
      <c r="R116" s="250"/>
      <c r="S116" s="251"/>
      <c r="T116" s="252"/>
      <c r="U116" s="249"/>
      <c r="V116" s="250"/>
      <c r="W116" s="251"/>
      <c r="X116" s="252"/>
      <c r="Y116" s="249"/>
      <c r="Z116" s="250"/>
      <c r="AA116" s="251"/>
      <c r="AB116" s="252"/>
      <c r="AC116" s="249"/>
      <c r="AD116" s="250"/>
      <c r="AE116" s="251"/>
      <c r="AF116" s="252"/>
      <c r="AG116" s="253"/>
      <c r="AH116" s="254"/>
      <c r="AI116" s="255"/>
      <c r="AJ116" s="256"/>
    </row>
    <row r="117" spans="1:36" s="106" customFormat="1" x14ac:dyDescent="0.25">
      <c r="A117" s="107" t="str">
        <f>IF(H117&lt;&gt;"",MAX($A$7:A116)+1,"")</f>
        <v/>
      </c>
      <c r="B117" s="244" t="str">
        <f t="shared" si="4"/>
        <v/>
      </c>
      <c r="C117" s="62" t="str">
        <f t="shared" si="5"/>
        <v/>
      </c>
      <c r="D117" s="246"/>
      <c r="E117" s="247"/>
      <c r="F117" s="247"/>
      <c r="G117" s="248"/>
      <c r="H117" s="241"/>
      <c r="I117" s="249"/>
      <c r="J117" s="250"/>
      <c r="K117" s="251"/>
      <c r="L117" s="252"/>
      <c r="M117" s="249"/>
      <c r="N117" s="250"/>
      <c r="O117" s="251"/>
      <c r="P117" s="252"/>
      <c r="Q117" s="249"/>
      <c r="R117" s="250"/>
      <c r="S117" s="251"/>
      <c r="T117" s="252"/>
      <c r="U117" s="249"/>
      <c r="V117" s="250"/>
      <c r="W117" s="251"/>
      <c r="X117" s="252"/>
      <c r="Y117" s="249"/>
      <c r="Z117" s="250"/>
      <c r="AA117" s="251"/>
      <c r="AB117" s="252"/>
      <c r="AC117" s="249"/>
      <c r="AD117" s="250"/>
      <c r="AE117" s="251"/>
      <c r="AF117" s="252"/>
      <c r="AG117" s="253"/>
      <c r="AH117" s="254"/>
      <c r="AI117" s="255"/>
      <c r="AJ117" s="256"/>
    </row>
    <row r="118" spans="1:36" s="106" customFormat="1" x14ac:dyDescent="0.25">
      <c r="A118" s="107" t="str">
        <f>IF(H118&lt;&gt;"",MAX($A$7:A117)+1,"")</f>
        <v/>
      </c>
      <c r="B118" s="244" t="str">
        <f t="shared" si="4"/>
        <v/>
      </c>
      <c r="C118" s="62" t="str">
        <f t="shared" si="5"/>
        <v/>
      </c>
      <c r="D118" s="246"/>
      <c r="E118" s="247"/>
      <c r="F118" s="247"/>
      <c r="G118" s="248"/>
      <c r="H118" s="241"/>
      <c r="I118" s="249"/>
      <c r="J118" s="250"/>
      <c r="K118" s="251"/>
      <c r="L118" s="252"/>
      <c r="M118" s="249"/>
      <c r="N118" s="250"/>
      <c r="O118" s="251"/>
      <c r="P118" s="252"/>
      <c r="Q118" s="249"/>
      <c r="R118" s="250"/>
      <c r="S118" s="251"/>
      <c r="T118" s="252"/>
      <c r="U118" s="249"/>
      <c r="V118" s="250"/>
      <c r="W118" s="251"/>
      <c r="X118" s="252"/>
      <c r="Y118" s="249"/>
      <c r="Z118" s="250"/>
      <c r="AA118" s="251"/>
      <c r="AB118" s="252"/>
      <c r="AC118" s="249"/>
      <c r="AD118" s="250"/>
      <c r="AE118" s="251"/>
      <c r="AF118" s="252"/>
      <c r="AG118" s="253"/>
      <c r="AH118" s="254"/>
      <c r="AI118" s="255"/>
      <c r="AJ118" s="256"/>
    </row>
    <row r="119" spans="1:36" s="106" customFormat="1" x14ac:dyDescent="0.25">
      <c r="A119" s="107" t="str">
        <f>IF(H119&lt;&gt;"",MAX($A$7:A118)+1,"")</f>
        <v/>
      </c>
      <c r="B119" s="244" t="str">
        <f t="shared" si="4"/>
        <v/>
      </c>
      <c r="C119" s="62" t="str">
        <f t="shared" si="5"/>
        <v/>
      </c>
      <c r="D119" s="246"/>
      <c r="E119" s="247"/>
      <c r="F119" s="247"/>
      <c r="G119" s="248"/>
      <c r="H119" s="241"/>
      <c r="I119" s="249"/>
      <c r="J119" s="250"/>
      <c r="K119" s="251"/>
      <c r="L119" s="252"/>
      <c r="M119" s="249"/>
      <c r="N119" s="250"/>
      <c r="O119" s="251"/>
      <c r="P119" s="252"/>
      <c r="Q119" s="249"/>
      <c r="R119" s="250"/>
      <c r="S119" s="251"/>
      <c r="T119" s="252"/>
      <c r="U119" s="249"/>
      <c r="V119" s="250"/>
      <c r="W119" s="251"/>
      <c r="X119" s="252"/>
      <c r="Y119" s="249"/>
      <c r="Z119" s="250"/>
      <c r="AA119" s="251"/>
      <c r="AB119" s="252"/>
      <c r="AC119" s="249"/>
      <c r="AD119" s="250"/>
      <c r="AE119" s="251"/>
      <c r="AF119" s="252"/>
      <c r="AG119" s="253"/>
      <c r="AH119" s="254"/>
      <c r="AI119" s="255"/>
      <c r="AJ119" s="256"/>
    </row>
    <row r="120" spans="1:36" s="106" customFormat="1" x14ac:dyDescent="0.25">
      <c r="A120" s="107" t="str">
        <f>IF(H120&lt;&gt;"",MAX($A$7:A119)+1,"")</f>
        <v/>
      </c>
      <c r="B120" s="244" t="str">
        <f t="shared" si="4"/>
        <v/>
      </c>
      <c r="C120" s="62" t="str">
        <f t="shared" si="5"/>
        <v/>
      </c>
      <c r="D120" s="246"/>
      <c r="E120" s="247"/>
      <c r="F120" s="247"/>
      <c r="G120" s="248"/>
      <c r="H120" s="241"/>
      <c r="I120" s="249"/>
      <c r="J120" s="250"/>
      <c r="K120" s="251"/>
      <c r="L120" s="252"/>
      <c r="M120" s="249"/>
      <c r="N120" s="250"/>
      <c r="O120" s="251"/>
      <c r="P120" s="252"/>
      <c r="Q120" s="249"/>
      <c r="R120" s="250"/>
      <c r="S120" s="251"/>
      <c r="T120" s="252"/>
      <c r="U120" s="249"/>
      <c r="V120" s="250"/>
      <c r="W120" s="251"/>
      <c r="X120" s="252"/>
      <c r="Y120" s="249"/>
      <c r="Z120" s="250"/>
      <c r="AA120" s="251"/>
      <c r="AB120" s="252"/>
      <c r="AC120" s="249"/>
      <c r="AD120" s="250"/>
      <c r="AE120" s="251"/>
      <c r="AF120" s="252"/>
      <c r="AG120" s="253"/>
      <c r="AH120" s="254"/>
      <c r="AI120" s="255"/>
      <c r="AJ120" s="256"/>
    </row>
    <row r="121" spans="1:36" s="106" customFormat="1" x14ac:dyDescent="0.25">
      <c r="A121" s="107" t="str">
        <f>IF(H121&lt;&gt;"",MAX($A$7:A120)+1,"")</f>
        <v/>
      </c>
      <c r="B121" s="244" t="str">
        <f t="shared" si="4"/>
        <v/>
      </c>
      <c r="C121" s="62" t="str">
        <f t="shared" si="5"/>
        <v/>
      </c>
      <c r="D121" s="246"/>
      <c r="E121" s="247"/>
      <c r="F121" s="247"/>
      <c r="G121" s="248"/>
      <c r="H121" s="241"/>
      <c r="I121" s="249"/>
      <c r="J121" s="250"/>
      <c r="K121" s="251"/>
      <c r="L121" s="252"/>
      <c r="M121" s="249"/>
      <c r="N121" s="250"/>
      <c r="O121" s="251"/>
      <c r="P121" s="252"/>
      <c r="Q121" s="249"/>
      <c r="R121" s="250"/>
      <c r="S121" s="251"/>
      <c r="T121" s="252"/>
      <c r="U121" s="249"/>
      <c r="V121" s="250"/>
      <c r="W121" s="251"/>
      <c r="X121" s="252"/>
      <c r="Y121" s="249"/>
      <c r="Z121" s="250"/>
      <c r="AA121" s="251"/>
      <c r="AB121" s="252"/>
      <c r="AC121" s="249"/>
      <c r="AD121" s="250"/>
      <c r="AE121" s="251"/>
      <c r="AF121" s="252"/>
      <c r="AG121" s="253"/>
      <c r="AH121" s="254"/>
      <c r="AI121" s="255"/>
      <c r="AJ121" s="256"/>
    </row>
    <row r="122" spans="1:36" s="106" customFormat="1" x14ac:dyDescent="0.25">
      <c r="A122" s="107" t="str">
        <f>IF(H122&lt;&gt;"",MAX($A$7:A121)+1,"")</f>
        <v/>
      </c>
      <c r="B122" s="244" t="str">
        <f t="shared" si="4"/>
        <v/>
      </c>
      <c r="C122" s="62" t="str">
        <f t="shared" si="5"/>
        <v/>
      </c>
      <c r="D122" s="246"/>
      <c r="E122" s="247"/>
      <c r="F122" s="247"/>
      <c r="G122" s="248"/>
      <c r="H122" s="241"/>
      <c r="I122" s="249"/>
      <c r="J122" s="250"/>
      <c r="K122" s="251"/>
      <c r="L122" s="252"/>
      <c r="M122" s="249"/>
      <c r="N122" s="250"/>
      <c r="O122" s="251"/>
      <c r="P122" s="252"/>
      <c r="Q122" s="249"/>
      <c r="R122" s="250"/>
      <c r="S122" s="251"/>
      <c r="T122" s="252"/>
      <c r="U122" s="249"/>
      <c r="V122" s="250"/>
      <c r="W122" s="251"/>
      <c r="X122" s="252"/>
      <c r="Y122" s="249"/>
      <c r="Z122" s="250"/>
      <c r="AA122" s="251"/>
      <c r="AB122" s="252"/>
      <c r="AC122" s="249"/>
      <c r="AD122" s="250"/>
      <c r="AE122" s="251"/>
      <c r="AF122" s="252"/>
      <c r="AG122" s="253"/>
      <c r="AH122" s="254"/>
      <c r="AI122" s="255"/>
      <c r="AJ122" s="256"/>
    </row>
    <row r="123" spans="1:36" s="106" customFormat="1" x14ac:dyDescent="0.25">
      <c r="A123" s="107" t="str">
        <f>IF(H123&lt;&gt;"",MAX($A$7:A122)+1,"")</f>
        <v/>
      </c>
      <c r="B123" s="244" t="str">
        <f t="shared" si="4"/>
        <v/>
      </c>
      <c r="C123" s="62" t="str">
        <f t="shared" si="5"/>
        <v/>
      </c>
      <c r="D123" s="246"/>
      <c r="E123" s="247"/>
      <c r="F123" s="247"/>
      <c r="G123" s="248"/>
      <c r="H123" s="241"/>
      <c r="I123" s="249"/>
      <c r="J123" s="250"/>
      <c r="K123" s="251"/>
      <c r="L123" s="252"/>
      <c r="M123" s="249"/>
      <c r="N123" s="250"/>
      <c r="O123" s="251"/>
      <c r="P123" s="252"/>
      <c r="Q123" s="249"/>
      <c r="R123" s="250"/>
      <c r="S123" s="251"/>
      <c r="T123" s="252"/>
      <c r="U123" s="249"/>
      <c r="V123" s="250"/>
      <c r="W123" s="251"/>
      <c r="X123" s="252"/>
      <c r="Y123" s="249"/>
      <c r="Z123" s="250"/>
      <c r="AA123" s="251"/>
      <c r="AB123" s="252"/>
      <c r="AC123" s="249"/>
      <c r="AD123" s="250"/>
      <c r="AE123" s="251"/>
      <c r="AF123" s="252"/>
      <c r="AG123" s="253"/>
      <c r="AH123" s="254"/>
      <c r="AI123" s="255"/>
      <c r="AJ123" s="256"/>
    </row>
    <row r="124" spans="1:36" s="106" customFormat="1" x14ac:dyDescent="0.25">
      <c r="A124" s="107" t="str">
        <f>IF(H124&lt;&gt;"",MAX($A$7:A123)+1,"")</f>
        <v/>
      </c>
      <c r="B124" s="244" t="str">
        <f t="shared" si="4"/>
        <v/>
      </c>
      <c r="C124" s="62" t="str">
        <f t="shared" si="5"/>
        <v/>
      </c>
      <c r="D124" s="246"/>
      <c r="E124" s="247"/>
      <c r="F124" s="247"/>
      <c r="G124" s="248"/>
      <c r="H124" s="241"/>
      <c r="I124" s="249"/>
      <c r="J124" s="250"/>
      <c r="K124" s="251"/>
      <c r="L124" s="252"/>
      <c r="M124" s="249"/>
      <c r="N124" s="250"/>
      <c r="O124" s="251"/>
      <c r="P124" s="252"/>
      <c r="Q124" s="249"/>
      <c r="R124" s="250"/>
      <c r="S124" s="251"/>
      <c r="T124" s="252"/>
      <c r="U124" s="249"/>
      <c r="V124" s="250"/>
      <c r="W124" s="251"/>
      <c r="X124" s="252"/>
      <c r="Y124" s="249"/>
      <c r="Z124" s="250"/>
      <c r="AA124" s="251"/>
      <c r="AB124" s="252"/>
      <c r="AC124" s="249"/>
      <c r="AD124" s="250"/>
      <c r="AE124" s="251"/>
      <c r="AF124" s="252"/>
      <c r="AG124" s="253"/>
      <c r="AH124" s="254"/>
      <c r="AI124" s="255"/>
      <c r="AJ124" s="256"/>
    </row>
    <row r="125" spans="1:36" s="106" customFormat="1" x14ac:dyDescent="0.25">
      <c r="A125" s="107" t="str">
        <f>IF(H125&lt;&gt;"",MAX($A$7:A124)+1,"")</f>
        <v/>
      </c>
      <c r="B125" s="244" t="str">
        <f t="shared" si="4"/>
        <v/>
      </c>
      <c r="C125" s="62" t="str">
        <f t="shared" si="5"/>
        <v/>
      </c>
      <c r="D125" s="246"/>
      <c r="E125" s="247"/>
      <c r="F125" s="247"/>
      <c r="G125" s="248"/>
      <c r="H125" s="241"/>
      <c r="I125" s="249"/>
      <c r="J125" s="250"/>
      <c r="K125" s="251"/>
      <c r="L125" s="252"/>
      <c r="M125" s="249"/>
      <c r="N125" s="250"/>
      <c r="O125" s="251"/>
      <c r="P125" s="252"/>
      <c r="Q125" s="249"/>
      <c r="R125" s="250"/>
      <c r="S125" s="251"/>
      <c r="T125" s="252"/>
      <c r="U125" s="249"/>
      <c r="V125" s="250"/>
      <c r="W125" s="251"/>
      <c r="X125" s="252"/>
      <c r="Y125" s="249"/>
      <c r="Z125" s="250"/>
      <c r="AA125" s="251"/>
      <c r="AB125" s="252"/>
      <c r="AC125" s="249"/>
      <c r="AD125" s="250"/>
      <c r="AE125" s="251"/>
      <c r="AF125" s="252"/>
      <c r="AG125" s="253"/>
      <c r="AH125" s="254"/>
      <c r="AI125" s="255"/>
      <c r="AJ125" s="256"/>
    </row>
    <row r="126" spans="1:36" s="106" customFormat="1" x14ac:dyDescent="0.25">
      <c r="A126" s="107" t="str">
        <f>IF(H126&lt;&gt;"",MAX($A$7:A125)+1,"")</f>
        <v/>
      </c>
      <c r="B126" s="244" t="str">
        <f t="shared" si="4"/>
        <v/>
      </c>
      <c r="C126" s="62" t="str">
        <f t="shared" si="5"/>
        <v/>
      </c>
      <c r="D126" s="246"/>
      <c r="E126" s="247"/>
      <c r="F126" s="247"/>
      <c r="G126" s="248"/>
      <c r="H126" s="241"/>
      <c r="I126" s="249"/>
      <c r="J126" s="250"/>
      <c r="K126" s="251"/>
      <c r="L126" s="252"/>
      <c r="M126" s="249"/>
      <c r="N126" s="250"/>
      <c r="O126" s="251"/>
      <c r="P126" s="252"/>
      <c r="Q126" s="249"/>
      <c r="R126" s="250"/>
      <c r="S126" s="251"/>
      <c r="T126" s="252"/>
      <c r="U126" s="249"/>
      <c r="V126" s="250"/>
      <c r="W126" s="251"/>
      <c r="X126" s="252"/>
      <c r="Y126" s="249"/>
      <c r="Z126" s="250"/>
      <c r="AA126" s="251"/>
      <c r="AB126" s="252"/>
      <c r="AC126" s="249"/>
      <c r="AD126" s="250"/>
      <c r="AE126" s="251"/>
      <c r="AF126" s="252"/>
      <c r="AG126" s="253"/>
      <c r="AH126" s="254"/>
      <c r="AI126" s="255"/>
      <c r="AJ126" s="256"/>
    </row>
    <row r="127" spans="1:36" s="106" customFormat="1" x14ac:dyDescent="0.25">
      <c r="A127" s="107" t="str">
        <f>IF(H127&lt;&gt;"",MAX($A$7:A126)+1,"")</f>
        <v/>
      </c>
      <c r="B127" s="244" t="str">
        <f t="shared" si="4"/>
        <v/>
      </c>
      <c r="C127" s="62" t="str">
        <f t="shared" si="5"/>
        <v/>
      </c>
      <c r="D127" s="246"/>
      <c r="E127" s="247"/>
      <c r="F127" s="247"/>
      <c r="G127" s="248"/>
      <c r="H127" s="241"/>
      <c r="I127" s="249"/>
      <c r="J127" s="250"/>
      <c r="K127" s="251"/>
      <c r="L127" s="252"/>
      <c r="M127" s="249"/>
      <c r="N127" s="250"/>
      <c r="O127" s="251"/>
      <c r="P127" s="252"/>
      <c r="Q127" s="249"/>
      <c r="R127" s="250"/>
      <c r="S127" s="251"/>
      <c r="T127" s="252"/>
      <c r="U127" s="249"/>
      <c r="V127" s="250"/>
      <c r="W127" s="251"/>
      <c r="X127" s="252"/>
      <c r="Y127" s="249"/>
      <c r="Z127" s="250"/>
      <c r="AA127" s="251"/>
      <c r="AB127" s="252"/>
      <c r="AC127" s="249"/>
      <c r="AD127" s="250"/>
      <c r="AE127" s="251"/>
      <c r="AF127" s="252"/>
      <c r="AG127" s="253"/>
      <c r="AH127" s="254"/>
      <c r="AI127" s="255"/>
      <c r="AJ127" s="256"/>
    </row>
    <row r="128" spans="1:36" s="106" customFormat="1" x14ac:dyDescent="0.25">
      <c r="A128" s="107" t="str">
        <f>IF(H128&lt;&gt;"",MAX($A$7:A127)+1,"")</f>
        <v/>
      </c>
      <c r="B128" s="244" t="str">
        <f t="shared" si="4"/>
        <v/>
      </c>
      <c r="C128" s="62" t="str">
        <f t="shared" si="5"/>
        <v/>
      </c>
      <c r="D128" s="246"/>
      <c r="E128" s="247"/>
      <c r="F128" s="247"/>
      <c r="G128" s="248"/>
      <c r="H128" s="241"/>
      <c r="I128" s="249"/>
      <c r="J128" s="250"/>
      <c r="K128" s="251"/>
      <c r="L128" s="252"/>
      <c r="M128" s="249"/>
      <c r="N128" s="250"/>
      <c r="O128" s="251"/>
      <c r="P128" s="252"/>
      <c r="Q128" s="249"/>
      <c r="R128" s="250"/>
      <c r="S128" s="251"/>
      <c r="T128" s="252"/>
      <c r="U128" s="249"/>
      <c r="V128" s="250"/>
      <c r="W128" s="251"/>
      <c r="X128" s="252"/>
      <c r="Y128" s="249"/>
      <c r="Z128" s="250"/>
      <c r="AA128" s="251"/>
      <c r="AB128" s="252"/>
      <c r="AC128" s="249"/>
      <c r="AD128" s="250"/>
      <c r="AE128" s="251"/>
      <c r="AF128" s="252"/>
      <c r="AG128" s="253"/>
      <c r="AH128" s="254"/>
      <c r="AI128" s="255"/>
      <c r="AJ128" s="256"/>
    </row>
    <row r="129" spans="1:36" s="106" customFormat="1" x14ac:dyDescent="0.25">
      <c r="A129" s="107" t="str">
        <f>IF(H129&lt;&gt;"",MAX($A$7:A128)+1,"")</f>
        <v/>
      </c>
      <c r="B129" s="244" t="str">
        <f t="shared" si="4"/>
        <v/>
      </c>
      <c r="C129" s="62" t="str">
        <f t="shared" si="5"/>
        <v/>
      </c>
      <c r="D129" s="246"/>
      <c r="E129" s="247"/>
      <c r="F129" s="247"/>
      <c r="G129" s="248"/>
      <c r="H129" s="241"/>
      <c r="I129" s="249"/>
      <c r="J129" s="250"/>
      <c r="K129" s="251"/>
      <c r="L129" s="252"/>
      <c r="M129" s="249"/>
      <c r="N129" s="250"/>
      <c r="O129" s="251"/>
      <c r="P129" s="252"/>
      <c r="Q129" s="249"/>
      <c r="R129" s="250"/>
      <c r="S129" s="251"/>
      <c r="T129" s="252"/>
      <c r="U129" s="249"/>
      <c r="V129" s="250"/>
      <c r="W129" s="251"/>
      <c r="X129" s="252"/>
      <c r="Y129" s="249"/>
      <c r="Z129" s="250"/>
      <c r="AA129" s="251"/>
      <c r="AB129" s="252"/>
      <c r="AC129" s="249"/>
      <c r="AD129" s="250"/>
      <c r="AE129" s="251"/>
      <c r="AF129" s="252"/>
      <c r="AG129" s="253"/>
      <c r="AH129" s="254"/>
      <c r="AI129" s="255"/>
      <c r="AJ129" s="256"/>
    </row>
    <row r="130" spans="1:36" s="106" customFormat="1" x14ac:dyDescent="0.25">
      <c r="A130" s="107" t="str">
        <f>IF(H130&lt;&gt;"",MAX($A$7:A129)+1,"")</f>
        <v/>
      </c>
      <c r="B130" s="244" t="str">
        <f t="shared" si="4"/>
        <v/>
      </c>
      <c r="C130" s="62" t="str">
        <f t="shared" si="5"/>
        <v/>
      </c>
      <c r="D130" s="246"/>
      <c r="E130" s="247"/>
      <c r="F130" s="247"/>
      <c r="G130" s="248"/>
      <c r="H130" s="241"/>
      <c r="I130" s="249"/>
      <c r="J130" s="250"/>
      <c r="K130" s="251"/>
      <c r="L130" s="252"/>
      <c r="M130" s="249"/>
      <c r="N130" s="250"/>
      <c r="O130" s="251"/>
      <c r="P130" s="252"/>
      <c r="Q130" s="249"/>
      <c r="R130" s="250"/>
      <c r="S130" s="251"/>
      <c r="T130" s="252"/>
      <c r="U130" s="249"/>
      <c r="V130" s="250"/>
      <c r="W130" s="251"/>
      <c r="X130" s="252"/>
      <c r="Y130" s="249"/>
      <c r="Z130" s="250"/>
      <c r="AA130" s="251"/>
      <c r="AB130" s="252"/>
      <c r="AC130" s="249"/>
      <c r="AD130" s="250"/>
      <c r="AE130" s="251"/>
      <c r="AF130" s="252"/>
      <c r="AG130" s="253"/>
      <c r="AH130" s="254"/>
      <c r="AI130" s="255"/>
      <c r="AJ130" s="256"/>
    </row>
    <row r="131" spans="1:36" s="106" customFormat="1" x14ac:dyDescent="0.25">
      <c r="A131" s="107" t="str">
        <f>IF(H131&lt;&gt;"",MAX($A$7:A130)+1,"")</f>
        <v/>
      </c>
      <c r="B131" s="244" t="str">
        <f t="shared" si="4"/>
        <v/>
      </c>
      <c r="C131" s="62" t="str">
        <f t="shared" si="5"/>
        <v/>
      </c>
      <c r="D131" s="246"/>
      <c r="E131" s="247"/>
      <c r="F131" s="247"/>
      <c r="G131" s="248"/>
      <c r="H131" s="241"/>
      <c r="I131" s="249"/>
      <c r="J131" s="250"/>
      <c r="K131" s="251"/>
      <c r="L131" s="252"/>
      <c r="M131" s="249"/>
      <c r="N131" s="250"/>
      <c r="O131" s="251"/>
      <c r="P131" s="252"/>
      <c r="Q131" s="249"/>
      <c r="R131" s="250"/>
      <c r="S131" s="251"/>
      <c r="T131" s="252"/>
      <c r="U131" s="249"/>
      <c r="V131" s="250"/>
      <c r="W131" s="251"/>
      <c r="X131" s="252"/>
      <c r="Y131" s="249"/>
      <c r="Z131" s="250"/>
      <c r="AA131" s="251"/>
      <c r="AB131" s="252"/>
      <c r="AC131" s="249"/>
      <c r="AD131" s="250"/>
      <c r="AE131" s="251"/>
      <c r="AF131" s="252"/>
      <c r="AG131" s="253"/>
      <c r="AH131" s="254"/>
      <c r="AI131" s="255"/>
      <c r="AJ131" s="256"/>
    </row>
    <row r="132" spans="1:36" s="106" customFormat="1" x14ac:dyDescent="0.25">
      <c r="A132" s="107" t="str">
        <f>IF(H132&lt;&gt;"",MAX($A$7:A131)+1,"")</f>
        <v/>
      </c>
      <c r="B132" s="244" t="str">
        <f t="shared" si="4"/>
        <v/>
      </c>
      <c r="C132" s="62" t="str">
        <f t="shared" si="5"/>
        <v/>
      </c>
      <c r="D132" s="246"/>
      <c r="E132" s="247"/>
      <c r="F132" s="247"/>
      <c r="G132" s="248"/>
      <c r="H132" s="241"/>
      <c r="I132" s="249"/>
      <c r="J132" s="250"/>
      <c r="K132" s="251"/>
      <c r="L132" s="252"/>
      <c r="M132" s="249"/>
      <c r="N132" s="250"/>
      <c r="O132" s="251"/>
      <c r="P132" s="252"/>
      <c r="Q132" s="249"/>
      <c r="R132" s="250"/>
      <c r="S132" s="251"/>
      <c r="T132" s="252"/>
      <c r="U132" s="249"/>
      <c r="V132" s="250"/>
      <c r="W132" s="251"/>
      <c r="X132" s="252"/>
      <c r="Y132" s="249"/>
      <c r="Z132" s="250"/>
      <c r="AA132" s="251"/>
      <c r="AB132" s="252"/>
      <c r="AC132" s="249"/>
      <c r="AD132" s="250"/>
      <c r="AE132" s="251"/>
      <c r="AF132" s="252"/>
      <c r="AG132" s="253"/>
      <c r="AH132" s="254"/>
      <c r="AI132" s="255"/>
      <c r="AJ132" s="256"/>
    </row>
    <row r="133" spans="1:36" s="106" customFormat="1" x14ac:dyDescent="0.25">
      <c r="A133" s="107" t="str">
        <f>IF(H133&lt;&gt;"",MAX($A$7:A132)+1,"")</f>
        <v/>
      </c>
      <c r="B133" s="244" t="str">
        <f t="shared" si="4"/>
        <v/>
      </c>
      <c r="C133" s="62" t="str">
        <f t="shared" si="5"/>
        <v/>
      </c>
      <c r="D133" s="246"/>
      <c r="E133" s="247"/>
      <c r="F133" s="247"/>
      <c r="G133" s="248"/>
      <c r="H133" s="241"/>
      <c r="I133" s="249"/>
      <c r="J133" s="250"/>
      <c r="K133" s="251"/>
      <c r="L133" s="252"/>
      <c r="M133" s="249"/>
      <c r="N133" s="250"/>
      <c r="O133" s="251"/>
      <c r="P133" s="252"/>
      <c r="Q133" s="249"/>
      <c r="R133" s="250"/>
      <c r="S133" s="251"/>
      <c r="T133" s="252"/>
      <c r="U133" s="249"/>
      <c r="V133" s="250"/>
      <c r="W133" s="251"/>
      <c r="X133" s="252"/>
      <c r="Y133" s="249"/>
      <c r="Z133" s="250"/>
      <c r="AA133" s="251"/>
      <c r="AB133" s="252"/>
      <c r="AC133" s="249"/>
      <c r="AD133" s="250"/>
      <c r="AE133" s="251"/>
      <c r="AF133" s="252"/>
      <c r="AG133" s="253"/>
      <c r="AH133" s="254"/>
      <c r="AI133" s="255"/>
      <c r="AJ133" s="256"/>
    </row>
    <row r="134" spans="1:36" s="106" customFormat="1" x14ac:dyDescent="0.25">
      <c r="A134" s="107" t="str">
        <f>IF(H134&lt;&gt;"",MAX($A$7:A133)+1,"")</f>
        <v/>
      </c>
      <c r="B134" s="244" t="str">
        <f t="shared" si="4"/>
        <v/>
      </c>
      <c r="C134" s="62" t="str">
        <f t="shared" si="5"/>
        <v/>
      </c>
      <c r="D134" s="246"/>
      <c r="E134" s="247"/>
      <c r="F134" s="247"/>
      <c r="G134" s="248"/>
      <c r="H134" s="241"/>
      <c r="I134" s="249"/>
      <c r="J134" s="250"/>
      <c r="K134" s="251"/>
      <c r="L134" s="252"/>
      <c r="M134" s="249"/>
      <c r="N134" s="250"/>
      <c r="O134" s="251"/>
      <c r="P134" s="252"/>
      <c r="Q134" s="249"/>
      <c r="R134" s="250"/>
      <c r="S134" s="251"/>
      <c r="T134" s="252"/>
      <c r="U134" s="249"/>
      <c r="V134" s="250"/>
      <c r="W134" s="251"/>
      <c r="X134" s="252"/>
      <c r="Y134" s="249"/>
      <c r="Z134" s="250"/>
      <c r="AA134" s="251"/>
      <c r="AB134" s="252"/>
      <c r="AC134" s="249"/>
      <c r="AD134" s="250"/>
      <c r="AE134" s="251"/>
      <c r="AF134" s="252"/>
      <c r="AG134" s="253"/>
      <c r="AH134" s="254"/>
      <c r="AI134" s="255"/>
      <c r="AJ134" s="256"/>
    </row>
    <row r="135" spans="1:36" s="106" customFormat="1" x14ac:dyDescent="0.25">
      <c r="A135" s="107" t="str">
        <f>IF(H135&lt;&gt;"",MAX($A$7:A134)+1,"")</f>
        <v/>
      </c>
      <c r="B135" s="244" t="str">
        <f t="shared" ref="B135:B198" si="6">IF(A135="","",PREF_PREGUNTA&amp;" - "&amp;IF(MAX($A$7:$A$156)&gt;99,IF(A135&lt;100,"0",""),"")&amp;IF(A135&lt;10,"0","")&amp;A135&amp;IF(G135&lt;&gt;""," "&amp;G135,""))</f>
        <v/>
      </c>
      <c r="C135" s="62" t="str">
        <f t="shared" ref="C135:C198" si="7">IF(COUNTA(I135:N135)-D135=0,"",COUNTA(I135:N135)-D135)</f>
        <v/>
      </c>
      <c r="D135" s="246"/>
      <c r="E135" s="247"/>
      <c r="F135" s="247"/>
      <c r="G135" s="248"/>
      <c r="H135" s="241"/>
      <c r="I135" s="249"/>
      <c r="J135" s="250"/>
      <c r="K135" s="251"/>
      <c r="L135" s="252"/>
      <c r="M135" s="249"/>
      <c r="N135" s="250"/>
      <c r="O135" s="251"/>
      <c r="P135" s="252"/>
      <c r="Q135" s="249"/>
      <c r="R135" s="250"/>
      <c r="S135" s="251"/>
      <c r="T135" s="252"/>
      <c r="U135" s="249"/>
      <c r="V135" s="250"/>
      <c r="W135" s="251"/>
      <c r="X135" s="252"/>
      <c r="Y135" s="249"/>
      <c r="Z135" s="250"/>
      <c r="AA135" s="251"/>
      <c r="AB135" s="252"/>
      <c r="AC135" s="249"/>
      <c r="AD135" s="250"/>
      <c r="AE135" s="251"/>
      <c r="AF135" s="252"/>
      <c r="AG135" s="253"/>
      <c r="AH135" s="254"/>
      <c r="AI135" s="255"/>
      <c r="AJ135" s="256"/>
    </row>
    <row r="136" spans="1:36" s="106" customFormat="1" x14ac:dyDescent="0.25">
      <c r="A136" s="107" t="str">
        <f>IF(H136&lt;&gt;"",MAX($A$7:A135)+1,"")</f>
        <v/>
      </c>
      <c r="B136" s="244" t="str">
        <f t="shared" si="6"/>
        <v/>
      </c>
      <c r="C136" s="62" t="str">
        <f t="shared" si="7"/>
        <v/>
      </c>
      <c r="D136" s="246"/>
      <c r="E136" s="247"/>
      <c r="F136" s="247"/>
      <c r="G136" s="248"/>
      <c r="H136" s="241"/>
      <c r="I136" s="249"/>
      <c r="J136" s="250"/>
      <c r="K136" s="251"/>
      <c r="L136" s="252"/>
      <c r="M136" s="249"/>
      <c r="N136" s="250"/>
      <c r="O136" s="251"/>
      <c r="P136" s="252"/>
      <c r="Q136" s="249"/>
      <c r="R136" s="250"/>
      <c r="S136" s="251"/>
      <c r="T136" s="252"/>
      <c r="U136" s="249"/>
      <c r="V136" s="250"/>
      <c r="W136" s="251"/>
      <c r="X136" s="252"/>
      <c r="Y136" s="249"/>
      <c r="Z136" s="250"/>
      <c r="AA136" s="251"/>
      <c r="AB136" s="252"/>
      <c r="AC136" s="249"/>
      <c r="AD136" s="250"/>
      <c r="AE136" s="251"/>
      <c r="AF136" s="252"/>
      <c r="AG136" s="253"/>
      <c r="AH136" s="254"/>
      <c r="AI136" s="255"/>
      <c r="AJ136" s="256"/>
    </row>
    <row r="137" spans="1:36" s="106" customFormat="1" x14ac:dyDescent="0.25">
      <c r="A137" s="107" t="str">
        <f>IF(H137&lt;&gt;"",MAX($A$7:A136)+1,"")</f>
        <v/>
      </c>
      <c r="B137" s="244" t="str">
        <f t="shared" si="6"/>
        <v/>
      </c>
      <c r="C137" s="62" t="str">
        <f t="shared" si="7"/>
        <v/>
      </c>
      <c r="D137" s="246"/>
      <c r="E137" s="247"/>
      <c r="F137" s="247"/>
      <c r="G137" s="248"/>
      <c r="H137" s="241"/>
      <c r="I137" s="249"/>
      <c r="J137" s="250"/>
      <c r="K137" s="251"/>
      <c r="L137" s="252"/>
      <c r="M137" s="249"/>
      <c r="N137" s="250"/>
      <c r="O137" s="251"/>
      <c r="P137" s="252"/>
      <c r="Q137" s="249"/>
      <c r="R137" s="250"/>
      <c r="S137" s="251"/>
      <c r="T137" s="252"/>
      <c r="U137" s="249"/>
      <c r="V137" s="250"/>
      <c r="W137" s="251"/>
      <c r="X137" s="252"/>
      <c r="Y137" s="249"/>
      <c r="Z137" s="250"/>
      <c r="AA137" s="251"/>
      <c r="AB137" s="252"/>
      <c r="AC137" s="249"/>
      <c r="AD137" s="250"/>
      <c r="AE137" s="251"/>
      <c r="AF137" s="252"/>
      <c r="AG137" s="253"/>
      <c r="AH137" s="254"/>
      <c r="AI137" s="255"/>
      <c r="AJ137" s="256"/>
    </row>
    <row r="138" spans="1:36" s="106" customFormat="1" x14ac:dyDescent="0.25">
      <c r="A138" s="107" t="str">
        <f>IF(H138&lt;&gt;"",MAX($A$7:A137)+1,"")</f>
        <v/>
      </c>
      <c r="B138" s="244" t="str">
        <f t="shared" si="6"/>
        <v/>
      </c>
      <c r="C138" s="62" t="str">
        <f t="shared" si="7"/>
        <v/>
      </c>
      <c r="D138" s="246"/>
      <c r="E138" s="247"/>
      <c r="F138" s="247"/>
      <c r="G138" s="248"/>
      <c r="H138" s="241"/>
      <c r="I138" s="249"/>
      <c r="J138" s="250"/>
      <c r="K138" s="251"/>
      <c r="L138" s="252"/>
      <c r="M138" s="249"/>
      <c r="N138" s="250"/>
      <c r="O138" s="251"/>
      <c r="P138" s="252"/>
      <c r="Q138" s="249"/>
      <c r="R138" s="250"/>
      <c r="S138" s="251"/>
      <c r="T138" s="252"/>
      <c r="U138" s="249"/>
      <c r="V138" s="250"/>
      <c r="W138" s="251"/>
      <c r="X138" s="252"/>
      <c r="Y138" s="249"/>
      <c r="Z138" s="250"/>
      <c r="AA138" s="251"/>
      <c r="AB138" s="252"/>
      <c r="AC138" s="249"/>
      <c r="AD138" s="250"/>
      <c r="AE138" s="251"/>
      <c r="AF138" s="252"/>
      <c r="AG138" s="253"/>
      <c r="AH138" s="254"/>
      <c r="AI138" s="255"/>
      <c r="AJ138" s="256"/>
    </row>
    <row r="139" spans="1:36" s="106" customFormat="1" x14ac:dyDescent="0.25">
      <c r="A139" s="107" t="str">
        <f>IF(H139&lt;&gt;"",MAX($A$7:A138)+1,"")</f>
        <v/>
      </c>
      <c r="B139" s="244" t="str">
        <f t="shared" si="6"/>
        <v/>
      </c>
      <c r="C139" s="62" t="str">
        <f t="shared" si="7"/>
        <v/>
      </c>
      <c r="D139" s="246"/>
      <c r="E139" s="247"/>
      <c r="F139" s="247"/>
      <c r="G139" s="248"/>
      <c r="H139" s="241"/>
      <c r="I139" s="249"/>
      <c r="J139" s="250"/>
      <c r="K139" s="251"/>
      <c r="L139" s="252"/>
      <c r="M139" s="249"/>
      <c r="N139" s="250"/>
      <c r="O139" s="251"/>
      <c r="P139" s="252"/>
      <c r="Q139" s="249"/>
      <c r="R139" s="250"/>
      <c r="S139" s="251"/>
      <c r="T139" s="252"/>
      <c r="U139" s="249"/>
      <c r="V139" s="250"/>
      <c r="W139" s="251"/>
      <c r="X139" s="252"/>
      <c r="Y139" s="249"/>
      <c r="Z139" s="250"/>
      <c r="AA139" s="251"/>
      <c r="AB139" s="252"/>
      <c r="AC139" s="249"/>
      <c r="AD139" s="250"/>
      <c r="AE139" s="251"/>
      <c r="AF139" s="252"/>
      <c r="AG139" s="253"/>
      <c r="AH139" s="254"/>
      <c r="AI139" s="255"/>
      <c r="AJ139" s="256"/>
    </row>
    <row r="140" spans="1:36" s="106" customFormat="1" x14ac:dyDescent="0.25">
      <c r="A140" s="107" t="str">
        <f>IF(H140&lt;&gt;"",MAX($A$7:A139)+1,"")</f>
        <v/>
      </c>
      <c r="B140" s="244" t="str">
        <f t="shared" si="6"/>
        <v/>
      </c>
      <c r="C140" s="62" t="str">
        <f t="shared" si="7"/>
        <v/>
      </c>
      <c r="D140" s="246"/>
      <c r="E140" s="247"/>
      <c r="F140" s="247"/>
      <c r="G140" s="248"/>
      <c r="H140" s="241"/>
      <c r="I140" s="249"/>
      <c r="J140" s="250"/>
      <c r="K140" s="251"/>
      <c r="L140" s="252"/>
      <c r="M140" s="249"/>
      <c r="N140" s="250"/>
      <c r="O140" s="251"/>
      <c r="P140" s="252"/>
      <c r="Q140" s="249"/>
      <c r="R140" s="250"/>
      <c r="S140" s="251"/>
      <c r="T140" s="252"/>
      <c r="U140" s="249"/>
      <c r="V140" s="250"/>
      <c r="W140" s="251"/>
      <c r="X140" s="252"/>
      <c r="Y140" s="249"/>
      <c r="Z140" s="250"/>
      <c r="AA140" s="251"/>
      <c r="AB140" s="252"/>
      <c r="AC140" s="249"/>
      <c r="AD140" s="250"/>
      <c r="AE140" s="251"/>
      <c r="AF140" s="252"/>
      <c r="AG140" s="253"/>
      <c r="AH140" s="254"/>
      <c r="AI140" s="255"/>
      <c r="AJ140" s="256"/>
    </row>
    <row r="141" spans="1:36" s="106" customFormat="1" x14ac:dyDescent="0.25">
      <c r="A141" s="107" t="str">
        <f>IF(H141&lt;&gt;"",MAX($A$7:A140)+1,"")</f>
        <v/>
      </c>
      <c r="B141" s="244" t="str">
        <f t="shared" si="6"/>
        <v/>
      </c>
      <c r="C141" s="62" t="str">
        <f t="shared" si="7"/>
        <v/>
      </c>
      <c r="D141" s="246"/>
      <c r="E141" s="247"/>
      <c r="F141" s="247"/>
      <c r="G141" s="248"/>
      <c r="H141" s="241"/>
      <c r="I141" s="249"/>
      <c r="J141" s="250"/>
      <c r="K141" s="251"/>
      <c r="L141" s="252"/>
      <c r="M141" s="249"/>
      <c r="N141" s="250"/>
      <c r="O141" s="251"/>
      <c r="P141" s="252"/>
      <c r="Q141" s="249"/>
      <c r="R141" s="250"/>
      <c r="S141" s="251"/>
      <c r="T141" s="252"/>
      <c r="U141" s="249"/>
      <c r="V141" s="250"/>
      <c r="W141" s="251"/>
      <c r="X141" s="252"/>
      <c r="Y141" s="249"/>
      <c r="Z141" s="250"/>
      <c r="AA141" s="251"/>
      <c r="AB141" s="252"/>
      <c r="AC141" s="249"/>
      <c r="AD141" s="250"/>
      <c r="AE141" s="251"/>
      <c r="AF141" s="252"/>
      <c r="AG141" s="253"/>
      <c r="AH141" s="254"/>
      <c r="AI141" s="255"/>
      <c r="AJ141" s="256"/>
    </row>
    <row r="142" spans="1:36" s="106" customFormat="1" x14ac:dyDescent="0.25">
      <c r="A142" s="107" t="str">
        <f>IF(H142&lt;&gt;"",MAX($A$7:A141)+1,"")</f>
        <v/>
      </c>
      <c r="B142" s="244" t="str">
        <f t="shared" si="6"/>
        <v/>
      </c>
      <c r="C142" s="62" t="str">
        <f t="shared" si="7"/>
        <v/>
      </c>
      <c r="D142" s="246"/>
      <c r="E142" s="247"/>
      <c r="F142" s="247"/>
      <c r="G142" s="248"/>
      <c r="H142" s="241"/>
      <c r="I142" s="249"/>
      <c r="J142" s="250"/>
      <c r="K142" s="251"/>
      <c r="L142" s="252"/>
      <c r="M142" s="249"/>
      <c r="N142" s="250"/>
      <c r="O142" s="251"/>
      <c r="P142" s="252"/>
      <c r="Q142" s="249"/>
      <c r="R142" s="250"/>
      <c r="S142" s="251"/>
      <c r="T142" s="252"/>
      <c r="U142" s="249"/>
      <c r="V142" s="250"/>
      <c r="W142" s="251"/>
      <c r="X142" s="252"/>
      <c r="Y142" s="249"/>
      <c r="Z142" s="250"/>
      <c r="AA142" s="251"/>
      <c r="AB142" s="252"/>
      <c r="AC142" s="249"/>
      <c r="AD142" s="250"/>
      <c r="AE142" s="251"/>
      <c r="AF142" s="252"/>
      <c r="AG142" s="253"/>
      <c r="AH142" s="254"/>
      <c r="AI142" s="255"/>
      <c r="AJ142" s="256"/>
    </row>
    <row r="143" spans="1:36" s="106" customFormat="1" x14ac:dyDescent="0.25">
      <c r="A143" s="107" t="str">
        <f>IF(H143&lt;&gt;"",MAX($A$7:A142)+1,"")</f>
        <v/>
      </c>
      <c r="B143" s="244" t="str">
        <f t="shared" si="6"/>
        <v/>
      </c>
      <c r="C143" s="62" t="str">
        <f t="shared" si="7"/>
        <v/>
      </c>
      <c r="D143" s="246"/>
      <c r="E143" s="247"/>
      <c r="F143" s="247"/>
      <c r="G143" s="248"/>
      <c r="H143" s="241"/>
      <c r="I143" s="249"/>
      <c r="J143" s="250"/>
      <c r="K143" s="251"/>
      <c r="L143" s="252"/>
      <c r="M143" s="249"/>
      <c r="N143" s="250"/>
      <c r="O143" s="251"/>
      <c r="P143" s="252"/>
      <c r="Q143" s="249"/>
      <c r="R143" s="250"/>
      <c r="S143" s="251"/>
      <c r="T143" s="252"/>
      <c r="U143" s="249"/>
      <c r="V143" s="250"/>
      <c r="W143" s="251"/>
      <c r="X143" s="252"/>
      <c r="Y143" s="249"/>
      <c r="Z143" s="250"/>
      <c r="AA143" s="251"/>
      <c r="AB143" s="252"/>
      <c r="AC143" s="249"/>
      <c r="AD143" s="250"/>
      <c r="AE143" s="251"/>
      <c r="AF143" s="252"/>
      <c r="AG143" s="253"/>
      <c r="AH143" s="254"/>
      <c r="AI143" s="255"/>
      <c r="AJ143" s="256"/>
    </row>
    <row r="144" spans="1:36" s="106" customFormat="1" x14ac:dyDescent="0.25">
      <c r="A144" s="107" t="str">
        <f>IF(H144&lt;&gt;"",MAX($A$7:A143)+1,"")</f>
        <v/>
      </c>
      <c r="B144" s="244" t="str">
        <f t="shared" si="6"/>
        <v/>
      </c>
      <c r="C144" s="62" t="str">
        <f t="shared" si="7"/>
        <v/>
      </c>
      <c r="D144" s="246"/>
      <c r="E144" s="247"/>
      <c r="F144" s="247"/>
      <c r="G144" s="248"/>
      <c r="H144" s="241"/>
      <c r="I144" s="249"/>
      <c r="J144" s="250"/>
      <c r="K144" s="251"/>
      <c r="L144" s="252"/>
      <c r="M144" s="249"/>
      <c r="N144" s="250"/>
      <c r="O144" s="251"/>
      <c r="P144" s="252"/>
      <c r="Q144" s="249"/>
      <c r="R144" s="250"/>
      <c r="S144" s="251"/>
      <c r="T144" s="252"/>
      <c r="U144" s="249"/>
      <c r="V144" s="250"/>
      <c r="W144" s="251"/>
      <c r="X144" s="252"/>
      <c r="Y144" s="249"/>
      <c r="Z144" s="250"/>
      <c r="AA144" s="251"/>
      <c r="AB144" s="252"/>
      <c r="AC144" s="249"/>
      <c r="AD144" s="250"/>
      <c r="AE144" s="251"/>
      <c r="AF144" s="252"/>
      <c r="AG144" s="253"/>
      <c r="AH144" s="254"/>
      <c r="AI144" s="255"/>
      <c r="AJ144" s="256"/>
    </row>
    <row r="145" spans="1:36" s="106" customFormat="1" x14ac:dyDescent="0.25">
      <c r="A145" s="107" t="str">
        <f>IF(H145&lt;&gt;"",MAX($A$7:A144)+1,"")</f>
        <v/>
      </c>
      <c r="B145" s="244" t="str">
        <f t="shared" si="6"/>
        <v/>
      </c>
      <c r="C145" s="62" t="str">
        <f t="shared" si="7"/>
        <v/>
      </c>
      <c r="D145" s="246"/>
      <c r="E145" s="247"/>
      <c r="F145" s="247"/>
      <c r="G145" s="248"/>
      <c r="H145" s="241"/>
      <c r="I145" s="249"/>
      <c r="J145" s="250"/>
      <c r="K145" s="251"/>
      <c r="L145" s="252"/>
      <c r="M145" s="249"/>
      <c r="N145" s="250"/>
      <c r="O145" s="251"/>
      <c r="P145" s="252"/>
      <c r="Q145" s="249"/>
      <c r="R145" s="250"/>
      <c r="S145" s="251"/>
      <c r="T145" s="252"/>
      <c r="U145" s="249"/>
      <c r="V145" s="250"/>
      <c r="W145" s="251"/>
      <c r="X145" s="252"/>
      <c r="Y145" s="249"/>
      <c r="Z145" s="250"/>
      <c r="AA145" s="251"/>
      <c r="AB145" s="252"/>
      <c r="AC145" s="249"/>
      <c r="AD145" s="250"/>
      <c r="AE145" s="251"/>
      <c r="AF145" s="252"/>
      <c r="AG145" s="253"/>
      <c r="AH145" s="254"/>
      <c r="AI145" s="255"/>
      <c r="AJ145" s="256"/>
    </row>
    <row r="146" spans="1:36" s="106" customFormat="1" x14ac:dyDescent="0.25">
      <c r="A146" s="107" t="str">
        <f>IF(H146&lt;&gt;"",MAX($A$7:A145)+1,"")</f>
        <v/>
      </c>
      <c r="B146" s="244" t="str">
        <f t="shared" si="6"/>
        <v/>
      </c>
      <c r="C146" s="62" t="str">
        <f t="shared" si="7"/>
        <v/>
      </c>
      <c r="D146" s="246"/>
      <c r="E146" s="247"/>
      <c r="F146" s="247"/>
      <c r="G146" s="248"/>
      <c r="H146" s="241"/>
      <c r="I146" s="249"/>
      <c r="J146" s="250"/>
      <c r="K146" s="251"/>
      <c r="L146" s="252"/>
      <c r="M146" s="249"/>
      <c r="N146" s="250"/>
      <c r="O146" s="251"/>
      <c r="P146" s="252"/>
      <c r="Q146" s="249"/>
      <c r="R146" s="250"/>
      <c r="S146" s="251"/>
      <c r="T146" s="252"/>
      <c r="U146" s="249"/>
      <c r="V146" s="250"/>
      <c r="W146" s="251"/>
      <c r="X146" s="252"/>
      <c r="Y146" s="249"/>
      <c r="Z146" s="250"/>
      <c r="AA146" s="251"/>
      <c r="AB146" s="252"/>
      <c r="AC146" s="249"/>
      <c r="AD146" s="250"/>
      <c r="AE146" s="251"/>
      <c r="AF146" s="252"/>
      <c r="AG146" s="253"/>
      <c r="AH146" s="254"/>
      <c r="AI146" s="255"/>
      <c r="AJ146" s="256"/>
    </row>
    <row r="147" spans="1:36" s="106" customFormat="1" x14ac:dyDescent="0.25">
      <c r="A147" s="107" t="str">
        <f>IF(H147&lt;&gt;"",MAX($A$7:A146)+1,"")</f>
        <v/>
      </c>
      <c r="B147" s="244" t="str">
        <f t="shared" si="6"/>
        <v/>
      </c>
      <c r="C147" s="62" t="str">
        <f t="shared" si="7"/>
        <v/>
      </c>
      <c r="D147" s="246"/>
      <c r="E147" s="247"/>
      <c r="F147" s="247"/>
      <c r="G147" s="248"/>
      <c r="H147" s="241"/>
      <c r="I147" s="249"/>
      <c r="J147" s="250"/>
      <c r="K147" s="251"/>
      <c r="L147" s="252"/>
      <c r="M147" s="249"/>
      <c r="N147" s="250"/>
      <c r="O147" s="251"/>
      <c r="P147" s="252"/>
      <c r="Q147" s="249"/>
      <c r="R147" s="250"/>
      <c r="S147" s="251"/>
      <c r="T147" s="252"/>
      <c r="U147" s="249"/>
      <c r="V147" s="250"/>
      <c r="W147" s="251"/>
      <c r="X147" s="252"/>
      <c r="Y147" s="249"/>
      <c r="Z147" s="250"/>
      <c r="AA147" s="251"/>
      <c r="AB147" s="252"/>
      <c r="AC147" s="249"/>
      <c r="AD147" s="250"/>
      <c r="AE147" s="251"/>
      <c r="AF147" s="252"/>
      <c r="AG147" s="253"/>
      <c r="AH147" s="254"/>
      <c r="AI147" s="255"/>
      <c r="AJ147" s="256"/>
    </row>
    <row r="148" spans="1:36" s="106" customFormat="1" x14ac:dyDescent="0.25">
      <c r="A148" s="107" t="str">
        <f>IF(H148&lt;&gt;"",MAX($A$7:A147)+1,"")</f>
        <v/>
      </c>
      <c r="B148" s="244" t="str">
        <f t="shared" si="6"/>
        <v/>
      </c>
      <c r="C148" s="62" t="str">
        <f t="shared" si="7"/>
        <v/>
      </c>
      <c r="D148" s="246"/>
      <c r="E148" s="247"/>
      <c r="F148" s="247"/>
      <c r="G148" s="248"/>
      <c r="H148" s="241"/>
      <c r="I148" s="249"/>
      <c r="J148" s="250"/>
      <c r="K148" s="251"/>
      <c r="L148" s="252"/>
      <c r="M148" s="249"/>
      <c r="N148" s="250"/>
      <c r="O148" s="251"/>
      <c r="P148" s="252"/>
      <c r="Q148" s="249"/>
      <c r="R148" s="250"/>
      <c r="S148" s="251"/>
      <c r="T148" s="252"/>
      <c r="U148" s="249"/>
      <c r="V148" s="250"/>
      <c r="W148" s="251"/>
      <c r="X148" s="252"/>
      <c r="Y148" s="249"/>
      <c r="Z148" s="250"/>
      <c r="AA148" s="251"/>
      <c r="AB148" s="252"/>
      <c r="AC148" s="249"/>
      <c r="AD148" s="250"/>
      <c r="AE148" s="251"/>
      <c r="AF148" s="252"/>
      <c r="AG148" s="253"/>
      <c r="AH148" s="254"/>
      <c r="AI148" s="255"/>
      <c r="AJ148" s="256"/>
    </row>
    <row r="149" spans="1:36" s="106" customFormat="1" x14ac:dyDescent="0.25">
      <c r="A149" s="107" t="str">
        <f>IF(H149&lt;&gt;"",MAX($A$7:A148)+1,"")</f>
        <v/>
      </c>
      <c r="B149" s="244" t="str">
        <f t="shared" si="6"/>
        <v/>
      </c>
      <c r="C149" s="62" t="str">
        <f t="shared" si="7"/>
        <v/>
      </c>
      <c r="D149" s="246"/>
      <c r="E149" s="247"/>
      <c r="F149" s="247"/>
      <c r="G149" s="248"/>
      <c r="H149" s="241"/>
      <c r="I149" s="249"/>
      <c r="J149" s="250"/>
      <c r="K149" s="251"/>
      <c r="L149" s="252"/>
      <c r="M149" s="249"/>
      <c r="N149" s="250"/>
      <c r="O149" s="251"/>
      <c r="P149" s="252"/>
      <c r="Q149" s="249"/>
      <c r="R149" s="250"/>
      <c r="S149" s="251"/>
      <c r="T149" s="252"/>
      <c r="U149" s="249"/>
      <c r="V149" s="250"/>
      <c r="W149" s="251"/>
      <c r="X149" s="252"/>
      <c r="Y149" s="249"/>
      <c r="Z149" s="250"/>
      <c r="AA149" s="251"/>
      <c r="AB149" s="252"/>
      <c r="AC149" s="249"/>
      <c r="AD149" s="250"/>
      <c r="AE149" s="251"/>
      <c r="AF149" s="252"/>
      <c r="AG149" s="253"/>
      <c r="AH149" s="254"/>
      <c r="AI149" s="255"/>
      <c r="AJ149" s="256"/>
    </row>
    <row r="150" spans="1:36" s="106" customFormat="1" x14ac:dyDescent="0.25">
      <c r="A150" s="107" t="str">
        <f>IF(H150&lt;&gt;"",MAX($A$7:A149)+1,"")</f>
        <v/>
      </c>
      <c r="B150" s="244" t="str">
        <f t="shared" si="6"/>
        <v/>
      </c>
      <c r="C150" s="62" t="str">
        <f t="shared" si="7"/>
        <v/>
      </c>
      <c r="D150" s="246"/>
      <c r="E150" s="247"/>
      <c r="F150" s="247"/>
      <c r="G150" s="248"/>
      <c r="H150" s="241"/>
      <c r="I150" s="249"/>
      <c r="J150" s="250"/>
      <c r="K150" s="251"/>
      <c r="L150" s="252"/>
      <c r="M150" s="249"/>
      <c r="N150" s="250"/>
      <c r="O150" s="251"/>
      <c r="P150" s="252"/>
      <c r="Q150" s="249"/>
      <c r="R150" s="250"/>
      <c r="S150" s="251"/>
      <c r="T150" s="252"/>
      <c r="U150" s="249"/>
      <c r="V150" s="250"/>
      <c r="W150" s="251"/>
      <c r="X150" s="252"/>
      <c r="Y150" s="249"/>
      <c r="Z150" s="250"/>
      <c r="AA150" s="251"/>
      <c r="AB150" s="252"/>
      <c r="AC150" s="249"/>
      <c r="AD150" s="250"/>
      <c r="AE150" s="251"/>
      <c r="AF150" s="252"/>
      <c r="AG150" s="253"/>
      <c r="AH150" s="254"/>
      <c r="AI150" s="255"/>
      <c r="AJ150" s="256"/>
    </row>
    <row r="151" spans="1:36" s="106" customFormat="1" x14ac:dyDescent="0.25">
      <c r="A151" s="107" t="str">
        <f>IF(H151&lt;&gt;"",MAX($A$7:A150)+1,"")</f>
        <v/>
      </c>
      <c r="B151" s="244" t="str">
        <f t="shared" si="6"/>
        <v/>
      </c>
      <c r="C151" s="62" t="str">
        <f t="shared" si="7"/>
        <v/>
      </c>
      <c r="D151" s="246"/>
      <c r="E151" s="247"/>
      <c r="F151" s="247"/>
      <c r="G151" s="248"/>
      <c r="H151" s="241"/>
      <c r="I151" s="249"/>
      <c r="J151" s="250"/>
      <c r="K151" s="251"/>
      <c r="L151" s="252"/>
      <c r="M151" s="249"/>
      <c r="N151" s="250"/>
      <c r="O151" s="251"/>
      <c r="P151" s="252"/>
      <c r="Q151" s="249"/>
      <c r="R151" s="250"/>
      <c r="S151" s="251"/>
      <c r="T151" s="252"/>
      <c r="U151" s="249"/>
      <c r="V151" s="250"/>
      <c r="W151" s="251"/>
      <c r="X151" s="252"/>
      <c r="Y151" s="249"/>
      <c r="Z151" s="250"/>
      <c r="AA151" s="251"/>
      <c r="AB151" s="252"/>
      <c r="AC151" s="249"/>
      <c r="AD151" s="250"/>
      <c r="AE151" s="251"/>
      <c r="AF151" s="252"/>
      <c r="AG151" s="253"/>
      <c r="AH151" s="254"/>
      <c r="AI151" s="255"/>
      <c r="AJ151" s="256"/>
    </row>
    <row r="152" spans="1:36" s="106" customFormat="1" x14ac:dyDescent="0.25">
      <c r="A152" s="107" t="str">
        <f>IF(H152&lt;&gt;"",MAX($A$7:A151)+1,"")</f>
        <v/>
      </c>
      <c r="B152" s="244" t="str">
        <f t="shared" si="6"/>
        <v/>
      </c>
      <c r="C152" s="62" t="str">
        <f t="shared" si="7"/>
        <v/>
      </c>
      <c r="D152" s="246"/>
      <c r="E152" s="247"/>
      <c r="F152" s="247"/>
      <c r="G152" s="248"/>
      <c r="H152" s="241"/>
      <c r="I152" s="249"/>
      <c r="J152" s="250"/>
      <c r="K152" s="251"/>
      <c r="L152" s="252"/>
      <c r="M152" s="249"/>
      <c r="N152" s="250"/>
      <c r="O152" s="251"/>
      <c r="P152" s="252"/>
      <c r="Q152" s="249"/>
      <c r="R152" s="250"/>
      <c r="S152" s="251"/>
      <c r="T152" s="252"/>
      <c r="U152" s="249"/>
      <c r="V152" s="250"/>
      <c r="W152" s="251"/>
      <c r="X152" s="252"/>
      <c r="Y152" s="249"/>
      <c r="Z152" s="250"/>
      <c r="AA152" s="251"/>
      <c r="AB152" s="252"/>
      <c r="AC152" s="249"/>
      <c r="AD152" s="250"/>
      <c r="AE152" s="251"/>
      <c r="AF152" s="252"/>
      <c r="AG152" s="253"/>
      <c r="AH152" s="254"/>
      <c r="AI152" s="255"/>
      <c r="AJ152" s="256"/>
    </row>
    <row r="153" spans="1:36" s="106" customFormat="1" x14ac:dyDescent="0.25">
      <c r="A153" s="107" t="str">
        <f>IF(H153&lt;&gt;"",MAX($A$7:A152)+1,"")</f>
        <v/>
      </c>
      <c r="B153" s="244" t="str">
        <f t="shared" si="6"/>
        <v/>
      </c>
      <c r="C153" s="62" t="str">
        <f t="shared" si="7"/>
        <v/>
      </c>
      <c r="D153" s="246"/>
      <c r="E153" s="247"/>
      <c r="F153" s="247"/>
      <c r="G153" s="248"/>
      <c r="H153" s="241"/>
      <c r="I153" s="249"/>
      <c r="J153" s="250"/>
      <c r="K153" s="251"/>
      <c r="L153" s="252"/>
      <c r="M153" s="249"/>
      <c r="N153" s="250"/>
      <c r="O153" s="251"/>
      <c r="P153" s="252"/>
      <c r="Q153" s="249"/>
      <c r="R153" s="250"/>
      <c r="S153" s="251"/>
      <c r="T153" s="252"/>
      <c r="U153" s="249"/>
      <c r="V153" s="250"/>
      <c r="W153" s="251"/>
      <c r="X153" s="252"/>
      <c r="Y153" s="249"/>
      <c r="Z153" s="250"/>
      <c r="AA153" s="251"/>
      <c r="AB153" s="252"/>
      <c r="AC153" s="249"/>
      <c r="AD153" s="250"/>
      <c r="AE153" s="251"/>
      <c r="AF153" s="252"/>
      <c r="AG153" s="253"/>
      <c r="AH153" s="254"/>
      <c r="AI153" s="255"/>
      <c r="AJ153" s="256"/>
    </row>
    <row r="154" spans="1:36" s="106" customFormat="1" x14ac:dyDescent="0.25">
      <c r="A154" s="107" t="str">
        <f>IF(H154&lt;&gt;"",MAX($A$7:A153)+1,"")</f>
        <v/>
      </c>
      <c r="B154" s="244" t="str">
        <f t="shared" si="6"/>
        <v/>
      </c>
      <c r="C154" s="62" t="str">
        <f t="shared" si="7"/>
        <v/>
      </c>
      <c r="D154" s="246"/>
      <c r="E154" s="247"/>
      <c r="F154" s="247"/>
      <c r="G154" s="248"/>
      <c r="H154" s="241"/>
      <c r="I154" s="249"/>
      <c r="J154" s="250"/>
      <c r="K154" s="251"/>
      <c r="L154" s="252"/>
      <c r="M154" s="249"/>
      <c r="N154" s="250"/>
      <c r="O154" s="251"/>
      <c r="P154" s="252"/>
      <c r="Q154" s="249"/>
      <c r="R154" s="250"/>
      <c r="S154" s="251"/>
      <c r="T154" s="252"/>
      <c r="U154" s="249"/>
      <c r="V154" s="250"/>
      <c r="W154" s="251"/>
      <c r="X154" s="252"/>
      <c r="Y154" s="249"/>
      <c r="Z154" s="250"/>
      <c r="AA154" s="251"/>
      <c r="AB154" s="252"/>
      <c r="AC154" s="249"/>
      <c r="AD154" s="250"/>
      <c r="AE154" s="251"/>
      <c r="AF154" s="252"/>
      <c r="AG154" s="253"/>
      <c r="AH154" s="254"/>
      <c r="AI154" s="255"/>
      <c r="AJ154" s="256"/>
    </row>
    <row r="155" spans="1:36" s="106" customFormat="1" x14ac:dyDescent="0.25">
      <c r="A155" s="107" t="str">
        <f>IF(H155&lt;&gt;"",MAX($A$7:A154)+1,"")</f>
        <v/>
      </c>
      <c r="B155" s="244" t="str">
        <f t="shared" si="6"/>
        <v/>
      </c>
      <c r="C155" s="62" t="str">
        <f t="shared" si="7"/>
        <v/>
      </c>
      <c r="D155" s="246"/>
      <c r="E155" s="247"/>
      <c r="F155" s="247"/>
      <c r="G155" s="248"/>
      <c r="H155" s="241"/>
      <c r="I155" s="249"/>
      <c r="J155" s="250"/>
      <c r="K155" s="251"/>
      <c r="L155" s="252"/>
      <c r="M155" s="249"/>
      <c r="N155" s="250"/>
      <c r="O155" s="251"/>
      <c r="P155" s="252"/>
      <c r="Q155" s="249"/>
      <c r="R155" s="250"/>
      <c r="S155" s="251"/>
      <c r="T155" s="252"/>
      <c r="U155" s="249"/>
      <c r="V155" s="250"/>
      <c r="W155" s="251"/>
      <c r="X155" s="252"/>
      <c r="Y155" s="249"/>
      <c r="Z155" s="250"/>
      <c r="AA155" s="251"/>
      <c r="AB155" s="252"/>
      <c r="AC155" s="249"/>
      <c r="AD155" s="250"/>
      <c r="AE155" s="251"/>
      <c r="AF155" s="252"/>
      <c r="AG155" s="253"/>
      <c r="AH155" s="254"/>
      <c r="AI155" s="255"/>
      <c r="AJ155" s="256"/>
    </row>
    <row r="156" spans="1:36" s="106" customFormat="1" x14ac:dyDescent="0.25">
      <c r="A156" s="107" t="str">
        <f>IF(H156&lt;&gt;"",MAX($A$7:A155)+1,"")</f>
        <v/>
      </c>
      <c r="B156" s="244" t="str">
        <f t="shared" si="6"/>
        <v/>
      </c>
      <c r="C156" s="62" t="str">
        <f t="shared" si="7"/>
        <v/>
      </c>
      <c r="D156" s="246"/>
      <c r="E156" s="247"/>
      <c r="F156" s="247"/>
      <c r="G156" s="248"/>
      <c r="H156" s="241"/>
      <c r="I156" s="249"/>
      <c r="J156" s="250"/>
      <c r="K156" s="251"/>
      <c r="L156" s="252"/>
      <c r="M156" s="249"/>
      <c r="N156" s="250"/>
      <c r="O156" s="251"/>
      <c r="P156" s="252"/>
      <c r="Q156" s="249"/>
      <c r="R156" s="250"/>
      <c r="S156" s="251"/>
      <c r="T156" s="252"/>
      <c r="U156" s="249"/>
      <c r="V156" s="250"/>
      <c r="W156" s="251"/>
      <c r="X156" s="252"/>
      <c r="Y156" s="249"/>
      <c r="Z156" s="250"/>
      <c r="AA156" s="251"/>
      <c r="AB156" s="252"/>
      <c r="AC156" s="249"/>
      <c r="AD156" s="250"/>
      <c r="AE156" s="251"/>
      <c r="AF156" s="252"/>
      <c r="AG156" s="253"/>
      <c r="AH156" s="254"/>
      <c r="AI156" s="255"/>
      <c r="AJ156" s="256"/>
    </row>
    <row r="157" spans="1:36" s="106" customFormat="1" x14ac:dyDescent="0.25">
      <c r="A157" s="107" t="str">
        <f>IF(H157&lt;&gt;"",MAX($A$7:A156)+1,"")</f>
        <v/>
      </c>
      <c r="B157" s="244" t="str">
        <f t="shared" si="6"/>
        <v/>
      </c>
      <c r="C157" s="62" t="str">
        <f t="shared" si="7"/>
        <v/>
      </c>
      <c r="D157" s="246"/>
      <c r="E157" s="247"/>
      <c r="F157" s="247"/>
      <c r="G157" s="248"/>
      <c r="H157" s="241"/>
      <c r="I157" s="249"/>
      <c r="J157" s="250"/>
      <c r="K157" s="251"/>
      <c r="L157" s="252"/>
      <c r="M157" s="249"/>
      <c r="N157" s="250"/>
      <c r="O157" s="251"/>
      <c r="P157" s="252"/>
      <c r="Q157" s="249"/>
      <c r="R157" s="250"/>
      <c r="S157" s="251"/>
      <c r="T157" s="252"/>
      <c r="U157" s="249"/>
      <c r="V157" s="250"/>
      <c r="W157" s="251"/>
      <c r="X157" s="252"/>
      <c r="Y157" s="249"/>
      <c r="Z157" s="250"/>
      <c r="AA157" s="251"/>
      <c r="AB157" s="252"/>
      <c r="AC157" s="249"/>
      <c r="AD157" s="250"/>
      <c r="AE157" s="251"/>
      <c r="AF157" s="252"/>
      <c r="AG157" s="253"/>
      <c r="AH157" s="254"/>
      <c r="AI157" s="255"/>
      <c r="AJ157" s="256"/>
    </row>
    <row r="158" spans="1:36" s="106" customFormat="1" x14ac:dyDescent="0.25">
      <c r="A158" s="107" t="str">
        <f>IF(H158&lt;&gt;"",MAX($A$7:A157)+1,"")</f>
        <v/>
      </c>
      <c r="B158" s="244" t="str">
        <f t="shared" si="6"/>
        <v/>
      </c>
      <c r="C158" s="62" t="str">
        <f t="shared" si="7"/>
        <v/>
      </c>
      <c r="D158" s="246"/>
      <c r="E158" s="247"/>
      <c r="F158" s="247"/>
      <c r="G158" s="248"/>
      <c r="H158" s="241"/>
      <c r="I158" s="249"/>
      <c r="J158" s="250"/>
      <c r="K158" s="251"/>
      <c r="L158" s="252"/>
      <c r="M158" s="249"/>
      <c r="N158" s="250"/>
      <c r="O158" s="251"/>
      <c r="P158" s="252"/>
      <c r="Q158" s="249"/>
      <c r="R158" s="250"/>
      <c r="S158" s="251"/>
      <c r="T158" s="252"/>
      <c r="U158" s="249"/>
      <c r="V158" s="250"/>
      <c r="W158" s="251"/>
      <c r="X158" s="252"/>
      <c r="Y158" s="249"/>
      <c r="Z158" s="250"/>
      <c r="AA158" s="251"/>
      <c r="AB158" s="252"/>
      <c r="AC158" s="249"/>
      <c r="AD158" s="250"/>
      <c r="AE158" s="251"/>
      <c r="AF158" s="252"/>
      <c r="AG158" s="253"/>
      <c r="AH158" s="254"/>
      <c r="AI158" s="255"/>
      <c r="AJ158" s="256"/>
    </row>
    <row r="159" spans="1:36" s="106" customFormat="1" x14ac:dyDescent="0.25">
      <c r="A159" s="107" t="str">
        <f>IF(H159&lt;&gt;"",MAX($A$7:A158)+1,"")</f>
        <v/>
      </c>
      <c r="B159" s="244" t="str">
        <f t="shared" si="6"/>
        <v/>
      </c>
      <c r="C159" s="62" t="str">
        <f t="shared" si="7"/>
        <v/>
      </c>
      <c r="D159" s="246"/>
      <c r="E159" s="247"/>
      <c r="F159" s="247"/>
      <c r="G159" s="248"/>
      <c r="H159" s="241"/>
      <c r="I159" s="249"/>
      <c r="J159" s="250"/>
      <c r="K159" s="251"/>
      <c r="L159" s="252"/>
      <c r="M159" s="249"/>
      <c r="N159" s="250"/>
      <c r="O159" s="251"/>
      <c r="P159" s="252"/>
      <c r="Q159" s="249"/>
      <c r="R159" s="250"/>
      <c r="S159" s="251"/>
      <c r="T159" s="252"/>
      <c r="U159" s="249"/>
      <c r="V159" s="250"/>
      <c r="W159" s="251"/>
      <c r="X159" s="252"/>
      <c r="Y159" s="249"/>
      <c r="Z159" s="250"/>
      <c r="AA159" s="251"/>
      <c r="AB159" s="252"/>
      <c r="AC159" s="249"/>
      <c r="AD159" s="250"/>
      <c r="AE159" s="251"/>
      <c r="AF159" s="252"/>
      <c r="AG159" s="253"/>
      <c r="AH159" s="254"/>
      <c r="AI159" s="255"/>
      <c r="AJ159" s="256"/>
    </row>
    <row r="160" spans="1:36" s="106" customFormat="1" x14ac:dyDescent="0.25">
      <c r="A160" s="107" t="str">
        <f>IF(H160&lt;&gt;"",MAX($A$7:A159)+1,"")</f>
        <v/>
      </c>
      <c r="B160" s="244" t="str">
        <f t="shared" si="6"/>
        <v/>
      </c>
      <c r="C160" s="62" t="str">
        <f t="shared" si="7"/>
        <v/>
      </c>
      <c r="D160" s="246"/>
      <c r="E160" s="247"/>
      <c r="F160" s="247"/>
      <c r="G160" s="248"/>
      <c r="H160" s="241"/>
      <c r="I160" s="249"/>
      <c r="J160" s="250"/>
      <c r="K160" s="251"/>
      <c r="L160" s="252"/>
      <c r="M160" s="249"/>
      <c r="N160" s="250"/>
      <c r="O160" s="251"/>
      <c r="P160" s="252"/>
      <c r="Q160" s="249"/>
      <c r="R160" s="250"/>
      <c r="S160" s="251"/>
      <c r="T160" s="252"/>
      <c r="U160" s="249"/>
      <c r="V160" s="250"/>
      <c r="W160" s="251"/>
      <c r="X160" s="252"/>
      <c r="Y160" s="249"/>
      <c r="Z160" s="250"/>
      <c r="AA160" s="251"/>
      <c r="AB160" s="252"/>
      <c r="AC160" s="249"/>
      <c r="AD160" s="250"/>
      <c r="AE160" s="251"/>
      <c r="AF160" s="252"/>
      <c r="AG160" s="253"/>
      <c r="AH160" s="254"/>
      <c r="AI160" s="255"/>
      <c r="AJ160" s="256"/>
    </row>
    <row r="161" spans="1:36" s="106" customFormat="1" x14ac:dyDescent="0.25">
      <c r="A161" s="107" t="str">
        <f>IF(H161&lt;&gt;"",MAX($A$7:A160)+1,"")</f>
        <v/>
      </c>
      <c r="B161" s="244" t="str">
        <f t="shared" si="6"/>
        <v/>
      </c>
      <c r="C161" s="62" t="str">
        <f t="shared" si="7"/>
        <v/>
      </c>
      <c r="D161" s="246"/>
      <c r="E161" s="247"/>
      <c r="F161" s="247"/>
      <c r="G161" s="248"/>
      <c r="H161" s="241"/>
      <c r="I161" s="249"/>
      <c r="J161" s="250"/>
      <c r="K161" s="251"/>
      <c r="L161" s="252"/>
      <c r="M161" s="249"/>
      <c r="N161" s="250"/>
      <c r="O161" s="251"/>
      <c r="P161" s="252"/>
      <c r="Q161" s="249"/>
      <c r="R161" s="250"/>
      <c r="S161" s="251"/>
      <c r="T161" s="252"/>
      <c r="U161" s="249"/>
      <c r="V161" s="250"/>
      <c r="W161" s="251"/>
      <c r="X161" s="252"/>
      <c r="Y161" s="249"/>
      <c r="Z161" s="250"/>
      <c r="AA161" s="251"/>
      <c r="AB161" s="252"/>
      <c r="AC161" s="249"/>
      <c r="AD161" s="250"/>
      <c r="AE161" s="251"/>
      <c r="AF161" s="252"/>
      <c r="AG161" s="253"/>
      <c r="AH161" s="254"/>
      <c r="AI161" s="255"/>
      <c r="AJ161" s="256"/>
    </row>
    <row r="162" spans="1:36" s="106" customFormat="1" x14ac:dyDescent="0.25">
      <c r="A162" s="107" t="str">
        <f>IF(H162&lt;&gt;"",MAX($A$7:A161)+1,"")</f>
        <v/>
      </c>
      <c r="B162" s="244" t="str">
        <f t="shared" si="6"/>
        <v/>
      </c>
      <c r="C162" s="62" t="str">
        <f t="shared" si="7"/>
        <v/>
      </c>
      <c r="D162" s="246"/>
      <c r="E162" s="247"/>
      <c r="F162" s="247"/>
      <c r="G162" s="248"/>
      <c r="H162" s="241"/>
      <c r="I162" s="249"/>
      <c r="J162" s="250"/>
      <c r="K162" s="251"/>
      <c r="L162" s="252"/>
      <c r="M162" s="249"/>
      <c r="N162" s="250"/>
      <c r="O162" s="251"/>
      <c r="P162" s="252"/>
      <c r="Q162" s="249"/>
      <c r="R162" s="250"/>
      <c r="S162" s="251"/>
      <c r="T162" s="252"/>
      <c r="U162" s="249"/>
      <c r="V162" s="250"/>
      <c r="W162" s="251"/>
      <c r="X162" s="252"/>
      <c r="Y162" s="249"/>
      <c r="Z162" s="250"/>
      <c r="AA162" s="251"/>
      <c r="AB162" s="252"/>
      <c r="AC162" s="249"/>
      <c r="AD162" s="250"/>
      <c r="AE162" s="251"/>
      <c r="AF162" s="252"/>
      <c r="AG162" s="253"/>
      <c r="AH162" s="254"/>
      <c r="AI162" s="255"/>
      <c r="AJ162" s="256"/>
    </row>
    <row r="163" spans="1:36" s="106" customFormat="1" x14ac:dyDescent="0.25">
      <c r="A163" s="107" t="str">
        <f>IF(H163&lt;&gt;"",MAX($A$7:A162)+1,"")</f>
        <v/>
      </c>
      <c r="B163" s="244" t="str">
        <f t="shared" si="6"/>
        <v/>
      </c>
      <c r="C163" s="62" t="str">
        <f t="shared" si="7"/>
        <v/>
      </c>
      <c r="D163" s="246"/>
      <c r="E163" s="247"/>
      <c r="F163" s="247"/>
      <c r="G163" s="248"/>
      <c r="H163" s="241"/>
      <c r="I163" s="249"/>
      <c r="J163" s="250"/>
      <c r="K163" s="251"/>
      <c r="L163" s="252"/>
      <c r="M163" s="249"/>
      <c r="N163" s="250"/>
      <c r="O163" s="251"/>
      <c r="P163" s="252"/>
      <c r="Q163" s="249"/>
      <c r="R163" s="250"/>
      <c r="S163" s="251"/>
      <c r="T163" s="252"/>
      <c r="U163" s="249"/>
      <c r="V163" s="250"/>
      <c r="W163" s="251"/>
      <c r="X163" s="252"/>
      <c r="Y163" s="249"/>
      <c r="Z163" s="250"/>
      <c r="AA163" s="251"/>
      <c r="AB163" s="252"/>
      <c r="AC163" s="249"/>
      <c r="AD163" s="250"/>
      <c r="AE163" s="251"/>
      <c r="AF163" s="252"/>
      <c r="AG163" s="253"/>
      <c r="AH163" s="254"/>
      <c r="AI163" s="255"/>
      <c r="AJ163" s="256"/>
    </row>
    <row r="164" spans="1:36" s="106" customFormat="1" x14ac:dyDescent="0.25">
      <c r="A164" s="107" t="str">
        <f>IF(H164&lt;&gt;"",MAX($A$7:A163)+1,"")</f>
        <v/>
      </c>
      <c r="B164" s="244" t="str">
        <f t="shared" si="6"/>
        <v/>
      </c>
      <c r="C164" s="62" t="str">
        <f t="shared" si="7"/>
        <v/>
      </c>
      <c r="D164" s="246"/>
      <c r="E164" s="247"/>
      <c r="F164" s="247"/>
      <c r="G164" s="248"/>
      <c r="H164" s="241"/>
      <c r="I164" s="249"/>
      <c r="J164" s="250"/>
      <c r="K164" s="251"/>
      <c r="L164" s="252"/>
      <c r="M164" s="249"/>
      <c r="N164" s="250"/>
      <c r="O164" s="251"/>
      <c r="P164" s="252"/>
      <c r="Q164" s="249"/>
      <c r="R164" s="250"/>
      <c r="S164" s="251"/>
      <c r="T164" s="252"/>
      <c r="U164" s="249"/>
      <c r="V164" s="250"/>
      <c r="W164" s="251"/>
      <c r="X164" s="252"/>
      <c r="Y164" s="249"/>
      <c r="Z164" s="250"/>
      <c r="AA164" s="251"/>
      <c r="AB164" s="252"/>
      <c r="AC164" s="249"/>
      <c r="AD164" s="250"/>
      <c r="AE164" s="251"/>
      <c r="AF164" s="252"/>
      <c r="AG164" s="253"/>
      <c r="AH164" s="254"/>
      <c r="AI164" s="255"/>
      <c r="AJ164" s="256"/>
    </row>
    <row r="165" spans="1:36" s="106" customFormat="1" x14ac:dyDescent="0.25">
      <c r="A165" s="107" t="str">
        <f>IF(H165&lt;&gt;"",MAX($A$7:A164)+1,"")</f>
        <v/>
      </c>
      <c r="B165" s="244" t="str">
        <f t="shared" si="6"/>
        <v/>
      </c>
      <c r="C165" s="62" t="str">
        <f t="shared" si="7"/>
        <v/>
      </c>
      <c r="D165" s="246"/>
      <c r="E165" s="247"/>
      <c r="F165" s="247"/>
      <c r="G165" s="248"/>
      <c r="H165" s="241"/>
      <c r="I165" s="249"/>
      <c r="J165" s="250"/>
      <c r="K165" s="251"/>
      <c r="L165" s="252"/>
      <c r="M165" s="249"/>
      <c r="N165" s="250"/>
      <c r="O165" s="251"/>
      <c r="P165" s="252"/>
      <c r="Q165" s="249"/>
      <c r="R165" s="250"/>
      <c r="S165" s="251"/>
      <c r="T165" s="252"/>
      <c r="U165" s="249"/>
      <c r="V165" s="250"/>
      <c r="W165" s="251"/>
      <c r="X165" s="252"/>
      <c r="Y165" s="249"/>
      <c r="Z165" s="250"/>
      <c r="AA165" s="251"/>
      <c r="AB165" s="252"/>
      <c r="AC165" s="249"/>
      <c r="AD165" s="250"/>
      <c r="AE165" s="251"/>
      <c r="AF165" s="252"/>
      <c r="AG165" s="253"/>
      <c r="AH165" s="254"/>
      <c r="AI165" s="255"/>
      <c r="AJ165" s="256"/>
    </row>
    <row r="166" spans="1:36" s="106" customFormat="1" x14ac:dyDescent="0.25">
      <c r="A166" s="107" t="str">
        <f>IF(H166&lt;&gt;"",MAX($A$7:A165)+1,"")</f>
        <v/>
      </c>
      <c r="B166" s="244" t="str">
        <f t="shared" si="6"/>
        <v/>
      </c>
      <c r="C166" s="62" t="str">
        <f t="shared" si="7"/>
        <v/>
      </c>
      <c r="D166" s="246"/>
      <c r="E166" s="247"/>
      <c r="F166" s="247"/>
      <c r="G166" s="248"/>
      <c r="H166" s="241"/>
      <c r="I166" s="249"/>
      <c r="J166" s="250"/>
      <c r="K166" s="251"/>
      <c r="L166" s="252"/>
      <c r="M166" s="249"/>
      <c r="N166" s="250"/>
      <c r="O166" s="251"/>
      <c r="P166" s="252"/>
      <c r="Q166" s="249"/>
      <c r="R166" s="250"/>
      <c r="S166" s="251"/>
      <c r="T166" s="252"/>
      <c r="U166" s="249"/>
      <c r="V166" s="250"/>
      <c r="W166" s="251"/>
      <c r="X166" s="252"/>
      <c r="Y166" s="249"/>
      <c r="Z166" s="250"/>
      <c r="AA166" s="251"/>
      <c r="AB166" s="252"/>
      <c r="AC166" s="249"/>
      <c r="AD166" s="250"/>
      <c r="AE166" s="251"/>
      <c r="AF166" s="252"/>
      <c r="AG166" s="253"/>
      <c r="AH166" s="254"/>
      <c r="AI166" s="255"/>
      <c r="AJ166" s="256"/>
    </row>
    <row r="167" spans="1:36" s="106" customFormat="1" x14ac:dyDescent="0.25">
      <c r="A167" s="107" t="str">
        <f>IF(H167&lt;&gt;"",MAX($A$7:A166)+1,"")</f>
        <v/>
      </c>
      <c r="B167" s="244" t="str">
        <f t="shared" si="6"/>
        <v/>
      </c>
      <c r="C167" s="62" t="str">
        <f t="shared" si="7"/>
        <v/>
      </c>
      <c r="D167" s="246"/>
      <c r="E167" s="247"/>
      <c r="F167" s="247"/>
      <c r="G167" s="248"/>
      <c r="H167" s="241"/>
      <c r="I167" s="249"/>
      <c r="J167" s="250"/>
      <c r="K167" s="251"/>
      <c r="L167" s="252"/>
      <c r="M167" s="249"/>
      <c r="N167" s="250"/>
      <c r="O167" s="251"/>
      <c r="P167" s="252"/>
      <c r="Q167" s="249"/>
      <c r="R167" s="250"/>
      <c r="S167" s="251"/>
      <c r="T167" s="252"/>
      <c r="U167" s="249"/>
      <c r="V167" s="250"/>
      <c r="W167" s="251"/>
      <c r="X167" s="252"/>
      <c r="Y167" s="249"/>
      <c r="Z167" s="250"/>
      <c r="AA167" s="251"/>
      <c r="AB167" s="252"/>
      <c r="AC167" s="249"/>
      <c r="AD167" s="250"/>
      <c r="AE167" s="251"/>
      <c r="AF167" s="252"/>
      <c r="AG167" s="253"/>
      <c r="AH167" s="254"/>
      <c r="AI167" s="255"/>
      <c r="AJ167" s="256"/>
    </row>
    <row r="168" spans="1:36" s="106" customFormat="1" x14ac:dyDescent="0.25">
      <c r="A168" s="107" t="str">
        <f>IF(H168&lt;&gt;"",MAX($A$7:A167)+1,"")</f>
        <v/>
      </c>
      <c r="B168" s="244" t="str">
        <f t="shared" si="6"/>
        <v/>
      </c>
      <c r="C168" s="62" t="str">
        <f t="shared" si="7"/>
        <v/>
      </c>
      <c r="D168" s="246"/>
      <c r="E168" s="247"/>
      <c r="F168" s="247"/>
      <c r="G168" s="248"/>
      <c r="H168" s="241"/>
      <c r="I168" s="249"/>
      <c r="J168" s="250"/>
      <c r="K168" s="251"/>
      <c r="L168" s="252"/>
      <c r="M168" s="249"/>
      <c r="N168" s="250"/>
      <c r="O168" s="251"/>
      <c r="P168" s="252"/>
      <c r="Q168" s="249"/>
      <c r="R168" s="250"/>
      <c r="S168" s="251"/>
      <c r="T168" s="252"/>
      <c r="U168" s="249"/>
      <c r="V168" s="250"/>
      <c r="W168" s="251"/>
      <c r="X168" s="252"/>
      <c r="Y168" s="249"/>
      <c r="Z168" s="250"/>
      <c r="AA168" s="251"/>
      <c r="AB168" s="252"/>
      <c r="AC168" s="249"/>
      <c r="AD168" s="250"/>
      <c r="AE168" s="251"/>
      <c r="AF168" s="252"/>
      <c r="AG168" s="253"/>
      <c r="AH168" s="254"/>
      <c r="AI168" s="255"/>
      <c r="AJ168" s="256"/>
    </row>
    <row r="169" spans="1:36" s="106" customFormat="1" x14ac:dyDescent="0.25">
      <c r="A169" s="107" t="str">
        <f>IF(H169&lt;&gt;"",MAX($A$7:A168)+1,"")</f>
        <v/>
      </c>
      <c r="B169" s="244" t="str">
        <f t="shared" si="6"/>
        <v/>
      </c>
      <c r="C169" s="62" t="str">
        <f t="shared" si="7"/>
        <v/>
      </c>
      <c r="D169" s="246"/>
      <c r="E169" s="247"/>
      <c r="F169" s="247"/>
      <c r="G169" s="248"/>
      <c r="H169" s="241"/>
      <c r="I169" s="249"/>
      <c r="J169" s="250"/>
      <c r="K169" s="251"/>
      <c r="L169" s="252"/>
      <c r="M169" s="249"/>
      <c r="N169" s="250"/>
      <c r="O169" s="251"/>
      <c r="P169" s="252"/>
      <c r="Q169" s="249"/>
      <c r="R169" s="250"/>
      <c r="S169" s="251"/>
      <c r="T169" s="252"/>
      <c r="U169" s="249"/>
      <c r="V169" s="250"/>
      <c r="W169" s="251"/>
      <c r="X169" s="252"/>
      <c r="Y169" s="249"/>
      <c r="Z169" s="250"/>
      <c r="AA169" s="251"/>
      <c r="AB169" s="252"/>
      <c r="AC169" s="249"/>
      <c r="AD169" s="250"/>
      <c r="AE169" s="251"/>
      <c r="AF169" s="252"/>
      <c r="AG169" s="253"/>
      <c r="AH169" s="254"/>
      <c r="AI169" s="255"/>
      <c r="AJ169" s="256"/>
    </row>
    <row r="170" spans="1:36" s="106" customFormat="1" x14ac:dyDescent="0.25">
      <c r="A170" s="107" t="str">
        <f>IF(H170&lt;&gt;"",MAX($A$7:A169)+1,"")</f>
        <v/>
      </c>
      <c r="B170" s="244" t="str">
        <f t="shared" si="6"/>
        <v/>
      </c>
      <c r="C170" s="62" t="str">
        <f t="shared" si="7"/>
        <v/>
      </c>
      <c r="D170" s="246"/>
      <c r="E170" s="247"/>
      <c r="F170" s="247"/>
      <c r="G170" s="248"/>
      <c r="H170" s="241"/>
      <c r="I170" s="249"/>
      <c r="J170" s="250"/>
      <c r="K170" s="251"/>
      <c r="L170" s="252"/>
      <c r="M170" s="249"/>
      <c r="N170" s="250"/>
      <c r="O170" s="251"/>
      <c r="P170" s="252"/>
      <c r="Q170" s="249"/>
      <c r="R170" s="250"/>
      <c r="S170" s="251"/>
      <c r="T170" s="252"/>
      <c r="U170" s="249"/>
      <c r="V170" s="250"/>
      <c r="W170" s="251"/>
      <c r="X170" s="252"/>
      <c r="Y170" s="249"/>
      <c r="Z170" s="250"/>
      <c r="AA170" s="251"/>
      <c r="AB170" s="252"/>
      <c r="AC170" s="249"/>
      <c r="AD170" s="250"/>
      <c r="AE170" s="251"/>
      <c r="AF170" s="252"/>
      <c r="AG170" s="253"/>
      <c r="AH170" s="254"/>
      <c r="AI170" s="255"/>
      <c r="AJ170" s="256"/>
    </row>
    <row r="171" spans="1:36" s="106" customFormat="1" x14ac:dyDescent="0.25">
      <c r="A171" s="107" t="str">
        <f>IF(H171&lt;&gt;"",MAX($A$7:A170)+1,"")</f>
        <v/>
      </c>
      <c r="B171" s="244" t="str">
        <f t="shared" si="6"/>
        <v/>
      </c>
      <c r="C171" s="62" t="str">
        <f t="shared" si="7"/>
        <v/>
      </c>
      <c r="D171" s="246"/>
      <c r="E171" s="247"/>
      <c r="F171" s="247"/>
      <c r="G171" s="248"/>
      <c r="H171" s="241"/>
      <c r="I171" s="249"/>
      <c r="J171" s="250"/>
      <c r="K171" s="251"/>
      <c r="L171" s="252"/>
      <c r="M171" s="249"/>
      <c r="N171" s="250"/>
      <c r="O171" s="251"/>
      <c r="P171" s="252"/>
      <c r="Q171" s="249"/>
      <c r="R171" s="250"/>
      <c r="S171" s="251"/>
      <c r="T171" s="252"/>
      <c r="U171" s="249"/>
      <c r="V171" s="250"/>
      <c r="W171" s="251"/>
      <c r="X171" s="252"/>
      <c r="Y171" s="249"/>
      <c r="Z171" s="250"/>
      <c r="AA171" s="251"/>
      <c r="AB171" s="252"/>
      <c r="AC171" s="249"/>
      <c r="AD171" s="250"/>
      <c r="AE171" s="251"/>
      <c r="AF171" s="252"/>
      <c r="AG171" s="253"/>
      <c r="AH171" s="254"/>
      <c r="AI171" s="255"/>
      <c r="AJ171" s="256"/>
    </row>
    <row r="172" spans="1:36" s="106" customFormat="1" x14ac:dyDescent="0.25">
      <c r="A172" s="107" t="str">
        <f>IF(H172&lt;&gt;"",MAX($A$7:A171)+1,"")</f>
        <v/>
      </c>
      <c r="B172" s="244" t="str">
        <f t="shared" si="6"/>
        <v/>
      </c>
      <c r="C172" s="62" t="str">
        <f t="shared" si="7"/>
        <v/>
      </c>
      <c r="D172" s="246"/>
      <c r="E172" s="247"/>
      <c r="F172" s="247"/>
      <c r="G172" s="248"/>
      <c r="H172" s="241"/>
      <c r="I172" s="249"/>
      <c r="J172" s="250"/>
      <c r="K172" s="251"/>
      <c r="L172" s="252"/>
      <c r="M172" s="249"/>
      <c r="N172" s="250"/>
      <c r="O172" s="251"/>
      <c r="P172" s="252"/>
      <c r="Q172" s="249"/>
      <c r="R172" s="250"/>
      <c r="S172" s="251"/>
      <c r="T172" s="252"/>
      <c r="U172" s="249"/>
      <c r="V172" s="250"/>
      <c r="W172" s="251"/>
      <c r="X172" s="252"/>
      <c r="Y172" s="249"/>
      <c r="Z172" s="250"/>
      <c r="AA172" s="251"/>
      <c r="AB172" s="252"/>
      <c r="AC172" s="249"/>
      <c r="AD172" s="250"/>
      <c r="AE172" s="251"/>
      <c r="AF172" s="252"/>
      <c r="AG172" s="253"/>
      <c r="AH172" s="254"/>
      <c r="AI172" s="255"/>
      <c r="AJ172" s="256"/>
    </row>
    <row r="173" spans="1:36" s="106" customFormat="1" x14ac:dyDescent="0.25">
      <c r="A173" s="107" t="str">
        <f>IF(H173&lt;&gt;"",MAX($A$7:A172)+1,"")</f>
        <v/>
      </c>
      <c r="B173" s="244" t="str">
        <f t="shared" si="6"/>
        <v/>
      </c>
      <c r="C173" s="62" t="str">
        <f t="shared" si="7"/>
        <v/>
      </c>
      <c r="D173" s="246"/>
      <c r="E173" s="247"/>
      <c r="F173" s="247"/>
      <c r="G173" s="248"/>
      <c r="H173" s="241"/>
      <c r="I173" s="249"/>
      <c r="J173" s="250"/>
      <c r="K173" s="251"/>
      <c r="L173" s="252"/>
      <c r="M173" s="249"/>
      <c r="N173" s="250"/>
      <c r="O173" s="251"/>
      <c r="P173" s="252"/>
      <c r="Q173" s="249"/>
      <c r="R173" s="250"/>
      <c r="S173" s="251"/>
      <c r="T173" s="252"/>
      <c r="U173" s="249"/>
      <c r="V173" s="250"/>
      <c r="W173" s="251"/>
      <c r="X173" s="252"/>
      <c r="Y173" s="249"/>
      <c r="Z173" s="250"/>
      <c r="AA173" s="251"/>
      <c r="AB173" s="252"/>
      <c r="AC173" s="249"/>
      <c r="AD173" s="250"/>
      <c r="AE173" s="251"/>
      <c r="AF173" s="252"/>
      <c r="AG173" s="253"/>
      <c r="AH173" s="254"/>
      <c r="AI173" s="255"/>
      <c r="AJ173" s="256"/>
    </row>
    <row r="174" spans="1:36" s="106" customFormat="1" x14ac:dyDescent="0.25">
      <c r="A174" s="107" t="str">
        <f>IF(H174&lt;&gt;"",MAX($A$7:A173)+1,"")</f>
        <v/>
      </c>
      <c r="B174" s="244" t="str">
        <f t="shared" si="6"/>
        <v/>
      </c>
      <c r="C174" s="62" t="str">
        <f t="shared" si="7"/>
        <v/>
      </c>
      <c r="D174" s="246"/>
      <c r="E174" s="247"/>
      <c r="F174" s="247"/>
      <c r="G174" s="248"/>
      <c r="H174" s="241"/>
      <c r="I174" s="249"/>
      <c r="J174" s="250"/>
      <c r="K174" s="251"/>
      <c r="L174" s="252"/>
      <c r="M174" s="249"/>
      <c r="N174" s="250"/>
      <c r="O174" s="251"/>
      <c r="P174" s="252"/>
      <c r="Q174" s="249"/>
      <c r="R174" s="250"/>
      <c r="S174" s="251"/>
      <c r="T174" s="252"/>
      <c r="U174" s="249"/>
      <c r="V174" s="250"/>
      <c r="W174" s="251"/>
      <c r="X174" s="252"/>
      <c r="Y174" s="249"/>
      <c r="Z174" s="250"/>
      <c r="AA174" s="251"/>
      <c r="AB174" s="252"/>
      <c r="AC174" s="249"/>
      <c r="AD174" s="250"/>
      <c r="AE174" s="251"/>
      <c r="AF174" s="252"/>
      <c r="AG174" s="253"/>
      <c r="AH174" s="254"/>
      <c r="AI174" s="255"/>
      <c r="AJ174" s="256"/>
    </row>
    <row r="175" spans="1:36" s="106" customFormat="1" x14ac:dyDescent="0.25">
      <c r="A175" s="107" t="str">
        <f>IF(H175&lt;&gt;"",MAX($A$7:A174)+1,"")</f>
        <v/>
      </c>
      <c r="B175" s="244" t="str">
        <f t="shared" si="6"/>
        <v/>
      </c>
      <c r="C175" s="62" t="str">
        <f t="shared" si="7"/>
        <v/>
      </c>
      <c r="D175" s="246"/>
      <c r="E175" s="247"/>
      <c r="F175" s="247"/>
      <c r="G175" s="248"/>
      <c r="H175" s="241"/>
      <c r="I175" s="249"/>
      <c r="J175" s="250"/>
      <c r="K175" s="251"/>
      <c r="L175" s="252"/>
      <c r="M175" s="249"/>
      <c r="N175" s="250"/>
      <c r="O175" s="251"/>
      <c r="P175" s="252"/>
      <c r="Q175" s="249"/>
      <c r="R175" s="250"/>
      <c r="S175" s="251"/>
      <c r="T175" s="252"/>
      <c r="U175" s="249"/>
      <c r="V175" s="250"/>
      <c r="W175" s="251"/>
      <c r="X175" s="252"/>
      <c r="Y175" s="249"/>
      <c r="Z175" s="250"/>
      <c r="AA175" s="251"/>
      <c r="AB175" s="252"/>
      <c r="AC175" s="249"/>
      <c r="AD175" s="250"/>
      <c r="AE175" s="251"/>
      <c r="AF175" s="252"/>
      <c r="AG175" s="253"/>
      <c r="AH175" s="254"/>
      <c r="AI175" s="255"/>
      <c r="AJ175" s="256"/>
    </row>
    <row r="176" spans="1:36" s="106" customFormat="1" x14ac:dyDescent="0.25">
      <c r="A176" s="107" t="str">
        <f>IF(H176&lt;&gt;"",MAX($A$7:A175)+1,"")</f>
        <v/>
      </c>
      <c r="B176" s="244" t="str">
        <f t="shared" si="6"/>
        <v/>
      </c>
      <c r="C176" s="62" t="str">
        <f t="shared" si="7"/>
        <v/>
      </c>
      <c r="D176" s="246"/>
      <c r="E176" s="247"/>
      <c r="F176" s="247"/>
      <c r="G176" s="248"/>
      <c r="H176" s="241"/>
      <c r="I176" s="249"/>
      <c r="J176" s="250"/>
      <c r="K176" s="251"/>
      <c r="L176" s="252"/>
      <c r="M176" s="249"/>
      <c r="N176" s="250"/>
      <c r="O176" s="251"/>
      <c r="P176" s="252"/>
      <c r="Q176" s="249"/>
      <c r="R176" s="250"/>
      <c r="S176" s="251"/>
      <c r="T176" s="252"/>
      <c r="U176" s="249"/>
      <c r="V176" s="250"/>
      <c r="W176" s="251"/>
      <c r="X176" s="252"/>
      <c r="Y176" s="249"/>
      <c r="Z176" s="250"/>
      <c r="AA176" s="251"/>
      <c r="AB176" s="252"/>
      <c r="AC176" s="249"/>
      <c r="AD176" s="250"/>
      <c r="AE176" s="251"/>
      <c r="AF176" s="252"/>
      <c r="AG176" s="253"/>
      <c r="AH176" s="254"/>
      <c r="AI176" s="255"/>
      <c r="AJ176" s="256"/>
    </row>
    <row r="177" spans="1:36" s="106" customFormat="1" x14ac:dyDescent="0.25">
      <c r="A177" s="107" t="str">
        <f>IF(H177&lt;&gt;"",MAX($A$7:A176)+1,"")</f>
        <v/>
      </c>
      <c r="B177" s="244" t="str">
        <f t="shared" si="6"/>
        <v/>
      </c>
      <c r="C177" s="62" t="str">
        <f t="shared" si="7"/>
        <v/>
      </c>
      <c r="D177" s="246"/>
      <c r="E177" s="247"/>
      <c r="F177" s="247"/>
      <c r="G177" s="248"/>
      <c r="H177" s="241"/>
      <c r="I177" s="249"/>
      <c r="J177" s="250"/>
      <c r="K177" s="251"/>
      <c r="L177" s="252"/>
      <c r="M177" s="249"/>
      <c r="N177" s="250"/>
      <c r="O177" s="251"/>
      <c r="P177" s="252"/>
      <c r="Q177" s="249"/>
      <c r="R177" s="250"/>
      <c r="S177" s="251"/>
      <c r="T177" s="252"/>
      <c r="U177" s="249"/>
      <c r="V177" s="250"/>
      <c r="W177" s="251"/>
      <c r="X177" s="252"/>
      <c r="Y177" s="249"/>
      <c r="Z177" s="250"/>
      <c r="AA177" s="251"/>
      <c r="AB177" s="252"/>
      <c r="AC177" s="249"/>
      <c r="AD177" s="250"/>
      <c r="AE177" s="251"/>
      <c r="AF177" s="252"/>
      <c r="AG177" s="253"/>
      <c r="AH177" s="254"/>
      <c r="AI177" s="255"/>
      <c r="AJ177" s="256"/>
    </row>
    <row r="178" spans="1:36" s="106" customFormat="1" x14ac:dyDescent="0.25">
      <c r="A178" s="107" t="str">
        <f>IF(H178&lt;&gt;"",MAX($A$7:A177)+1,"")</f>
        <v/>
      </c>
      <c r="B178" s="244" t="str">
        <f t="shared" si="6"/>
        <v/>
      </c>
      <c r="C178" s="62" t="str">
        <f t="shared" si="7"/>
        <v/>
      </c>
      <c r="D178" s="246"/>
      <c r="E178" s="247"/>
      <c r="F178" s="247"/>
      <c r="G178" s="248"/>
      <c r="H178" s="241"/>
      <c r="I178" s="249"/>
      <c r="J178" s="250"/>
      <c r="K178" s="251"/>
      <c r="L178" s="252"/>
      <c r="M178" s="249"/>
      <c r="N178" s="250"/>
      <c r="O178" s="251"/>
      <c r="P178" s="252"/>
      <c r="Q178" s="249"/>
      <c r="R178" s="250"/>
      <c r="S178" s="251"/>
      <c r="T178" s="252"/>
      <c r="U178" s="249"/>
      <c r="V178" s="250"/>
      <c r="W178" s="251"/>
      <c r="X178" s="252"/>
      <c r="Y178" s="249"/>
      <c r="Z178" s="250"/>
      <c r="AA178" s="251"/>
      <c r="AB178" s="252"/>
      <c r="AC178" s="249"/>
      <c r="AD178" s="250"/>
      <c r="AE178" s="251"/>
      <c r="AF178" s="252"/>
      <c r="AG178" s="253"/>
      <c r="AH178" s="254"/>
      <c r="AI178" s="255"/>
      <c r="AJ178" s="256"/>
    </row>
    <row r="179" spans="1:36" s="106" customFormat="1" x14ac:dyDescent="0.25">
      <c r="A179" s="107" t="str">
        <f>IF(H179&lt;&gt;"",MAX($A$7:A178)+1,"")</f>
        <v/>
      </c>
      <c r="B179" s="244" t="str">
        <f t="shared" si="6"/>
        <v/>
      </c>
      <c r="C179" s="62" t="str">
        <f t="shared" si="7"/>
        <v/>
      </c>
      <c r="D179" s="246"/>
      <c r="E179" s="247"/>
      <c r="F179" s="247"/>
      <c r="G179" s="248"/>
      <c r="H179" s="241"/>
      <c r="I179" s="249"/>
      <c r="J179" s="250"/>
      <c r="K179" s="251"/>
      <c r="L179" s="252"/>
      <c r="M179" s="249"/>
      <c r="N179" s="250"/>
      <c r="O179" s="251"/>
      <c r="P179" s="252"/>
      <c r="Q179" s="249"/>
      <c r="R179" s="250"/>
      <c r="S179" s="251"/>
      <c r="T179" s="252"/>
      <c r="U179" s="249"/>
      <c r="V179" s="250"/>
      <c r="W179" s="251"/>
      <c r="X179" s="252"/>
      <c r="Y179" s="249"/>
      <c r="Z179" s="250"/>
      <c r="AA179" s="251"/>
      <c r="AB179" s="252"/>
      <c r="AC179" s="249"/>
      <c r="AD179" s="250"/>
      <c r="AE179" s="251"/>
      <c r="AF179" s="252"/>
      <c r="AG179" s="253"/>
      <c r="AH179" s="254"/>
      <c r="AI179" s="255"/>
      <c r="AJ179" s="256"/>
    </row>
    <row r="180" spans="1:36" s="106" customFormat="1" x14ac:dyDescent="0.25">
      <c r="A180" s="107" t="str">
        <f>IF(H180&lt;&gt;"",MAX($A$7:A179)+1,"")</f>
        <v/>
      </c>
      <c r="B180" s="244" t="str">
        <f t="shared" si="6"/>
        <v/>
      </c>
      <c r="C180" s="62" t="str">
        <f t="shared" si="7"/>
        <v/>
      </c>
      <c r="D180" s="246"/>
      <c r="E180" s="247"/>
      <c r="F180" s="247"/>
      <c r="G180" s="248"/>
      <c r="H180" s="241"/>
      <c r="I180" s="249"/>
      <c r="J180" s="250"/>
      <c r="K180" s="251"/>
      <c r="L180" s="252"/>
      <c r="M180" s="249"/>
      <c r="N180" s="250"/>
      <c r="O180" s="251"/>
      <c r="P180" s="252"/>
      <c r="Q180" s="249"/>
      <c r="R180" s="250"/>
      <c r="S180" s="251"/>
      <c r="T180" s="252"/>
      <c r="U180" s="249"/>
      <c r="V180" s="250"/>
      <c r="W180" s="251"/>
      <c r="X180" s="252"/>
      <c r="Y180" s="249"/>
      <c r="Z180" s="250"/>
      <c r="AA180" s="251"/>
      <c r="AB180" s="252"/>
      <c r="AC180" s="249"/>
      <c r="AD180" s="250"/>
      <c r="AE180" s="251"/>
      <c r="AF180" s="252"/>
      <c r="AG180" s="253"/>
      <c r="AH180" s="254"/>
      <c r="AI180" s="255"/>
      <c r="AJ180" s="256"/>
    </row>
    <row r="181" spans="1:36" s="106" customFormat="1" x14ac:dyDescent="0.25">
      <c r="A181" s="107" t="str">
        <f>IF(H181&lt;&gt;"",MAX($A$7:A180)+1,"")</f>
        <v/>
      </c>
      <c r="B181" s="244" t="str">
        <f t="shared" si="6"/>
        <v/>
      </c>
      <c r="C181" s="62" t="str">
        <f t="shared" si="7"/>
        <v/>
      </c>
      <c r="D181" s="246"/>
      <c r="E181" s="247"/>
      <c r="F181" s="247"/>
      <c r="G181" s="248"/>
      <c r="H181" s="241"/>
      <c r="I181" s="249"/>
      <c r="J181" s="250"/>
      <c r="K181" s="251"/>
      <c r="L181" s="252"/>
      <c r="M181" s="249"/>
      <c r="N181" s="250"/>
      <c r="O181" s="251"/>
      <c r="P181" s="252"/>
      <c r="Q181" s="249"/>
      <c r="R181" s="250"/>
      <c r="S181" s="251"/>
      <c r="T181" s="252"/>
      <c r="U181" s="249"/>
      <c r="V181" s="250"/>
      <c r="W181" s="251"/>
      <c r="X181" s="252"/>
      <c r="Y181" s="249"/>
      <c r="Z181" s="250"/>
      <c r="AA181" s="251"/>
      <c r="AB181" s="252"/>
      <c r="AC181" s="249"/>
      <c r="AD181" s="250"/>
      <c r="AE181" s="251"/>
      <c r="AF181" s="252"/>
      <c r="AG181" s="253"/>
      <c r="AH181" s="254"/>
      <c r="AI181" s="255"/>
      <c r="AJ181" s="256"/>
    </row>
    <row r="182" spans="1:36" s="106" customFormat="1" x14ac:dyDescent="0.25">
      <c r="A182" s="107" t="str">
        <f>IF(H182&lt;&gt;"",MAX($A$7:A181)+1,"")</f>
        <v/>
      </c>
      <c r="B182" s="244" t="str">
        <f t="shared" si="6"/>
        <v/>
      </c>
      <c r="C182" s="62" t="str">
        <f t="shared" si="7"/>
        <v/>
      </c>
      <c r="D182" s="246"/>
      <c r="E182" s="247"/>
      <c r="F182" s="247"/>
      <c r="G182" s="248"/>
      <c r="H182" s="241"/>
      <c r="I182" s="249"/>
      <c r="J182" s="250"/>
      <c r="K182" s="251"/>
      <c r="L182" s="252"/>
      <c r="M182" s="249"/>
      <c r="N182" s="250"/>
      <c r="O182" s="251"/>
      <c r="P182" s="252"/>
      <c r="Q182" s="249"/>
      <c r="R182" s="250"/>
      <c r="S182" s="251"/>
      <c r="T182" s="252"/>
      <c r="U182" s="249"/>
      <c r="V182" s="250"/>
      <c r="W182" s="251"/>
      <c r="X182" s="252"/>
      <c r="Y182" s="249"/>
      <c r="Z182" s="250"/>
      <c r="AA182" s="251"/>
      <c r="AB182" s="252"/>
      <c r="AC182" s="249"/>
      <c r="AD182" s="250"/>
      <c r="AE182" s="251"/>
      <c r="AF182" s="252"/>
      <c r="AG182" s="253"/>
      <c r="AH182" s="254"/>
      <c r="AI182" s="255"/>
      <c r="AJ182" s="256"/>
    </row>
    <row r="183" spans="1:36" s="106" customFormat="1" x14ac:dyDescent="0.25">
      <c r="A183" s="107" t="str">
        <f>IF(H183&lt;&gt;"",MAX($A$7:A182)+1,"")</f>
        <v/>
      </c>
      <c r="B183" s="244" t="str">
        <f t="shared" si="6"/>
        <v/>
      </c>
      <c r="C183" s="62" t="str">
        <f t="shared" si="7"/>
        <v/>
      </c>
      <c r="D183" s="246"/>
      <c r="E183" s="247"/>
      <c r="F183" s="247"/>
      <c r="G183" s="248"/>
      <c r="H183" s="241"/>
      <c r="I183" s="249"/>
      <c r="J183" s="250"/>
      <c r="K183" s="251"/>
      <c r="L183" s="252"/>
      <c r="M183" s="249"/>
      <c r="N183" s="250"/>
      <c r="O183" s="251"/>
      <c r="P183" s="252"/>
      <c r="Q183" s="249"/>
      <c r="R183" s="250"/>
      <c r="S183" s="251"/>
      <c r="T183" s="252"/>
      <c r="U183" s="249"/>
      <c r="V183" s="250"/>
      <c r="W183" s="251"/>
      <c r="X183" s="252"/>
      <c r="Y183" s="249"/>
      <c r="Z183" s="250"/>
      <c r="AA183" s="251"/>
      <c r="AB183" s="252"/>
      <c r="AC183" s="249"/>
      <c r="AD183" s="250"/>
      <c r="AE183" s="251"/>
      <c r="AF183" s="252"/>
      <c r="AG183" s="253"/>
      <c r="AH183" s="254"/>
      <c r="AI183" s="255"/>
      <c r="AJ183" s="256"/>
    </row>
    <row r="184" spans="1:36" s="106" customFormat="1" x14ac:dyDescent="0.25">
      <c r="A184" s="107" t="str">
        <f>IF(H184&lt;&gt;"",MAX($A$7:A183)+1,"")</f>
        <v/>
      </c>
      <c r="B184" s="244" t="str">
        <f t="shared" si="6"/>
        <v/>
      </c>
      <c r="C184" s="62" t="str">
        <f t="shared" si="7"/>
        <v/>
      </c>
      <c r="D184" s="246"/>
      <c r="E184" s="247"/>
      <c r="F184" s="247"/>
      <c r="G184" s="248"/>
      <c r="H184" s="241"/>
      <c r="I184" s="249"/>
      <c r="J184" s="250"/>
      <c r="K184" s="251"/>
      <c r="L184" s="252"/>
      <c r="M184" s="249"/>
      <c r="N184" s="250"/>
      <c r="O184" s="251"/>
      <c r="P184" s="252"/>
      <c r="Q184" s="249"/>
      <c r="R184" s="250"/>
      <c r="S184" s="251"/>
      <c r="T184" s="252"/>
      <c r="U184" s="249"/>
      <c r="V184" s="250"/>
      <c r="W184" s="251"/>
      <c r="X184" s="252"/>
      <c r="Y184" s="249"/>
      <c r="Z184" s="250"/>
      <c r="AA184" s="251"/>
      <c r="AB184" s="252"/>
      <c r="AC184" s="249"/>
      <c r="AD184" s="250"/>
      <c r="AE184" s="251"/>
      <c r="AF184" s="252"/>
      <c r="AG184" s="253"/>
      <c r="AH184" s="254"/>
      <c r="AI184" s="255"/>
      <c r="AJ184" s="256"/>
    </row>
    <row r="185" spans="1:36" s="106" customFormat="1" x14ac:dyDescent="0.25">
      <c r="A185" s="107" t="str">
        <f>IF(H185&lt;&gt;"",MAX($A$7:A184)+1,"")</f>
        <v/>
      </c>
      <c r="B185" s="244" t="str">
        <f t="shared" si="6"/>
        <v/>
      </c>
      <c r="C185" s="62" t="str">
        <f t="shared" si="7"/>
        <v/>
      </c>
      <c r="D185" s="246"/>
      <c r="E185" s="247"/>
      <c r="F185" s="247"/>
      <c r="G185" s="248"/>
      <c r="H185" s="241"/>
      <c r="I185" s="249"/>
      <c r="J185" s="250"/>
      <c r="K185" s="251"/>
      <c r="L185" s="252"/>
      <c r="M185" s="249"/>
      <c r="N185" s="250"/>
      <c r="O185" s="251"/>
      <c r="P185" s="252"/>
      <c r="Q185" s="249"/>
      <c r="R185" s="250"/>
      <c r="S185" s="251"/>
      <c r="T185" s="252"/>
      <c r="U185" s="249"/>
      <c r="V185" s="250"/>
      <c r="W185" s="251"/>
      <c r="X185" s="252"/>
      <c r="Y185" s="249"/>
      <c r="Z185" s="250"/>
      <c r="AA185" s="251"/>
      <c r="AB185" s="252"/>
      <c r="AC185" s="249"/>
      <c r="AD185" s="250"/>
      <c r="AE185" s="251"/>
      <c r="AF185" s="252"/>
      <c r="AG185" s="253"/>
      <c r="AH185" s="254"/>
      <c r="AI185" s="255"/>
      <c r="AJ185" s="256"/>
    </row>
    <row r="186" spans="1:36" s="106" customFormat="1" x14ac:dyDescent="0.25">
      <c r="A186" s="107" t="str">
        <f>IF(H186&lt;&gt;"",MAX($A$7:A185)+1,"")</f>
        <v/>
      </c>
      <c r="B186" s="244" t="str">
        <f t="shared" si="6"/>
        <v/>
      </c>
      <c r="C186" s="62" t="str">
        <f t="shared" si="7"/>
        <v/>
      </c>
      <c r="D186" s="246"/>
      <c r="E186" s="247"/>
      <c r="F186" s="247"/>
      <c r="G186" s="248"/>
      <c r="H186" s="241"/>
      <c r="I186" s="249"/>
      <c r="J186" s="250"/>
      <c r="K186" s="251"/>
      <c r="L186" s="252"/>
      <c r="M186" s="249"/>
      <c r="N186" s="250"/>
      <c r="O186" s="251"/>
      <c r="P186" s="252"/>
      <c r="Q186" s="249"/>
      <c r="R186" s="250"/>
      <c r="S186" s="251"/>
      <c r="T186" s="252"/>
      <c r="U186" s="249"/>
      <c r="V186" s="250"/>
      <c r="W186" s="251"/>
      <c r="X186" s="252"/>
      <c r="Y186" s="249"/>
      <c r="Z186" s="250"/>
      <c r="AA186" s="251"/>
      <c r="AB186" s="252"/>
      <c r="AC186" s="249"/>
      <c r="AD186" s="250"/>
      <c r="AE186" s="251"/>
      <c r="AF186" s="252"/>
      <c r="AG186" s="253"/>
      <c r="AH186" s="254"/>
      <c r="AI186" s="255"/>
      <c r="AJ186" s="256"/>
    </row>
    <row r="187" spans="1:36" s="106" customFormat="1" x14ac:dyDescent="0.25">
      <c r="A187" s="107" t="str">
        <f>IF(H187&lt;&gt;"",MAX($A$7:A186)+1,"")</f>
        <v/>
      </c>
      <c r="B187" s="244" t="str">
        <f t="shared" si="6"/>
        <v/>
      </c>
      <c r="C187" s="62" t="str">
        <f t="shared" si="7"/>
        <v/>
      </c>
      <c r="D187" s="246"/>
      <c r="E187" s="247"/>
      <c r="F187" s="247"/>
      <c r="G187" s="248"/>
      <c r="H187" s="241"/>
      <c r="I187" s="249"/>
      <c r="J187" s="250"/>
      <c r="K187" s="251"/>
      <c r="L187" s="252"/>
      <c r="M187" s="249"/>
      <c r="N187" s="250"/>
      <c r="O187" s="251"/>
      <c r="P187" s="252"/>
      <c r="Q187" s="249"/>
      <c r="R187" s="250"/>
      <c r="S187" s="251"/>
      <c r="T187" s="252"/>
      <c r="U187" s="249"/>
      <c r="V187" s="250"/>
      <c r="W187" s="251"/>
      <c r="X187" s="252"/>
      <c r="Y187" s="249"/>
      <c r="Z187" s="250"/>
      <c r="AA187" s="251"/>
      <c r="AB187" s="252"/>
      <c r="AC187" s="249"/>
      <c r="AD187" s="250"/>
      <c r="AE187" s="251"/>
      <c r="AF187" s="252"/>
      <c r="AG187" s="253"/>
      <c r="AH187" s="254"/>
      <c r="AI187" s="255"/>
      <c r="AJ187" s="256"/>
    </row>
    <row r="188" spans="1:36" s="106" customFormat="1" x14ac:dyDescent="0.25">
      <c r="A188" s="107" t="str">
        <f>IF(H188&lt;&gt;"",MAX($A$7:A187)+1,"")</f>
        <v/>
      </c>
      <c r="B188" s="244" t="str">
        <f t="shared" si="6"/>
        <v/>
      </c>
      <c r="C188" s="62" t="str">
        <f t="shared" si="7"/>
        <v/>
      </c>
      <c r="D188" s="246"/>
      <c r="E188" s="247"/>
      <c r="F188" s="247"/>
      <c r="G188" s="248"/>
      <c r="H188" s="241"/>
      <c r="I188" s="249"/>
      <c r="J188" s="250"/>
      <c r="K188" s="251"/>
      <c r="L188" s="252"/>
      <c r="M188" s="249"/>
      <c r="N188" s="250"/>
      <c r="O188" s="251"/>
      <c r="P188" s="252"/>
      <c r="Q188" s="249"/>
      <c r="R188" s="250"/>
      <c r="S188" s="251"/>
      <c r="T188" s="252"/>
      <c r="U188" s="249"/>
      <c r="V188" s="250"/>
      <c r="W188" s="251"/>
      <c r="X188" s="252"/>
      <c r="Y188" s="249"/>
      <c r="Z188" s="250"/>
      <c r="AA188" s="251"/>
      <c r="AB188" s="252"/>
      <c r="AC188" s="249"/>
      <c r="AD188" s="250"/>
      <c r="AE188" s="251"/>
      <c r="AF188" s="252"/>
      <c r="AG188" s="253"/>
      <c r="AH188" s="254"/>
      <c r="AI188" s="255"/>
      <c r="AJ188" s="256"/>
    </row>
    <row r="189" spans="1:36" s="106" customFormat="1" x14ac:dyDescent="0.25">
      <c r="A189" s="107" t="str">
        <f>IF(H189&lt;&gt;"",MAX($A$7:A188)+1,"")</f>
        <v/>
      </c>
      <c r="B189" s="244" t="str">
        <f t="shared" si="6"/>
        <v/>
      </c>
      <c r="C189" s="62" t="str">
        <f t="shared" si="7"/>
        <v/>
      </c>
      <c r="D189" s="246"/>
      <c r="E189" s="247"/>
      <c r="F189" s="247"/>
      <c r="G189" s="248"/>
      <c r="H189" s="241"/>
      <c r="I189" s="249"/>
      <c r="J189" s="250"/>
      <c r="K189" s="251"/>
      <c r="L189" s="252"/>
      <c r="M189" s="249"/>
      <c r="N189" s="250"/>
      <c r="O189" s="251"/>
      <c r="P189" s="252"/>
      <c r="Q189" s="249"/>
      <c r="R189" s="250"/>
      <c r="S189" s="251"/>
      <c r="T189" s="252"/>
      <c r="U189" s="249"/>
      <c r="V189" s="250"/>
      <c r="W189" s="251"/>
      <c r="X189" s="252"/>
      <c r="Y189" s="249"/>
      <c r="Z189" s="250"/>
      <c r="AA189" s="251"/>
      <c r="AB189" s="252"/>
      <c r="AC189" s="249"/>
      <c r="AD189" s="250"/>
      <c r="AE189" s="251"/>
      <c r="AF189" s="252"/>
      <c r="AG189" s="253"/>
      <c r="AH189" s="254"/>
      <c r="AI189" s="255"/>
      <c r="AJ189" s="256"/>
    </row>
    <row r="190" spans="1:36" s="106" customFormat="1" x14ac:dyDescent="0.25">
      <c r="A190" s="107" t="str">
        <f>IF(H190&lt;&gt;"",MAX($A$7:A189)+1,"")</f>
        <v/>
      </c>
      <c r="B190" s="244" t="str">
        <f t="shared" si="6"/>
        <v/>
      </c>
      <c r="C190" s="62" t="str">
        <f t="shared" si="7"/>
        <v/>
      </c>
      <c r="D190" s="246"/>
      <c r="E190" s="247"/>
      <c r="F190" s="247"/>
      <c r="G190" s="248"/>
      <c r="H190" s="241"/>
      <c r="I190" s="249"/>
      <c r="J190" s="250"/>
      <c r="K190" s="251"/>
      <c r="L190" s="252"/>
      <c r="M190" s="249"/>
      <c r="N190" s="250"/>
      <c r="O190" s="251"/>
      <c r="P190" s="252"/>
      <c r="Q190" s="249"/>
      <c r="R190" s="250"/>
      <c r="S190" s="251"/>
      <c r="T190" s="252"/>
      <c r="U190" s="249"/>
      <c r="V190" s="250"/>
      <c r="W190" s="251"/>
      <c r="X190" s="252"/>
      <c r="Y190" s="249"/>
      <c r="Z190" s="250"/>
      <c r="AA190" s="251"/>
      <c r="AB190" s="252"/>
      <c r="AC190" s="249"/>
      <c r="AD190" s="250"/>
      <c r="AE190" s="251"/>
      <c r="AF190" s="252"/>
      <c r="AG190" s="253"/>
      <c r="AH190" s="254"/>
      <c r="AI190" s="255"/>
      <c r="AJ190" s="256"/>
    </row>
    <row r="191" spans="1:36" s="106" customFormat="1" x14ac:dyDescent="0.25">
      <c r="A191" s="107" t="str">
        <f>IF(H191&lt;&gt;"",MAX($A$7:A190)+1,"")</f>
        <v/>
      </c>
      <c r="B191" s="244" t="str">
        <f t="shared" si="6"/>
        <v/>
      </c>
      <c r="C191" s="62" t="str">
        <f t="shared" si="7"/>
        <v/>
      </c>
      <c r="D191" s="246"/>
      <c r="E191" s="247"/>
      <c r="F191" s="247"/>
      <c r="G191" s="248"/>
      <c r="H191" s="241"/>
      <c r="I191" s="249"/>
      <c r="J191" s="250"/>
      <c r="K191" s="251"/>
      <c r="L191" s="252"/>
      <c r="M191" s="249"/>
      <c r="N191" s="250"/>
      <c r="O191" s="251"/>
      <c r="P191" s="252"/>
      <c r="Q191" s="249"/>
      <c r="R191" s="250"/>
      <c r="S191" s="251"/>
      <c r="T191" s="252"/>
      <c r="U191" s="249"/>
      <c r="V191" s="250"/>
      <c r="W191" s="251"/>
      <c r="X191" s="252"/>
      <c r="Y191" s="249"/>
      <c r="Z191" s="250"/>
      <c r="AA191" s="251"/>
      <c r="AB191" s="252"/>
      <c r="AC191" s="249"/>
      <c r="AD191" s="250"/>
      <c r="AE191" s="251"/>
      <c r="AF191" s="252"/>
      <c r="AG191" s="253"/>
      <c r="AH191" s="254"/>
      <c r="AI191" s="255"/>
      <c r="AJ191" s="256"/>
    </row>
    <row r="192" spans="1:36" s="106" customFormat="1" x14ac:dyDescent="0.25">
      <c r="A192" s="107" t="str">
        <f>IF(H192&lt;&gt;"",MAX($A$7:A191)+1,"")</f>
        <v/>
      </c>
      <c r="B192" s="244" t="str">
        <f t="shared" si="6"/>
        <v/>
      </c>
      <c r="C192" s="62" t="str">
        <f t="shared" si="7"/>
        <v/>
      </c>
      <c r="D192" s="246"/>
      <c r="E192" s="247"/>
      <c r="F192" s="247"/>
      <c r="G192" s="248"/>
      <c r="H192" s="241"/>
      <c r="I192" s="249"/>
      <c r="J192" s="250"/>
      <c r="K192" s="251"/>
      <c r="L192" s="252"/>
      <c r="M192" s="249"/>
      <c r="N192" s="250"/>
      <c r="O192" s="251"/>
      <c r="P192" s="252"/>
      <c r="Q192" s="249"/>
      <c r="R192" s="250"/>
      <c r="S192" s="251"/>
      <c r="T192" s="252"/>
      <c r="U192" s="249"/>
      <c r="V192" s="250"/>
      <c r="W192" s="251"/>
      <c r="X192" s="252"/>
      <c r="Y192" s="249"/>
      <c r="Z192" s="250"/>
      <c r="AA192" s="251"/>
      <c r="AB192" s="252"/>
      <c r="AC192" s="249"/>
      <c r="AD192" s="250"/>
      <c r="AE192" s="251"/>
      <c r="AF192" s="252"/>
      <c r="AG192" s="253"/>
      <c r="AH192" s="254"/>
      <c r="AI192" s="255"/>
      <c r="AJ192" s="256"/>
    </row>
    <row r="193" spans="1:36" s="106" customFormat="1" x14ac:dyDescent="0.25">
      <c r="A193" s="107" t="str">
        <f>IF(H193&lt;&gt;"",MAX($A$7:A192)+1,"")</f>
        <v/>
      </c>
      <c r="B193" s="244" t="str">
        <f t="shared" si="6"/>
        <v/>
      </c>
      <c r="C193" s="62" t="str">
        <f t="shared" si="7"/>
        <v/>
      </c>
      <c r="D193" s="246"/>
      <c r="E193" s="247"/>
      <c r="F193" s="247"/>
      <c r="G193" s="248"/>
      <c r="H193" s="241"/>
      <c r="I193" s="249"/>
      <c r="J193" s="250"/>
      <c r="K193" s="251"/>
      <c r="L193" s="252"/>
      <c r="M193" s="249"/>
      <c r="N193" s="250"/>
      <c r="O193" s="251"/>
      <c r="P193" s="252"/>
      <c r="Q193" s="249"/>
      <c r="R193" s="250"/>
      <c r="S193" s="251"/>
      <c r="T193" s="252"/>
      <c r="U193" s="249"/>
      <c r="V193" s="250"/>
      <c r="W193" s="251"/>
      <c r="X193" s="252"/>
      <c r="Y193" s="249"/>
      <c r="Z193" s="250"/>
      <c r="AA193" s="251"/>
      <c r="AB193" s="252"/>
      <c r="AC193" s="249"/>
      <c r="AD193" s="250"/>
      <c r="AE193" s="251"/>
      <c r="AF193" s="252"/>
      <c r="AG193" s="253"/>
      <c r="AH193" s="254"/>
      <c r="AI193" s="255"/>
      <c r="AJ193" s="256"/>
    </row>
    <row r="194" spans="1:36" s="106" customFormat="1" x14ac:dyDescent="0.25">
      <c r="A194" s="107" t="str">
        <f>IF(H194&lt;&gt;"",MAX($A$7:A193)+1,"")</f>
        <v/>
      </c>
      <c r="B194" s="244" t="str">
        <f t="shared" si="6"/>
        <v/>
      </c>
      <c r="C194" s="62" t="str">
        <f t="shared" si="7"/>
        <v/>
      </c>
      <c r="D194" s="246"/>
      <c r="E194" s="247"/>
      <c r="F194" s="247"/>
      <c r="G194" s="248"/>
      <c r="H194" s="241"/>
      <c r="I194" s="249"/>
      <c r="J194" s="250"/>
      <c r="K194" s="251"/>
      <c r="L194" s="252"/>
      <c r="M194" s="249"/>
      <c r="N194" s="250"/>
      <c r="O194" s="251"/>
      <c r="P194" s="252"/>
      <c r="Q194" s="249"/>
      <c r="R194" s="250"/>
      <c r="S194" s="251"/>
      <c r="T194" s="252"/>
      <c r="U194" s="249"/>
      <c r="V194" s="250"/>
      <c r="W194" s="251"/>
      <c r="X194" s="252"/>
      <c r="Y194" s="249"/>
      <c r="Z194" s="250"/>
      <c r="AA194" s="251"/>
      <c r="AB194" s="252"/>
      <c r="AC194" s="249"/>
      <c r="AD194" s="250"/>
      <c r="AE194" s="251"/>
      <c r="AF194" s="252"/>
      <c r="AG194" s="253"/>
      <c r="AH194" s="254"/>
      <c r="AI194" s="255"/>
      <c r="AJ194" s="256"/>
    </row>
    <row r="195" spans="1:36" s="106" customFormat="1" x14ac:dyDescent="0.25">
      <c r="A195" s="107" t="str">
        <f>IF(H195&lt;&gt;"",MAX($A$7:A194)+1,"")</f>
        <v/>
      </c>
      <c r="B195" s="244" t="str">
        <f t="shared" si="6"/>
        <v/>
      </c>
      <c r="C195" s="62" t="str">
        <f t="shared" si="7"/>
        <v/>
      </c>
      <c r="D195" s="246"/>
      <c r="E195" s="247"/>
      <c r="F195" s="247"/>
      <c r="G195" s="248"/>
      <c r="H195" s="241"/>
      <c r="I195" s="249"/>
      <c r="J195" s="250"/>
      <c r="K195" s="251"/>
      <c r="L195" s="252"/>
      <c r="M195" s="249"/>
      <c r="N195" s="250"/>
      <c r="O195" s="251"/>
      <c r="P195" s="252"/>
      <c r="Q195" s="249"/>
      <c r="R195" s="250"/>
      <c r="S195" s="251"/>
      <c r="T195" s="252"/>
      <c r="U195" s="249"/>
      <c r="V195" s="250"/>
      <c r="W195" s="251"/>
      <c r="X195" s="252"/>
      <c r="Y195" s="249"/>
      <c r="Z195" s="250"/>
      <c r="AA195" s="251"/>
      <c r="AB195" s="252"/>
      <c r="AC195" s="249"/>
      <c r="AD195" s="250"/>
      <c r="AE195" s="251"/>
      <c r="AF195" s="252"/>
      <c r="AG195" s="253"/>
      <c r="AH195" s="254"/>
      <c r="AI195" s="255"/>
      <c r="AJ195" s="256"/>
    </row>
    <row r="196" spans="1:36" s="106" customFormat="1" x14ac:dyDescent="0.25">
      <c r="A196" s="107" t="str">
        <f>IF(H196&lt;&gt;"",MAX($A$7:A195)+1,"")</f>
        <v/>
      </c>
      <c r="B196" s="244" t="str">
        <f t="shared" si="6"/>
        <v/>
      </c>
      <c r="C196" s="62" t="str">
        <f t="shared" si="7"/>
        <v/>
      </c>
      <c r="D196" s="246"/>
      <c r="E196" s="247"/>
      <c r="F196" s="247"/>
      <c r="G196" s="248"/>
      <c r="H196" s="241"/>
      <c r="I196" s="249"/>
      <c r="J196" s="250"/>
      <c r="K196" s="251"/>
      <c r="L196" s="252"/>
      <c r="M196" s="249"/>
      <c r="N196" s="250"/>
      <c r="O196" s="251"/>
      <c r="P196" s="252"/>
      <c r="Q196" s="249"/>
      <c r="R196" s="250"/>
      <c r="S196" s="251"/>
      <c r="T196" s="252"/>
      <c r="U196" s="249"/>
      <c r="V196" s="250"/>
      <c r="W196" s="251"/>
      <c r="X196" s="252"/>
      <c r="Y196" s="249"/>
      <c r="Z196" s="250"/>
      <c r="AA196" s="251"/>
      <c r="AB196" s="252"/>
      <c r="AC196" s="249"/>
      <c r="AD196" s="250"/>
      <c r="AE196" s="251"/>
      <c r="AF196" s="252"/>
      <c r="AG196" s="253"/>
      <c r="AH196" s="254"/>
      <c r="AI196" s="255"/>
      <c r="AJ196" s="256"/>
    </row>
    <row r="197" spans="1:36" s="106" customFormat="1" x14ac:dyDescent="0.25">
      <c r="A197" s="107" t="str">
        <f>IF(H197&lt;&gt;"",MAX($A$7:A196)+1,"")</f>
        <v/>
      </c>
      <c r="B197" s="244" t="str">
        <f t="shared" si="6"/>
        <v/>
      </c>
      <c r="C197" s="62" t="str">
        <f t="shared" si="7"/>
        <v/>
      </c>
      <c r="D197" s="246"/>
      <c r="E197" s="247"/>
      <c r="F197" s="247"/>
      <c r="G197" s="248"/>
      <c r="H197" s="241"/>
      <c r="I197" s="249"/>
      <c r="J197" s="250"/>
      <c r="K197" s="251"/>
      <c r="L197" s="252"/>
      <c r="M197" s="249"/>
      <c r="N197" s="250"/>
      <c r="O197" s="251"/>
      <c r="P197" s="252"/>
      <c r="Q197" s="249"/>
      <c r="R197" s="250"/>
      <c r="S197" s="251"/>
      <c r="T197" s="252"/>
      <c r="U197" s="249"/>
      <c r="V197" s="250"/>
      <c r="W197" s="251"/>
      <c r="X197" s="252"/>
      <c r="Y197" s="249"/>
      <c r="Z197" s="250"/>
      <c r="AA197" s="251"/>
      <c r="AB197" s="252"/>
      <c r="AC197" s="249"/>
      <c r="AD197" s="250"/>
      <c r="AE197" s="251"/>
      <c r="AF197" s="252"/>
      <c r="AG197" s="253"/>
      <c r="AH197" s="254"/>
      <c r="AI197" s="255"/>
      <c r="AJ197" s="256"/>
    </row>
    <row r="198" spans="1:36" s="106" customFormat="1" x14ac:dyDescent="0.25">
      <c r="A198" s="107" t="str">
        <f>IF(H198&lt;&gt;"",MAX($A$7:A197)+1,"")</f>
        <v/>
      </c>
      <c r="B198" s="244" t="str">
        <f t="shared" si="6"/>
        <v/>
      </c>
      <c r="C198" s="62" t="str">
        <f t="shared" si="7"/>
        <v/>
      </c>
      <c r="D198" s="246"/>
      <c r="E198" s="247"/>
      <c r="F198" s="247"/>
      <c r="G198" s="248"/>
      <c r="H198" s="241"/>
      <c r="I198" s="249"/>
      <c r="J198" s="250"/>
      <c r="K198" s="251"/>
      <c r="L198" s="252"/>
      <c r="M198" s="249"/>
      <c r="N198" s="250"/>
      <c r="O198" s="251"/>
      <c r="P198" s="252"/>
      <c r="Q198" s="249"/>
      <c r="R198" s="250"/>
      <c r="S198" s="251"/>
      <c r="T198" s="252"/>
      <c r="U198" s="249"/>
      <c r="V198" s="250"/>
      <c r="W198" s="251"/>
      <c r="X198" s="252"/>
      <c r="Y198" s="249"/>
      <c r="Z198" s="250"/>
      <c r="AA198" s="251"/>
      <c r="AB198" s="252"/>
      <c r="AC198" s="249"/>
      <c r="AD198" s="250"/>
      <c r="AE198" s="251"/>
      <c r="AF198" s="252"/>
      <c r="AG198" s="253"/>
      <c r="AH198" s="254"/>
      <c r="AI198" s="255"/>
      <c r="AJ198" s="256"/>
    </row>
    <row r="199" spans="1:36" s="106" customFormat="1" x14ac:dyDescent="0.25">
      <c r="A199" s="107" t="str">
        <f>IF(H199&lt;&gt;"",MAX($A$7:A198)+1,"")</f>
        <v/>
      </c>
      <c r="B199" s="244" t="str">
        <f t="shared" ref="B199:B262" si="8">IF(A199="","",PREF_PREGUNTA&amp;" - "&amp;IF(MAX($A$7:$A$156)&gt;99,IF(A199&lt;100,"0",""),"")&amp;IF(A199&lt;10,"0","")&amp;A199&amp;IF(G199&lt;&gt;""," "&amp;G199,""))</f>
        <v/>
      </c>
      <c r="C199" s="62" t="str">
        <f t="shared" ref="C199:C262" si="9">IF(COUNTA(I199:N199)-D199=0,"",COUNTA(I199:N199)-D199)</f>
        <v/>
      </c>
      <c r="D199" s="246"/>
      <c r="E199" s="247"/>
      <c r="F199" s="247"/>
      <c r="G199" s="248"/>
      <c r="H199" s="241"/>
      <c r="I199" s="249"/>
      <c r="J199" s="250"/>
      <c r="K199" s="251"/>
      <c r="L199" s="252"/>
      <c r="M199" s="249"/>
      <c r="N199" s="250"/>
      <c r="O199" s="251"/>
      <c r="P199" s="252"/>
      <c r="Q199" s="249"/>
      <c r="R199" s="250"/>
      <c r="S199" s="251"/>
      <c r="T199" s="252"/>
      <c r="U199" s="249"/>
      <c r="V199" s="250"/>
      <c r="W199" s="251"/>
      <c r="X199" s="252"/>
      <c r="Y199" s="249"/>
      <c r="Z199" s="250"/>
      <c r="AA199" s="251"/>
      <c r="AB199" s="252"/>
      <c r="AC199" s="249"/>
      <c r="AD199" s="250"/>
      <c r="AE199" s="251"/>
      <c r="AF199" s="252"/>
      <c r="AG199" s="253"/>
      <c r="AH199" s="254"/>
      <c r="AI199" s="255"/>
      <c r="AJ199" s="256"/>
    </row>
    <row r="200" spans="1:36" s="106" customFormat="1" x14ac:dyDescent="0.25">
      <c r="A200" s="107" t="str">
        <f>IF(H200&lt;&gt;"",MAX($A$7:A199)+1,"")</f>
        <v/>
      </c>
      <c r="B200" s="244" t="str">
        <f t="shared" si="8"/>
        <v/>
      </c>
      <c r="C200" s="62" t="str">
        <f t="shared" si="9"/>
        <v/>
      </c>
      <c r="D200" s="246"/>
      <c r="E200" s="247"/>
      <c r="F200" s="247"/>
      <c r="G200" s="248"/>
      <c r="H200" s="241"/>
      <c r="I200" s="249"/>
      <c r="J200" s="250"/>
      <c r="K200" s="251"/>
      <c r="L200" s="252"/>
      <c r="M200" s="249"/>
      <c r="N200" s="250"/>
      <c r="O200" s="251"/>
      <c r="P200" s="252"/>
      <c r="Q200" s="249"/>
      <c r="R200" s="250"/>
      <c r="S200" s="251"/>
      <c r="T200" s="252"/>
      <c r="U200" s="249"/>
      <c r="V200" s="250"/>
      <c r="W200" s="251"/>
      <c r="X200" s="252"/>
      <c r="Y200" s="249"/>
      <c r="Z200" s="250"/>
      <c r="AA200" s="251"/>
      <c r="AB200" s="252"/>
      <c r="AC200" s="249"/>
      <c r="AD200" s="250"/>
      <c r="AE200" s="251"/>
      <c r="AF200" s="252"/>
      <c r="AG200" s="253"/>
      <c r="AH200" s="254"/>
      <c r="AI200" s="255"/>
      <c r="AJ200" s="256"/>
    </row>
    <row r="201" spans="1:36" s="106" customFormat="1" x14ac:dyDescent="0.25">
      <c r="A201" s="107" t="str">
        <f>IF(H201&lt;&gt;"",MAX($A$7:A200)+1,"")</f>
        <v/>
      </c>
      <c r="B201" s="244" t="str">
        <f t="shared" si="8"/>
        <v/>
      </c>
      <c r="C201" s="62" t="str">
        <f t="shared" si="9"/>
        <v/>
      </c>
      <c r="D201" s="246"/>
      <c r="E201" s="247"/>
      <c r="F201" s="247"/>
      <c r="G201" s="248"/>
      <c r="H201" s="241"/>
      <c r="I201" s="249"/>
      <c r="J201" s="250"/>
      <c r="K201" s="251"/>
      <c r="L201" s="252"/>
      <c r="M201" s="249"/>
      <c r="N201" s="250"/>
      <c r="O201" s="251"/>
      <c r="P201" s="252"/>
      <c r="Q201" s="249"/>
      <c r="R201" s="250"/>
      <c r="S201" s="251"/>
      <c r="T201" s="252"/>
      <c r="U201" s="249"/>
      <c r="V201" s="250"/>
      <c r="W201" s="251"/>
      <c r="X201" s="252"/>
      <c r="Y201" s="249"/>
      <c r="Z201" s="250"/>
      <c r="AA201" s="251"/>
      <c r="AB201" s="252"/>
      <c r="AC201" s="249"/>
      <c r="AD201" s="250"/>
      <c r="AE201" s="251"/>
      <c r="AF201" s="252"/>
      <c r="AG201" s="253"/>
      <c r="AH201" s="254"/>
      <c r="AI201" s="255"/>
      <c r="AJ201" s="256"/>
    </row>
    <row r="202" spans="1:36" s="106" customFormat="1" x14ac:dyDescent="0.25">
      <c r="A202" s="107" t="str">
        <f>IF(H202&lt;&gt;"",MAX($A$7:A201)+1,"")</f>
        <v/>
      </c>
      <c r="B202" s="244" t="str">
        <f t="shared" si="8"/>
        <v/>
      </c>
      <c r="C202" s="62" t="str">
        <f t="shared" si="9"/>
        <v/>
      </c>
      <c r="D202" s="246"/>
      <c r="E202" s="247"/>
      <c r="F202" s="247"/>
      <c r="G202" s="248"/>
      <c r="H202" s="241"/>
      <c r="I202" s="249"/>
      <c r="J202" s="250"/>
      <c r="K202" s="251"/>
      <c r="L202" s="252"/>
      <c r="M202" s="249"/>
      <c r="N202" s="250"/>
      <c r="O202" s="251"/>
      <c r="P202" s="252"/>
      <c r="Q202" s="249"/>
      <c r="R202" s="250"/>
      <c r="S202" s="251"/>
      <c r="T202" s="252"/>
      <c r="U202" s="249"/>
      <c r="V202" s="250"/>
      <c r="W202" s="251"/>
      <c r="X202" s="252"/>
      <c r="Y202" s="249"/>
      <c r="Z202" s="250"/>
      <c r="AA202" s="251"/>
      <c r="AB202" s="252"/>
      <c r="AC202" s="249"/>
      <c r="AD202" s="250"/>
      <c r="AE202" s="251"/>
      <c r="AF202" s="252"/>
      <c r="AG202" s="253"/>
      <c r="AH202" s="254"/>
      <c r="AI202" s="255"/>
      <c r="AJ202" s="256"/>
    </row>
    <row r="203" spans="1:36" s="106" customFormat="1" x14ac:dyDescent="0.25">
      <c r="A203" s="107" t="str">
        <f>IF(H203&lt;&gt;"",MAX($A$7:A202)+1,"")</f>
        <v/>
      </c>
      <c r="B203" s="244" t="str">
        <f t="shared" si="8"/>
        <v/>
      </c>
      <c r="C203" s="62" t="str">
        <f t="shared" si="9"/>
        <v/>
      </c>
      <c r="D203" s="246"/>
      <c r="E203" s="247"/>
      <c r="F203" s="247"/>
      <c r="G203" s="248"/>
      <c r="H203" s="241"/>
      <c r="I203" s="249"/>
      <c r="J203" s="250"/>
      <c r="K203" s="251"/>
      <c r="L203" s="252"/>
      <c r="M203" s="249"/>
      <c r="N203" s="250"/>
      <c r="O203" s="251"/>
      <c r="P203" s="252"/>
      <c r="Q203" s="249"/>
      <c r="R203" s="250"/>
      <c r="S203" s="251"/>
      <c r="T203" s="252"/>
      <c r="U203" s="249"/>
      <c r="V203" s="250"/>
      <c r="W203" s="251"/>
      <c r="X203" s="252"/>
      <c r="Y203" s="249"/>
      <c r="Z203" s="250"/>
      <c r="AA203" s="251"/>
      <c r="AB203" s="252"/>
      <c r="AC203" s="249"/>
      <c r="AD203" s="250"/>
      <c r="AE203" s="251"/>
      <c r="AF203" s="252"/>
      <c r="AG203" s="253"/>
      <c r="AH203" s="254"/>
      <c r="AI203" s="255"/>
      <c r="AJ203" s="256"/>
    </row>
    <row r="204" spans="1:36" s="106" customFormat="1" x14ac:dyDescent="0.25">
      <c r="A204" s="107" t="str">
        <f>IF(H204&lt;&gt;"",MAX($A$7:A203)+1,"")</f>
        <v/>
      </c>
      <c r="B204" s="244" t="str">
        <f t="shared" si="8"/>
        <v/>
      </c>
      <c r="C204" s="62" t="str">
        <f t="shared" si="9"/>
        <v/>
      </c>
      <c r="D204" s="246"/>
      <c r="E204" s="247"/>
      <c r="F204" s="247"/>
      <c r="G204" s="248"/>
      <c r="H204" s="241"/>
      <c r="I204" s="249"/>
      <c r="J204" s="250"/>
      <c r="K204" s="251"/>
      <c r="L204" s="252"/>
      <c r="M204" s="249"/>
      <c r="N204" s="250"/>
      <c r="O204" s="251"/>
      <c r="P204" s="252"/>
      <c r="Q204" s="249"/>
      <c r="R204" s="250"/>
      <c r="S204" s="251"/>
      <c r="T204" s="252"/>
      <c r="U204" s="249"/>
      <c r="V204" s="250"/>
      <c r="W204" s="251"/>
      <c r="X204" s="252"/>
      <c r="Y204" s="249"/>
      <c r="Z204" s="250"/>
      <c r="AA204" s="251"/>
      <c r="AB204" s="252"/>
      <c r="AC204" s="249"/>
      <c r="AD204" s="250"/>
      <c r="AE204" s="251"/>
      <c r="AF204" s="252"/>
      <c r="AG204" s="253"/>
      <c r="AH204" s="254"/>
      <c r="AI204" s="255"/>
      <c r="AJ204" s="256"/>
    </row>
    <row r="205" spans="1:36" s="106" customFormat="1" x14ac:dyDescent="0.25">
      <c r="A205" s="107" t="str">
        <f>IF(H205&lt;&gt;"",MAX($A$7:A204)+1,"")</f>
        <v/>
      </c>
      <c r="B205" s="244" t="str">
        <f t="shared" si="8"/>
        <v/>
      </c>
      <c r="C205" s="62" t="str">
        <f t="shared" si="9"/>
        <v/>
      </c>
      <c r="D205" s="246"/>
      <c r="E205" s="247"/>
      <c r="F205" s="247"/>
      <c r="G205" s="248"/>
      <c r="H205" s="241"/>
      <c r="I205" s="249"/>
      <c r="J205" s="250"/>
      <c r="K205" s="251"/>
      <c r="L205" s="252"/>
      <c r="M205" s="249"/>
      <c r="N205" s="250"/>
      <c r="O205" s="251"/>
      <c r="P205" s="252"/>
      <c r="Q205" s="249"/>
      <c r="R205" s="250"/>
      <c r="S205" s="251"/>
      <c r="T205" s="252"/>
      <c r="U205" s="249"/>
      <c r="V205" s="250"/>
      <c r="W205" s="251"/>
      <c r="X205" s="252"/>
      <c r="Y205" s="249"/>
      <c r="Z205" s="250"/>
      <c r="AA205" s="251"/>
      <c r="AB205" s="252"/>
      <c r="AC205" s="249"/>
      <c r="AD205" s="250"/>
      <c r="AE205" s="251"/>
      <c r="AF205" s="252"/>
      <c r="AG205" s="253"/>
      <c r="AH205" s="254"/>
      <c r="AI205" s="255"/>
      <c r="AJ205" s="256"/>
    </row>
    <row r="206" spans="1:36" s="106" customFormat="1" x14ac:dyDescent="0.25">
      <c r="A206" s="107" t="str">
        <f>IF(H206&lt;&gt;"",MAX($A$7:A205)+1,"")</f>
        <v/>
      </c>
      <c r="B206" s="244" t="str">
        <f t="shared" si="8"/>
        <v/>
      </c>
      <c r="C206" s="62" t="str">
        <f t="shared" si="9"/>
        <v/>
      </c>
      <c r="D206" s="246"/>
      <c r="E206" s="247"/>
      <c r="F206" s="247"/>
      <c r="G206" s="248"/>
      <c r="H206" s="241"/>
      <c r="I206" s="249"/>
      <c r="J206" s="250"/>
      <c r="K206" s="251"/>
      <c r="L206" s="252"/>
      <c r="M206" s="249"/>
      <c r="N206" s="250"/>
      <c r="O206" s="251"/>
      <c r="P206" s="252"/>
      <c r="Q206" s="249"/>
      <c r="R206" s="250"/>
      <c r="S206" s="251"/>
      <c r="T206" s="252"/>
      <c r="U206" s="249"/>
      <c r="V206" s="250"/>
      <c r="W206" s="251"/>
      <c r="X206" s="252"/>
      <c r="Y206" s="249"/>
      <c r="Z206" s="250"/>
      <c r="AA206" s="251"/>
      <c r="AB206" s="252"/>
      <c r="AC206" s="249"/>
      <c r="AD206" s="250"/>
      <c r="AE206" s="251"/>
      <c r="AF206" s="252"/>
      <c r="AG206" s="253"/>
      <c r="AH206" s="254"/>
      <c r="AI206" s="255"/>
      <c r="AJ206" s="256"/>
    </row>
    <row r="207" spans="1:36" s="106" customFormat="1" x14ac:dyDescent="0.25">
      <c r="A207" s="107" t="str">
        <f>IF(H207&lt;&gt;"",MAX($A$7:A206)+1,"")</f>
        <v/>
      </c>
      <c r="B207" s="244" t="str">
        <f t="shared" si="8"/>
        <v/>
      </c>
      <c r="C207" s="62" t="str">
        <f t="shared" si="9"/>
        <v/>
      </c>
      <c r="D207" s="246"/>
      <c r="E207" s="247"/>
      <c r="F207" s="247"/>
      <c r="G207" s="248"/>
      <c r="H207" s="241"/>
      <c r="I207" s="249"/>
      <c r="J207" s="250"/>
      <c r="K207" s="251"/>
      <c r="L207" s="252"/>
      <c r="M207" s="249"/>
      <c r="N207" s="250"/>
      <c r="O207" s="251"/>
      <c r="P207" s="252"/>
      <c r="Q207" s="249"/>
      <c r="R207" s="250"/>
      <c r="S207" s="251"/>
      <c r="T207" s="252"/>
      <c r="U207" s="249"/>
      <c r="V207" s="250"/>
      <c r="W207" s="251"/>
      <c r="X207" s="252"/>
      <c r="Y207" s="249"/>
      <c r="Z207" s="250"/>
      <c r="AA207" s="251"/>
      <c r="AB207" s="252"/>
      <c r="AC207" s="249"/>
      <c r="AD207" s="250"/>
      <c r="AE207" s="251"/>
      <c r="AF207" s="252"/>
      <c r="AG207" s="253"/>
      <c r="AH207" s="254"/>
      <c r="AI207" s="255"/>
      <c r="AJ207" s="256"/>
    </row>
    <row r="208" spans="1:36" s="106" customFormat="1" x14ac:dyDescent="0.25">
      <c r="A208" s="107" t="str">
        <f>IF(H208&lt;&gt;"",MAX($A$7:A207)+1,"")</f>
        <v/>
      </c>
      <c r="B208" s="244" t="str">
        <f t="shared" si="8"/>
        <v/>
      </c>
      <c r="C208" s="62" t="str">
        <f t="shared" si="9"/>
        <v/>
      </c>
      <c r="D208" s="246"/>
      <c r="E208" s="247"/>
      <c r="F208" s="247"/>
      <c r="G208" s="248"/>
      <c r="H208" s="241"/>
      <c r="I208" s="249"/>
      <c r="J208" s="250"/>
      <c r="K208" s="251"/>
      <c r="L208" s="252"/>
      <c r="M208" s="249"/>
      <c r="N208" s="250"/>
      <c r="O208" s="251"/>
      <c r="P208" s="252"/>
      <c r="Q208" s="249"/>
      <c r="R208" s="250"/>
      <c r="S208" s="251"/>
      <c r="T208" s="252"/>
      <c r="U208" s="249"/>
      <c r="V208" s="250"/>
      <c r="W208" s="251"/>
      <c r="X208" s="252"/>
      <c r="Y208" s="249"/>
      <c r="Z208" s="250"/>
      <c r="AA208" s="251"/>
      <c r="AB208" s="252"/>
      <c r="AC208" s="249"/>
      <c r="AD208" s="250"/>
      <c r="AE208" s="251"/>
      <c r="AF208" s="252"/>
      <c r="AG208" s="253"/>
      <c r="AH208" s="254"/>
      <c r="AI208" s="255"/>
      <c r="AJ208" s="256"/>
    </row>
    <row r="209" spans="1:36" s="106" customFormat="1" x14ac:dyDescent="0.25">
      <c r="A209" s="107" t="str">
        <f>IF(H209&lt;&gt;"",MAX($A$7:A208)+1,"")</f>
        <v/>
      </c>
      <c r="B209" s="244" t="str">
        <f t="shared" si="8"/>
        <v/>
      </c>
      <c r="C209" s="62" t="str">
        <f t="shared" si="9"/>
        <v/>
      </c>
      <c r="D209" s="246"/>
      <c r="E209" s="247"/>
      <c r="F209" s="247"/>
      <c r="G209" s="248"/>
      <c r="H209" s="241"/>
      <c r="I209" s="249"/>
      <c r="J209" s="250"/>
      <c r="K209" s="251"/>
      <c r="L209" s="252"/>
      <c r="M209" s="249"/>
      <c r="N209" s="250"/>
      <c r="O209" s="251"/>
      <c r="P209" s="252"/>
      <c r="Q209" s="249"/>
      <c r="R209" s="250"/>
      <c r="S209" s="251"/>
      <c r="T209" s="252"/>
      <c r="U209" s="249"/>
      <c r="V209" s="250"/>
      <c r="W209" s="251"/>
      <c r="X209" s="252"/>
      <c r="Y209" s="249"/>
      <c r="Z209" s="250"/>
      <c r="AA209" s="251"/>
      <c r="AB209" s="252"/>
      <c r="AC209" s="249"/>
      <c r="AD209" s="250"/>
      <c r="AE209" s="251"/>
      <c r="AF209" s="252"/>
      <c r="AG209" s="253"/>
      <c r="AH209" s="254"/>
      <c r="AI209" s="255"/>
      <c r="AJ209" s="256"/>
    </row>
    <row r="210" spans="1:36" s="106" customFormat="1" x14ac:dyDescent="0.25">
      <c r="A210" s="107" t="str">
        <f>IF(H210&lt;&gt;"",MAX($A$7:A209)+1,"")</f>
        <v/>
      </c>
      <c r="B210" s="244" t="str">
        <f t="shared" si="8"/>
        <v/>
      </c>
      <c r="C210" s="62" t="str">
        <f t="shared" si="9"/>
        <v/>
      </c>
      <c r="D210" s="246"/>
      <c r="E210" s="247"/>
      <c r="F210" s="247"/>
      <c r="G210" s="248"/>
      <c r="H210" s="241"/>
      <c r="I210" s="249"/>
      <c r="J210" s="250"/>
      <c r="K210" s="251"/>
      <c r="L210" s="252"/>
      <c r="M210" s="249"/>
      <c r="N210" s="250"/>
      <c r="O210" s="251"/>
      <c r="P210" s="252"/>
      <c r="Q210" s="249"/>
      <c r="R210" s="250"/>
      <c r="S210" s="251"/>
      <c r="T210" s="252"/>
      <c r="U210" s="249"/>
      <c r="V210" s="250"/>
      <c r="W210" s="251"/>
      <c r="X210" s="252"/>
      <c r="Y210" s="249"/>
      <c r="Z210" s="250"/>
      <c r="AA210" s="251"/>
      <c r="AB210" s="252"/>
      <c r="AC210" s="249"/>
      <c r="AD210" s="250"/>
      <c r="AE210" s="251"/>
      <c r="AF210" s="252"/>
      <c r="AG210" s="253"/>
      <c r="AH210" s="254"/>
      <c r="AI210" s="255"/>
      <c r="AJ210" s="256"/>
    </row>
    <row r="211" spans="1:36" s="106" customFormat="1" x14ac:dyDescent="0.25">
      <c r="A211" s="107" t="str">
        <f>IF(H211&lt;&gt;"",MAX($A$7:A210)+1,"")</f>
        <v/>
      </c>
      <c r="B211" s="244" t="str">
        <f t="shared" si="8"/>
        <v/>
      </c>
      <c r="C211" s="62" t="str">
        <f t="shared" si="9"/>
        <v/>
      </c>
      <c r="D211" s="246"/>
      <c r="E211" s="247"/>
      <c r="F211" s="247"/>
      <c r="G211" s="248"/>
      <c r="H211" s="241"/>
      <c r="I211" s="249"/>
      <c r="J211" s="250"/>
      <c r="K211" s="251"/>
      <c r="L211" s="252"/>
      <c r="M211" s="249"/>
      <c r="N211" s="250"/>
      <c r="O211" s="251"/>
      <c r="P211" s="252"/>
      <c r="Q211" s="249"/>
      <c r="R211" s="250"/>
      <c r="S211" s="251"/>
      <c r="T211" s="252"/>
      <c r="U211" s="249"/>
      <c r="V211" s="250"/>
      <c r="W211" s="251"/>
      <c r="X211" s="252"/>
      <c r="Y211" s="249"/>
      <c r="Z211" s="250"/>
      <c r="AA211" s="251"/>
      <c r="AB211" s="252"/>
      <c r="AC211" s="249"/>
      <c r="AD211" s="250"/>
      <c r="AE211" s="251"/>
      <c r="AF211" s="252"/>
      <c r="AG211" s="253"/>
      <c r="AH211" s="254"/>
      <c r="AI211" s="255"/>
      <c r="AJ211" s="256"/>
    </row>
    <row r="212" spans="1:36" s="106" customFormat="1" x14ac:dyDescent="0.25">
      <c r="A212" s="107" t="str">
        <f>IF(H212&lt;&gt;"",MAX($A$7:A211)+1,"")</f>
        <v/>
      </c>
      <c r="B212" s="244" t="str">
        <f t="shared" si="8"/>
        <v/>
      </c>
      <c r="C212" s="62" t="str">
        <f t="shared" si="9"/>
        <v/>
      </c>
      <c r="D212" s="246"/>
      <c r="E212" s="247"/>
      <c r="F212" s="247"/>
      <c r="G212" s="248"/>
      <c r="H212" s="241"/>
      <c r="I212" s="249"/>
      <c r="J212" s="250"/>
      <c r="K212" s="251"/>
      <c r="L212" s="252"/>
      <c r="M212" s="249"/>
      <c r="N212" s="250"/>
      <c r="O212" s="251"/>
      <c r="P212" s="252"/>
      <c r="Q212" s="249"/>
      <c r="R212" s="250"/>
      <c r="S212" s="251"/>
      <c r="T212" s="252"/>
      <c r="U212" s="249"/>
      <c r="V212" s="250"/>
      <c r="W212" s="251"/>
      <c r="X212" s="252"/>
      <c r="Y212" s="249"/>
      <c r="Z212" s="250"/>
      <c r="AA212" s="251"/>
      <c r="AB212" s="252"/>
      <c r="AC212" s="249"/>
      <c r="AD212" s="250"/>
      <c r="AE212" s="251"/>
      <c r="AF212" s="252"/>
      <c r="AG212" s="253"/>
      <c r="AH212" s="254"/>
      <c r="AI212" s="255"/>
      <c r="AJ212" s="256"/>
    </row>
    <row r="213" spans="1:36" s="106" customFormat="1" x14ac:dyDescent="0.25">
      <c r="A213" s="107" t="str">
        <f>IF(H213&lt;&gt;"",MAX($A$7:A212)+1,"")</f>
        <v/>
      </c>
      <c r="B213" s="244" t="str">
        <f t="shared" si="8"/>
        <v/>
      </c>
      <c r="C213" s="62" t="str">
        <f t="shared" si="9"/>
        <v/>
      </c>
      <c r="D213" s="246"/>
      <c r="E213" s="247"/>
      <c r="F213" s="247"/>
      <c r="G213" s="248"/>
      <c r="H213" s="241"/>
      <c r="I213" s="249"/>
      <c r="J213" s="250"/>
      <c r="K213" s="251"/>
      <c r="L213" s="252"/>
      <c r="M213" s="249"/>
      <c r="N213" s="250"/>
      <c r="O213" s="251"/>
      <c r="P213" s="252"/>
      <c r="Q213" s="249"/>
      <c r="R213" s="250"/>
      <c r="S213" s="251"/>
      <c r="T213" s="252"/>
      <c r="U213" s="249"/>
      <c r="V213" s="250"/>
      <c r="W213" s="251"/>
      <c r="X213" s="252"/>
      <c r="Y213" s="249"/>
      <c r="Z213" s="250"/>
      <c r="AA213" s="251"/>
      <c r="AB213" s="252"/>
      <c r="AC213" s="249"/>
      <c r="AD213" s="250"/>
      <c r="AE213" s="251"/>
      <c r="AF213" s="252"/>
      <c r="AG213" s="253"/>
      <c r="AH213" s="254"/>
      <c r="AI213" s="255"/>
      <c r="AJ213" s="256"/>
    </row>
    <row r="214" spans="1:36" s="106" customFormat="1" x14ac:dyDescent="0.25">
      <c r="A214" s="107" t="str">
        <f>IF(H214&lt;&gt;"",MAX($A$7:A213)+1,"")</f>
        <v/>
      </c>
      <c r="B214" s="244" t="str">
        <f t="shared" si="8"/>
        <v/>
      </c>
      <c r="C214" s="62" t="str">
        <f t="shared" si="9"/>
        <v/>
      </c>
      <c r="D214" s="246"/>
      <c r="E214" s="247"/>
      <c r="F214" s="247"/>
      <c r="G214" s="248"/>
      <c r="H214" s="241"/>
      <c r="I214" s="249"/>
      <c r="J214" s="250"/>
      <c r="K214" s="251"/>
      <c r="L214" s="252"/>
      <c r="M214" s="249"/>
      <c r="N214" s="250"/>
      <c r="O214" s="251"/>
      <c r="P214" s="252"/>
      <c r="Q214" s="249"/>
      <c r="R214" s="250"/>
      <c r="S214" s="251"/>
      <c r="T214" s="252"/>
      <c r="U214" s="249"/>
      <c r="V214" s="250"/>
      <c r="W214" s="251"/>
      <c r="X214" s="252"/>
      <c r="Y214" s="249"/>
      <c r="Z214" s="250"/>
      <c r="AA214" s="251"/>
      <c r="AB214" s="252"/>
      <c r="AC214" s="249"/>
      <c r="AD214" s="250"/>
      <c r="AE214" s="251"/>
      <c r="AF214" s="252"/>
      <c r="AG214" s="253"/>
      <c r="AH214" s="254"/>
      <c r="AI214" s="255"/>
      <c r="AJ214" s="256"/>
    </row>
    <row r="215" spans="1:36" s="106" customFormat="1" x14ac:dyDescent="0.25">
      <c r="A215" s="107" t="str">
        <f>IF(H215&lt;&gt;"",MAX($A$7:A214)+1,"")</f>
        <v/>
      </c>
      <c r="B215" s="244" t="str">
        <f t="shared" si="8"/>
        <v/>
      </c>
      <c r="C215" s="62" t="str">
        <f t="shared" si="9"/>
        <v/>
      </c>
      <c r="D215" s="246"/>
      <c r="E215" s="247"/>
      <c r="F215" s="247"/>
      <c r="G215" s="248"/>
      <c r="H215" s="241"/>
      <c r="I215" s="249"/>
      <c r="J215" s="250"/>
      <c r="K215" s="251"/>
      <c r="L215" s="252"/>
      <c r="M215" s="249"/>
      <c r="N215" s="250"/>
      <c r="O215" s="251"/>
      <c r="P215" s="252"/>
      <c r="Q215" s="249"/>
      <c r="R215" s="250"/>
      <c r="S215" s="251"/>
      <c r="T215" s="252"/>
      <c r="U215" s="249"/>
      <c r="V215" s="250"/>
      <c r="W215" s="251"/>
      <c r="X215" s="252"/>
      <c r="Y215" s="249"/>
      <c r="Z215" s="250"/>
      <c r="AA215" s="251"/>
      <c r="AB215" s="252"/>
      <c r="AC215" s="249"/>
      <c r="AD215" s="250"/>
      <c r="AE215" s="251"/>
      <c r="AF215" s="252"/>
      <c r="AG215" s="253"/>
      <c r="AH215" s="254"/>
      <c r="AI215" s="255"/>
      <c r="AJ215" s="256"/>
    </row>
    <row r="216" spans="1:36" s="106" customFormat="1" x14ac:dyDescent="0.25">
      <c r="A216" s="107" t="str">
        <f>IF(H216&lt;&gt;"",MAX($A$7:A215)+1,"")</f>
        <v/>
      </c>
      <c r="B216" s="244" t="str">
        <f t="shared" si="8"/>
        <v/>
      </c>
      <c r="C216" s="62" t="str">
        <f t="shared" si="9"/>
        <v/>
      </c>
      <c r="D216" s="246"/>
      <c r="E216" s="247"/>
      <c r="F216" s="247"/>
      <c r="G216" s="248"/>
      <c r="H216" s="241"/>
      <c r="I216" s="249"/>
      <c r="J216" s="250"/>
      <c r="K216" s="251"/>
      <c r="L216" s="252"/>
      <c r="M216" s="249"/>
      <c r="N216" s="250"/>
      <c r="O216" s="251"/>
      <c r="P216" s="252"/>
      <c r="Q216" s="249"/>
      <c r="R216" s="250"/>
      <c r="S216" s="251"/>
      <c r="T216" s="252"/>
      <c r="U216" s="249"/>
      <c r="V216" s="250"/>
      <c r="W216" s="251"/>
      <c r="X216" s="252"/>
      <c r="Y216" s="249"/>
      <c r="Z216" s="250"/>
      <c r="AA216" s="251"/>
      <c r="AB216" s="252"/>
      <c r="AC216" s="249"/>
      <c r="AD216" s="250"/>
      <c r="AE216" s="251"/>
      <c r="AF216" s="252"/>
      <c r="AG216" s="253"/>
      <c r="AH216" s="254"/>
      <c r="AI216" s="255"/>
      <c r="AJ216" s="256"/>
    </row>
    <row r="217" spans="1:36" s="106" customFormat="1" x14ac:dyDescent="0.25">
      <c r="A217" s="107" t="str">
        <f>IF(H217&lt;&gt;"",MAX($A$7:A216)+1,"")</f>
        <v/>
      </c>
      <c r="B217" s="244" t="str">
        <f t="shared" si="8"/>
        <v/>
      </c>
      <c r="C217" s="62" t="str">
        <f t="shared" si="9"/>
        <v/>
      </c>
      <c r="D217" s="246"/>
      <c r="E217" s="247"/>
      <c r="F217" s="247"/>
      <c r="G217" s="248"/>
      <c r="H217" s="241"/>
      <c r="I217" s="249"/>
      <c r="J217" s="250"/>
      <c r="K217" s="251"/>
      <c r="L217" s="252"/>
      <c r="M217" s="249"/>
      <c r="N217" s="250"/>
      <c r="O217" s="251"/>
      <c r="P217" s="252"/>
      <c r="Q217" s="249"/>
      <c r="R217" s="250"/>
      <c r="S217" s="251"/>
      <c r="T217" s="252"/>
      <c r="U217" s="249"/>
      <c r="V217" s="250"/>
      <c r="W217" s="251"/>
      <c r="X217" s="252"/>
      <c r="Y217" s="249"/>
      <c r="Z217" s="250"/>
      <c r="AA217" s="251"/>
      <c r="AB217" s="252"/>
      <c r="AC217" s="249"/>
      <c r="AD217" s="250"/>
      <c r="AE217" s="251"/>
      <c r="AF217" s="252"/>
      <c r="AG217" s="253"/>
      <c r="AH217" s="254"/>
      <c r="AI217" s="255"/>
      <c r="AJ217" s="256"/>
    </row>
    <row r="218" spans="1:36" s="106" customFormat="1" x14ac:dyDescent="0.25">
      <c r="A218" s="107" t="str">
        <f>IF(H218&lt;&gt;"",MAX($A$7:A217)+1,"")</f>
        <v/>
      </c>
      <c r="B218" s="244" t="str">
        <f t="shared" si="8"/>
        <v/>
      </c>
      <c r="C218" s="62" t="str">
        <f t="shared" si="9"/>
        <v/>
      </c>
      <c r="D218" s="246"/>
      <c r="E218" s="247"/>
      <c r="F218" s="247"/>
      <c r="G218" s="248"/>
      <c r="H218" s="241"/>
      <c r="I218" s="249"/>
      <c r="J218" s="250"/>
      <c r="K218" s="251"/>
      <c r="L218" s="252"/>
      <c r="M218" s="249"/>
      <c r="N218" s="250"/>
      <c r="O218" s="251"/>
      <c r="P218" s="252"/>
      <c r="Q218" s="249"/>
      <c r="R218" s="250"/>
      <c r="S218" s="251"/>
      <c r="T218" s="252"/>
      <c r="U218" s="249"/>
      <c r="V218" s="250"/>
      <c r="W218" s="251"/>
      <c r="X218" s="252"/>
      <c r="Y218" s="249"/>
      <c r="Z218" s="250"/>
      <c r="AA218" s="251"/>
      <c r="AB218" s="252"/>
      <c r="AC218" s="249"/>
      <c r="AD218" s="250"/>
      <c r="AE218" s="251"/>
      <c r="AF218" s="252"/>
      <c r="AG218" s="253"/>
      <c r="AH218" s="254"/>
      <c r="AI218" s="255"/>
      <c r="AJ218" s="256"/>
    </row>
    <row r="219" spans="1:36" s="106" customFormat="1" x14ac:dyDescent="0.25">
      <c r="A219" s="107" t="str">
        <f>IF(H219&lt;&gt;"",MAX($A$7:A218)+1,"")</f>
        <v/>
      </c>
      <c r="B219" s="244" t="str">
        <f t="shared" si="8"/>
        <v/>
      </c>
      <c r="C219" s="62" t="str">
        <f t="shared" si="9"/>
        <v/>
      </c>
      <c r="D219" s="246"/>
      <c r="E219" s="247"/>
      <c r="F219" s="247"/>
      <c r="G219" s="248"/>
      <c r="H219" s="241"/>
      <c r="I219" s="249"/>
      <c r="J219" s="250"/>
      <c r="K219" s="251"/>
      <c r="L219" s="252"/>
      <c r="M219" s="249"/>
      <c r="N219" s="250"/>
      <c r="O219" s="251"/>
      <c r="P219" s="252"/>
      <c r="Q219" s="249"/>
      <c r="R219" s="250"/>
      <c r="S219" s="251"/>
      <c r="T219" s="252"/>
      <c r="U219" s="249"/>
      <c r="V219" s="250"/>
      <c r="W219" s="251"/>
      <c r="X219" s="252"/>
      <c r="Y219" s="249"/>
      <c r="Z219" s="250"/>
      <c r="AA219" s="251"/>
      <c r="AB219" s="252"/>
      <c r="AC219" s="249"/>
      <c r="AD219" s="250"/>
      <c r="AE219" s="251"/>
      <c r="AF219" s="252"/>
      <c r="AG219" s="253"/>
      <c r="AH219" s="254"/>
      <c r="AI219" s="255"/>
      <c r="AJ219" s="256"/>
    </row>
    <row r="220" spans="1:36" s="106" customFormat="1" x14ac:dyDescent="0.25">
      <c r="A220" s="107" t="str">
        <f>IF(H220&lt;&gt;"",MAX($A$7:A219)+1,"")</f>
        <v/>
      </c>
      <c r="B220" s="244" t="str">
        <f t="shared" si="8"/>
        <v/>
      </c>
      <c r="C220" s="62" t="str">
        <f t="shared" si="9"/>
        <v/>
      </c>
      <c r="D220" s="246"/>
      <c r="E220" s="247"/>
      <c r="F220" s="247"/>
      <c r="G220" s="248"/>
      <c r="H220" s="241"/>
      <c r="I220" s="249"/>
      <c r="J220" s="250"/>
      <c r="K220" s="251"/>
      <c r="L220" s="252"/>
      <c r="M220" s="249"/>
      <c r="N220" s="250"/>
      <c r="O220" s="251"/>
      <c r="P220" s="252"/>
      <c r="Q220" s="249"/>
      <c r="R220" s="250"/>
      <c r="S220" s="251"/>
      <c r="T220" s="252"/>
      <c r="U220" s="249"/>
      <c r="V220" s="250"/>
      <c r="W220" s="251"/>
      <c r="X220" s="252"/>
      <c r="Y220" s="249"/>
      <c r="Z220" s="250"/>
      <c r="AA220" s="251"/>
      <c r="AB220" s="252"/>
      <c r="AC220" s="249"/>
      <c r="AD220" s="250"/>
      <c r="AE220" s="251"/>
      <c r="AF220" s="252"/>
      <c r="AG220" s="253"/>
      <c r="AH220" s="254"/>
      <c r="AI220" s="255"/>
      <c r="AJ220" s="256"/>
    </row>
    <row r="221" spans="1:36" s="106" customFormat="1" x14ac:dyDescent="0.25">
      <c r="A221" s="107" t="str">
        <f>IF(H221&lt;&gt;"",MAX($A$7:A220)+1,"")</f>
        <v/>
      </c>
      <c r="B221" s="244" t="str">
        <f t="shared" si="8"/>
        <v/>
      </c>
      <c r="C221" s="62" t="str">
        <f t="shared" si="9"/>
        <v/>
      </c>
      <c r="D221" s="246"/>
      <c r="E221" s="247"/>
      <c r="F221" s="247"/>
      <c r="G221" s="248"/>
      <c r="H221" s="241"/>
      <c r="I221" s="249"/>
      <c r="J221" s="250"/>
      <c r="K221" s="251"/>
      <c r="L221" s="252"/>
      <c r="M221" s="249"/>
      <c r="N221" s="250"/>
      <c r="O221" s="251"/>
      <c r="P221" s="252"/>
      <c r="Q221" s="249"/>
      <c r="R221" s="250"/>
      <c r="S221" s="251"/>
      <c r="T221" s="252"/>
      <c r="U221" s="249"/>
      <c r="V221" s="250"/>
      <c r="W221" s="251"/>
      <c r="X221" s="252"/>
      <c r="Y221" s="249"/>
      <c r="Z221" s="250"/>
      <c r="AA221" s="251"/>
      <c r="AB221" s="252"/>
      <c r="AC221" s="249"/>
      <c r="AD221" s="250"/>
      <c r="AE221" s="251"/>
      <c r="AF221" s="252"/>
      <c r="AG221" s="253"/>
      <c r="AH221" s="254"/>
      <c r="AI221" s="255"/>
      <c r="AJ221" s="256"/>
    </row>
    <row r="222" spans="1:36" s="106" customFormat="1" x14ac:dyDescent="0.25">
      <c r="A222" s="107" t="str">
        <f>IF(H222&lt;&gt;"",MAX($A$7:A221)+1,"")</f>
        <v/>
      </c>
      <c r="B222" s="244" t="str">
        <f t="shared" si="8"/>
        <v/>
      </c>
      <c r="C222" s="62" t="str">
        <f t="shared" si="9"/>
        <v/>
      </c>
      <c r="D222" s="246"/>
      <c r="E222" s="247"/>
      <c r="F222" s="247"/>
      <c r="G222" s="248"/>
      <c r="H222" s="241"/>
      <c r="I222" s="249"/>
      <c r="J222" s="250"/>
      <c r="K222" s="251"/>
      <c r="L222" s="252"/>
      <c r="M222" s="249"/>
      <c r="N222" s="250"/>
      <c r="O222" s="251"/>
      <c r="P222" s="252"/>
      <c r="Q222" s="249"/>
      <c r="R222" s="250"/>
      <c r="S222" s="251"/>
      <c r="T222" s="252"/>
      <c r="U222" s="249"/>
      <c r="V222" s="250"/>
      <c r="W222" s="251"/>
      <c r="X222" s="252"/>
      <c r="Y222" s="249"/>
      <c r="Z222" s="250"/>
      <c r="AA222" s="251"/>
      <c r="AB222" s="252"/>
      <c r="AC222" s="249"/>
      <c r="AD222" s="250"/>
      <c r="AE222" s="251"/>
      <c r="AF222" s="252"/>
      <c r="AG222" s="253"/>
      <c r="AH222" s="254"/>
      <c r="AI222" s="255"/>
      <c r="AJ222" s="256"/>
    </row>
    <row r="223" spans="1:36" s="106" customFormat="1" x14ac:dyDescent="0.25">
      <c r="A223" s="107" t="str">
        <f>IF(H223&lt;&gt;"",MAX($A$7:A222)+1,"")</f>
        <v/>
      </c>
      <c r="B223" s="244" t="str">
        <f t="shared" si="8"/>
        <v/>
      </c>
      <c r="C223" s="62" t="str">
        <f t="shared" si="9"/>
        <v/>
      </c>
      <c r="D223" s="246"/>
      <c r="E223" s="247"/>
      <c r="F223" s="247"/>
      <c r="G223" s="248"/>
      <c r="H223" s="241"/>
      <c r="I223" s="249"/>
      <c r="J223" s="250"/>
      <c r="K223" s="251"/>
      <c r="L223" s="252"/>
      <c r="M223" s="249"/>
      <c r="N223" s="250"/>
      <c r="O223" s="251"/>
      <c r="P223" s="252"/>
      <c r="Q223" s="249"/>
      <c r="R223" s="250"/>
      <c r="S223" s="251"/>
      <c r="T223" s="252"/>
      <c r="U223" s="249"/>
      <c r="V223" s="250"/>
      <c r="W223" s="251"/>
      <c r="X223" s="252"/>
      <c r="Y223" s="249"/>
      <c r="Z223" s="250"/>
      <c r="AA223" s="251"/>
      <c r="AB223" s="252"/>
      <c r="AC223" s="249"/>
      <c r="AD223" s="250"/>
      <c r="AE223" s="251"/>
      <c r="AF223" s="252"/>
      <c r="AG223" s="253"/>
      <c r="AH223" s="254"/>
      <c r="AI223" s="255"/>
      <c r="AJ223" s="256"/>
    </row>
    <row r="224" spans="1:36" s="106" customFormat="1" x14ac:dyDescent="0.25">
      <c r="A224" s="107" t="str">
        <f>IF(H224&lt;&gt;"",MAX($A$7:A223)+1,"")</f>
        <v/>
      </c>
      <c r="B224" s="244" t="str">
        <f t="shared" si="8"/>
        <v/>
      </c>
      <c r="C224" s="62" t="str">
        <f t="shared" si="9"/>
        <v/>
      </c>
      <c r="D224" s="246"/>
      <c r="E224" s="247"/>
      <c r="F224" s="247"/>
      <c r="G224" s="248"/>
      <c r="H224" s="241"/>
      <c r="I224" s="249"/>
      <c r="J224" s="250"/>
      <c r="K224" s="251"/>
      <c r="L224" s="252"/>
      <c r="M224" s="249"/>
      <c r="N224" s="250"/>
      <c r="O224" s="251"/>
      <c r="P224" s="252"/>
      <c r="Q224" s="249"/>
      <c r="R224" s="250"/>
      <c r="S224" s="251"/>
      <c r="T224" s="252"/>
      <c r="U224" s="249"/>
      <c r="V224" s="250"/>
      <c r="W224" s="251"/>
      <c r="X224" s="252"/>
      <c r="Y224" s="249"/>
      <c r="Z224" s="250"/>
      <c r="AA224" s="251"/>
      <c r="AB224" s="252"/>
      <c r="AC224" s="249"/>
      <c r="AD224" s="250"/>
      <c r="AE224" s="251"/>
      <c r="AF224" s="252"/>
      <c r="AG224" s="253"/>
      <c r="AH224" s="254"/>
      <c r="AI224" s="255"/>
      <c r="AJ224" s="256"/>
    </row>
    <row r="225" spans="1:36" s="106" customFormat="1" x14ac:dyDescent="0.25">
      <c r="A225" s="107" t="str">
        <f>IF(H225&lt;&gt;"",MAX($A$7:A224)+1,"")</f>
        <v/>
      </c>
      <c r="B225" s="244" t="str">
        <f t="shared" si="8"/>
        <v/>
      </c>
      <c r="C225" s="62" t="str">
        <f t="shared" si="9"/>
        <v/>
      </c>
      <c r="D225" s="246"/>
      <c r="E225" s="247"/>
      <c r="F225" s="247"/>
      <c r="G225" s="248"/>
      <c r="H225" s="241"/>
      <c r="I225" s="249"/>
      <c r="J225" s="250"/>
      <c r="K225" s="251"/>
      <c r="L225" s="252"/>
      <c r="M225" s="249"/>
      <c r="N225" s="250"/>
      <c r="O225" s="251"/>
      <c r="P225" s="252"/>
      <c r="Q225" s="249"/>
      <c r="R225" s="250"/>
      <c r="S225" s="251"/>
      <c r="T225" s="252"/>
      <c r="U225" s="249"/>
      <c r="V225" s="250"/>
      <c r="W225" s="251"/>
      <c r="X225" s="252"/>
      <c r="Y225" s="249"/>
      <c r="Z225" s="250"/>
      <c r="AA225" s="251"/>
      <c r="AB225" s="252"/>
      <c r="AC225" s="249"/>
      <c r="AD225" s="250"/>
      <c r="AE225" s="251"/>
      <c r="AF225" s="252"/>
      <c r="AG225" s="253"/>
      <c r="AH225" s="254"/>
      <c r="AI225" s="255"/>
      <c r="AJ225" s="256"/>
    </row>
    <row r="226" spans="1:36" s="106" customFormat="1" x14ac:dyDescent="0.25">
      <c r="A226" s="107" t="str">
        <f>IF(H226&lt;&gt;"",MAX($A$7:A225)+1,"")</f>
        <v/>
      </c>
      <c r="B226" s="244" t="str">
        <f t="shared" si="8"/>
        <v/>
      </c>
      <c r="C226" s="62" t="str">
        <f t="shared" si="9"/>
        <v/>
      </c>
      <c r="D226" s="246"/>
      <c r="E226" s="247"/>
      <c r="F226" s="247"/>
      <c r="G226" s="248"/>
      <c r="H226" s="241"/>
      <c r="I226" s="249"/>
      <c r="J226" s="250"/>
      <c r="K226" s="251"/>
      <c r="L226" s="252"/>
      <c r="M226" s="249"/>
      <c r="N226" s="250"/>
      <c r="O226" s="251"/>
      <c r="P226" s="252"/>
      <c r="Q226" s="249"/>
      <c r="R226" s="250"/>
      <c r="S226" s="251"/>
      <c r="T226" s="252"/>
      <c r="U226" s="249"/>
      <c r="V226" s="250"/>
      <c r="W226" s="251"/>
      <c r="X226" s="252"/>
      <c r="Y226" s="249"/>
      <c r="Z226" s="250"/>
      <c r="AA226" s="251"/>
      <c r="AB226" s="252"/>
      <c r="AC226" s="249"/>
      <c r="AD226" s="250"/>
      <c r="AE226" s="251"/>
      <c r="AF226" s="252"/>
      <c r="AG226" s="253"/>
      <c r="AH226" s="254"/>
      <c r="AI226" s="255"/>
      <c r="AJ226" s="256"/>
    </row>
    <row r="227" spans="1:36" s="106" customFormat="1" x14ac:dyDescent="0.25">
      <c r="A227" s="107" t="str">
        <f>IF(H227&lt;&gt;"",MAX($A$7:A226)+1,"")</f>
        <v/>
      </c>
      <c r="B227" s="244" t="str">
        <f t="shared" si="8"/>
        <v/>
      </c>
      <c r="C227" s="62" t="str">
        <f t="shared" si="9"/>
        <v/>
      </c>
      <c r="D227" s="246"/>
      <c r="E227" s="247"/>
      <c r="F227" s="247"/>
      <c r="G227" s="248"/>
      <c r="H227" s="241"/>
      <c r="I227" s="249"/>
      <c r="J227" s="250"/>
      <c r="K227" s="251"/>
      <c r="L227" s="252"/>
      <c r="M227" s="249"/>
      <c r="N227" s="250"/>
      <c r="O227" s="251"/>
      <c r="P227" s="252"/>
      <c r="Q227" s="249"/>
      <c r="R227" s="250"/>
      <c r="S227" s="251"/>
      <c r="T227" s="252"/>
      <c r="U227" s="249"/>
      <c r="V227" s="250"/>
      <c r="W227" s="251"/>
      <c r="X227" s="252"/>
      <c r="Y227" s="249"/>
      <c r="Z227" s="250"/>
      <c r="AA227" s="251"/>
      <c r="AB227" s="252"/>
      <c r="AC227" s="249"/>
      <c r="AD227" s="250"/>
      <c r="AE227" s="251"/>
      <c r="AF227" s="252"/>
      <c r="AG227" s="253"/>
      <c r="AH227" s="254"/>
      <c r="AI227" s="255"/>
      <c r="AJ227" s="256"/>
    </row>
    <row r="228" spans="1:36" s="106" customFormat="1" x14ac:dyDescent="0.25">
      <c r="A228" s="107" t="str">
        <f>IF(H228&lt;&gt;"",MAX($A$7:A227)+1,"")</f>
        <v/>
      </c>
      <c r="B228" s="244" t="str">
        <f t="shared" si="8"/>
        <v/>
      </c>
      <c r="C228" s="62" t="str">
        <f t="shared" si="9"/>
        <v/>
      </c>
      <c r="D228" s="246"/>
      <c r="E228" s="247"/>
      <c r="F228" s="247"/>
      <c r="G228" s="248"/>
      <c r="H228" s="241"/>
      <c r="I228" s="249"/>
      <c r="J228" s="250"/>
      <c r="K228" s="251"/>
      <c r="L228" s="252"/>
      <c r="M228" s="249"/>
      <c r="N228" s="250"/>
      <c r="O228" s="251"/>
      <c r="P228" s="252"/>
      <c r="Q228" s="249"/>
      <c r="R228" s="250"/>
      <c r="S228" s="251"/>
      <c r="T228" s="252"/>
      <c r="U228" s="249"/>
      <c r="V228" s="250"/>
      <c r="W228" s="251"/>
      <c r="X228" s="252"/>
      <c r="Y228" s="249"/>
      <c r="Z228" s="250"/>
      <c r="AA228" s="251"/>
      <c r="AB228" s="252"/>
      <c r="AC228" s="249"/>
      <c r="AD228" s="250"/>
      <c r="AE228" s="251"/>
      <c r="AF228" s="252"/>
      <c r="AG228" s="253"/>
      <c r="AH228" s="254"/>
      <c r="AI228" s="255"/>
      <c r="AJ228" s="256"/>
    </row>
    <row r="229" spans="1:36" s="106" customFormat="1" x14ac:dyDescent="0.25">
      <c r="A229" s="107" t="str">
        <f>IF(H229&lt;&gt;"",MAX($A$7:A228)+1,"")</f>
        <v/>
      </c>
      <c r="B229" s="244" t="str">
        <f t="shared" si="8"/>
        <v/>
      </c>
      <c r="C229" s="62" t="str">
        <f t="shared" si="9"/>
        <v/>
      </c>
      <c r="D229" s="246"/>
      <c r="E229" s="247"/>
      <c r="F229" s="247"/>
      <c r="G229" s="248"/>
      <c r="H229" s="241"/>
      <c r="I229" s="249"/>
      <c r="J229" s="250"/>
      <c r="K229" s="251"/>
      <c r="L229" s="252"/>
      <c r="M229" s="249"/>
      <c r="N229" s="250"/>
      <c r="O229" s="251"/>
      <c r="P229" s="252"/>
      <c r="Q229" s="249"/>
      <c r="R229" s="250"/>
      <c r="S229" s="251"/>
      <c r="T229" s="252"/>
      <c r="U229" s="249"/>
      <c r="V229" s="250"/>
      <c r="W229" s="251"/>
      <c r="X229" s="252"/>
      <c r="Y229" s="249"/>
      <c r="Z229" s="250"/>
      <c r="AA229" s="251"/>
      <c r="AB229" s="252"/>
      <c r="AC229" s="249"/>
      <c r="AD229" s="250"/>
      <c r="AE229" s="251"/>
      <c r="AF229" s="252"/>
      <c r="AG229" s="253"/>
      <c r="AH229" s="254"/>
      <c r="AI229" s="255"/>
      <c r="AJ229" s="256"/>
    </row>
    <row r="230" spans="1:36" s="106" customFormat="1" x14ac:dyDescent="0.25">
      <c r="A230" s="107" t="str">
        <f>IF(H230&lt;&gt;"",MAX($A$7:A229)+1,"")</f>
        <v/>
      </c>
      <c r="B230" s="244" t="str">
        <f t="shared" si="8"/>
        <v/>
      </c>
      <c r="C230" s="62" t="str">
        <f t="shared" si="9"/>
        <v/>
      </c>
      <c r="D230" s="246"/>
      <c r="E230" s="247"/>
      <c r="F230" s="247"/>
      <c r="G230" s="248"/>
      <c r="H230" s="241"/>
      <c r="I230" s="249"/>
      <c r="J230" s="250"/>
      <c r="K230" s="251"/>
      <c r="L230" s="252"/>
      <c r="M230" s="249"/>
      <c r="N230" s="250"/>
      <c r="O230" s="251"/>
      <c r="P230" s="252"/>
      <c r="Q230" s="249"/>
      <c r="R230" s="250"/>
      <c r="S230" s="251"/>
      <c r="T230" s="252"/>
      <c r="U230" s="249"/>
      <c r="V230" s="250"/>
      <c r="W230" s="251"/>
      <c r="X230" s="252"/>
      <c r="Y230" s="249"/>
      <c r="Z230" s="250"/>
      <c r="AA230" s="251"/>
      <c r="AB230" s="252"/>
      <c r="AC230" s="249"/>
      <c r="AD230" s="250"/>
      <c r="AE230" s="251"/>
      <c r="AF230" s="252"/>
      <c r="AG230" s="253"/>
      <c r="AH230" s="254"/>
      <c r="AI230" s="255"/>
      <c r="AJ230" s="256"/>
    </row>
    <row r="231" spans="1:36" s="106" customFormat="1" x14ac:dyDescent="0.25">
      <c r="A231" s="107" t="str">
        <f>IF(H231&lt;&gt;"",MAX($A$7:A230)+1,"")</f>
        <v/>
      </c>
      <c r="B231" s="244" t="str">
        <f t="shared" si="8"/>
        <v/>
      </c>
      <c r="C231" s="62" t="str">
        <f t="shared" si="9"/>
        <v/>
      </c>
      <c r="D231" s="246"/>
      <c r="E231" s="247"/>
      <c r="F231" s="247"/>
      <c r="G231" s="248"/>
      <c r="H231" s="241"/>
      <c r="I231" s="249"/>
      <c r="J231" s="250"/>
      <c r="K231" s="251"/>
      <c r="L231" s="252"/>
      <c r="M231" s="249"/>
      <c r="N231" s="250"/>
      <c r="O231" s="251"/>
      <c r="P231" s="252"/>
      <c r="Q231" s="249"/>
      <c r="R231" s="250"/>
      <c r="S231" s="251"/>
      <c r="T231" s="252"/>
      <c r="U231" s="249"/>
      <c r="V231" s="250"/>
      <c r="W231" s="251"/>
      <c r="X231" s="252"/>
      <c r="Y231" s="249"/>
      <c r="Z231" s="250"/>
      <c r="AA231" s="251"/>
      <c r="AB231" s="252"/>
      <c r="AC231" s="249"/>
      <c r="AD231" s="250"/>
      <c r="AE231" s="251"/>
      <c r="AF231" s="252"/>
      <c r="AG231" s="253"/>
      <c r="AH231" s="254"/>
      <c r="AI231" s="255"/>
      <c r="AJ231" s="256"/>
    </row>
    <row r="232" spans="1:36" s="106" customFormat="1" x14ac:dyDescent="0.25">
      <c r="A232" s="107" t="str">
        <f>IF(H232&lt;&gt;"",MAX($A$7:A231)+1,"")</f>
        <v/>
      </c>
      <c r="B232" s="244" t="str">
        <f t="shared" si="8"/>
        <v/>
      </c>
      <c r="C232" s="62" t="str">
        <f t="shared" si="9"/>
        <v/>
      </c>
      <c r="D232" s="246"/>
      <c r="E232" s="247"/>
      <c r="F232" s="247"/>
      <c r="G232" s="248"/>
      <c r="H232" s="241"/>
      <c r="I232" s="249"/>
      <c r="J232" s="250"/>
      <c r="K232" s="251"/>
      <c r="L232" s="252"/>
      <c r="M232" s="249"/>
      <c r="N232" s="250"/>
      <c r="O232" s="251"/>
      <c r="P232" s="252"/>
      <c r="Q232" s="249"/>
      <c r="R232" s="250"/>
      <c r="S232" s="251"/>
      <c r="T232" s="252"/>
      <c r="U232" s="249"/>
      <c r="V232" s="250"/>
      <c r="W232" s="251"/>
      <c r="X232" s="252"/>
      <c r="Y232" s="249"/>
      <c r="Z232" s="250"/>
      <c r="AA232" s="251"/>
      <c r="AB232" s="252"/>
      <c r="AC232" s="249"/>
      <c r="AD232" s="250"/>
      <c r="AE232" s="251"/>
      <c r="AF232" s="252"/>
      <c r="AG232" s="253"/>
      <c r="AH232" s="254"/>
      <c r="AI232" s="255"/>
      <c r="AJ232" s="256"/>
    </row>
    <row r="233" spans="1:36" s="106" customFormat="1" x14ac:dyDescent="0.25">
      <c r="A233" s="107" t="str">
        <f>IF(H233&lt;&gt;"",MAX($A$7:A232)+1,"")</f>
        <v/>
      </c>
      <c r="B233" s="244" t="str">
        <f t="shared" si="8"/>
        <v/>
      </c>
      <c r="C233" s="62" t="str">
        <f t="shared" si="9"/>
        <v/>
      </c>
      <c r="D233" s="246"/>
      <c r="E233" s="247"/>
      <c r="F233" s="247"/>
      <c r="G233" s="248"/>
      <c r="H233" s="241"/>
      <c r="I233" s="249"/>
      <c r="J233" s="250"/>
      <c r="K233" s="251"/>
      <c r="L233" s="252"/>
      <c r="M233" s="249"/>
      <c r="N233" s="250"/>
      <c r="O233" s="251"/>
      <c r="P233" s="252"/>
      <c r="Q233" s="249"/>
      <c r="R233" s="250"/>
      <c r="S233" s="251"/>
      <c r="T233" s="252"/>
      <c r="U233" s="249"/>
      <c r="V233" s="250"/>
      <c r="W233" s="251"/>
      <c r="X233" s="252"/>
      <c r="Y233" s="249"/>
      <c r="Z233" s="250"/>
      <c r="AA233" s="251"/>
      <c r="AB233" s="252"/>
      <c r="AC233" s="249"/>
      <c r="AD233" s="250"/>
      <c r="AE233" s="251"/>
      <c r="AF233" s="252"/>
      <c r="AG233" s="253"/>
      <c r="AH233" s="254"/>
      <c r="AI233" s="255"/>
      <c r="AJ233" s="256"/>
    </row>
    <row r="234" spans="1:36" s="106" customFormat="1" x14ac:dyDescent="0.25">
      <c r="A234" s="107" t="str">
        <f>IF(H234&lt;&gt;"",MAX($A$7:A233)+1,"")</f>
        <v/>
      </c>
      <c r="B234" s="244" t="str">
        <f t="shared" si="8"/>
        <v/>
      </c>
      <c r="C234" s="62" t="str">
        <f t="shared" si="9"/>
        <v/>
      </c>
      <c r="D234" s="246"/>
      <c r="E234" s="247"/>
      <c r="F234" s="247"/>
      <c r="G234" s="248"/>
      <c r="H234" s="241"/>
      <c r="I234" s="249"/>
      <c r="J234" s="250"/>
      <c r="K234" s="251"/>
      <c r="L234" s="252"/>
      <c r="M234" s="249"/>
      <c r="N234" s="250"/>
      <c r="O234" s="251"/>
      <c r="P234" s="252"/>
      <c r="Q234" s="249"/>
      <c r="R234" s="250"/>
      <c r="S234" s="251"/>
      <c r="T234" s="252"/>
      <c r="U234" s="249"/>
      <c r="V234" s="250"/>
      <c r="W234" s="251"/>
      <c r="X234" s="252"/>
      <c r="Y234" s="249"/>
      <c r="Z234" s="250"/>
      <c r="AA234" s="251"/>
      <c r="AB234" s="252"/>
      <c r="AC234" s="249"/>
      <c r="AD234" s="250"/>
      <c r="AE234" s="251"/>
      <c r="AF234" s="252"/>
      <c r="AG234" s="253"/>
      <c r="AH234" s="254"/>
      <c r="AI234" s="255"/>
      <c r="AJ234" s="256"/>
    </row>
    <row r="235" spans="1:36" s="106" customFormat="1" x14ac:dyDescent="0.25">
      <c r="A235" s="107" t="str">
        <f>IF(H235&lt;&gt;"",MAX($A$7:A234)+1,"")</f>
        <v/>
      </c>
      <c r="B235" s="244" t="str">
        <f t="shared" si="8"/>
        <v/>
      </c>
      <c r="C235" s="62" t="str">
        <f t="shared" si="9"/>
        <v/>
      </c>
      <c r="D235" s="246"/>
      <c r="E235" s="247"/>
      <c r="F235" s="247"/>
      <c r="G235" s="248"/>
      <c r="H235" s="241"/>
      <c r="I235" s="249"/>
      <c r="J235" s="250"/>
      <c r="K235" s="251"/>
      <c r="L235" s="252"/>
      <c r="M235" s="249"/>
      <c r="N235" s="250"/>
      <c r="O235" s="251"/>
      <c r="P235" s="252"/>
      <c r="Q235" s="249"/>
      <c r="R235" s="250"/>
      <c r="S235" s="251"/>
      <c r="T235" s="252"/>
      <c r="U235" s="249"/>
      <c r="V235" s="250"/>
      <c r="W235" s="251"/>
      <c r="X235" s="252"/>
      <c r="Y235" s="249"/>
      <c r="Z235" s="250"/>
      <c r="AA235" s="251"/>
      <c r="AB235" s="252"/>
      <c r="AC235" s="249"/>
      <c r="AD235" s="250"/>
      <c r="AE235" s="251"/>
      <c r="AF235" s="252"/>
      <c r="AG235" s="253"/>
      <c r="AH235" s="254"/>
      <c r="AI235" s="255"/>
      <c r="AJ235" s="256"/>
    </row>
    <row r="236" spans="1:36" s="106" customFormat="1" x14ac:dyDescent="0.25">
      <c r="A236" s="107" t="str">
        <f>IF(H236&lt;&gt;"",MAX($A$7:A235)+1,"")</f>
        <v/>
      </c>
      <c r="B236" s="244" t="str">
        <f t="shared" si="8"/>
        <v/>
      </c>
      <c r="C236" s="62" t="str">
        <f t="shared" si="9"/>
        <v/>
      </c>
      <c r="D236" s="246"/>
      <c r="E236" s="247"/>
      <c r="F236" s="247"/>
      <c r="G236" s="248"/>
      <c r="H236" s="241"/>
      <c r="I236" s="249"/>
      <c r="J236" s="250"/>
      <c r="K236" s="251"/>
      <c r="L236" s="252"/>
      <c r="M236" s="249"/>
      <c r="N236" s="250"/>
      <c r="O236" s="251"/>
      <c r="P236" s="252"/>
      <c r="Q236" s="249"/>
      <c r="R236" s="250"/>
      <c r="S236" s="251"/>
      <c r="T236" s="252"/>
      <c r="U236" s="249"/>
      <c r="V236" s="250"/>
      <c r="W236" s="251"/>
      <c r="X236" s="252"/>
      <c r="Y236" s="249"/>
      <c r="Z236" s="250"/>
      <c r="AA236" s="251"/>
      <c r="AB236" s="252"/>
      <c r="AC236" s="249"/>
      <c r="AD236" s="250"/>
      <c r="AE236" s="251"/>
      <c r="AF236" s="252"/>
      <c r="AG236" s="253"/>
      <c r="AH236" s="254"/>
      <c r="AI236" s="255"/>
      <c r="AJ236" s="256"/>
    </row>
    <row r="237" spans="1:36" s="106" customFormat="1" x14ac:dyDescent="0.25">
      <c r="A237" s="107" t="str">
        <f>IF(H237&lt;&gt;"",MAX($A$7:A236)+1,"")</f>
        <v/>
      </c>
      <c r="B237" s="244" t="str">
        <f t="shared" si="8"/>
        <v/>
      </c>
      <c r="C237" s="62" t="str">
        <f t="shared" si="9"/>
        <v/>
      </c>
      <c r="D237" s="246"/>
      <c r="E237" s="247"/>
      <c r="F237" s="247"/>
      <c r="G237" s="248"/>
      <c r="H237" s="241"/>
      <c r="I237" s="249"/>
      <c r="J237" s="250"/>
      <c r="K237" s="251"/>
      <c r="L237" s="252"/>
      <c r="M237" s="249"/>
      <c r="N237" s="250"/>
      <c r="O237" s="251"/>
      <c r="P237" s="252"/>
      <c r="Q237" s="249"/>
      <c r="R237" s="250"/>
      <c r="S237" s="251"/>
      <c r="T237" s="252"/>
      <c r="U237" s="249"/>
      <c r="V237" s="250"/>
      <c r="W237" s="251"/>
      <c r="X237" s="252"/>
      <c r="Y237" s="249"/>
      <c r="Z237" s="250"/>
      <c r="AA237" s="251"/>
      <c r="AB237" s="252"/>
      <c r="AC237" s="249"/>
      <c r="AD237" s="250"/>
      <c r="AE237" s="251"/>
      <c r="AF237" s="252"/>
      <c r="AG237" s="253"/>
      <c r="AH237" s="254"/>
      <c r="AI237" s="255"/>
      <c r="AJ237" s="256"/>
    </row>
    <row r="238" spans="1:36" s="106" customFormat="1" x14ac:dyDescent="0.25">
      <c r="A238" s="107" t="str">
        <f>IF(H238&lt;&gt;"",MAX($A$7:A237)+1,"")</f>
        <v/>
      </c>
      <c r="B238" s="244" t="str">
        <f t="shared" si="8"/>
        <v/>
      </c>
      <c r="C238" s="62" t="str">
        <f t="shared" si="9"/>
        <v/>
      </c>
      <c r="D238" s="246"/>
      <c r="E238" s="247"/>
      <c r="F238" s="247"/>
      <c r="G238" s="248"/>
      <c r="H238" s="241"/>
      <c r="I238" s="249"/>
      <c r="J238" s="250"/>
      <c r="K238" s="251"/>
      <c r="L238" s="252"/>
      <c r="M238" s="249"/>
      <c r="N238" s="250"/>
      <c r="O238" s="251"/>
      <c r="P238" s="252"/>
      <c r="Q238" s="249"/>
      <c r="R238" s="250"/>
      <c r="S238" s="251"/>
      <c r="T238" s="252"/>
      <c r="U238" s="249"/>
      <c r="V238" s="250"/>
      <c r="W238" s="251"/>
      <c r="X238" s="252"/>
      <c r="Y238" s="249"/>
      <c r="Z238" s="250"/>
      <c r="AA238" s="251"/>
      <c r="AB238" s="252"/>
      <c r="AC238" s="249"/>
      <c r="AD238" s="250"/>
      <c r="AE238" s="251"/>
      <c r="AF238" s="252"/>
      <c r="AG238" s="253"/>
      <c r="AH238" s="254"/>
      <c r="AI238" s="255"/>
      <c r="AJ238" s="256"/>
    </row>
    <row r="239" spans="1:36" s="106" customFormat="1" x14ac:dyDescent="0.25">
      <c r="A239" s="107" t="str">
        <f>IF(H239&lt;&gt;"",MAX($A$7:A238)+1,"")</f>
        <v/>
      </c>
      <c r="B239" s="244" t="str">
        <f t="shared" si="8"/>
        <v/>
      </c>
      <c r="C239" s="62" t="str">
        <f t="shared" si="9"/>
        <v/>
      </c>
      <c r="D239" s="246"/>
      <c r="E239" s="247"/>
      <c r="F239" s="247"/>
      <c r="G239" s="248"/>
      <c r="H239" s="241"/>
      <c r="I239" s="249"/>
      <c r="J239" s="250"/>
      <c r="K239" s="251"/>
      <c r="L239" s="252"/>
      <c r="M239" s="249"/>
      <c r="N239" s="250"/>
      <c r="O239" s="251"/>
      <c r="P239" s="252"/>
      <c r="Q239" s="249"/>
      <c r="R239" s="250"/>
      <c r="S239" s="251"/>
      <c r="T239" s="252"/>
      <c r="U239" s="249"/>
      <c r="V239" s="250"/>
      <c r="W239" s="251"/>
      <c r="X239" s="252"/>
      <c r="Y239" s="249"/>
      <c r="Z239" s="250"/>
      <c r="AA239" s="251"/>
      <c r="AB239" s="252"/>
      <c r="AC239" s="249"/>
      <c r="AD239" s="250"/>
      <c r="AE239" s="251"/>
      <c r="AF239" s="252"/>
      <c r="AG239" s="253"/>
      <c r="AH239" s="254"/>
      <c r="AI239" s="255"/>
      <c r="AJ239" s="256"/>
    </row>
    <row r="240" spans="1:36" s="106" customFormat="1" x14ac:dyDescent="0.25">
      <c r="A240" s="107" t="str">
        <f>IF(H240&lt;&gt;"",MAX($A$7:A239)+1,"")</f>
        <v/>
      </c>
      <c r="B240" s="244" t="str">
        <f t="shared" si="8"/>
        <v/>
      </c>
      <c r="C240" s="62" t="str">
        <f t="shared" si="9"/>
        <v/>
      </c>
      <c r="D240" s="246"/>
      <c r="E240" s="247"/>
      <c r="F240" s="247"/>
      <c r="G240" s="248"/>
      <c r="H240" s="241"/>
      <c r="I240" s="249"/>
      <c r="J240" s="250"/>
      <c r="K240" s="251"/>
      <c r="L240" s="252"/>
      <c r="M240" s="249"/>
      <c r="N240" s="250"/>
      <c r="O240" s="251"/>
      <c r="P240" s="252"/>
      <c r="Q240" s="249"/>
      <c r="R240" s="250"/>
      <c r="S240" s="251"/>
      <c r="T240" s="252"/>
      <c r="U240" s="249"/>
      <c r="V240" s="250"/>
      <c r="W240" s="251"/>
      <c r="X240" s="252"/>
      <c r="Y240" s="249"/>
      <c r="Z240" s="250"/>
      <c r="AA240" s="251"/>
      <c r="AB240" s="252"/>
      <c r="AC240" s="249"/>
      <c r="AD240" s="250"/>
      <c r="AE240" s="251"/>
      <c r="AF240" s="252"/>
      <c r="AG240" s="253"/>
      <c r="AH240" s="254"/>
      <c r="AI240" s="255"/>
      <c r="AJ240" s="256"/>
    </row>
    <row r="241" spans="1:36" s="106" customFormat="1" x14ac:dyDescent="0.25">
      <c r="A241" s="107" t="str">
        <f>IF(H241&lt;&gt;"",MAX($A$7:A240)+1,"")</f>
        <v/>
      </c>
      <c r="B241" s="244" t="str">
        <f t="shared" si="8"/>
        <v/>
      </c>
      <c r="C241" s="62" t="str">
        <f t="shared" si="9"/>
        <v/>
      </c>
      <c r="D241" s="246"/>
      <c r="E241" s="247"/>
      <c r="F241" s="247"/>
      <c r="G241" s="248"/>
      <c r="H241" s="241"/>
      <c r="I241" s="249"/>
      <c r="J241" s="250"/>
      <c r="K241" s="251"/>
      <c r="L241" s="252"/>
      <c r="M241" s="249"/>
      <c r="N241" s="250"/>
      <c r="O241" s="251"/>
      <c r="P241" s="252"/>
      <c r="Q241" s="249"/>
      <c r="R241" s="250"/>
      <c r="S241" s="251"/>
      <c r="T241" s="252"/>
      <c r="U241" s="249"/>
      <c r="V241" s="250"/>
      <c r="W241" s="251"/>
      <c r="X241" s="252"/>
      <c r="Y241" s="249"/>
      <c r="Z241" s="250"/>
      <c r="AA241" s="251"/>
      <c r="AB241" s="252"/>
      <c r="AC241" s="249"/>
      <c r="AD241" s="250"/>
      <c r="AE241" s="251"/>
      <c r="AF241" s="252"/>
      <c r="AG241" s="253"/>
      <c r="AH241" s="254"/>
      <c r="AI241" s="255"/>
      <c r="AJ241" s="256"/>
    </row>
    <row r="242" spans="1:36" s="106" customFormat="1" x14ac:dyDescent="0.25">
      <c r="A242" s="107" t="str">
        <f>IF(H242&lt;&gt;"",MAX($A$7:A241)+1,"")</f>
        <v/>
      </c>
      <c r="B242" s="244" t="str">
        <f t="shared" si="8"/>
        <v/>
      </c>
      <c r="C242" s="62" t="str">
        <f t="shared" si="9"/>
        <v/>
      </c>
      <c r="D242" s="246"/>
      <c r="E242" s="247"/>
      <c r="F242" s="247"/>
      <c r="G242" s="248"/>
      <c r="H242" s="241"/>
      <c r="I242" s="249"/>
      <c r="J242" s="250"/>
      <c r="K242" s="251"/>
      <c r="L242" s="252"/>
      <c r="M242" s="249"/>
      <c r="N242" s="250"/>
      <c r="O242" s="251"/>
      <c r="P242" s="252"/>
      <c r="Q242" s="249"/>
      <c r="R242" s="250"/>
      <c r="S242" s="251"/>
      <c r="T242" s="252"/>
      <c r="U242" s="249"/>
      <c r="V242" s="250"/>
      <c r="W242" s="251"/>
      <c r="X242" s="252"/>
      <c r="Y242" s="249"/>
      <c r="Z242" s="250"/>
      <c r="AA242" s="251"/>
      <c r="AB242" s="252"/>
      <c r="AC242" s="249"/>
      <c r="AD242" s="250"/>
      <c r="AE242" s="251"/>
      <c r="AF242" s="252"/>
      <c r="AG242" s="253"/>
      <c r="AH242" s="254"/>
      <c r="AI242" s="255"/>
      <c r="AJ242" s="256"/>
    </row>
    <row r="243" spans="1:36" s="106" customFormat="1" x14ac:dyDescent="0.25">
      <c r="A243" s="107" t="str">
        <f>IF(H243&lt;&gt;"",MAX($A$7:A242)+1,"")</f>
        <v/>
      </c>
      <c r="B243" s="244" t="str">
        <f t="shared" si="8"/>
        <v/>
      </c>
      <c r="C243" s="62" t="str">
        <f t="shared" si="9"/>
        <v/>
      </c>
      <c r="D243" s="246"/>
      <c r="E243" s="247"/>
      <c r="F243" s="247"/>
      <c r="G243" s="248"/>
      <c r="H243" s="241"/>
      <c r="I243" s="249"/>
      <c r="J243" s="250"/>
      <c r="K243" s="251"/>
      <c r="L243" s="252"/>
      <c r="M243" s="249"/>
      <c r="N243" s="250"/>
      <c r="O243" s="251"/>
      <c r="P243" s="252"/>
      <c r="Q243" s="249"/>
      <c r="R243" s="250"/>
      <c r="S243" s="251"/>
      <c r="T243" s="252"/>
      <c r="U243" s="249"/>
      <c r="V243" s="250"/>
      <c r="W243" s="251"/>
      <c r="X243" s="252"/>
      <c r="Y243" s="249"/>
      <c r="Z243" s="250"/>
      <c r="AA243" s="251"/>
      <c r="AB243" s="252"/>
      <c r="AC243" s="249"/>
      <c r="AD243" s="250"/>
      <c r="AE243" s="251"/>
      <c r="AF243" s="252"/>
      <c r="AG243" s="253"/>
      <c r="AH243" s="254"/>
      <c r="AI243" s="255"/>
      <c r="AJ243" s="256"/>
    </row>
    <row r="244" spans="1:36" s="106" customFormat="1" x14ac:dyDescent="0.25">
      <c r="A244" s="107" t="str">
        <f>IF(H244&lt;&gt;"",MAX($A$7:A243)+1,"")</f>
        <v/>
      </c>
      <c r="B244" s="244" t="str">
        <f t="shared" si="8"/>
        <v/>
      </c>
      <c r="C244" s="62" t="str">
        <f t="shared" si="9"/>
        <v/>
      </c>
      <c r="D244" s="246"/>
      <c r="E244" s="247"/>
      <c r="F244" s="247"/>
      <c r="G244" s="248"/>
      <c r="H244" s="241"/>
      <c r="I244" s="249"/>
      <c r="J244" s="250"/>
      <c r="K244" s="251"/>
      <c r="L244" s="252"/>
      <c r="M244" s="249"/>
      <c r="N244" s="250"/>
      <c r="O244" s="251"/>
      <c r="P244" s="252"/>
      <c r="Q244" s="249"/>
      <c r="R244" s="250"/>
      <c r="S244" s="251"/>
      <c r="T244" s="252"/>
      <c r="U244" s="249"/>
      <c r="V244" s="250"/>
      <c r="W244" s="251"/>
      <c r="X244" s="252"/>
      <c r="Y244" s="249"/>
      <c r="Z244" s="250"/>
      <c r="AA244" s="251"/>
      <c r="AB244" s="252"/>
      <c r="AC244" s="249"/>
      <c r="AD244" s="250"/>
      <c r="AE244" s="251"/>
      <c r="AF244" s="252"/>
      <c r="AG244" s="253"/>
      <c r="AH244" s="254"/>
      <c r="AI244" s="255"/>
      <c r="AJ244" s="256"/>
    </row>
    <row r="245" spans="1:36" s="106" customFormat="1" x14ac:dyDescent="0.25">
      <c r="A245" s="107" t="str">
        <f>IF(H245&lt;&gt;"",MAX($A$7:A244)+1,"")</f>
        <v/>
      </c>
      <c r="B245" s="244" t="str">
        <f t="shared" si="8"/>
        <v/>
      </c>
      <c r="C245" s="62" t="str">
        <f t="shared" si="9"/>
        <v/>
      </c>
      <c r="D245" s="246"/>
      <c r="E245" s="247"/>
      <c r="F245" s="247"/>
      <c r="G245" s="248"/>
      <c r="H245" s="241"/>
      <c r="I245" s="249"/>
      <c r="J245" s="250"/>
      <c r="K245" s="251"/>
      <c r="L245" s="252"/>
      <c r="M245" s="249"/>
      <c r="N245" s="250"/>
      <c r="O245" s="251"/>
      <c r="P245" s="252"/>
      <c r="Q245" s="249"/>
      <c r="R245" s="250"/>
      <c r="S245" s="251"/>
      <c r="T245" s="252"/>
      <c r="U245" s="249"/>
      <c r="V245" s="250"/>
      <c r="W245" s="251"/>
      <c r="X245" s="252"/>
      <c r="Y245" s="249"/>
      <c r="Z245" s="250"/>
      <c r="AA245" s="251"/>
      <c r="AB245" s="252"/>
      <c r="AC245" s="249"/>
      <c r="AD245" s="250"/>
      <c r="AE245" s="251"/>
      <c r="AF245" s="252"/>
      <c r="AG245" s="253"/>
      <c r="AH245" s="254"/>
      <c r="AI245" s="255"/>
      <c r="AJ245" s="256"/>
    </row>
    <row r="246" spans="1:36" s="106" customFormat="1" x14ac:dyDescent="0.25">
      <c r="A246" s="107" t="str">
        <f>IF(H246&lt;&gt;"",MAX($A$7:A245)+1,"")</f>
        <v/>
      </c>
      <c r="B246" s="244" t="str">
        <f t="shared" si="8"/>
        <v/>
      </c>
      <c r="C246" s="62" t="str">
        <f t="shared" si="9"/>
        <v/>
      </c>
      <c r="D246" s="246"/>
      <c r="E246" s="247"/>
      <c r="F246" s="247"/>
      <c r="G246" s="248"/>
      <c r="H246" s="241"/>
      <c r="I246" s="249"/>
      <c r="J246" s="250"/>
      <c r="K246" s="251"/>
      <c r="L246" s="252"/>
      <c r="M246" s="249"/>
      <c r="N246" s="250"/>
      <c r="O246" s="251"/>
      <c r="P246" s="252"/>
      <c r="Q246" s="249"/>
      <c r="R246" s="250"/>
      <c r="S246" s="251"/>
      <c r="T246" s="252"/>
      <c r="U246" s="249"/>
      <c r="V246" s="250"/>
      <c r="W246" s="251"/>
      <c r="X246" s="252"/>
      <c r="Y246" s="249"/>
      <c r="Z246" s="250"/>
      <c r="AA246" s="251"/>
      <c r="AB246" s="252"/>
      <c r="AC246" s="249"/>
      <c r="AD246" s="250"/>
      <c r="AE246" s="251"/>
      <c r="AF246" s="252"/>
      <c r="AG246" s="253"/>
      <c r="AH246" s="254"/>
      <c r="AI246" s="255"/>
      <c r="AJ246" s="256"/>
    </row>
    <row r="247" spans="1:36" s="106" customFormat="1" x14ac:dyDescent="0.25">
      <c r="A247" s="107" t="str">
        <f>IF(H247&lt;&gt;"",MAX($A$7:A246)+1,"")</f>
        <v/>
      </c>
      <c r="B247" s="244" t="str">
        <f t="shared" si="8"/>
        <v/>
      </c>
      <c r="C247" s="62" t="str">
        <f t="shared" si="9"/>
        <v/>
      </c>
      <c r="D247" s="246"/>
      <c r="E247" s="247"/>
      <c r="F247" s="247"/>
      <c r="G247" s="248"/>
      <c r="H247" s="241"/>
      <c r="I247" s="249"/>
      <c r="J247" s="250"/>
      <c r="K247" s="251"/>
      <c r="L247" s="252"/>
      <c r="M247" s="249"/>
      <c r="N247" s="250"/>
      <c r="O247" s="251"/>
      <c r="P247" s="252"/>
      <c r="Q247" s="249"/>
      <c r="R247" s="250"/>
      <c r="S247" s="251"/>
      <c r="T247" s="252"/>
      <c r="U247" s="249"/>
      <c r="V247" s="250"/>
      <c r="W247" s="251"/>
      <c r="X247" s="252"/>
      <c r="Y247" s="249"/>
      <c r="Z247" s="250"/>
      <c r="AA247" s="251"/>
      <c r="AB247" s="252"/>
      <c r="AC247" s="249"/>
      <c r="AD247" s="250"/>
      <c r="AE247" s="251"/>
      <c r="AF247" s="252"/>
      <c r="AG247" s="253"/>
      <c r="AH247" s="254"/>
      <c r="AI247" s="255"/>
      <c r="AJ247" s="256"/>
    </row>
    <row r="248" spans="1:36" s="106" customFormat="1" x14ac:dyDescent="0.25">
      <c r="A248" s="107" t="str">
        <f>IF(H248&lt;&gt;"",MAX($A$7:A247)+1,"")</f>
        <v/>
      </c>
      <c r="B248" s="244" t="str">
        <f t="shared" si="8"/>
        <v/>
      </c>
      <c r="C248" s="62" t="str">
        <f t="shared" si="9"/>
        <v/>
      </c>
      <c r="D248" s="246"/>
      <c r="E248" s="247"/>
      <c r="F248" s="247"/>
      <c r="G248" s="248"/>
      <c r="H248" s="241"/>
      <c r="I248" s="249"/>
      <c r="J248" s="250"/>
      <c r="K248" s="251"/>
      <c r="L248" s="252"/>
      <c r="M248" s="249"/>
      <c r="N248" s="250"/>
      <c r="O248" s="251"/>
      <c r="P248" s="252"/>
      <c r="Q248" s="249"/>
      <c r="R248" s="250"/>
      <c r="S248" s="251"/>
      <c r="T248" s="252"/>
      <c r="U248" s="249"/>
      <c r="V248" s="250"/>
      <c r="W248" s="251"/>
      <c r="X248" s="252"/>
      <c r="Y248" s="249"/>
      <c r="Z248" s="250"/>
      <c r="AA248" s="251"/>
      <c r="AB248" s="252"/>
      <c r="AC248" s="249"/>
      <c r="AD248" s="250"/>
      <c r="AE248" s="251"/>
      <c r="AF248" s="252"/>
      <c r="AG248" s="253"/>
      <c r="AH248" s="254"/>
      <c r="AI248" s="255"/>
      <c r="AJ248" s="256"/>
    </row>
    <row r="249" spans="1:36" s="106" customFormat="1" x14ac:dyDescent="0.25">
      <c r="A249" s="107" t="str">
        <f>IF(H249&lt;&gt;"",MAX($A$7:A248)+1,"")</f>
        <v/>
      </c>
      <c r="B249" s="244" t="str">
        <f t="shared" si="8"/>
        <v/>
      </c>
      <c r="C249" s="62" t="str">
        <f t="shared" si="9"/>
        <v/>
      </c>
      <c r="D249" s="246"/>
      <c r="E249" s="247"/>
      <c r="F249" s="247"/>
      <c r="G249" s="248"/>
      <c r="H249" s="241"/>
      <c r="I249" s="249"/>
      <c r="J249" s="250"/>
      <c r="K249" s="251"/>
      <c r="L249" s="252"/>
      <c r="M249" s="249"/>
      <c r="N249" s="250"/>
      <c r="O249" s="251"/>
      <c r="P249" s="252"/>
      <c r="Q249" s="249"/>
      <c r="R249" s="250"/>
      <c r="S249" s="251"/>
      <c r="T249" s="252"/>
      <c r="U249" s="249"/>
      <c r="V249" s="250"/>
      <c r="W249" s="251"/>
      <c r="X249" s="252"/>
      <c r="Y249" s="249"/>
      <c r="Z249" s="250"/>
      <c r="AA249" s="251"/>
      <c r="AB249" s="252"/>
      <c r="AC249" s="249"/>
      <c r="AD249" s="250"/>
      <c r="AE249" s="251"/>
      <c r="AF249" s="252"/>
      <c r="AG249" s="253"/>
      <c r="AH249" s="254"/>
      <c r="AI249" s="255"/>
      <c r="AJ249" s="256"/>
    </row>
    <row r="250" spans="1:36" s="106" customFormat="1" x14ac:dyDescent="0.25">
      <c r="A250" s="107" t="str">
        <f>IF(H250&lt;&gt;"",MAX($A$7:A249)+1,"")</f>
        <v/>
      </c>
      <c r="B250" s="244" t="str">
        <f t="shared" si="8"/>
        <v/>
      </c>
      <c r="C250" s="62" t="str">
        <f t="shared" si="9"/>
        <v/>
      </c>
      <c r="D250" s="246"/>
      <c r="E250" s="247"/>
      <c r="F250" s="247"/>
      <c r="G250" s="248"/>
      <c r="H250" s="241"/>
      <c r="I250" s="249"/>
      <c r="J250" s="250"/>
      <c r="K250" s="251"/>
      <c r="L250" s="252"/>
      <c r="M250" s="249"/>
      <c r="N250" s="250"/>
      <c r="O250" s="251"/>
      <c r="P250" s="252"/>
      <c r="Q250" s="249"/>
      <c r="R250" s="250"/>
      <c r="S250" s="251"/>
      <c r="T250" s="252"/>
      <c r="U250" s="249"/>
      <c r="V250" s="250"/>
      <c r="W250" s="251"/>
      <c r="X250" s="252"/>
      <c r="Y250" s="249"/>
      <c r="Z250" s="250"/>
      <c r="AA250" s="251"/>
      <c r="AB250" s="252"/>
      <c r="AC250" s="249"/>
      <c r="AD250" s="250"/>
      <c r="AE250" s="251"/>
      <c r="AF250" s="252"/>
      <c r="AG250" s="253"/>
      <c r="AH250" s="254"/>
      <c r="AI250" s="255"/>
      <c r="AJ250" s="256"/>
    </row>
    <row r="251" spans="1:36" s="106" customFormat="1" x14ac:dyDescent="0.25">
      <c r="A251" s="107" t="str">
        <f>IF(H251&lt;&gt;"",MAX($A$7:A250)+1,"")</f>
        <v/>
      </c>
      <c r="B251" s="244" t="str">
        <f t="shared" si="8"/>
        <v/>
      </c>
      <c r="C251" s="62" t="str">
        <f t="shared" si="9"/>
        <v/>
      </c>
      <c r="D251" s="246"/>
      <c r="E251" s="247"/>
      <c r="F251" s="247"/>
      <c r="G251" s="248"/>
      <c r="H251" s="241"/>
      <c r="I251" s="249"/>
      <c r="J251" s="250"/>
      <c r="K251" s="251"/>
      <c r="L251" s="252"/>
      <c r="M251" s="249"/>
      <c r="N251" s="250"/>
      <c r="O251" s="251"/>
      <c r="P251" s="252"/>
      <c r="Q251" s="249"/>
      <c r="R251" s="250"/>
      <c r="S251" s="251"/>
      <c r="T251" s="252"/>
      <c r="U251" s="249"/>
      <c r="V251" s="250"/>
      <c r="W251" s="251"/>
      <c r="X251" s="252"/>
      <c r="Y251" s="249"/>
      <c r="Z251" s="250"/>
      <c r="AA251" s="251"/>
      <c r="AB251" s="252"/>
      <c r="AC251" s="249"/>
      <c r="AD251" s="250"/>
      <c r="AE251" s="251"/>
      <c r="AF251" s="252"/>
      <c r="AG251" s="253"/>
      <c r="AH251" s="254"/>
      <c r="AI251" s="255"/>
      <c r="AJ251" s="256"/>
    </row>
    <row r="252" spans="1:36" s="106" customFormat="1" x14ac:dyDescent="0.25">
      <c r="A252" s="107" t="str">
        <f>IF(H252&lt;&gt;"",MAX($A$7:A251)+1,"")</f>
        <v/>
      </c>
      <c r="B252" s="244" t="str">
        <f t="shared" si="8"/>
        <v/>
      </c>
      <c r="C252" s="62" t="str">
        <f t="shared" si="9"/>
        <v/>
      </c>
      <c r="D252" s="246"/>
      <c r="E252" s="247"/>
      <c r="F252" s="247"/>
      <c r="G252" s="248"/>
      <c r="H252" s="241"/>
      <c r="I252" s="249"/>
      <c r="J252" s="250"/>
      <c r="K252" s="251"/>
      <c r="L252" s="252"/>
      <c r="M252" s="249"/>
      <c r="N252" s="250"/>
      <c r="O252" s="251"/>
      <c r="P252" s="252"/>
      <c r="Q252" s="249"/>
      <c r="R252" s="250"/>
      <c r="S252" s="251"/>
      <c r="T252" s="252"/>
      <c r="U252" s="249"/>
      <c r="V252" s="250"/>
      <c r="W252" s="251"/>
      <c r="X252" s="252"/>
      <c r="Y252" s="249"/>
      <c r="Z252" s="250"/>
      <c r="AA252" s="251"/>
      <c r="AB252" s="252"/>
      <c r="AC252" s="249"/>
      <c r="AD252" s="250"/>
      <c r="AE252" s="251"/>
      <c r="AF252" s="252"/>
      <c r="AG252" s="253"/>
      <c r="AH252" s="254"/>
      <c r="AI252" s="255"/>
      <c r="AJ252" s="256"/>
    </row>
    <row r="253" spans="1:36" s="106" customFormat="1" x14ac:dyDescent="0.25">
      <c r="A253" s="107" t="str">
        <f>IF(H253&lt;&gt;"",MAX($A$7:A252)+1,"")</f>
        <v/>
      </c>
      <c r="B253" s="244" t="str">
        <f t="shared" si="8"/>
        <v/>
      </c>
      <c r="C253" s="62" t="str">
        <f t="shared" si="9"/>
        <v/>
      </c>
      <c r="D253" s="246"/>
      <c r="E253" s="247"/>
      <c r="F253" s="247"/>
      <c r="G253" s="248"/>
      <c r="H253" s="241"/>
      <c r="I253" s="249"/>
      <c r="J253" s="250"/>
      <c r="K253" s="251"/>
      <c r="L253" s="252"/>
      <c r="M253" s="249"/>
      <c r="N253" s="250"/>
      <c r="O253" s="251"/>
      <c r="P253" s="252"/>
      <c r="Q253" s="249"/>
      <c r="R253" s="250"/>
      <c r="S253" s="251"/>
      <c r="T253" s="252"/>
      <c r="U253" s="249"/>
      <c r="V253" s="250"/>
      <c r="W253" s="251"/>
      <c r="X253" s="252"/>
      <c r="Y253" s="249"/>
      <c r="Z253" s="250"/>
      <c r="AA253" s="251"/>
      <c r="AB253" s="252"/>
      <c r="AC253" s="249"/>
      <c r="AD253" s="250"/>
      <c r="AE253" s="251"/>
      <c r="AF253" s="252"/>
      <c r="AG253" s="253"/>
      <c r="AH253" s="254"/>
      <c r="AI253" s="255"/>
      <c r="AJ253" s="256"/>
    </row>
    <row r="254" spans="1:36" s="106" customFormat="1" x14ac:dyDescent="0.25">
      <c r="A254" s="107" t="str">
        <f>IF(H254&lt;&gt;"",MAX($A$7:A253)+1,"")</f>
        <v/>
      </c>
      <c r="B254" s="244" t="str">
        <f t="shared" si="8"/>
        <v/>
      </c>
      <c r="C254" s="62" t="str">
        <f t="shared" si="9"/>
        <v/>
      </c>
      <c r="D254" s="246"/>
      <c r="E254" s="247"/>
      <c r="F254" s="247"/>
      <c r="G254" s="248"/>
      <c r="H254" s="241"/>
      <c r="I254" s="249"/>
      <c r="J254" s="250"/>
      <c r="K254" s="251"/>
      <c r="L254" s="252"/>
      <c r="M254" s="249"/>
      <c r="N254" s="250"/>
      <c r="O254" s="251"/>
      <c r="P254" s="252"/>
      <c r="Q254" s="249"/>
      <c r="R254" s="250"/>
      <c r="S254" s="251"/>
      <c r="T254" s="252"/>
      <c r="U254" s="249"/>
      <c r="V254" s="250"/>
      <c r="W254" s="251"/>
      <c r="X254" s="252"/>
      <c r="Y254" s="249"/>
      <c r="Z254" s="250"/>
      <c r="AA254" s="251"/>
      <c r="AB254" s="252"/>
      <c r="AC254" s="249"/>
      <c r="AD254" s="250"/>
      <c r="AE254" s="251"/>
      <c r="AF254" s="252"/>
      <c r="AG254" s="253"/>
      <c r="AH254" s="254"/>
      <c r="AI254" s="255"/>
      <c r="AJ254" s="256"/>
    </row>
    <row r="255" spans="1:36" s="106" customFormat="1" x14ac:dyDescent="0.25">
      <c r="A255" s="107" t="str">
        <f>IF(H255&lt;&gt;"",MAX($A$7:A254)+1,"")</f>
        <v/>
      </c>
      <c r="B255" s="244" t="str">
        <f t="shared" si="8"/>
        <v/>
      </c>
      <c r="C255" s="62" t="str">
        <f t="shared" si="9"/>
        <v/>
      </c>
      <c r="D255" s="246"/>
      <c r="E255" s="247"/>
      <c r="F255" s="247"/>
      <c r="G255" s="248"/>
      <c r="H255" s="241"/>
      <c r="I255" s="249"/>
      <c r="J255" s="250"/>
      <c r="K255" s="251"/>
      <c r="L255" s="252"/>
      <c r="M255" s="249"/>
      <c r="N255" s="250"/>
      <c r="O255" s="251"/>
      <c r="P255" s="252"/>
      <c r="Q255" s="249"/>
      <c r="R255" s="250"/>
      <c r="S255" s="251"/>
      <c r="T255" s="252"/>
      <c r="U255" s="249"/>
      <c r="V255" s="250"/>
      <c r="W255" s="251"/>
      <c r="X255" s="252"/>
      <c r="Y255" s="249"/>
      <c r="Z255" s="250"/>
      <c r="AA255" s="251"/>
      <c r="AB255" s="252"/>
      <c r="AC255" s="249"/>
      <c r="AD255" s="250"/>
      <c r="AE255" s="251"/>
      <c r="AF255" s="252"/>
      <c r="AG255" s="253"/>
      <c r="AH255" s="254"/>
      <c r="AI255" s="255"/>
      <c r="AJ255" s="256"/>
    </row>
    <row r="256" spans="1:36" s="106" customFormat="1" x14ac:dyDescent="0.25">
      <c r="A256" s="107" t="str">
        <f>IF(H256&lt;&gt;"",MAX($A$7:A255)+1,"")</f>
        <v/>
      </c>
      <c r="B256" s="244" t="str">
        <f t="shared" si="8"/>
        <v/>
      </c>
      <c r="C256" s="62" t="str">
        <f t="shared" si="9"/>
        <v/>
      </c>
      <c r="D256" s="246"/>
      <c r="E256" s="247"/>
      <c r="F256" s="247"/>
      <c r="G256" s="248"/>
      <c r="H256" s="241"/>
      <c r="I256" s="249"/>
      <c r="J256" s="250"/>
      <c r="K256" s="251"/>
      <c r="L256" s="252"/>
      <c r="M256" s="249"/>
      <c r="N256" s="250"/>
      <c r="O256" s="251"/>
      <c r="P256" s="252"/>
      <c r="Q256" s="249"/>
      <c r="R256" s="250"/>
      <c r="S256" s="251"/>
      <c r="T256" s="252"/>
      <c r="U256" s="249"/>
      <c r="V256" s="250"/>
      <c r="W256" s="251"/>
      <c r="X256" s="252"/>
      <c r="Y256" s="249"/>
      <c r="Z256" s="250"/>
      <c r="AA256" s="251"/>
      <c r="AB256" s="252"/>
      <c r="AC256" s="249"/>
      <c r="AD256" s="250"/>
      <c r="AE256" s="251"/>
      <c r="AF256" s="252"/>
      <c r="AG256" s="253"/>
      <c r="AH256" s="254"/>
      <c r="AI256" s="255"/>
      <c r="AJ256" s="256"/>
    </row>
    <row r="257" spans="1:36" s="106" customFormat="1" x14ac:dyDescent="0.25">
      <c r="A257" s="107" t="str">
        <f>IF(H257&lt;&gt;"",MAX($A$7:A256)+1,"")</f>
        <v/>
      </c>
      <c r="B257" s="244" t="str">
        <f t="shared" si="8"/>
        <v/>
      </c>
      <c r="C257" s="62" t="str">
        <f t="shared" si="9"/>
        <v/>
      </c>
      <c r="D257" s="246"/>
      <c r="E257" s="247"/>
      <c r="F257" s="247"/>
      <c r="G257" s="248"/>
      <c r="H257" s="241"/>
      <c r="I257" s="249"/>
      <c r="J257" s="250"/>
      <c r="K257" s="251"/>
      <c r="L257" s="252"/>
      <c r="M257" s="249"/>
      <c r="N257" s="250"/>
      <c r="O257" s="251"/>
      <c r="P257" s="252"/>
      <c r="Q257" s="249"/>
      <c r="R257" s="250"/>
      <c r="S257" s="251"/>
      <c r="T257" s="252"/>
      <c r="U257" s="249"/>
      <c r="V257" s="250"/>
      <c r="W257" s="251"/>
      <c r="X257" s="252"/>
      <c r="Y257" s="249"/>
      <c r="Z257" s="250"/>
      <c r="AA257" s="251"/>
      <c r="AB257" s="252"/>
      <c r="AC257" s="249"/>
      <c r="AD257" s="250"/>
      <c r="AE257" s="251"/>
      <c r="AF257" s="252"/>
      <c r="AG257" s="253"/>
      <c r="AH257" s="254"/>
      <c r="AI257" s="255"/>
      <c r="AJ257" s="256"/>
    </row>
    <row r="258" spans="1:36" s="106" customFormat="1" x14ac:dyDescent="0.25">
      <c r="A258" s="107" t="str">
        <f>IF(H258&lt;&gt;"",MAX($A$7:A257)+1,"")</f>
        <v/>
      </c>
      <c r="B258" s="244" t="str">
        <f t="shared" si="8"/>
        <v/>
      </c>
      <c r="C258" s="62" t="str">
        <f t="shared" si="9"/>
        <v/>
      </c>
      <c r="D258" s="246"/>
      <c r="E258" s="247"/>
      <c r="F258" s="247"/>
      <c r="G258" s="248"/>
      <c r="H258" s="241"/>
      <c r="I258" s="249"/>
      <c r="J258" s="250"/>
      <c r="K258" s="251"/>
      <c r="L258" s="252"/>
      <c r="M258" s="249"/>
      <c r="N258" s="250"/>
      <c r="O258" s="251"/>
      <c r="P258" s="252"/>
      <c r="Q258" s="249"/>
      <c r="R258" s="250"/>
      <c r="S258" s="251"/>
      <c r="T258" s="252"/>
      <c r="U258" s="249"/>
      <c r="V258" s="250"/>
      <c r="W258" s="251"/>
      <c r="X258" s="252"/>
      <c r="Y258" s="249"/>
      <c r="Z258" s="250"/>
      <c r="AA258" s="251"/>
      <c r="AB258" s="252"/>
      <c r="AC258" s="249"/>
      <c r="AD258" s="250"/>
      <c r="AE258" s="251"/>
      <c r="AF258" s="252"/>
      <c r="AG258" s="253"/>
      <c r="AH258" s="254"/>
      <c r="AI258" s="255"/>
      <c r="AJ258" s="256"/>
    </row>
    <row r="259" spans="1:36" s="106" customFormat="1" x14ac:dyDescent="0.25">
      <c r="A259" s="107" t="str">
        <f>IF(H259&lt;&gt;"",MAX($A$7:A258)+1,"")</f>
        <v/>
      </c>
      <c r="B259" s="244" t="str">
        <f t="shared" si="8"/>
        <v/>
      </c>
      <c r="C259" s="62" t="str">
        <f t="shared" si="9"/>
        <v/>
      </c>
      <c r="D259" s="246"/>
      <c r="E259" s="247"/>
      <c r="F259" s="247"/>
      <c r="G259" s="248"/>
      <c r="H259" s="241"/>
      <c r="I259" s="249"/>
      <c r="J259" s="250"/>
      <c r="K259" s="251"/>
      <c r="L259" s="252"/>
      <c r="M259" s="249"/>
      <c r="N259" s="250"/>
      <c r="O259" s="251"/>
      <c r="P259" s="252"/>
      <c r="Q259" s="249"/>
      <c r="R259" s="250"/>
      <c r="S259" s="251"/>
      <c r="T259" s="252"/>
      <c r="U259" s="249"/>
      <c r="V259" s="250"/>
      <c r="W259" s="251"/>
      <c r="X259" s="252"/>
      <c r="Y259" s="249"/>
      <c r="Z259" s="250"/>
      <c r="AA259" s="251"/>
      <c r="AB259" s="252"/>
      <c r="AC259" s="249"/>
      <c r="AD259" s="250"/>
      <c r="AE259" s="251"/>
      <c r="AF259" s="252"/>
      <c r="AG259" s="253"/>
      <c r="AH259" s="254"/>
      <c r="AI259" s="255"/>
      <c r="AJ259" s="256"/>
    </row>
    <row r="260" spans="1:36" s="106" customFormat="1" x14ac:dyDescent="0.25">
      <c r="A260" s="107" t="str">
        <f>IF(H260&lt;&gt;"",MAX($A$7:A259)+1,"")</f>
        <v/>
      </c>
      <c r="B260" s="244" t="str">
        <f t="shared" si="8"/>
        <v/>
      </c>
      <c r="C260" s="62" t="str">
        <f t="shared" si="9"/>
        <v/>
      </c>
      <c r="D260" s="246"/>
      <c r="E260" s="247"/>
      <c r="F260" s="247"/>
      <c r="G260" s="248"/>
      <c r="H260" s="241"/>
      <c r="I260" s="249"/>
      <c r="J260" s="250"/>
      <c r="K260" s="251"/>
      <c r="L260" s="252"/>
      <c r="M260" s="249"/>
      <c r="N260" s="250"/>
      <c r="O260" s="251"/>
      <c r="P260" s="252"/>
      <c r="Q260" s="249"/>
      <c r="R260" s="250"/>
      <c r="S260" s="251"/>
      <c r="T260" s="252"/>
      <c r="U260" s="249"/>
      <c r="V260" s="250"/>
      <c r="W260" s="251"/>
      <c r="X260" s="252"/>
      <c r="Y260" s="249"/>
      <c r="Z260" s="250"/>
      <c r="AA260" s="251"/>
      <c r="AB260" s="252"/>
      <c r="AC260" s="249"/>
      <c r="AD260" s="250"/>
      <c r="AE260" s="251"/>
      <c r="AF260" s="252"/>
      <c r="AG260" s="253"/>
      <c r="AH260" s="254"/>
      <c r="AI260" s="255"/>
      <c r="AJ260" s="256"/>
    </row>
    <row r="261" spans="1:36" s="106" customFormat="1" x14ac:dyDescent="0.25">
      <c r="A261" s="107" t="str">
        <f>IF(H261&lt;&gt;"",MAX($A$7:A260)+1,"")</f>
        <v/>
      </c>
      <c r="B261" s="244" t="str">
        <f t="shared" si="8"/>
        <v/>
      </c>
      <c r="C261" s="62" t="str">
        <f t="shared" si="9"/>
        <v/>
      </c>
      <c r="D261" s="246"/>
      <c r="E261" s="247"/>
      <c r="F261" s="247"/>
      <c r="G261" s="248"/>
      <c r="H261" s="241"/>
      <c r="I261" s="249"/>
      <c r="J261" s="250"/>
      <c r="K261" s="251"/>
      <c r="L261" s="252"/>
      <c r="M261" s="249"/>
      <c r="N261" s="250"/>
      <c r="O261" s="251"/>
      <c r="P261" s="252"/>
      <c r="Q261" s="249"/>
      <c r="R261" s="250"/>
      <c r="S261" s="251"/>
      <c r="T261" s="252"/>
      <c r="U261" s="249"/>
      <c r="V261" s="250"/>
      <c r="W261" s="251"/>
      <c r="X261" s="252"/>
      <c r="Y261" s="249"/>
      <c r="Z261" s="250"/>
      <c r="AA261" s="251"/>
      <c r="AB261" s="252"/>
      <c r="AC261" s="249"/>
      <c r="AD261" s="250"/>
      <c r="AE261" s="251"/>
      <c r="AF261" s="252"/>
      <c r="AG261" s="253"/>
      <c r="AH261" s="254"/>
      <c r="AI261" s="255"/>
      <c r="AJ261" s="256"/>
    </row>
    <row r="262" spans="1:36" s="106" customFormat="1" x14ac:dyDescent="0.25">
      <c r="A262" s="107" t="str">
        <f>IF(H262&lt;&gt;"",MAX($A$7:A261)+1,"")</f>
        <v/>
      </c>
      <c r="B262" s="244" t="str">
        <f t="shared" si="8"/>
        <v/>
      </c>
      <c r="C262" s="62" t="str">
        <f t="shared" si="9"/>
        <v/>
      </c>
      <c r="D262" s="246"/>
      <c r="E262" s="247"/>
      <c r="F262" s="247"/>
      <c r="G262" s="248"/>
      <c r="H262" s="241"/>
      <c r="I262" s="249"/>
      <c r="J262" s="250"/>
      <c r="K262" s="251"/>
      <c r="L262" s="252"/>
      <c r="M262" s="249"/>
      <c r="N262" s="250"/>
      <c r="O262" s="251"/>
      <c r="P262" s="252"/>
      <c r="Q262" s="249"/>
      <c r="R262" s="250"/>
      <c r="S262" s="251"/>
      <c r="T262" s="252"/>
      <c r="U262" s="249"/>
      <c r="V262" s="250"/>
      <c r="W262" s="251"/>
      <c r="X262" s="252"/>
      <c r="Y262" s="249"/>
      <c r="Z262" s="250"/>
      <c r="AA262" s="251"/>
      <c r="AB262" s="252"/>
      <c r="AC262" s="249"/>
      <c r="AD262" s="250"/>
      <c r="AE262" s="251"/>
      <c r="AF262" s="252"/>
      <c r="AG262" s="253"/>
      <c r="AH262" s="254"/>
      <c r="AI262" s="255"/>
      <c r="AJ262" s="256"/>
    </row>
    <row r="263" spans="1:36" s="106" customFormat="1" x14ac:dyDescent="0.25">
      <c r="A263" s="107" t="str">
        <f>IF(H263&lt;&gt;"",MAX($A$7:A262)+1,"")</f>
        <v/>
      </c>
      <c r="B263" s="244" t="str">
        <f t="shared" ref="B263:B326" si="10">IF(A263="","",PREF_PREGUNTA&amp;" - "&amp;IF(MAX($A$7:$A$156)&gt;99,IF(A263&lt;100,"0",""),"")&amp;IF(A263&lt;10,"0","")&amp;A263&amp;IF(G263&lt;&gt;""," "&amp;G263,""))</f>
        <v/>
      </c>
      <c r="C263" s="62" t="str">
        <f t="shared" ref="C263:C326" si="11">IF(COUNTA(I263:N263)-D263=0,"",COUNTA(I263:N263)-D263)</f>
        <v/>
      </c>
      <c r="D263" s="246"/>
      <c r="E263" s="247"/>
      <c r="F263" s="247"/>
      <c r="G263" s="248"/>
      <c r="H263" s="241"/>
      <c r="I263" s="249"/>
      <c r="J263" s="250"/>
      <c r="K263" s="251"/>
      <c r="L263" s="252"/>
      <c r="M263" s="249"/>
      <c r="N263" s="250"/>
      <c r="O263" s="251"/>
      <c r="P263" s="252"/>
      <c r="Q263" s="249"/>
      <c r="R263" s="250"/>
      <c r="S263" s="251"/>
      <c r="T263" s="252"/>
      <c r="U263" s="249"/>
      <c r="V263" s="250"/>
      <c r="W263" s="251"/>
      <c r="X263" s="252"/>
      <c r="Y263" s="249"/>
      <c r="Z263" s="250"/>
      <c r="AA263" s="251"/>
      <c r="AB263" s="252"/>
      <c r="AC263" s="249"/>
      <c r="AD263" s="250"/>
      <c r="AE263" s="251"/>
      <c r="AF263" s="252"/>
      <c r="AG263" s="253"/>
      <c r="AH263" s="254"/>
      <c r="AI263" s="255"/>
      <c r="AJ263" s="256"/>
    </row>
    <row r="264" spans="1:36" s="106" customFormat="1" x14ac:dyDescent="0.25">
      <c r="A264" s="107" t="str">
        <f>IF(H264&lt;&gt;"",MAX($A$7:A263)+1,"")</f>
        <v/>
      </c>
      <c r="B264" s="244" t="str">
        <f t="shared" si="10"/>
        <v/>
      </c>
      <c r="C264" s="62" t="str">
        <f t="shared" si="11"/>
        <v/>
      </c>
      <c r="D264" s="246"/>
      <c r="E264" s="247"/>
      <c r="F264" s="247"/>
      <c r="G264" s="248"/>
      <c r="H264" s="241"/>
      <c r="I264" s="249"/>
      <c r="J264" s="250"/>
      <c r="K264" s="251"/>
      <c r="L264" s="252"/>
      <c r="M264" s="249"/>
      <c r="N264" s="250"/>
      <c r="O264" s="251"/>
      <c r="P264" s="252"/>
      <c r="Q264" s="249"/>
      <c r="R264" s="250"/>
      <c r="S264" s="251"/>
      <c r="T264" s="252"/>
      <c r="U264" s="249"/>
      <c r="V264" s="250"/>
      <c r="W264" s="251"/>
      <c r="X264" s="252"/>
      <c r="Y264" s="249"/>
      <c r="Z264" s="250"/>
      <c r="AA264" s="251"/>
      <c r="AB264" s="252"/>
      <c r="AC264" s="249"/>
      <c r="AD264" s="250"/>
      <c r="AE264" s="251"/>
      <c r="AF264" s="252"/>
      <c r="AG264" s="253"/>
      <c r="AH264" s="254"/>
      <c r="AI264" s="255"/>
      <c r="AJ264" s="256"/>
    </row>
    <row r="265" spans="1:36" s="106" customFormat="1" x14ac:dyDescent="0.25">
      <c r="A265" s="107" t="str">
        <f>IF(H265&lt;&gt;"",MAX($A$7:A264)+1,"")</f>
        <v/>
      </c>
      <c r="B265" s="244" t="str">
        <f t="shared" si="10"/>
        <v/>
      </c>
      <c r="C265" s="62" t="str">
        <f t="shared" si="11"/>
        <v/>
      </c>
      <c r="D265" s="246"/>
      <c r="E265" s="247"/>
      <c r="F265" s="247"/>
      <c r="G265" s="248"/>
      <c r="H265" s="241"/>
      <c r="I265" s="249"/>
      <c r="J265" s="250"/>
      <c r="K265" s="251"/>
      <c r="L265" s="252"/>
      <c r="M265" s="249"/>
      <c r="N265" s="250"/>
      <c r="O265" s="251"/>
      <c r="P265" s="252"/>
      <c r="Q265" s="249"/>
      <c r="R265" s="250"/>
      <c r="S265" s="251"/>
      <c r="T265" s="252"/>
      <c r="U265" s="249"/>
      <c r="V265" s="250"/>
      <c r="W265" s="251"/>
      <c r="X265" s="252"/>
      <c r="Y265" s="249"/>
      <c r="Z265" s="250"/>
      <c r="AA265" s="251"/>
      <c r="AB265" s="252"/>
      <c r="AC265" s="249"/>
      <c r="AD265" s="250"/>
      <c r="AE265" s="251"/>
      <c r="AF265" s="252"/>
      <c r="AG265" s="253"/>
      <c r="AH265" s="254"/>
      <c r="AI265" s="255"/>
      <c r="AJ265" s="256"/>
    </row>
    <row r="266" spans="1:36" s="106" customFormat="1" x14ac:dyDescent="0.25">
      <c r="A266" s="107" t="str">
        <f>IF(H266&lt;&gt;"",MAX($A$7:A265)+1,"")</f>
        <v/>
      </c>
      <c r="B266" s="244" t="str">
        <f t="shared" si="10"/>
        <v/>
      </c>
      <c r="C266" s="62" t="str">
        <f t="shared" si="11"/>
        <v/>
      </c>
      <c r="D266" s="246"/>
      <c r="E266" s="247"/>
      <c r="F266" s="247"/>
      <c r="G266" s="248"/>
      <c r="H266" s="241"/>
      <c r="I266" s="249"/>
      <c r="J266" s="250"/>
      <c r="K266" s="251"/>
      <c r="L266" s="252"/>
      <c r="M266" s="249"/>
      <c r="N266" s="250"/>
      <c r="O266" s="251"/>
      <c r="P266" s="252"/>
      <c r="Q266" s="249"/>
      <c r="R266" s="250"/>
      <c r="S266" s="251"/>
      <c r="T266" s="252"/>
      <c r="U266" s="249"/>
      <c r="V266" s="250"/>
      <c r="W266" s="251"/>
      <c r="X266" s="252"/>
      <c r="Y266" s="249"/>
      <c r="Z266" s="250"/>
      <c r="AA266" s="251"/>
      <c r="AB266" s="252"/>
      <c r="AC266" s="249"/>
      <c r="AD266" s="250"/>
      <c r="AE266" s="251"/>
      <c r="AF266" s="252"/>
      <c r="AG266" s="253"/>
      <c r="AH266" s="254"/>
      <c r="AI266" s="255"/>
      <c r="AJ266" s="256"/>
    </row>
    <row r="267" spans="1:36" s="106" customFormat="1" x14ac:dyDescent="0.25">
      <c r="A267" s="107" t="str">
        <f>IF(H267&lt;&gt;"",MAX($A$7:A266)+1,"")</f>
        <v/>
      </c>
      <c r="B267" s="244" t="str">
        <f t="shared" si="10"/>
        <v/>
      </c>
      <c r="C267" s="62" t="str">
        <f t="shared" si="11"/>
        <v/>
      </c>
      <c r="D267" s="246"/>
      <c r="E267" s="247"/>
      <c r="F267" s="247"/>
      <c r="G267" s="248"/>
      <c r="H267" s="241"/>
      <c r="I267" s="249"/>
      <c r="J267" s="250"/>
      <c r="K267" s="251"/>
      <c r="L267" s="252"/>
      <c r="M267" s="249"/>
      <c r="N267" s="250"/>
      <c r="O267" s="251"/>
      <c r="P267" s="252"/>
      <c r="Q267" s="249"/>
      <c r="R267" s="250"/>
      <c r="S267" s="251"/>
      <c r="T267" s="252"/>
      <c r="U267" s="249"/>
      <c r="V267" s="250"/>
      <c r="W267" s="251"/>
      <c r="X267" s="252"/>
      <c r="Y267" s="249"/>
      <c r="Z267" s="250"/>
      <c r="AA267" s="251"/>
      <c r="AB267" s="252"/>
      <c r="AC267" s="249"/>
      <c r="AD267" s="250"/>
      <c r="AE267" s="251"/>
      <c r="AF267" s="252"/>
      <c r="AG267" s="253"/>
      <c r="AH267" s="254"/>
      <c r="AI267" s="255"/>
      <c r="AJ267" s="256"/>
    </row>
    <row r="268" spans="1:36" s="106" customFormat="1" x14ac:dyDescent="0.25">
      <c r="A268" s="107" t="str">
        <f>IF(H268&lt;&gt;"",MAX($A$7:A267)+1,"")</f>
        <v/>
      </c>
      <c r="B268" s="244" t="str">
        <f t="shared" si="10"/>
        <v/>
      </c>
      <c r="C268" s="62" t="str">
        <f t="shared" si="11"/>
        <v/>
      </c>
      <c r="D268" s="246"/>
      <c r="E268" s="247"/>
      <c r="F268" s="247"/>
      <c r="G268" s="248"/>
      <c r="H268" s="241"/>
      <c r="I268" s="249"/>
      <c r="J268" s="250"/>
      <c r="K268" s="251"/>
      <c r="L268" s="252"/>
      <c r="M268" s="249"/>
      <c r="N268" s="250"/>
      <c r="O268" s="251"/>
      <c r="P268" s="252"/>
      <c r="Q268" s="249"/>
      <c r="R268" s="250"/>
      <c r="S268" s="251"/>
      <c r="T268" s="252"/>
      <c r="U268" s="249"/>
      <c r="V268" s="250"/>
      <c r="W268" s="251"/>
      <c r="X268" s="252"/>
      <c r="Y268" s="249"/>
      <c r="Z268" s="250"/>
      <c r="AA268" s="251"/>
      <c r="AB268" s="252"/>
      <c r="AC268" s="249"/>
      <c r="AD268" s="250"/>
      <c r="AE268" s="251"/>
      <c r="AF268" s="252"/>
      <c r="AG268" s="253"/>
      <c r="AH268" s="254"/>
      <c r="AI268" s="255"/>
      <c r="AJ268" s="256"/>
    </row>
    <row r="269" spans="1:36" s="106" customFormat="1" x14ac:dyDescent="0.25">
      <c r="A269" s="107" t="str">
        <f>IF(H269&lt;&gt;"",MAX($A$7:A268)+1,"")</f>
        <v/>
      </c>
      <c r="B269" s="244" t="str">
        <f t="shared" si="10"/>
        <v/>
      </c>
      <c r="C269" s="62" t="str">
        <f t="shared" si="11"/>
        <v/>
      </c>
      <c r="D269" s="246"/>
      <c r="E269" s="247"/>
      <c r="F269" s="247"/>
      <c r="G269" s="248"/>
      <c r="H269" s="241"/>
      <c r="I269" s="249"/>
      <c r="J269" s="250"/>
      <c r="K269" s="251"/>
      <c r="L269" s="252"/>
      <c r="M269" s="249"/>
      <c r="N269" s="250"/>
      <c r="O269" s="251"/>
      <c r="P269" s="252"/>
      <c r="Q269" s="249"/>
      <c r="R269" s="250"/>
      <c r="S269" s="251"/>
      <c r="T269" s="252"/>
      <c r="U269" s="249"/>
      <c r="V269" s="250"/>
      <c r="W269" s="251"/>
      <c r="X269" s="252"/>
      <c r="Y269" s="249"/>
      <c r="Z269" s="250"/>
      <c r="AA269" s="251"/>
      <c r="AB269" s="252"/>
      <c r="AC269" s="249"/>
      <c r="AD269" s="250"/>
      <c r="AE269" s="251"/>
      <c r="AF269" s="252"/>
      <c r="AG269" s="253"/>
      <c r="AH269" s="254"/>
      <c r="AI269" s="255"/>
      <c r="AJ269" s="256"/>
    </row>
    <row r="270" spans="1:36" s="106" customFormat="1" x14ac:dyDescent="0.25">
      <c r="A270" s="107" t="str">
        <f>IF(H270&lt;&gt;"",MAX($A$7:A269)+1,"")</f>
        <v/>
      </c>
      <c r="B270" s="244" t="str">
        <f t="shared" si="10"/>
        <v/>
      </c>
      <c r="C270" s="62" t="str">
        <f t="shared" si="11"/>
        <v/>
      </c>
      <c r="D270" s="246"/>
      <c r="E270" s="247"/>
      <c r="F270" s="247"/>
      <c r="G270" s="248"/>
      <c r="H270" s="241"/>
      <c r="I270" s="249"/>
      <c r="J270" s="250"/>
      <c r="K270" s="251"/>
      <c r="L270" s="252"/>
      <c r="M270" s="249"/>
      <c r="N270" s="250"/>
      <c r="O270" s="251"/>
      <c r="P270" s="252"/>
      <c r="Q270" s="249"/>
      <c r="R270" s="250"/>
      <c r="S270" s="251"/>
      <c r="T270" s="252"/>
      <c r="U270" s="249"/>
      <c r="V270" s="250"/>
      <c r="W270" s="251"/>
      <c r="X270" s="252"/>
      <c r="Y270" s="249"/>
      <c r="Z270" s="250"/>
      <c r="AA270" s="251"/>
      <c r="AB270" s="252"/>
      <c r="AC270" s="249"/>
      <c r="AD270" s="250"/>
      <c r="AE270" s="251"/>
      <c r="AF270" s="252"/>
      <c r="AG270" s="253"/>
      <c r="AH270" s="254"/>
      <c r="AI270" s="255"/>
      <c r="AJ270" s="256"/>
    </row>
    <row r="271" spans="1:36" s="106" customFormat="1" x14ac:dyDescent="0.25">
      <c r="A271" s="107" t="str">
        <f>IF(H271&lt;&gt;"",MAX($A$7:A270)+1,"")</f>
        <v/>
      </c>
      <c r="B271" s="244" t="str">
        <f t="shared" si="10"/>
        <v/>
      </c>
      <c r="C271" s="62" t="str">
        <f t="shared" si="11"/>
        <v/>
      </c>
      <c r="D271" s="246"/>
      <c r="E271" s="247"/>
      <c r="F271" s="247"/>
      <c r="G271" s="248"/>
      <c r="H271" s="241"/>
      <c r="I271" s="249"/>
      <c r="J271" s="250"/>
      <c r="K271" s="251"/>
      <c r="L271" s="252"/>
      <c r="M271" s="249"/>
      <c r="N271" s="250"/>
      <c r="O271" s="251"/>
      <c r="P271" s="252"/>
      <c r="Q271" s="249"/>
      <c r="R271" s="250"/>
      <c r="S271" s="251"/>
      <c r="T271" s="252"/>
      <c r="U271" s="249"/>
      <c r="V271" s="250"/>
      <c r="W271" s="251"/>
      <c r="X271" s="252"/>
      <c r="Y271" s="249"/>
      <c r="Z271" s="250"/>
      <c r="AA271" s="251"/>
      <c r="AB271" s="252"/>
      <c r="AC271" s="249"/>
      <c r="AD271" s="250"/>
      <c r="AE271" s="251"/>
      <c r="AF271" s="252"/>
      <c r="AG271" s="253"/>
      <c r="AH271" s="254"/>
      <c r="AI271" s="255"/>
      <c r="AJ271" s="256"/>
    </row>
    <row r="272" spans="1:36" s="106" customFormat="1" x14ac:dyDescent="0.25">
      <c r="A272" s="107" t="str">
        <f>IF(H272&lt;&gt;"",MAX($A$7:A271)+1,"")</f>
        <v/>
      </c>
      <c r="B272" s="244" t="str">
        <f t="shared" si="10"/>
        <v/>
      </c>
      <c r="C272" s="62" t="str">
        <f t="shared" si="11"/>
        <v/>
      </c>
      <c r="D272" s="246"/>
      <c r="E272" s="247"/>
      <c r="F272" s="247"/>
      <c r="G272" s="248"/>
      <c r="H272" s="241"/>
      <c r="I272" s="249"/>
      <c r="J272" s="250"/>
      <c r="K272" s="251"/>
      <c r="L272" s="252"/>
      <c r="M272" s="249"/>
      <c r="N272" s="250"/>
      <c r="O272" s="251"/>
      <c r="P272" s="252"/>
      <c r="Q272" s="249"/>
      <c r="R272" s="250"/>
      <c r="S272" s="251"/>
      <c r="T272" s="252"/>
      <c r="U272" s="249"/>
      <c r="V272" s="250"/>
      <c r="W272" s="251"/>
      <c r="X272" s="252"/>
      <c r="Y272" s="249"/>
      <c r="Z272" s="250"/>
      <c r="AA272" s="251"/>
      <c r="AB272" s="252"/>
      <c r="AC272" s="249"/>
      <c r="AD272" s="250"/>
      <c r="AE272" s="251"/>
      <c r="AF272" s="252"/>
      <c r="AG272" s="253"/>
      <c r="AH272" s="254"/>
      <c r="AI272" s="255"/>
      <c r="AJ272" s="256"/>
    </row>
    <row r="273" spans="1:36" s="106" customFormat="1" x14ac:dyDescent="0.25">
      <c r="A273" s="107" t="str">
        <f>IF(H273&lt;&gt;"",MAX($A$7:A272)+1,"")</f>
        <v/>
      </c>
      <c r="B273" s="244" t="str">
        <f t="shared" si="10"/>
        <v/>
      </c>
      <c r="C273" s="62" t="str">
        <f t="shared" si="11"/>
        <v/>
      </c>
      <c r="D273" s="246"/>
      <c r="E273" s="247"/>
      <c r="F273" s="247"/>
      <c r="G273" s="248"/>
      <c r="H273" s="241"/>
      <c r="I273" s="249"/>
      <c r="J273" s="250"/>
      <c r="K273" s="251"/>
      <c r="L273" s="252"/>
      <c r="M273" s="249"/>
      <c r="N273" s="250"/>
      <c r="O273" s="251"/>
      <c r="P273" s="252"/>
      <c r="Q273" s="249"/>
      <c r="R273" s="250"/>
      <c r="S273" s="251"/>
      <c r="T273" s="252"/>
      <c r="U273" s="249"/>
      <c r="V273" s="250"/>
      <c r="W273" s="251"/>
      <c r="X273" s="252"/>
      <c r="Y273" s="249"/>
      <c r="Z273" s="250"/>
      <c r="AA273" s="251"/>
      <c r="AB273" s="252"/>
      <c r="AC273" s="249"/>
      <c r="AD273" s="250"/>
      <c r="AE273" s="251"/>
      <c r="AF273" s="252"/>
      <c r="AG273" s="253"/>
      <c r="AH273" s="254"/>
      <c r="AI273" s="255"/>
      <c r="AJ273" s="256"/>
    </row>
    <row r="274" spans="1:36" s="106" customFormat="1" x14ac:dyDescent="0.25">
      <c r="A274" s="107" t="str">
        <f>IF(H274&lt;&gt;"",MAX($A$7:A273)+1,"")</f>
        <v/>
      </c>
      <c r="B274" s="244" t="str">
        <f t="shared" si="10"/>
        <v/>
      </c>
      <c r="C274" s="62" t="str">
        <f t="shared" si="11"/>
        <v/>
      </c>
      <c r="D274" s="246"/>
      <c r="E274" s="247"/>
      <c r="F274" s="247"/>
      <c r="G274" s="248"/>
      <c r="H274" s="241"/>
      <c r="I274" s="249"/>
      <c r="J274" s="250"/>
      <c r="K274" s="251"/>
      <c r="L274" s="252"/>
      <c r="M274" s="249"/>
      <c r="N274" s="250"/>
      <c r="O274" s="251"/>
      <c r="P274" s="252"/>
      <c r="Q274" s="249"/>
      <c r="R274" s="250"/>
      <c r="S274" s="251"/>
      <c r="T274" s="252"/>
      <c r="U274" s="249"/>
      <c r="V274" s="250"/>
      <c r="W274" s="251"/>
      <c r="X274" s="252"/>
      <c r="Y274" s="249"/>
      <c r="Z274" s="250"/>
      <c r="AA274" s="251"/>
      <c r="AB274" s="252"/>
      <c r="AC274" s="249"/>
      <c r="AD274" s="250"/>
      <c r="AE274" s="251"/>
      <c r="AF274" s="252"/>
      <c r="AG274" s="253"/>
      <c r="AH274" s="254"/>
      <c r="AI274" s="255"/>
      <c r="AJ274" s="256"/>
    </row>
    <row r="275" spans="1:36" s="106" customFormat="1" x14ac:dyDescent="0.25">
      <c r="A275" s="107" t="str">
        <f>IF(H275&lt;&gt;"",MAX($A$7:A274)+1,"")</f>
        <v/>
      </c>
      <c r="B275" s="244" t="str">
        <f t="shared" si="10"/>
        <v/>
      </c>
      <c r="C275" s="62" t="str">
        <f t="shared" si="11"/>
        <v/>
      </c>
      <c r="D275" s="246"/>
      <c r="E275" s="247"/>
      <c r="F275" s="247"/>
      <c r="G275" s="248"/>
      <c r="H275" s="241"/>
      <c r="I275" s="249"/>
      <c r="J275" s="250"/>
      <c r="K275" s="251"/>
      <c r="L275" s="252"/>
      <c r="M275" s="249"/>
      <c r="N275" s="250"/>
      <c r="O275" s="251"/>
      <c r="P275" s="252"/>
      <c r="Q275" s="249"/>
      <c r="R275" s="250"/>
      <c r="S275" s="251"/>
      <c r="T275" s="252"/>
      <c r="U275" s="249"/>
      <c r="V275" s="250"/>
      <c r="W275" s="251"/>
      <c r="X275" s="252"/>
      <c r="Y275" s="249"/>
      <c r="Z275" s="250"/>
      <c r="AA275" s="251"/>
      <c r="AB275" s="252"/>
      <c r="AC275" s="249"/>
      <c r="AD275" s="250"/>
      <c r="AE275" s="251"/>
      <c r="AF275" s="252"/>
      <c r="AG275" s="253"/>
      <c r="AH275" s="254"/>
      <c r="AI275" s="255"/>
      <c r="AJ275" s="256"/>
    </row>
    <row r="276" spans="1:36" s="106" customFormat="1" x14ac:dyDescent="0.25">
      <c r="A276" s="107" t="str">
        <f>IF(H276&lt;&gt;"",MAX($A$7:A275)+1,"")</f>
        <v/>
      </c>
      <c r="B276" s="244" t="str">
        <f t="shared" si="10"/>
        <v/>
      </c>
      <c r="C276" s="62" t="str">
        <f t="shared" si="11"/>
        <v/>
      </c>
      <c r="D276" s="246"/>
      <c r="E276" s="247"/>
      <c r="F276" s="247"/>
      <c r="G276" s="248"/>
      <c r="H276" s="241"/>
      <c r="I276" s="249"/>
      <c r="J276" s="250"/>
      <c r="K276" s="251"/>
      <c r="L276" s="252"/>
      <c r="M276" s="249"/>
      <c r="N276" s="250"/>
      <c r="O276" s="251"/>
      <c r="P276" s="252"/>
      <c r="Q276" s="249"/>
      <c r="R276" s="250"/>
      <c r="S276" s="251"/>
      <c r="T276" s="252"/>
      <c r="U276" s="249"/>
      <c r="V276" s="250"/>
      <c r="W276" s="251"/>
      <c r="X276" s="252"/>
      <c r="Y276" s="249"/>
      <c r="Z276" s="250"/>
      <c r="AA276" s="251"/>
      <c r="AB276" s="252"/>
      <c r="AC276" s="249"/>
      <c r="AD276" s="250"/>
      <c r="AE276" s="251"/>
      <c r="AF276" s="252"/>
      <c r="AG276" s="253"/>
      <c r="AH276" s="254"/>
      <c r="AI276" s="255"/>
      <c r="AJ276" s="256"/>
    </row>
    <row r="277" spans="1:36" s="106" customFormat="1" x14ac:dyDescent="0.25">
      <c r="A277" s="107" t="str">
        <f>IF(H277&lt;&gt;"",MAX($A$7:A276)+1,"")</f>
        <v/>
      </c>
      <c r="B277" s="244" t="str">
        <f t="shared" si="10"/>
        <v/>
      </c>
      <c r="C277" s="62" t="str">
        <f t="shared" si="11"/>
        <v/>
      </c>
      <c r="D277" s="246"/>
      <c r="E277" s="247"/>
      <c r="F277" s="247"/>
      <c r="G277" s="248"/>
      <c r="H277" s="241"/>
      <c r="I277" s="249"/>
      <c r="J277" s="250"/>
      <c r="K277" s="251"/>
      <c r="L277" s="252"/>
      <c r="M277" s="249"/>
      <c r="N277" s="250"/>
      <c r="O277" s="251"/>
      <c r="P277" s="252"/>
      <c r="Q277" s="249"/>
      <c r="R277" s="250"/>
      <c r="S277" s="251"/>
      <c r="T277" s="252"/>
      <c r="U277" s="249"/>
      <c r="V277" s="250"/>
      <c r="W277" s="251"/>
      <c r="X277" s="252"/>
      <c r="Y277" s="249"/>
      <c r="Z277" s="250"/>
      <c r="AA277" s="251"/>
      <c r="AB277" s="252"/>
      <c r="AC277" s="249"/>
      <c r="AD277" s="250"/>
      <c r="AE277" s="251"/>
      <c r="AF277" s="252"/>
      <c r="AG277" s="253"/>
      <c r="AH277" s="254"/>
      <c r="AI277" s="255"/>
      <c r="AJ277" s="256"/>
    </row>
    <row r="278" spans="1:36" s="106" customFormat="1" x14ac:dyDescent="0.25">
      <c r="A278" s="107" t="str">
        <f>IF(H278&lt;&gt;"",MAX($A$7:A277)+1,"")</f>
        <v/>
      </c>
      <c r="B278" s="244" t="str">
        <f t="shared" si="10"/>
        <v/>
      </c>
      <c r="C278" s="62" t="str">
        <f t="shared" si="11"/>
        <v/>
      </c>
      <c r="D278" s="246"/>
      <c r="E278" s="247"/>
      <c r="F278" s="247"/>
      <c r="G278" s="248"/>
      <c r="H278" s="241"/>
      <c r="I278" s="249"/>
      <c r="J278" s="250"/>
      <c r="K278" s="251"/>
      <c r="L278" s="252"/>
      <c r="M278" s="249"/>
      <c r="N278" s="250"/>
      <c r="O278" s="251"/>
      <c r="P278" s="252"/>
      <c r="Q278" s="249"/>
      <c r="R278" s="250"/>
      <c r="S278" s="251"/>
      <c r="T278" s="252"/>
      <c r="U278" s="249"/>
      <c r="V278" s="250"/>
      <c r="W278" s="251"/>
      <c r="X278" s="252"/>
      <c r="Y278" s="249"/>
      <c r="Z278" s="250"/>
      <c r="AA278" s="251"/>
      <c r="AB278" s="252"/>
      <c r="AC278" s="249"/>
      <c r="AD278" s="250"/>
      <c r="AE278" s="251"/>
      <c r="AF278" s="252"/>
      <c r="AG278" s="253"/>
      <c r="AH278" s="254"/>
      <c r="AI278" s="255"/>
      <c r="AJ278" s="256"/>
    </row>
    <row r="279" spans="1:36" s="106" customFormat="1" x14ac:dyDescent="0.25">
      <c r="A279" s="107" t="str">
        <f>IF(H279&lt;&gt;"",MAX($A$7:A278)+1,"")</f>
        <v/>
      </c>
      <c r="B279" s="244" t="str">
        <f t="shared" si="10"/>
        <v/>
      </c>
      <c r="C279" s="62" t="str">
        <f t="shared" si="11"/>
        <v/>
      </c>
      <c r="D279" s="246"/>
      <c r="E279" s="247"/>
      <c r="F279" s="247"/>
      <c r="G279" s="248"/>
      <c r="H279" s="241"/>
      <c r="I279" s="249"/>
      <c r="J279" s="250"/>
      <c r="K279" s="251"/>
      <c r="L279" s="252"/>
      <c r="M279" s="249"/>
      <c r="N279" s="250"/>
      <c r="O279" s="251"/>
      <c r="P279" s="252"/>
      <c r="Q279" s="249"/>
      <c r="R279" s="250"/>
      <c r="S279" s="251"/>
      <c r="T279" s="252"/>
      <c r="U279" s="249"/>
      <c r="V279" s="250"/>
      <c r="W279" s="251"/>
      <c r="X279" s="252"/>
      <c r="Y279" s="249"/>
      <c r="Z279" s="250"/>
      <c r="AA279" s="251"/>
      <c r="AB279" s="252"/>
      <c r="AC279" s="249"/>
      <c r="AD279" s="250"/>
      <c r="AE279" s="251"/>
      <c r="AF279" s="252"/>
      <c r="AG279" s="253"/>
      <c r="AH279" s="254"/>
      <c r="AI279" s="255"/>
      <c r="AJ279" s="256"/>
    </row>
    <row r="280" spans="1:36" s="106" customFormat="1" x14ac:dyDescent="0.25">
      <c r="A280" s="107" t="str">
        <f>IF(H280&lt;&gt;"",MAX($A$7:A279)+1,"")</f>
        <v/>
      </c>
      <c r="B280" s="244" t="str">
        <f t="shared" si="10"/>
        <v/>
      </c>
      <c r="C280" s="62" t="str">
        <f t="shared" si="11"/>
        <v/>
      </c>
      <c r="D280" s="246"/>
      <c r="E280" s="247"/>
      <c r="F280" s="247"/>
      <c r="G280" s="248"/>
      <c r="H280" s="241"/>
      <c r="I280" s="249"/>
      <c r="J280" s="250"/>
      <c r="K280" s="251"/>
      <c r="L280" s="252"/>
      <c r="M280" s="249"/>
      <c r="N280" s="250"/>
      <c r="O280" s="251"/>
      <c r="P280" s="252"/>
      <c r="Q280" s="249"/>
      <c r="R280" s="250"/>
      <c r="S280" s="251"/>
      <c r="T280" s="252"/>
      <c r="U280" s="249"/>
      <c r="V280" s="250"/>
      <c r="W280" s="251"/>
      <c r="X280" s="252"/>
      <c r="Y280" s="249"/>
      <c r="Z280" s="250"/>
      <c r="AA280" s="251"/>
      <c r="AB280" s="252"/>
      <c r="AC280" s="249"/>
      <c r="AD280" s="250"/>
      <c r="AE280" s="251"/>
      <c r="AF280" s="252"/>
      <c r="AG280" s="253"/>
      <c r="AH280" s="254"/>
      <c r="AI280" s="255"/>
      <c r="AJ280" s="256"/>
    </row>
    <row r="281" spans="1:36" s="106" customFormat="1" x14ac:dyDescent="0.25">
      <c r="A281" s="107" t="str">
        <f>IF(H281&lt;&gt;"",MAX($A$7:A280)+1,"")</f>
        <v/>
      </c>
      <c r="B281" s="244" t="str">
        <f t="shared" si="10"/>
        <v/>
      </c>
      <c r="C281" s="62" t="str">
        <f t="shared" si="11"/>
        <v/>
      </c>
      <c r="D281" s="246"/>
      <c r="E281" s="247"/>
      <c r="F281" s="247"/>
      <c r="G281" s="248"/>
      <c r="H281" s="241"/>
      <c r="I281" s="249"/>
      <c r="J281" s="250"/>
      <c r="K281" s="251"/>
      <c r="L281" s="252"/>
      <c r="M281" s="249"/>
      <c r="N281" s="250"/>
      <c r="O281" s="251"/>
      <c r="P281" s="252"/>
      <c r="Q281" s="249"/>
      <c r="R281" s="250"/>
      <c r="S281" s="251"/>
      <c r="T281" s="252"/>
      <c r="U281" s="249"/>
      <c r="V281" s="250"/>
      <c r="W281" s="251"/>
      <c r="X281" s="252"/>
      <c r="Y281" s="249"/>
      <c r="Z281" s="250"/>
      <c r="AA281" s="251"/>
      <c r="AB281" s="252"/>
      <c r="AC281" s="249"/>
      <c r="AD281" s="250"/>
      <c r="AE281" s="251"/>
      <c r="AF281" s="252"/>
      <c r="AG281" s="253"/>
      <c r="AH281" s="254"/>
      <c r="AI281" s="255"/>
      <c r="AJ281" s="256"/>
    </row>
    <row r="282" spans="1:36" s="106" customFormat="1" x14ac:dyDescent="0.25">
      <c r="A282" s="107" t="str">
        <f>IF(H282&lt;&gt;"",MAX($A$7:A281)+1,"")</f>
        <v/>
      </c>
      <c r="B282" s="244" t="str">
        <f t="shared" si="10"/>
        <v/>
      </c>
      <c r="C282" s="62" t="str">
        <f t="shared" si="11"/>
        <v/>
      </c>
      <c r="D282" s="246"/>
      <c r="E282" s="247"/>
      <c r="F282" s="247"/>
      <c r="G282" s="248"/>
      <c r="H282" s="241"/>
      <c r="I282" s="249"/>
      <c r="J282" s="250"/>
      <c r="K282" s="251"/>
      <c r="L282" s="252"/>
      <c r="M282" s="249"/>
      <c r="N282" s="250"/>
      <c r="O282" s="251"/>
      <c r="P282" s="252"/>
      <c r="Q282" s="249"/>
      <c r="R282" s="250"/>
      <c r="S282" s="251"/>
      <c r="T282" s="252"/>
      <c r="U282" s="249"/>
      <c r="V282" s="250"/>
      <c r="W282" s="251"/>
      <c r="X282" s="252"/>
      <c r="Y282" s="249"/>
      <c r="Z282" s="250"/>
      <c r="AA282" s="251"/>
      <c r="AB282" s="252"/>
      <c r="AC282" s="249"/>
      <c r="AD282" s="250"/>
      <c r="AE282" s="251"/>
      <c r="AF282" s="252"/>
      <c r="AG282" s="253"/>
      <c r="AH282" s="254"/>
      <c r="AI282" s="255"/>
      <c r="AJ282" s="256"/>
    </row>
    <row r="283" spans="1:36" s="106" customFormat="1" x14ac:dyDescent="0.25">
      <c r="A283" s="107" t="str">
        <f>IF(H283&lt;&gt;"",MAX($A$7:A282)+1,"")</f>
        <v/>
      </c>
      <c r="B283" s="244" t="str">
        <f t="shared" si="10"/>
        <v/>
      </c>
      <c r="C283" s="62" t="str">
        <f t="shared" si="11"/>
        <v/>
      </c>
      <c r="D283" s="246"/>
      <c r="E283" s="247"/>
      <c r="F283" s="247"/>
      <c r="G283" s="248"/>
      <c r="H283" s="241"/>
      <c r="I283" s="249"/>
      <c r="J283" s="250"/>
      <c r="K283" s="251"/>
      <c r="L283" s="252"/>
      <c r="M283" s="249"/>
      <c r="N283" s="250"/>
      <c r="O283" s="251"/>
      <c r="P283" s="252"/>
      <c r="Q283" s="249"/>
      <c r="R283" s="250"/>
      <c r="S283" s="251"/>
      <c r="T283" s="252"/>
      <c r="U283" s="249"/>
      <c r="V283" s="250"/>
      <c r="W283" s="251"/>
      <c r="X283" s="252"/>
      <c r="Y283" s="249"/>
      <c r="Z283" s="250"/>
      <c r="AA283" s="251"/>
      <c r="AB283" s="252"/>
      <c r="AC283" s="249"/>
      <c r="AD283" s="250"/>
      <c r="AE283" s="251"/>
      <c r="AF283" s="252"/>
      <c r="AG283" s="253"/>
      <c r="AH283" s="254"/>
      <c r="AI283" s="255"/>
      <c r="AJ283" s="256"/>
    </row>
    <row r="284" spans="1:36" s="106" customFormat="1" x14ac:dyDescent="0.25">
      <c r="A284" s="107" t="str">
        <f>IF(H284&lt;&gt;"",MAX($A$7:A283)+1,"")</f>
        <v/>
      </c>
      <c r="B284" s="244" t="str">
        <f t="shared" si="10"/>
        <v/>
      </c>
      <c r="C284" s="62" t="str">
        <f t="shared" si="11"/>
        <v/>
      </c>
      <c r="D284" s="246"/>
      <c r="E284" s="247"/>
      <c r="F284" s="247"/>
      <c r="G284" s="248"/>
      <c r="H284" s="241"/>
      <c r="I284" s="249"/>
      <c r="J284" s="250"/>
      <c r="K284" s="251"/>
      <c r="L284" s="252"/>
      <c r="M284" s="249"/>
      <c r="N284" s="250"/>
      <c r="O284" s="251"/>
      <c r="P284" s="252"/>
      <c r="Q284" s="249"/>
      <c r="R284" s="250"/>
      <c r="S284" s="251"/>
      <c r="T284" s="252"/>
      <c r="U284" s="249"/>
      <c r="V284" s="250"/>
      <c r="W284" s="251"/>
      <c r="X284" s="252"/>
      <c r="Y284" s="249"/>
      <c r="Z284" s="250"/>
      <c r="AA284" s="251"/>
      <c r="AB284" s="252"/>
      <c r="AC284" s="249"/>
      <c r="AD284" s="250"/>
      <c r="AE284" s="251"/>
      <c r="AF284" s="252"/>
      <c r="AG284" s="253"/>
      <c r="AH284" s="254"/>
      <c r="AI284" s="255"/>
      <c r="AJ284" s="256"/>
    </row>
    <row r="285" spans="1:36" s="106" customFormat="1" x14ac:dyDescent="0.25">
      <c r="A285" s="107" t="str">
        <f>IF(H285&lt;&gt;"",MAX($A$7:A284)+1,"")</f>
        <v/>
      </c>
      <c r="B285" s="244" t="str">
        <f t="shared" si="10"/>
        <v/>
      </c>
      <c r="C285" s="62" t="str">
        <f t="shared" si="11"/>
        <v/>
      </c>
      <c r="D285" s="246"/>
      <c r="E285" s="247"/>
      <c r="F285" s="247"/>
      <c r="G285" s="248"/>
      <c r="H285" s="241"/>
      <c r="I285" s="249"/>
      <c r="J285" s="250"/>
      <c r="K285" s="251"/>
      <c r="L285" s="252"/>
      <c r="M285" s="249"/>
      <c r="N285" s="250"/>
      <c r="O285" s="251"/>
      <c r="P285" s="252"/>
      <c r="Q285" s="249"/>
      <c r="R285" s="250"/>
      <c r="S285" s="251"/>
      <c r="T285" s="252"/>
      <c r="U285" s="249"/>
      <c r="V285" s="250"/>
      <c r="W285" s="251"/>
      <c r="X285" s="252"/>
      <c r="Y285" s="249"/>
      <c r="Z285" s="250"/>
      <c r="AA285" s="251"/>
      <c r="AB285" s="252"/>
      <c r="AC285" s="249"/>
      <c r="AD285" s="250"/>
      <c r="AE285" s="251"/>
      <c r="AF285" s="252"/>
      <c r="AG285" s="253"/>
      <c r="AH285" s="254"/>
      <c r="AI285" s="255"/>
      <c r="AJ285" s="256"/>
    </row>
    <row r="286" spans="1:36" s="106" customFormat="1" x14ac:dyDescent="0.25">
      <c r="A286" s="107" t="str">
        <f>IF(H286&lt;&gt;"",MAX($A$7:A285)+1,"")</f>
        <v/>
      </c>
      <c r="B286" s="244" t="str">
        <f t="shared" si="10"/>
        <v/>
      </c>
      <c r="C286" s="62" t="str">
        <f t="shared" si="11"/>
        <v/>
      </c>
      <c r="D286" s="246"/>
      <c r="E286" s="247"/>
      <c r="F286" s="247"/>
      <c r="G286" s="248"/>
      <c r="H286" s="241"/>
      <c r="I286" s="249"/>
      <c r="J286" s="250"/>
      <c r="K286" s="251"/>
      <c r="L286" s="252"/>
      <c r="M286" s="249"/>
      <c r="N286" s="250"/>
      <c r="O286" s="251"/>
      <c r="P286" s="252"/>
      <c r="Q286" s="249"/>
      <c r="R286" s="250"/>
      <c r="S286" s="251"/>
      <c r="T286" s="252"/>
      <c r="U286" s="249"/>
      <c r="V286" s="250"/>
      <c r="W286" s="251"/>
      <c r="X286" s="252"/>
      <c r="Y286" s="249"/>
      <c r="Z286" s="250"/>
      <c r="AA286" s="251"/>
      <c r="AB286" s="252"/>
      <c r="AC286" s="249"/>
      <c r="AD286" s="250"/>
      <c r="AE286" s="251"/>
      <c r="AF286" s="252"/>
      <c r="AG286" s="253"/>
      <c r="AH286" s="254"/>
      <c r="AI286" s="255"/>
      <c r="AJ286" s="256"/>
    </row>
    <row r="287" spans="1:36" s="106" customFormat="1" x14ac:dyDescent="0.25">
      <c r="A287" s="107" t="str">
        <f>IF(H287&lt;&gt;"",MAX($A$7:A286)+1,"")</f>
        <v/>
      </c>
      <c r="B287" s="244" t="str">
        <f t="shared" si="10"/>
        <v/>
      </c>
      <c r="C287" s="62" t="str">
        <f t="shared" si="11"/>
        <v/>
      </c>
      <c r="D287" s="246"/>
      <c r="E287" s="247"/>
      <c r="F287" s="247"/>
      <c r="G287" s="248"/>
      <c r="H287" s="241"/>
      <c r="I287" s="249"/>
      <c r="J287" s="250"/>
      <c r="K287" s="251"/>
      <c r="L287" s="252"/>
      <c r="M287" s="249"/>
      <c r="N287" s="250"/>
      <c r="O287" s="251"/>
      <c r="P287" s="252"/>
      <c r="Q287" s="249"/>
      <c r="R287" s="250"/>
      <c r="S287" s="251"/>
      <c r="T287" s="252"/>
      <c r="U287" s="249"/>
      <c r="V287" s="250"/>
      <c r="W287" s="251"/>
      <c r="X287" s="252"/>
      <c r="Y287" s="249"/>
      <c r="Z287" s="250"/>
      <c r="AA287" s="251"/>
      <c r="AB287" s="252"/>
      <c r="AC287" s="249"/>
      <c r="AD287" s="250"/>
      <c r="AE287" s="251"/>
      <c r="AF287" s="252"/>
      <c r="AG287" s="253"/>
      <c r="AH287" s="254"/>
      <c r="AI287" s="255"/>
      <c r="AJ287" s="256"/>
    </row>
    <row r="288" spans="1:36" s="106" customFormat="1" x14ac:dyDescent="0.25">
      <c r="A288" s="107" t="str">
        <f>IF(H288&lt;&gt;"",MAX($A$7:A287)+1,"")</f>
        <v/>
      </c>
      <c r="B288" s="244" t="str">
        <f t="shared" si="10"/>
        <v/>
      </c>
      <c r="C288" s="62" t="str">
        <f t="shared" si="11"/>
        <v/>
      </c>
      <c r="D288" s="246"/>
      <c r="E288" s="247"/>
      <c r="F288" s="247"/>
      <c r="G288" s="248"/>
      <c r="H288" s="241"/>
      <c r="I288" s="249"/>
      <c r="J288" s="250"/>
      <c r="K288" s="251"/>
      <c r="L288" s="252"/>
      <c r="M288" s="249"/>
      <c r="N288" s="250"/>
      <c r="O288" s="251"/>
      <c r="P288" s="252"/>
      <c r="Q288" s="249"/>
      <c r="R288" s="250"/>
      <c r="S288" s="251"/>
      <c r="T288" s="252"/>
      <c r="U288" s="249"/>
      <c r="V288" s="250"/>
      <c r="W288" s="251"/>
      <c r="X288" s="252"/>
      <c r="Y288" s="249"/>
      <c r="Z288" s="250"/>
      <c r="AA288" s="251"/>
      <c r="AB288" s="252"/>
      <c r="AC288" s="249"/>
      <c r="AD288" s="250"/>
      <c r="AE288" s="251"/>
      <c r="AF288" s="252"/>
      <c r="AG288" s="253"/>
      <c r="AH288" s="254"/>
      <c r="AI288" s="255"/>
      <c r="AJ288" s="256"/>
    </row>
    <row r="289" spans="1:36" s="106" customFormat="1" x14ac:dyDescent="0.25">
      <c r="A289" s="107" t="str">
        <f>IF(H289&lt;&gt;"",MAX($A$7:A288)+1,"")</f>
        <v/>
      </c>
      <c r="B289" s="244" t="str">
        <f t="shared" si="10"/>
        <v/>
      </c>
      <c r="C289" s="62" t="str">
        <f t="shared" si="11"/>
        <v/>
      </c>
      <c r="D289" s="246"/>
      <c r="E289" s="247"/>
      <c r="F289" s="247"/>
      <c r="G289" s="248"/>
      <c r="H289" s="241"/>
      <c r="I289" s="249"/>
      <c r="J289" s="250"/>
      <c r="K289" s="251"/>
      <c r="L289" s="252"/>
      <c r="M289" s="249"/>
      <c r="N289" s="250"/>
      <c r="O289" s="251"/>
      <c r="P289" s="252"/>
      <c r="Q289" s="249"/>
      <c r="R289" s="250"/>
      <c r="S289" s="251"/>
      <c r="T289" s="252"/>
      <c r="U289" s="249"/>
      <c r="V289" s="250"/>
      <c r="W289" s="251"/>
      <c r="X289" s="252"/>
      <c r="Y289" s="249"/>
      <c r="Z289" s="250"/>
      <c r="AA289" s="251"/>
      <c r="AB289" s="252"/>
      <c r="AC289" s="249"/>
      <c r="AD289" s="250"/>
      <c r="AE289" s="251"/>
      <c r="AF289" s="252"/>
      <c r="AG289" s="253"/>
      <c r="AH289" s="254"/>
      <c r="AI289" s="255"/>
      <c r="AJ289" s="256"/>
    </row>
    <row r="290" spans="1:36" s="106" customFormat="1" x14ac:dyDescent="0.25">
      <c r="A290" s="107" t="str">
        <f>IF(H290&lt;&gt;"",MAX($A$7:A289)+1,"")</f>
        <v/>
      </c>
      <c r="B290" s="244" t="str">
        <f t="shared" si="10"/>
        <v/>
      </c>
      <c r="C290" s="62" t="str">
        <f t="shared" si="11"/>
        <v/>
      </c>
      <c r="D290" s="246"/>
      <c r="E290" s="247"/>
      <c r="F290" s="247"/>
      <c r="G290" s="248"/>
      <c r="H290" s="241"/>
      <c r="I290" s="249"/>
      <c r="J290" s="250"/>
      <c r="K290" s="251"/>
      <c r="L290" s="252"/>
      <c r="M290" s="249"/>
      <c r="N290" s="250"/>
      <c r="O290" s="251"/>
      <c r="P290" s="252"/>
      <c r="Q290" s="249"/>
      <c r="R290" s="250"/>
      <c r="S290" s="251"/>
      <c r="T290" s="252"/>
      <c r="U290" s="249"/>
      <c r="V290" s="250"/>
      <c r="W290" s="251"/>
      <c r="X290" s="252"/>
      <c r="Y290" s="249"/>
      <c r="Z290" s="250"/>
      <c r="AA290" s="251"/>
      <c r="AB290" s="252"/>
      <c r="AC290" s="249"/>
      <c r="AD290" s="250"/>
      <c r="AE290" s="251"/>
      <c r="AF290" s="252"/>
      <c r="AG290" s="253"/>
      <c r="AH290" s="254"/>
      <c r="AI290" s="255"/>
      <c r="AJ290" s="256"/>
    </row>
    <row r="291" spans="1:36" s="106" customFormat="1" x14ac:dyDescent="0.25">
      <c r="A291" s="107" t="str">
        <f>IF(H291&lt;&gt;"",MAX($A$7:A290)+1,"")</f>
        <v/>
      </c>
      <c r="B291" s="244" t="str">
        <f t="shared" si="10"/>
        <v/>
      </c>
      <c r="C291" s="62" t="str">
        <f t="shared" si="11"/>
        <v/>
      </c>
      <c r="D291" s="246"/>
      <c r="E291" s="247"/>
      <c r="F291" s="247"/>
      <c r="G291" s="248"/>
      <c r="H291" s="241"/>
      <c r="I291" s="249"/>
      <c r="J291" s="250"/>
      <c r="K291" s="251"/>
      <c r="L291" s="252"/>
      <c r="M291" s="249"/>
      <c r="N291" s="250"/>
      <c r="O291" s="251"/>
      <c r="P291" s="252"/>
      <c r="Q291" s="249"/>
      <c r="R291" s="250"/>
      <c r="S291" s="251"/>
      <c r="T291" s="252"/>
      <c r="U291" s="249"/>
      <c r="V291" s="250"/>
      <c r="W291" s="251"/>
      <c r="X291" s="252"/>
      <c r="Y291" s="249"/>
      <c r="Z291" s="250"/>
      <c r="AA291" s="251"/>
      <c r="AB291" s="252"/>
      <c r="AC291" s="249"/>
      <c r="AD291" s="250"/>
      <c r="AE291" s="251"/>
      <c r="AF291" s="252"/>
      <c r="AG291" s="253"/>
      <c r="AH291" s="254"/>
      <c r="AI291" s="255"/>
      <c r="AJ291" s="256"/>
    </row>
    <row r="292" spans="1:36" s="106" customFormat="1" x14ac:dyDescent="0.25">
      <c r="A292" s="107" t="str">
        <f>IF(H292&lt;&gt;"",MAX($A$7:A291)+1,"")</f>
        <v/>
      </c>
      <c r="B292" s="244" t="str">
        <f t="shared" si="10"/>
        <v/>
      </c>
      <c r="C292" s="62" t="str">
        <f t="shared" si="11"/>
        <v/>
      </c>
      <c r="D292" s="246"/>
      <c r="E292" s="247"/>
      <c r="F292" s="247"/>
      <c r="G292" s="248"/>
      <c r="H292" s="241"/>
      <c r="I292" s="249"/>
      <c r="J292" s="250"/>
      <c r="K292" s="251"/>
      <c r="L292" s="252"/>
      <c r="M292" s="249"/>
      <c r="N292" s="250"/>
      <c r="O292" s="251"/>
      <c r="P292" s="252"/>
      <c r="Q292" s="249"/>
      <c r="R292" s="250"/>
      <c r="S292" s="251"/>
      <c r="T292" s="252"/>
      <c r="U292" s="249"/>
      <c r="V292" s="250"/>
      <c r="W292" s="251"/>
      <c r="X292" s="252"/>
      <c r="Y292" s="249"/>
      <c r="Z292" s="250"/>
      <c r="AA292" s="251"/>
      <c r="AB292" s="252"/>
      <c r="AC292" s="249"/>
      <c r="AD292" s="250"/>
      <c r="AE292" s="251"/>
      <c r="AF292" s="252"/>
      <c r="AG292" s="253"/>
      <c r="AH292" s="254"/>
      <c r="AI292" s="255"/>
      <c r="AJ292" s="256"/>
    </row>
    <row r="293" spans="1:36" s="106" customFormat="1" x14ac:dyDescent="0.25">
      <c r="A293" s="107" t="str">
        <f>IF(H293&lt;&gt;"",MAX($A$7:A292)+1,"")</f>
        <v/>
      </c>
      <c r="B293" s="244" t="str">
        <f t="shared" si="10"/>
        <v/>
      </c>
      <c r="C293" s="62" t="str">
        <f t="shared" si="11"/>
        <v/>
      </c>
      <c r="D293" s="246"/>
      <c r="E293" s="247"/>
      <c r="F293" s="247"/>
      <c r="G293" s="248"/>
      <c r="H293" s="241"/>
      <c r="I293" s="249"/>
      <c r="J293" s="250"/>
      <c r="K293" s="251"/>
      <c r="L293" s="252"/>
      <c r="M293" s="249"/>
      <c r="N293" s="250"/>
      <c r="O293" s="251"/>
      <c r="P293" s="252"/>
      <c r="Q293" s="249"/>
      <c r="R293" s="250"/>
      <c r="S293" s="251"/>
      <c r="T293" s="252"/>
      <c r="U293" s="249"/>
      <c r="V293" s="250"/>
      <c r="W293" s="251"/>
      <c r="X293" s="252"/>
      <c r="Y293" s="249"/>
      <c r="Z293" s="250"/>
      <c r="AA293" s="251"/>
      <c r="AB293" s="252"/>
      <c r="AC293" s="249"/>
      <c r="AD293" s="250"/>
      <c r="AE293" s="251"/>
      <c r="AF293" s="252"/>
      <c r="AG293" s="253"/>
      <c r="AH293" s="254"/>
      <c r="AI293" s="255"/>
      <c r="AJ293" s="256"/>
    </row>
    <row r="294" spans="1:36" s="106" customFormat="1" x14ac:dyDescent="0.25">
      <c r="A294" s="107" t="str">
        <f>IF(H294&lt;&gt;"",MAX($A$7:A293)+1,"")</f>
        <v/>
      </c>
      <c r="B294" s="244" t="str">
        <f t="shared" si="10"/>
        <v/>
      </c>
      <c r="C294" s="62" t="str">
        <f t="shared" si="11"/>
        <v/>
      </c>
      <c r="D294" s="246"/>
      <c r="E294" s="247"/>
      <c r="F294" s="247"/>
      <c r="G294" s="248"/>
      <c r="H294" s="241"/>
      <c r="I294" s="249"/>
      <c r="J294" s="250"/>
      <c r="K294" s="251"/>
      <c r="L294" s="252"/>
      <c r="M294" s="249"/>
      <c r="N294" s="250"/>
      <c r="O294" s="251"/>
      <c r="P294" s="252"/>
      <c r="Q294" s="249"/>
      <c r="R294" s="250"/>
      <c r="S294" s="251"/>
      <c r="T294" s="252"/>
      <c r="U294" s="249"/>
      <c r="V294" s="250"/>
      <c r="W294" s="251"/>
      <c r="X294" s="252"/>
      <c r="Y294" s="249"/>
      <c r="Z294" s="250"/>
      <c r="AA294" s="251"/>
      <c r="AB294" s="252"/>
      <c r="AC294" s="249"/>
      <c r="AD294" s="250"/>
      <c r="AE294" s="251"/>
      <c r="AF294" s="252"/>
      <c r="AG294" s="253"/>
      <c r="AH294" s="254"/>
      <c r="AI294" s="255"/>
      <c r="AJ294" s="256"/>
    </row>
    <row r="295" spans="1:36" s="106" customFormat="1" x14ac:dyDescent="0.25">
      <c r="A295" s="107" t="str">
        <f>IF(H295&lt;&gt;"",MAX($A$7:A294)+1,"")</f>
        <v/>
      </c>
      <c r="B295" s="244" t="str">
        <f t="shared" si="10"/>
        <v/>
      </c>
      <c r="C295" s="62" t="str">
        <f t="shared" si="11"/>
        <v/>
      </c>
      <c r="D295" s="246"/>
      <c r="E295" s="247"/>
      <c r="F295" s="247"/>
      <c r="G295" s="248"/>
      <c r="H295" s="241"/>
      <c r="I295" s="249"/>
      <c r="J295" s="250"/>
      <c r="K295" s="251"/>
      <c r="L295" s="252"/>
      <c r="M295" s="249"/>
      <c r="N295" s="250"/>
      <c r="O295" s="251"/>
      <c r="P295" s="252"/>
      <c r="Q295" s="249"/>
      <c r="R295" s="250"/>
      <c r="S295" s="251"/>
      <c r="T295" s="252"/>
      <c r="U295" s="249"/>
      <c r="V295" s="250"/>
      <c r="W295" s="251"/>
      <c r="X295" s="252"/>
      <c r="Y295" s="249"/>
      <c r="Z295" s="250"/>
      <c r="AA295" s="251"/>
      <c r="AB295" s="252"/>
      <c r="AC295" s="249"/>
      <c r="AD295" s="250"/>
      <c r="AE295" s="251"/>
      <c r="AF295" s="252"/>
      <c r="AG295" s="253"/>
      <c r="AH295" s="254"/>
      <c r="AI295" s="255"/>
      <c r="AJ295" s="256"/>
    </row>
    <row r="296" spans="1:36" s="106" customFormat="1" x14ac:dyDescent="0.25">
      <c r="A296" s="107" t="str">
        <f>IF(H296&lt;&gt;"",MAX($A$7:A295)+1,"")</f>
        <v/>
      </c>
      <c r="B296" s="244" t="str">
        <f t="shared" si="10"/>
        <v/>
      </c>
      <c r="C296" s="62" t="str">
        <f t="shared" si="11"/>
        <v/>
      </c>
      <c r="D296" s="246"/>
      <c r="E296" s="247"/>
      <c r="F296" s="247"/>
      <c r="G296" s="248"/>
      <c r="H296" s="241"/>
      <c r="I296" s="249"/>
      <c r="J296" s="250"/>
      <c r="K296" s="251"/>
      <c r="L296" s="252"/>
      <c r="M296" s="249"/>
      <c r="N296" s="250"/>
      <c r="O296" s="251"/>
      <c r="P296" s="252"/>
      <c r="Q296" s="249"/>
      <c r="R296" s="250"/>
      <c r="S296" s="251"/>
      <c r="T296" s="252"/>
      <c r="U296" s="249"/>
      <c r="V296" s="250"/>
      <c r="W296" s="251"/>
      <c r="X296" s="252"/>
      <c r="Y296" s="249"/>
      <c r="Z296" s="250"/>
      <c r="AA296" s="251"/>
      <c r="AB296" s="252"/>
      <c r="AC296" s="249"/>
      <c r="AD296" s="250"/>
      <c r="AE296" s="251"/>
      <c r="AF296" s="252"/>
      <c r="AG296" s="253"/>
      <c r="AH296" s="254"/>
      <c r="AI296" s="255"/>
      <c r="AJ296" s="256"/>
    </row>
    <row r="297" spans="1:36" s="106" customFormat="1" x14ac:dyDescent="0.25">
      <c r="A297" s="107" t="str">
        <f>IF(H297&lt;&gt;"",MAX($A$7:A296)+1,"")</f>
        <v/>
      </c>
      <c r="B297" s="244" t="str">
        <f t="shared" si="10"/>
        <v/>
      </c>
      <c r="C297" s="62" t="str">
        <f t="shared" si="11"/>
        <v/>
      </c>
      <c r="D297" s="246"/>
      <c r="E297" s="247"/>
      <c r="F297" s="247"/>
      <c r="G297" s="248"/>
      <c r="H297" s="241"/>
      <c r="I297" s="249"/>
      <c r="J297" s="250"/>
      <c r="K297" s="251"/>
      <c r="L297" s="252"/>
      <c r="M297" s="249"/>
      <c r="N297" s="250"/>
      <c r="O297" s="251"/>
      <c r="P297" s="252"/>
      <c r="Q297" s="249"/>
      <c r="R297" s="250"/>
      <c r="S297" s="251"/>
      <c r="T297" s="252"/>
      <c r="U297" s="249"/>
      <c r="V297" s="250"/>
      <c r="W297" s="251"/>
      <c r="X297" s="252"/>
      <c r="Y297" s="249"/>
      <c r="Z297" s="250"/>
      <c r="AA297" s="251"/>
      <c r="AB297" s="252"/>
      <c r="AC297" s="249"/>
      <c r="AD297" s="250"/>
      <c r="AE297" s="251"/>
      <c r="AF297" s="252"/>
      <c r="AG297" s="253"/>
      <c r="AH297" s="254"/>
      <c r="AI297" s="255"/>
      <c r="AJ297" s="256"/>
    </row>
    <row r="298" spans="1:36" s="106" customFormat="1" x14ac:dyDescent="0.25">
      <c r="A298" s="107" t="str">
        <f>IF(H298&lt;&gt;"",MAX($A$7:A297)+1,"")</f>
        <v/>
      </c>
      <c r="B298" s="244" t="str">
        <f t="shared" si="10"/>
        <v/>
      </c>
      <c r="C298" s="62" t="str">
        <f t="shared" si="11"/>
        <v/>
      </c>
      <c r="D298" s="246"/>
      <c r="E298" s="247"/>
      <c r="F298" s="247"/>
      <c r="G298" s="248"/>
      <c r="H298" s="241"/>
      <c r="I298" s="249"/>
      <c r="J298" s="250"/>
      <c r="K298" s="251"/>
      <c r="L298" s="252"/>
      <c r="M298" s="249"/>
      <c r="N298" s="250"/>
      <c r="O298" s="251"/>
      <c r="P298" s="252"/>
      <c r="Q298" s="249"/>
      <c r="R298" s="250"/>
      <c r="S298" s="251"/>
      <c r="T298" s="252"/>
      <c r="U298" s="249"/>
      <c r="V298" s="250"/>
      <c r="W298" s="251"/>
      <c r="X298" s="252"/>
      <c r="Y298" s="249"/>
      <c r="Z298" s="250"/>
      <c r="AA298" s="251"/>
      <c r="AB298" s="252"/>
      <c r="AC298" s="249"/>
      <c r="AD298" s="250"/>
      <c r="AE298" s="251"/>
      <c r="AF298" s="252"/>
      <c r="AG298" s="253"/>
      <c r="AH298" s="254"/>
      <c r="AI298" s="255"/>
      <c r="AJ298" s="256"/>
    </row>
    <row r="299" spans="1:36" s="106" customFormat="1" x14ac:dyDescent="0.25">
      <c r="A299" s="107" t="str">
        <f>IF(H299&lt;&gt;"",MAX($A$7:A298)+1,"")</f>
        <v/>
      </c>
      <c r="B299" s="244" t="str">
        <f t="shared" si="10"/>
        <v/>
      </c>
      <c r="C299" s="62" t="str">
        <f t="shared" si="11"/>
        <v/>
      </c>
      <c r="D299" s="246"/>
      <c r="E299" s="247"/>
      <c r="F299" s="247"/>
      <c r="G299" s="248"/>
      <c r="H299" s="241"/>
      <c r="I299" s="249"/>
      <c r="J299" s="250"/>
      <c r="K299" s="251"/>
      <c r="L299" s="252"/>
      <c r="M299" s="249"/>
      <c r="N299" s="250"/>
      <c r="O299" s="251"/>
      <c r="P299" s="252"/>
      <c r="Q299" s="249"/>
      <c r="R299" s="250"/>
      <c r="S299" s="251"/>
      <c r="T299" s="252"/>
      <c r="U299" s="249"/>
      <c r="V299" s="250"/>
      <c r="W299" s="251"/>
      <c r="X299" s="252"/>
      <c r="Y299" s="249"/>
      <c r="Z299" s="250"/>
      <c r="AA299" s="251"/>
      <c r="AB299" s="252"/>
      <c r="AC299" s="249"/>
      <c r="AD299" s="250"/>
      <c r="AE299" s="251"/>
      <c r="AF299" s="252"/>
      <c r="AG299" s="253"/>
      <c r="AH299" s="254"/>
      <c r="AI299" s="255"/>
      <c r="AJ299" s="256"/>
    </row>
    <row r="300" spans="1:36" s="106" customFormat="1" x14ac:dyDescent="0.25">
      <c r="A300" s="107" t="str">
        <f>IF(H300&lt;&gt;"",MAX($A$7:A299)+1,"")</f>
        <v/>
      </c>
      <c r="B300" s="244" t="str">
        <f t="shared" si="10"/>
        <v/>
      </c>
      <c r="C300" s="62" t="str">
        <f t="shared" si="11"/>
        <v/>
      </c>
      <c r="D300" s="246"/>
      <c r="E300" s="247"/>
      <c r="F300" s="247"/>
      <c r="G300" s="248"/>
      <c r="H300" s="241"/>
      <c r="I300" s="249"/>
      <c r="J300" s="250"/>
      <c r="K300" s="251"/>
      <c r="L300" s="252"/>
      <c r="M300" s="249"/>
      <c r="N300" s="250"/>
      <c r="O300" s="251"/>
      <c r="P300" s="252"/>
      <c r="Q300" s="249"/>
      <c r="R300" s="250"/>
      <c r="S300" s="251"/>
      <c r="T300" s="252"/>
      <c r="U300" s="249"/>
      <c r="V300" s="250"/>
      <c r="W300" s="251"/>
      <c r="X300" s="252"/>
      <c r="Y300" s="249"/>
      <c r="Z300" s="250"/>
      <c r="AA300" s="251"/>
      <c r="AB300" s="252"/>
      <c r="AC300" s="249"/>
      <c r="AD300" s="250"/>
      <c r="AE300" s="251"/>
      <c r="AF300" s="252"/>
      <c r="AG300" s="253"/>
      <c r="AH300" s="254"/>
      <c r="AI300" s="255"/>
      <c r="AJ300" s="256"/>
    </row>
    <row r="301" spans="1:36" s="106" customFormat="1" x14ac:dyDescent="0.25">
      <c r="A301" s="107" t="str">
        <f>IF(H301&lt;&gt;"",MAX($A$7:A300)+1,"")</f>
        <v/>
      </c>
      <c r="B301" s="244" t="str">
        <f t="shared" si="10"/>
        <v/>
      </c>
      <c r="C301" s="62" t="str">
        <f t="shared" si="11"/>
        <v/>
      </c>
      <c r="D301" s="246"/>
      <c r="E301" s="247"/>
      <c r="F301" s="247"/>
      <c r="G301" s="248"/>
      <c r="H301" s="241"/>
      <c r="I301" s="249"/>
      <c r="J301" s="250"/>
      <c r="K301" s="251"/>
      <c r="L301" s="252"/>
      <c r="M301" s="249"/>
      <c r="N301" s="250"/>
      <c r="O301" s="251"/>
      <c r="P301" s="252"/>
      <c r="Q301" s="249"/>
      <c r="R301" s="250"/>
      <c r="S301" s="251"/>
      <c r="T301" s="252"/>
      <c r="U301" s="249"/>
      <c r="V301" s="250"/>
      <c r="W301" s="251"/>
      <c r="X301" s="252"/>
      <c r="Y301" s="249"/>
      <c r="Z301" s="250"/>
      <c r="AA301" s="251"/>
      <c r="AB301" s="252"/>
      <c r="AC301" s="249"/>
      <c r="AD301" s="250"/>
      <c r="AE301" s="251"/>
      <c r="AF301" s="252"/>
      <c r="AG301" s="253"/>
      <c r="AH301" s="254"/>
      <c r="AI301" s="255"/>
      <c r="AJ301" s="256"/>
    </row>
    <row r="302" spans="1:36" s="106" customFormat="1" x14ac:dyDescent="0.25">
      <c r="A302" s="107" t="str">
        <f>IF(H302&lt;&gt;"",MAX($A$7:A301)+1,"")</f>
        <v/>
      </c>
      <c r="B302" s="244" t="str">
        <f t="shared" si="10"/>
        <v/>
      </c>
      <c r="C302" s="62" t="str">
        <f t="shared" si="11"/>
        <v/>
      </c>
      <c r="D302" s="246"/>
      <c r="E302" s="247"/>
      <c r="F302" s="247"/>
      <c r="G302" s="248"/>
      <c r="H302" s="241"/>
      <c r="I302" s="249"/>
      <c r="J302" s="250"/>
      <c r="K302" s="251"/>
      <c r="L302" s="252"/>
      <c r="M302" s="249"/>
      <c r="N302" s="250"/>
      <c r="O302" s="251"/>
      <c r="P302" s="252"/>
      <c r="Q302" s="249"/>
      <c r="R302" s="250"/>
      <c r="S302" s="251"/>
      <c r="T302" s="252"/>
      <c r="U302" s="249"/>
      <c r="V302" s="250"/>
      <c r="W302" s="251"/>
      <c r="X302" s="252"/>
      <c r="Y302" s="249"/>
      <c r="Z302" s="250"/>
      <c r="AA302" s="251"/>
      <c r="AB302" s="252"/>
      <c r="AC302" s="249"/>
      <c r="AD302" s="250"/>
      <c r="AE302" s="251"/>
      <c r="AF302" s="252"/>
      <c r="AG302" s="253"/>
      <c r="AH302" s="254"/>
      <c r="AI302" s="255"/>
      <c r="AJ302" s="256"/>
    </row>
    <row r="303" spans="1:36" s="106" customFormat="1" x14ac:dyDescent="0.25">
      <c r="A303" s="107" t="str">
        <f>IF(H303&lt;&gt;"",MAX($A$7:A302)+1,"")</f>
        <v/>
      </c>
      <c r="B303" s="244" t="str">
        <f t="shared" si="10"/>
        <v/>
      </c>
      <c r="C303" s="62" t="str">
        <f t="shared" si="11"/>
        <v/>
      </c>
      <c r="D303" s="246"/>
      <c r="E303" s="247"/>
      <c r="F303" s="247"/>
      <c r="G303" s="248"/>
      <c r="H303" s="241"/>
      <c r="I303" s="249"/>
      <c r="J303" s="250"/>
      <c r="K303" s="251"/>
      <c r="L303" s="252"/>
      <c r="M303" s="249"/>
      <c r="N303" s="250"/>
      <c r="O303" s="251"/>
      <c r="P303" s="252"/>
      <c r="Q303" s="249"/>
      <c r="R303" s="250"/>
      <c r="S303" s="251"/>
      <c r="T303" s="252"/>
      <c r="U303" s="249"/>
      <c r="V303" s="250"/>
      <c r="W303" s="251"/>
      <c r="X303" s="252"/>
      <c r="Y303" s="249"/>
      <c r="Z303" s="250"/>
      <c r="AA303" s="251"/>
      <c r="AB303" s="252"/>
      <c r="AC303" s="249"/>
      <c r="AD303" s="250"/>
      <c r="AE303" s="251"/>
      <c r="AF303" s="252"/>
      <c r="AG303" s="253"/>
      <c r="AH303" s="254"/>
      <c r="AI303" s="255"/>
      <c r="AJ303" s="256"/>
    </row>
    <row r="304" spans="1:36" s="106" customFormat="1" x14ac:dyDescent="0.25">
      <c r="A304" s="107" t="str">
        <f>IF(H304&lt;&gt;"",MAX($A$7:A303)+1,"")</f>
        <v/>
      </c>
      <c r="B304" s="244" t="str">
        <f t="shared" si="10"/>
        <v/>
      </c>
      <c r="C304" s="62" t="str">
        <f t="shared" si="11"/>
        <v/>
      </c>
      <c r="D304" s="246"/>
      <c r="E304" s="247"/>
      <c r="F304" s="247"/>
      <c r="G304" s="248"/>
      <c r="H304" s="241"/>
      <c r="I304" s="249"/>
      <c r="J304" s="250"/>
      <c r="K304" s="251"/>
      <c r="L304" s="252"/>
      <c r="M304" s="249"/>
      <c r="N304" s="250"/>
      <c r="O304" s="251"/>
      <c r="P304" s="252"/>
      <c r="Q304" s="249"/>
      <c r="R304" s="250"/>
      <c r="S304" s="251"/>
      <c r="T304" s="252"/>
      <c r="U304" s="249"/>
      <c r="V304" s="250"/>
      <c r="W304" s="251"/>
      <c r="X304" s="252"/>
      <c r="Y304" s="249"/>
      <c r="Z304" s="250"/>
      <c r="AA304" s="251"/>
      <c r="AB304" s="252"/>
      <c r="AC304" s="249"/>
      <c r="AD304" s="250"/>
      <c r="AE304" s="251"/>
      <c r="AF304" s="252"/>
      <c r="AG304" s="253"/>
      <c r="AH304" s="254"/>
      <c r="AI304" s="255"/>
      <c r="AJ304" s="256"/>
    </row>
    <row r="305" spans="1:36" s="106" customFormat="1" x14ac:dyDescent="0.25">
      <c r="A305" s="107" t="str">
        <f>IF(H305&lt;&gt;"",MAX($A$7:A304)+1,"")</f>
        <v/>
      </c>
      <c r="B305" s="244" t="str">
        <f t="shared" si="10"/>
        <v/>
      </c>
      <c r="C305" s="62" t="str">
        <f t="shared" si="11"/>
        <v/>
      </c>
      <c r="D305" s="246"/>
      <c r="E305" s="247"/>
      <c r="F305" s="247"/>
      <c r="G305" s="248"/>
      <c r="H305" s="241"/>
      <c r="I305" s="249"/>
      <c r="J305" s="250"/>
      <c r="K305" s="251"/>
      <c r="L305" s="252"/>
      <c r="M305" s="249"/>
      <c r="N305" s="250"/>
      <c r="O305" s="251"/>
      <c r="P305" s="252"/>
      <c r="Q305" s="249"/>
      <c r="R305" s="250"/>
      <c r="S305" s="251"/>
      <c r="T305" s="252"/>
      <c r="U305" s="249"/>
      <c r="V305" s="250"/>
      <c r="W305" s="251"/>
      <c r="X305" s="252"/>
      <c r="Y305" s="249"/>
      <c r="Z305" s="250"/>
      <c r="AA305" s="251"/>
      <c r="AB305" s="252"/>
      <c r="AC305" s="249"/>
      <c r="AD305" s="250"/>
      <c r="AE305" s="251"/>
      <c r="AF305" s="252"/>
      <c r="AG305" s="253"/>
      <c r="AH305" s="254"/>
      <c r="AI305" s="255"/>
      <c r="AJ305" s="256"/>
    </row>
    <row r="306" spans="1:36" s="106" customFormat="1" x14ac:dyDescent="0.25">
      <c r="A306" s="107" t="str">
        <f>IF(H306&lt;&gt;"",MAX($A$7:A305)+1,"")</f>
        <v/>
      </c>
      <c r="B306" s="244" t="str">
        <f t="shared" si="10"/>
        <v/>
      </c>
      <c r="C306" s="62" t="str">
        <f t="shared" si="11"/>
        <v/>
      </c>
      <c r="D306" s="246"/>
      <c r="E306" s="247"/>
      <c r="F306" s="247"/>
      <c r="G306" s="248"/>
      <c r="H306" s="241"/>
      <c r="I306" s="249"/>
      <c r="J306" s="250"/>
      <c r="K306" s="251"/>
      <c r="L306" s="252"/>
      <c r="M306" s="249"/>
      <c r="N306" s="250"/>
      <c r="O306" s="251"/>
      <c r="P306" s="252"/>
      <c r="Q306" s="249"/>
      <c r="R306" s="250"/>
      <c r="S306" s="251"/>
      <c r="T306" s="252"/>
      <c r="U306" s="249"/>
      <c r="V306" s="250"/>
      <c r="W306" s="251"/>
      <c r="X306" s="252"/>
      <c r="Y306" s="249"/>
      <c r="Z306" s="250"/>
      <c r="AA306" s="251"/>
      <c r="AB306" s="252"/>
      <c r="AC306" s="249"/>
      <c r="AD306" s="250"/>
      <c r="AE306" s="251"/>
      <c r="AF306" s="252"/>
      <c r="AG306" s="253"/>
      <c r="AH306" s="254"/>
      <c r="AI306" s="255"/>
      <c r="AJ306" s="256"/>
    </row>
    <row r="307" spans="1:36" s="106" customFormat="1" x14ac:dyDescent="0.25">
      <c r="A307" s="107" t="str">
        <f>IF(H307&lt;&gt;"",MAX($A$7:A306)+1,"")</f>
        <v/>
      </c>
      <c r="B307" s="244" t="str">
        <f t="shared" si="10"/>
        <v/>
      </c>
      <c r="C307" s="62" t="str">
        <f t="shared" si="11"/>
        <v/>
      </c>
      <c r="D307" s="246"/>
      <c r="E307" s="247"/>
      <c r="F307" s="247"/>
      <c r="G307" s="248"/>
      <c r="H307" s="241"/>
      <c r="I307" s="249"/>
      <c r="J307" s="250"/>
      <c r="K307" s="251"/>
      <c r="L307" s="252"/>
      <c r="M307" s="249"/>
      <c r="N307" s="250"/>
      <c r="O307" s="251"/>
      <c r="P307" s="252"/>
      <c r="Q307" s="249"/>
      <c r="R307" s="250"/>
      <c r="S307" s="251"/>
      <c r="T307" s="252"/>
      <c r="U307" s="249"/>
      <c r="V307" s="250"/>
      <c r="W307" s="251"/>
      <c r="X307" s="252"/>
      <c r="Y307" s="249"/>
      <c r="Z307" s="250"/>
      <c r="AA307" s="251"/>
      <c r="AB307" s="252"/>
      <c r="AC307" s="249"/>
      <c r="AD307" s="250"/>
      <c r="AE307" s="251"/>
      <c r="AF307" s="252"/>
      <c r="AG307" s="253"/>
      <c r="AH307" s="254"/>
      <c r="AI307" s="255"/>
      <c r="AJ307" s="256"/>
    </row>
    <row r="308" spans="1:36" s="106" customFormat="1" x14ac:dyDescent="0.25">
      <c r="A308" s="107" t="str">
        <f>IF(H308&lt;&gt;"",MAX($A$7:A307)+1,"")</f>
        <v/>
      </c>
      <c r="B308" s="244" t="str">
        <f t="shared" si="10"/>
        <v/>
      </c>
      <c r="C308" s="62" t="str">
        <f t="shared" si="11"/>
        <v/>
      </c>
      <c r="D308" s="246"/>
      <c r="E308" s="247"/>
      <c r="F308" s="247"/>
      <c r="G308" s="248"/>
      <c r="H308" s="241"/>
      <c r="I308" s="249"/>
      <c r="J308" s="250"/>
      <c r="K308" s="251"/>
      <c r="L308" s="252"/>
      <c r="M308" s="249"/>
      <c r="N308" s="250"/>
      <c r="O308" s="251"/>
      <c r="P308" s="252"/>
      <c r="Q308" s="249"/>
      <c r="R308" s="250"/>
      <c r="S308" s="251"/>
      <c r="T308" s="252"/>
      <c r="U308" s="249"/>
      <c r="V308" s="250"/>
      <c r="W308" s="251"/>
      <c r="X308" s="252"/>
      <c r="Y308" s="249"/>
      <c r="Z308" s="250"/>
      <c r="AA308" s="251"/>
      <c r="AB308" s="252"/>
      <c r="AC308" s="249"/>
      <c r="AD308" s="250"/>
      <c r="AE308" s="251"/>
      <c r="AF308" s="252"/>
      <c r="AG308" s="253"/>
      <c r="AH308" s="254"/>
      <c r="AI308" s="255"/>
      <c r="AJ308" s="256"/>
    </row>
    <row r="309" spans="1:36" s="106" customFormat="1" x14ac:dyDescent="0.25">
      <c r="A309" s="107" t="str">
        <f>IF(H309&lt;&gt;"",MAX($A$7:A308)+1,"")</f>
        <v/>
      </c>
      <c r="B309" s="244" t="str">
        <f t="shared" si="10"/>
        <v/>
      </c>
      <c r="C309" s="62" t="str">
        <f t="shared" si="11"/>
        <v/>
      </c>
      <c r="D309" s="246"/>
      <c r="E309" s="247"/>
      <c r="F309" s="247"/>
      <c r="G309" s="248"/>
      <c r="H309" s="241"/>
      <c r="I309" s="249"/>
      <c r="J309" s="250"/>
      <c r="K309" s="251"/>
      <c r="L309" s="252"/>
      <c r="M309" s="249"/>
      <c r="N309" s="250"/>
      <c r="O309" s="251"/>
      <c r="P309" s="252"/>
      <c r="Q309" s="249"/>
      <c r="R309" s="250"/>
      <c r="S309" s="251"/>
      <c r="T309" s="252"/>
      <c r="U309" s="249"/>
      <c r="V309" s="250"/>
      <c r="W309" s="251"/>
      <c r="X309" s="252"/>
      <c r="Y309" s="249"/>
      <c r="Z309" s="250"/>
      <c r="AA309" s="251"/>
      <c r="AB309" s="252"/>
      <c r="AC309" s="249"/>
      <c r="AD309" s="250"/>
      <c r="AE309" s="251"/>
      <c r="AF309" s="252"/>
      <c r="AG309" s="253"/>
      <c r="AH309" s="254"/>
      <c r="AI309" s="255"/>
      <c r="AJ309" s="256"/>
    </row>
    <row r="310" spans="1:36" s="106" customFormat="1" x14ac:dyDescent="0.25">
      <c r="A310" s="107" t="str">
        <f>IF(H310&lt;&gt;"",MAX($A$7:A309)+1,"")</f>
        <v/>
      </c>
      <c r="B310" s="244" t="str">
        <f t="shared" si="10"/>
        <v/>
      </c>
      <c r="C310" s="62" t="str">
        <f t="shared" si="11"/>
        <v/>
      </c>
      <c r="D310" s="246"/>
      <c r="E310" s="247"/>
      <c r="F310" s="247"/>
      <c r="G310" s="248"/>
      <c r="H310" s="241"/>
      <c r="I310" s="249"/>
      <c r="J310" s="250"/>
      <c r="K310" s="251"/>
      <c r="L310" s="252"/>
      <c r="M310" s="249"/>
      <c r="N310" s="250"/>
      <c r="O310" s="251"/>
      <c r="P310" s="252"/>
      <c r="Q310" s="249"/>
      <c r="R310" s="250"/>
      <c r="S310" s="251"/>
      <c r="T310" s="252"/>
      <c r="U310" s="249"/>
      <c r="V310" s="250"/>
      <c r="W310" s="251"/>
      <c r="X310" s="252"/>
      <c r="Y310" s="249"/>
      <c r="Z310" s="250"/>
      <c r="AA310" s="251"/>
      <c r="AB310" s="252"/>
      <c r="AC310" s="249"/>
      <c r="AD310" s="250"/>
      <c r="AE310" s="251"/>
      <c r="AF310" s="252"/>
      <c r="AG310" s="253"/>
      <c r="AH310" s="254"/>
      <c r="AI310" s="255"/>
      <c r="AJ310" s="256"/>
    </row>
    <row r="311" spans="1:36" s="106" customFormat="1" x14ac:dyDescent="0.25">
      <c r="A311" s="107" t="str">
        <f>IF(H311&lt;&gt;"",MAX($A$7:A310)+1,"")</f>
        <v/>
      </c>
      <c r="B311" s="244" t="str">
        <f t="shared" si="10"/>
        <v/>
      </c>
      <c r="C311" s="62" t="str">
        <f t="shared" si="11"/>
        <v/>
      </c>
      <c r="D311" s="246"/>
      <c r="E311" s="247"/>
      <c r="F311" s="247"/>
      <c r="G311" s="248"/>
      <c r="H311" s="241"/>
      <c r="I311" s="249"/>
      <c r="J311" s="250"/>
      <c r="K311" s="251"/>
      <c r="L311" s="252"/>
      <c r="M311" s="249"/>
      <c r="N311" s="250"/>
      <c r="O311" s="251"/>
      <c r="P311" s="252"/>
      <c r="Q311" s="249"/>
      <c r="R311" s="250"/>
      <c r="S311" s="251"/>
      <c r="T311" s="252"/>
      <c r="U311" s="249"/>
      <c r="V311" s="250"/>
      <c r="W311" s="251"/>
      <c r="X311" s="252"/>
      <c r="Y311" s="249"/>
      <c r="Z311" s="250"/>
      <c r="AA311" s="251"/>
      <c r="AB311" s="252"/>
      <c r="AC311" s="249"/>
      <c r="AD311" s="250"/>
      <c r="AE311" s="251"/>
      <c r="AF311" s="252"/>
      <c r="AG311" s="253"/>
      <c r="AH311" s="254"/>
      <c r="AI311" s="255"/>
      <c r="AJ311" s="256"/>
    </row>
    <row r="312" spans="1:36" s="106" customFormat="1" x14ac:dyDescent="0.25">
      <c r="A312" s="107" t="str">
        <f>IF(H312&lt;&gt;"",MAX($A$7:A311)+1,"")</f>
        <v/>
      </c>
      <c r="B312" s="244" t="str">
        <f t="shared" si="10"/>
        <v/>
      </c>
      <c r="C312" s="62" t="str">
        <f t="shared" si="11"/>
        <v/>
      </c>
      <c r="D312" s="246"/>
      <c r="E312" s="247"/>
      <c r="F312" s="247"/>
      <c r="G312" s="248"/>
      <c r="H312" s="241"/>
      <c r="I312" s="249"/>
      <c r="J312" s="250"/>
      <c r="K312" s="251"/>
      <c r="L312" s="252"/>
      <c r="M312" s="249"/>
      <c r="N312" s="250"/>
      <c r="O312" s="251"/>
      <c r="P312" s="252"/>
      <c r="Q312" s="249"/>
      <c r="R312" s="250"/>
      <c r="S312" s="251"/>
      <c r="T312" s="252"/>
      <c r="U312" s="249"/>
      <c r="V312" s="250"/>
      <c r="W312" s="251"/>
      <c r="X312" s="252"/>
      <c r="Y312" s="249"/>
      <c r="Z312" s="250"/>
      <c r="AA312" s="251"/>
      <c r="AB312" s="252"/>
      <c r="AC312" s="249"/>
      <c r="AD312" s="250"/>
      <c r="AE312" s="251"/>
      <c r="AF312" s="252"/>
      <c r="AG312" s="253"/>
      <c r="AH312" s="254"/>
      <c r="AI312" s="255"/>
      <c r="AJ312" s="256"/>
    </row>
    <row r="313" spans="1:36" s="106" customFormat="1" x14ac:dyDescent="0.25">
      <c r="A313" s="107" t="str">
        <f>IF(H313&lt;&gt;"",MAX($A$7:A312)+1,"")</f>
        <v/>
      </c>
      <c r="B313" s="244" t="str">
        <f t="shared" si="10"/>
        <v/>
      </c>
      <c r="C313" s="62" t="str">
        <f t="shared" si="11"/>
        <v/>
      </c>
      <c r="D313" s="246"/>
      <c r="E313" s="247"/>
      <c r="F313" s="247"/>
      <c r="G313" s="248"/>
      <c r="H313" s="241"/>
      <c r="I313" s="249"/>
      <c r="J313" s="250"/>
      <c r="K313" s="251"/>
      <c r="L313" s="252"/>
      <c r="M313" s="249"/>
      <c r="N313" s="250"/>
      <c r="O313" s="251"/>
      <c r="P313" s="252"/>
      <c r="Q313" s="249"/>
      <c r="R313" s="250"/>
      <c r="S313" s="251"/>
      <c r="T313" s="252"/>
      <c r="U313" s="249"/>
      <c r="V313" s="250"/>
      <c r="W313" s="251"/>
      <c r="X313" s="252"/>
      <c r="Y313" s="249"/>
      <c r="Z313" s="250"/>
      <c r="AA313" s="251"/>
      <c r="AB313" s="252"/>
      <c r="AC313" s="249"/>
      <c r="AD313" s="250"/>
      <c r="AE313" s="251"/>
      <c r="AF313" s="252"/>
      <c r="AG313" s="253"/>
      <c r="AH313" s="254"/>
      <c r="AI313" s="255"/>
      <c r="AJ313" s="256"/>
    </row>
    <row r="314" spans="1:36" s="106" customFormat="1" x14ac:dyDescent="0.25">
      <c r="A314" s="107" t="str">
        <f>IF(H314&lt;&gt;"",MAX($A$7:A313)+1,"")</f>
        <v/>
      </c>
      <c r="B314" s="244" t="str">
        <f t="shared" si="10"/>
        <v/>
      </c>
      <c r="C314" s="62" t="str">
        <f t="shared" si="11"/>
        <v/>
      </c>
      <c r="D314" s="246"/>
      <c r="E314" s="247"/>
      <c r="F314" s="247"/>
      <c r="G314" s="248"/>
      <c r="H314" s="241"/>
      <c r="I314" s="249"/>
      <c r="J314" s="250"/>
      <c r="K314" s="251"/>
      <c r="L314" s="252"/>
      <c r="M314" s="249"/>
      <c r="N314" s="250"/>
      <c r="O314" s="251"/>
      <c r="P314" s="252"/>
      <c r="Q314" s="249"/>
      <c r="R314" s="250"/>
      <c r="S314" s="251"/>
      <c r="T314" s="252"/>
      <c r="U314" s="249"/>
      <c r="V314" s="250"/>
      <c r="W314" s="251"/>
      <c r="X314" s="252"/>
      <c r="Y314" s="249"/>
      <c r="Z314" s="250"/>
      <c r="AA314" s="251"/>
      <c r="AB314" s="252"/>
      <c r="AC314" s="249"/>
      <c r="AD314" s="250"/>
      <c r="AE314" s="251"/>
      <c r="AF314" s="252"/>
      <c r="AG314" s="253"/>
      <c r="AH314" s="254"/>
      <c r="AI314" s="255"/>
      <c r="AJ314" s="256"/>
    </row>
    <row r="315" spans="1:36" s="106" customFormat="1" x14ac:dyDescent="0.25">
      <c r="A315" s="107" t="str">
        <f>IF(H315&lt;&gt;"",MAX($A$7:A314)+1,"")</f>
        <v/>
      </c>
      <c r="B315" s="244" t="str">
        <f t="shared" si="10"/>
        <v/>
      </c>
      <c r="C315" s="62" t="str">
        <f t="shared" si="11"/>
        <v/>
      </c>
      <c r="D315" s="246"/>
      <c r="E315" s="247"/>
      <c r="F315" s="247"/>
      <c r="G315" s="248"/>
      <c r="H315" s="241"/>
      <c r="I315" s="249"/>
      <c r="J315" s="250"/>
      <c r="K315" s="251"/>
      <c r="L315" s="252"/>
      <c r="M315" s="249"/>
      <c r="N315" s="250"/>
      <c r="O315" s="251"/>
      <c r="P315" s="252"/>
      <c r="Q315" s="249"/>
      <c r="R315" s="250"/>
      <c r="S315" s="251"/>
      <c r="T315" s="252"/>
      <c r="U315" s="249"/>
      <c r="V315" s="250"/>
      <c r="W315" s="251"/>
      <c r="X315" s="252"/>
      <c r="Y315" s="249"/>
      <c r="Z315" s="250"/>
      <c r="AA315" s="251"/>
      <c r="AB315" s="252"/>
      <c r="AC315" s="249"/>
      <c r="AD315" s="250"/>
      <c r="AE315" s="251"/>
      <c r="AF315" s="252"/>
      <c r="AG315" s="253"/>
      <c r="AH315" s="254"/>
      <c r="AI315" s="255"/>
      <c r="AJ315" s="256"/>
    </row>
    <row r="316" spans="1:36" s="106" customFormat="1" x14ac:dyDescent="0.25">
      <c r="A316" s="107" t="str">
        <f>IF(H316&lt;&gt;"",MAX($A$7:A315)+1,"")</f>
        <v/>
      </c>
      <c r="B316" s="244" t="str">
        <f t="shared" si="10"/>
        <v/>
      </c>
      <c r="C316" s="62" t="str">
        <f t="shared" si="11"/>
        <v/>
      </c>
      <c r="D316" s="246"/>
      <c r="E316" s="247"/>
      <c r="F316" s="247"/>
      <c r="G316" s="248"/>
      <c r="H316" s="241"/>
      <c r="I316" s="249"/>
      <c r="J316" s="250"/>
      <c r="K316" s="251"/>
      <c r="L316" s="252"/>
      <c r="M316" s="249"/>
      <c r="N316" s="250"/>
      <c r="O316" s="251"/>
      <c r="P316" s="252"/>
      <c r="Q316" s="249"/>
      <c r="R316" s="250"/>
      <c r="S316" s="251"/>
      <c r="T316" s="252"/>
      <c r="U316" s="249"/>
      <c r="V316" s="250"/>
      <c r="W316" s="251"/>
      <c r="X316" s="252"/>
      <c r="Y316" s="249"/>
      <c r="Z316" s="250"/>
      <c r="AA316" s="251"/>
      <c r="AB316" s="252"/>
      <c r="AC316" s="249"/>
      <c r="AD316" s="250"/>
      <c r="AE316" s="251"/>
      <c r="AF316" s="252"/>
      <c r="AG316" s="253"/>
      <c r="AH316" s="254"/>
      <c r="AI316" s="255"/>
      <c r="AJ316" s="256"/>
    </row>
    <row r="317" spans="1:36" s="106" customFormat="1" x14ac:dyDescent="0.25">
      <c r="A317" s="107" t="str">
        <f>IF(H317&lt;&gt;"",MAX($A$7:A316)+1,"")</f>
        <v/>
      </c>
      <c r="B317" s="244" t="str">
        <f t="shared" si="10"/>
        <v/>
      </c>
      <c r="C317" s="62" t="str">
        <f t="shared" si="11"/>
        <v/>
      </c>
      <c r="D317" s="246"/>
      <c r="E317" s="247"/>
      <c r="F317" s="247"/>
      <c r="G317" s="248"/>
      <c r="H317" s="241"/>
      <c r="I317" s="249"/>
      <c r="J317" s="250"/>
      <c r="K317" s="251"/>
      <c r="L317" s="252"/>
      <c r="M317" s="249"/>
      <c r="N317" s="250"/>
      <c r="O317" s="251"/>
      <c r="P317" s="252"/>
      <c r="Q317" s="249"/>
      <c r="R317" s="250"/>
      <c r="S317" s="251"/>
      <c r="T317" s="252"/>
      <c r="U317" s="249"/>
      <c r="V317" s="250"/>
      <c r="W317" s="251"/>
      <c r="X317" s="252"/>
      <c r="Y317" s="249"/>
      <c r="Z317" s="250"/>
      <c r="AA317" s="251"/>
      <c r="AB317" s="252"/>
      <c r="AC317" s="249"/>
      <c r="AD317" s="250"/>
      <c r="AE317" s="251"/>
      <c r="AF317" s="252"/>
      <c r="AG317" s="253"/>
      <c r="AH317" s="254"/>
      <c r="AI317" s="255"/>
      <c r="AJ317" s="256"/>
    </row>
    <row r="318" spans="1:36" s="106" customFormat="1" x14ac:dyDescent="0.25">
      <c r="A318" s="107" t="str">
        <f>IF(H318&lt;&gt;"",MAX($A$7:A317)+1,"")</f>
        <v/>
      </c>
      <c r="B318" s="244" t="str">
        <f t="shared" si="10"/>
        <v/>
      </c>
      <c r="C318" s="62" t="str">
        <f t="shared" si="11"/>
        <v/>
      </c>
      <c r="D318" s="246"/>
      <c r="E318" s="247"/>
      <c r="F318" s="247"/>
      <c r="G318" s="248"/>
      <c r="H318" s="241"/>
      <c r="I318" s="249"/>
      <c r="J318" s="250"/>
      <c r="K318" s="251"/>
      <c r="L318" s="252"/>
      <c r="M318" s="249"/>
      <c r="N318" s="250"/>
      <c r="O318" s="251"/>
      <c r="P318" s="252"/>
      <c r="Q318" s="249"/>
      <c r="R318" s="250"/>
      <c r="S318" s="251"/>
      <c r="T318" s="252"/>
      <c r="U318" s="249"/>
      <c r="V318" s="250"/>
      <c r="W318" s="251"/>
      <c r="X318" s="252"/>
      <c r="Y318" s="249"/>
      <c r="Z318" s="250"/>
      <c r="AA318" s="251"/>
      <c r="AB318" s="252"/>
      <c r="AC318" s="249"/>
      <c r="AD318" s="250"/>
      <c r="AE318" s="251"/>
      <c r="AF318" s="252"/>
      <c r="AG318" s="253"/>
      <c r="AH318" s="254"/>
      <c r="AI318" s="255"/>
      <c r="AJ318" s="256"/>
    </row>
    <row r="319" spans="1:36" s="106" customFormat="1" x14ac:dyDescent="0.25">
      <c r="A319" s="107" t="str">
        <f>IF(H319&lt;&gt;"",MAX($A$7:A318)+1,"")</f>
        <v/>
      </c>
      <c r="B319" s="244" t="str">
        <f t="shared" si="10"/>
        <v/>
      </c>
      <c r="C319" s="62" t="str">
        <f t="shared" si="11"/>
        <v/>
      </c>
      <c r="D319" s="246"/>
      <c r="E319" s="247"/>
      <c r="F319" s="247"/>
      <c r="G319" s="248"/>
      <c r="H319" s="241"/>
      <c r="I319" s="249"/>
      <c r="J319" s="250"/>
      <c r="K319" s="251"/>
      <c r="L319" s="252"/>
      <c r="M319" s="249"/>
      <c r="N319" s="250"/>
      <c r="O319" s="251"/>
      <c r="P319" s="252"/>
      <c r="Q319" s="249"/>
      <c r="R319" s="250"/>
      <c r="S319" s="251"/>
      <c r="T319" s="252"/>
      <c r="U319" s="249"/>
      <c r="V319" s="250"/>
      <c r="W319" s="251"/>
      <c r="X319" s="252"/>
      <c r="Y319" s="249"/>
      <c r="Z319" s="250"/>
      <c r="AA319" s="251"/>
      <c r="AB319" s="252"/>
      <c r="AC319" s="249"/>
      <c r="AD319" s="250"/>
      <c r="AE319" s="251"/>
      <c r="AF319" s="252"/>
      <c r="AG319" s="253"/>
      <c r="AH319" s="254"/>
      <c r="AI319" s="255"/>
      <c r="AJ319" s="256"/>
    </row>
    <row r="320" spans="1:36" s="106" customFormat="1" x14ac:dyDescent="0.25">
      <c r="A320" s="107" t="str">
        <f>IF(H320&lt;&gt;"",MAX($A$7:A319)+1,"")</f>
        <v/>
      </c>
      <c r="B320" s="244" t="str">
        <f t="shared" si="10"/>
        <v/>
      </c>
      <c r="C320" s="62" t="str">
        <f t="shared" si="11"/>
        <v/>
      </c>
      <c r="D320" s="246"/>
      <c r="E320" s="247"/>
      <c r="F320" s="247"/>
      <c r="G320" s="248"/>
      <c r="H320" s="241"/>
      <c r="I320" s="249"/>
      <c r="J320" s="250"/>
      <c r="K320" s="251"/>
      <c r="L320" s="252"/>
      <c r="M320" s="249"/>
      <c r="N320" s="250"/>
      <c r="O320" s="251"/>
      <c r="P320" s="252"/>
      <c r="Q320" s="249"/>
      <c r="R320" s="250"/>
      <c r="S320" s="251"/>
      <c r="T320" s="252"/>
      <c r="U320" s="249"/>
      <c r="V320" s="250"/>
      <c r="W320" s="251"/>
      <c r="X320" s="252"/>
      <c r="Y320" s="249"/>
      <c r="Z320" s="250"/>
      <c r="AA320" s="251"/>
      <c r="AB320" s="252"/>
      <c r="AC320" s="249"/>
      <c r="AD320" s="250"/>
      <c r="AE320" s="251"/>
      <c r="AF320" s="252"/>
      <c r="AG320" s="253"/>
      <c r="AH320" s="254"/>
      <c r="AI320" s="255"/>
      <c r="AJ320" s="256"/>
    </row>
    <row r="321" spans="1:36" s="106" customFormat="1" x14ac:dyDescent="0.25">
      <c r="A321" s="107" t="str">
        <f>IF(H321&lt;&gt;"",MAX($A$7:A320)+1,"")</f>
        <v/>
      </c>
      <c r="B321" s="244" t="str">
        <f t="shared" si="10"/>
        <v/>
      </c>
      <c r="C321" s="62" t="str">
        <f t="shared" si="11"/>
        <v/>
      </c>
      <c r="D321" s="246"/>
      <c r="E321" s="247"/>
      <c r="F321" s="247"/>
      <c r="G321" s="248"/>
      <c r="H321" s="241"/>
      <c r="I321" s="249"/>
      <c r="J321" s="250"/>
      <c r="K321" s="251"/>
      <c r="L321" s="252"/>
      <c r="M321" s="249"/>
      <c r="N321" s="250"/>
      <c r="O321" s="251"/>
      <c r="P321" s="252"/>
      <c r="Q321" s="249"/>
      <c r="R321" s="250"/>
      <c r="S321" s="251"/>
      <c r="T321" s="252"/>
      <c r="U321" s="249"/>
      <c r="V321" s="250"/>
      <c r="W321" s="251"/>
      <c r="X321" s="252"/>
      <c r="Y321" s="249"/>
      <c r="Z321" s="250"/>
      <c r="AA321" s="251"/>
      <c r="AB321" s="252"/>
      <c r="AC321" s="249"/>
      <c r="AD321" s="250"/>
      <c r="AE321" s="251"/>
      <c r="AF321" s="252"/>
      <c r="AG321" s="253"/>
      <c r="AH321" s="254"/>
      <c r="AI321" s="255"/>
      <c r="AJ321" s="256"/>
    </row>
    <row r="322" spans="1:36" s="106" customFormat="1" x14ac:dyDescent="0.25">
      <c r="A322" s="107" t="str">
        <f>IF(H322&lt;&gt;"",MAX($A$7:A321)+1,"")</f>
        <v/>
      </c>
      <c r="B322" s="244" t="str">
        <f t="shared" si="10"/>
        <v/>
      </c>
      <c r="C322" s="62" t="str">
        <f t="shared" si="11"/>
        <v/>
      </c>
      <c r="D322" s="246"/>
      <c r="E322" s="247"/>
      <c r="F322" s="247"/>
      <c r="G322" s="248"/>
      <c r="H322" s="241"/>
      <c r="I322" s="249"/>
      <c r="J322" s="250"/>
      <c r="K322" s="251"/>
      <c r="L322" s="252"/>
      <c r="M322" s="249"/>
      <c r="N322" s="250"/>
      <c r="O322" s="251"/>
      <c r="P322" s="252"/>
      <c r="Q322" s="249"/>
      <c r="R322" s="250"/>
      <c r="S322" s="251"/>
      <c r="T322" s="252"/>
      <c r="U322" s="249"/>
      <c r="V322" s="250"/>
      <c r="W322" s="251"/>
      <c r="X322" s="252"/>
      <c r="Y322" s="249"/>
      <c r="Z322" s="250"/>
      <c r="AA322" s="251"/>
      <c r="AB322" s="252"/>
      <c r="AC322" s="249"/>
      <c r="AD322" s="250"/>
      <c r="AE322" s="251"/>
      <c r="AF322" s="252"/>
      <c r="AG322" s="253"/>
      <c r="AH322" s="254"/>
      <c r="AI322" s="255"/>
      <c r="AJ322" s="256"/>
    </row>
    <row r="323" spans="1:36" s="106" customFormat="1" x14ac:dyDescent="0.25">
      <c r="A323" s="107" t="str">
        <f>IF(H323&lt;&gt;"",MAX($A$7:A322)+1,"")</f>
        <v/>
      </c>
      <c r="B323" s="244" t="str">
        <f t="shared" si="10"/>
        <v/>
      </c>
      <c r="C323" s="62" t="str">
        <f t="shared" si="11"/>
        <v/>
      </c>
      <c r="D323" s="246"/>
      <c r="E323" s="247"/>
      <c r="F323" s="247"/>
      <c r="G323" s="248"/>
      <c r="H323" s="241"/>
      <c r="I323" s="249"/>
      <c r="J323" s="250"/>
      <c r="K323" s="251"/>
      <c r="L323" s="252"/>
      <c r="M323" s="249"/>
      <c r="N323" s="250"/>
      <c r="O323" s="251"/>
      <c r="P323" s="252"/>
      <c r="Q323" s="249"/>
      <c r="R323" s="250"/>
      <c r="S323" s="251"/>
      <c r="T323" s="252"/>
      <c r="U323" s="249"/>
      <c r="V323" s="250"/>
      <c r="W323" s="251"/>
      <c r="X323" s="252"/>
      <c r="Y323" s="249"/>
      <c r="Z323" s="250"/>
      <c r="AA323" s="251"/>
      <c r="AB323" s="252"/>
      <c r="AC323" s="249"/>
      <c r="AD323" s="250"/>
      <c r="AE323" s="251"/>
      <c r="AF323" s="252"/>
      <c r="AG323" s="253"/>
      <c r="AH323" s="254"/>
      <c r="AI323" s="255"/>
      <c r="AJ323" s="256"/>
    </row>
    <row r="324" spans="1:36" s="106" customFormat="1" x14ac:dyDescent="0.25">
      <c r="A324" s="107" t="str">
        <f>IF(H324&lt;&gt;"",MAX($A$7:A323)+1,"")</f>
        <v/>
      </c>
      <c r="B324" s="244" t="str">
        <f t="shared" si="10"/>
        <v/>
      </c>
      <c r="C324" s="62" t="str">
        <f t="shared" si="11"/>
        <v/>
      </c>
      <c r="D324" s="246"/>
      <c r="E324" s="247"/>
      <c r="F324" s="247"/>
      <c r="G324" s="248"/>
      <c r="H324" s="241"/>
      <c r="I324" s="249"/>
      <c r="J324" s="250"/>
      <c r="K324" s="251"/>
      <c r="L324" s="252"/>
      <c r="M324" s="249"/>
      <c r="N324" s="250"/>
      <c r="O324" s="251"/>
      <c r="P324" s="252"/>
      <c r="Q324" s="249"/>
      <c r="R324" s="250"/>
      <c r="S324" s="251"/>
      <c r="T324" s="252"/>
      <c r="U324" s="249"/>
      <c r="V324" s="250"/>
      <c r="W324" s="251"/>
      <c r="X324" s="252"/>
      <c r="Y324" s="249"/>
      <c r="Z324" s="250"/>
      <c r="AA324" s="251"/>
      <c r="AB324" s="252"/>
      <c r="AC324" s="249"/>
      <c r="AD324" s="250"/>
      <c r="AE324" s="251"/>
      <c r="AF324" s="252"/>
      <c r="AG324" s="253"/>
      <c r="AH324" s="254"/>
      <c r="AI324" s="255"/>
      <c r="AJ324" s="256"/>
    </row>
    <row r="325" spans="1:36" s="106" customFormat="1" x14ac:dyDescent="0.25">
      <c r="A325" s="107" t="str">
        <f>IF(H325&lt;&gt;"",MAX($A$7:A324)+1,"")</f>
        <v/>
      </c>
      <c r="B325" s="244" t="str">
        <f t="shared" si="10"/>
        <v/>
      </c>
      <c r="C325" s="62" t="str">
        <f t="shared" si="11"/>
        <v/>
      </c>
      <c r="D325" s="246"/>
      <c r="E325" s="247"/>
      <c r="F325" s="247"/>
      <c r="G325" s="248"/>
      <c r="H325" s="241"/>
      <c r="I325" s="249"/>
      <c r="J325" s="250"/>
      <c r="K325" s="251"/>
      <c r="L325" s="252"/>
      <c r="M325" s="249"/>
      <c r="N325" s="250"/>
      <c r="O325" s="251"/>
      <c r="P325" s="252"/>
      <c r="Q325" s="249"/>
      <c r="R325" s="250"/>
      <c r="S325" s="251"/>
      <c r="T325" s="252"/>
      <c r="U325" s="249"/>
      <c r="V325" s="250"/>
      <c r="W325" s="251"/>
      <c r="X325" s="252"/>
      <c r="Y325" s="249"/>
      <c r="Z325" s="250"/>
      <c r="AA325" s="251"/>
      <c r="AB325" s="252"/>
      <c r="AC325" s="249"/>
      <c r="AD325" s="250"/>
      <c r="AE325" s="251"/>
      <c r="AF325" s="252"/>
      <c r="AG325" s="253"/>
      <c r="AH325" s="254"/>
      <c r="AI325" s="255"/>
      <c r="AJ325" s="256"/>
    </row>
    <row r="326" spans="1:36" s="106" customFormat="1" x14ac:dyDescent="0.25">
      <c r="A326" s="107" t="str">
        <f>IF(H326&lt;&gt;"",MAX($A$7:A325)+1,"")</f>
        <v/>
      </c>
      <c r="B326" s="244" t="str">
        <f t="shared" si="10"/>
        <v/>
      </c>
      <c r="C326" s="62" t="str">
        <f t="shared" si="11"/>
        <v/>
      </c>
      <c r="D326" s="246"/>
      <c r="E326" s="247"/>
      <c r="F326" s="247"/>
      <c r="G326" s="248"/>
      <c r="H326" s="241"/>
      <c r="I326" s="249"/>
      <c r="J326" s="250"/>
      <c r="K326" s="251"/>
      <c r="L326" s="252"/>
      <c r="M326" s="249"/>
      <c r="N326" s="250"/>
      <c r="O326" s="251"/>
      <c r="P326" s="252"/>
      <c r="Q326" s="249"/>
      <c r="R326" s="250"/>
      <c r="S326" s="251"/>
      <c r="T326" s="252"/>
      <c r="U326" s="249"/>
      <c r="V326" s="250"/>
      <c r="W326" s="251"/>
      <c r="X326" s="252"/>
      <c r="Y326" s="249"/>
      <c r="Z326" s="250"/>
      <c r="AA326" s="251"/>
      <c r="AB326" s="252"/>
      <c r="AC326" s="249"/>
      <c r="AD326" s="250"/>
      <c r="AE326" s="251"/>
      <c r="AF326" s="252"/>
      <c r="AG326" s="253"/>
      <c r="AH326" s="254"/>
      <c r="AI326" s="255"/>
      <c r="AJ326" s="256"/>
    </row>
    <row r="327" spans="1:36" s="106" customFormat="1" x14ac:dyDescent="0.25">
      <c r="A327" s="107" t="str">
        <f>IF(H327&lt;&gt;"",MAX($A$7:A326)+1,"")</f>
        <v/>
      </c>
      <c r="B327" s="244" t="str">
        <f t="shared" ref="B327:B390" si="12">IF(A327="","",PREF_PREGUNTA&amp;" - "&amp;IF(MAX($A$7:$A$156)&gt;99,IF(A327&lt;100,"0",""),"")&amp;IF(A327&lt;10,"0","")&amp;A327&amp;IF(G327&lt;&gt;""," "&amp;G327,""))</f>
        <v/>
      </c>
      <c r="C327" s="62" t="str">
        <f t="shared" ref="C327:C390" si="13">IF(COUNTA(I327:N327)-D327=0,"",COUNTA(I327:N327)-D327)</f>
        <v/>
      </c>
      <c r="D327" s="246"/>
      <c r="E327" s="247"/>
      <c r="F327" s="247"/>
      <c r="G327" s="248"/>
      <c r="H327" s="241"/>
      <c r="I327" s="249"/>
      <c r="J327" s="250"/>
      <c r="K327" s="251"/>
      <c r="L327" s="252"/>
      <c r="M327" s="249"/>
      <c r="N327" s="250"/>
      <c r="O327" s="251"/>
      <c r="P327" s="252"/>
      <c r="Q327" s="249"/>
      <c r="R327" s="250"/>
      <c r="S327" s="251"/>
      <c r="T327" s="252"/>
      <c r="U327" s="249"/>
      <c r="V327" s="250"/>
      <c r="W327" s="251"/>
      <c r="X327" s="252"/>
      <c r="Y327" s="249"/>
      <c r="Z327" s="250"/>
      <c r="AA327" s="251"/>
      <c r="AB327" s="252"/>
      <c r="AC327" s="249"/>
      <c r="AD327" s="250"/>
      <c r="AE327" s="251"/>
      <c r="AF327" s="252"/>
      <c r="AG327" s="253"/>
      <c r="AH327" s="254"/>
      <c r="AI327" s="255"/>
      <c r="AJ327" s="256"/>
    </row>
    <row r="328" spans="1:36" s="106" customFormat="1" x14ac:dyDescent="0.25">
      <c r="A328" s="107" t="str">
        <f>IF(H328&lt;&gt;"",MAX($A$7:A327)+1,"")</f>
        <v/>
      </c>
      <c r="B328" s="244" t="str">
        <f t="shared" si="12"/>
        <v/>
      </c>
      <c r="C328" s="62" t="str">
        <f t="shared" si="13"/>
        <v/>
      </c>
      <c r="D328" s="246"/>
      <c r="E328" s="247"/>
      <c r="F328" s="247"/>
      <c r="G328" s="248"/>
      <c r="H328" s="241"/>
      <c r="I328" s="249"/>
      <c r="J328" s="250"/>
      <c r="K328" s="251"/>
      <c r="L328" s="252"/>
      <c r="M328" s="249"/>
      <c r="N328" s="250"/>
      <c r="O328" s="251"/>
      <c r="P328" s="252"/>
      <c r="Q328" s="249"/>
      <c r="R328" s="250"/>
      <c r="S328" s="251"/>
      <c r="T328" s="252"/>
      <c r="U328" s="249"/>
      <c r="V328" s="250"/>
      <c r="W328" s="251"/>
      <c r="X328" s="252"/>
      <c r="Y328" s="249"/>
      <c r="Z328" s="250"/>
      <c r="AA328" s="251"/>
      <c r="AB328" s="252"/>
      <c r="AC328" s="249"/>
      <c r="AD328" s="250"/>
      <c r="AE328" s="251"/>
      <c r="AF328" s="252"/>
      <c r="AG328" s="253"/>
      <c r="AH328" s="254"/>
      <c r="AI328" s="255"/>
      <c r="AJ328" s="256"/>
    </row>
    <row r="329" spans="1:36" s="106" customFormat="1" x14ac:dyDescent="0.25">
      <c r="A329" s="107" t="str">
        <f>IF(H329&lt;&gt;"",MAX($A$7:A328)+1,"")</f>
        <v/>
      </c>
      <c r="B329" s="244" t="str">
        <f t="shared" si="12"/>
        <v/>
      </c>
      <c r="C329" s="62" t="str">
        <f t="shared" si="13"/>
        <v/>
      </c>
      <c r="D329" s="246"/>
      <c r="E329" s="247"/>
      <c r="F329" s="247"/>
      <c r="G329" s="248"/>
      <c r="H329" s="241"/>
      <c r="I329" s="249"/>
      <c r="J329" s="250"/>
      <c r="K329" s="251"/>
      <c r="L329" s="252"/>
      <c r="M329" s="249"/>
      <c r="N329" s="250"/>
      <c r="O329" s="251"/>
      <c r="P329" s="252"/>
      <c r="Q329" s="249"/>
      <c r="R329" s="250"/>
      <c r="S329" s="251"/>
      <c r="T329" s="252"/>
      <c r="U329" s="249"/>
      <c r="V329" s="250"/>
      <c r="W329" s="251"/>
      <c r="X329" s="252"/>
      <c r="Y329" s="249"/>
      <c r="Z329" s="250"/>
      <c r="AA329" s="251"/>
      <c r="AB329" s="252"/>
      <c r="AC329" s="249"/>
      <c r="AD329" s="250"/>
      <c r="AE329" s="251"/>
      <c r="AF329" s="252"/>
      <c r="AG329" s="253"/>
      <c r="AH329" s="254"/>
      <c r="AI329" s="255"/>
      <c r="AJ329" s="256"/>
    </row>
    <row r="330" spans="1:36" s="106" customFormat="1" x14ac:dyDescent="0.25">
      <c r="A330" s="107" t="str">
        <f>IF(H330&lt;&gt;"",MAX($A$7:A329)+1,"")</f>
        <v/>
      </c>
      <c r="B330" s="244" t="str">
        <f t="shared" si="12"/>
        <v/>
      </c>
      <c r="C330" s="62" t="str">
        <f t="shared" si="13"/>
        <v/>
      </c>
      <c r="D330" s="246"/>
      <c r="E330" s="247"/>
      <c r="F330" s="247"/>
      <c r="G330" s="248"/>
      <c r="H330" s="241"/>
      <c r="I330" s="249"/>
      <c r="J330" s="250"/>
      <c r="K330" s="251"/>
      <c r="L330" s="252"/>
      <c r="M330" s="249"/>
      <c r="N330" s="250"/>
      <c r="O330" s="251"/>
      <c r="P330" s="252"/>
      <c r="Q330" s="249"/>
      <c r="R330" s="250"/>
      <c r="S330" s="251"/>
      <c r="T330" s="252"/>
      <c r="U330" s="249"/>
      <c r="V330" s="250"/>
      <c r="W330" s="251"/>
      <c r="X330" s="252"/>
      <c r="Y330" s="249"/>
      <c r="Z330" s="250"/>
      <c r="AA330" s="251"/>
      <c r="AB330" s="252"/>
      <c r="AC330" s="249"/>
      <c r="AD330" s="250"/>
      <c r="AE330" s="251"/>
      <c r="AF330" s="252"/>
      <c r="AG330" s="253"/>
      <c r="AH330" s="254"/>
      <c r="AI330" s="255"/>
      <c r="AJ330" s="256"/>
    </row>
    <row r="331" spans="1:36" s="106" customFormat="1" x14ac:dyDescent="0.25">
      <c r="A331" s="107" t="str">
        <f>IF(H331&lt;&gt;"",MAX($A$7:A330)+1,"")</f>
        <v/>
      </c>
      <c r="B331" s="244" t="str">
        <f t="shared" si="12"/>
        <v/>
      </c>
      <c r="C331" s="62" t="str">
        <f t="shared" si="13"/>
        <v/>
      </c>
      <c r="D331" s="246"/>
      <c r="E331" s="247"/>
      <c r="F331" s="247"/>
      <c r="G331" s="248"/>
      <c r="H331" s="241"/>
      <c r="I331" s="249"/>
      <c r="J331" s="250"/>
      <c r="K331" s="251"/>
      <c r="L331" s="252"/>
      <c r="M331" s="249"/>
      <c r="N331" s="250"/>
      <c r="O331" s="251"/>
      <c r="P331" s="252"/>
      <c r="Q331" s="249"/>
      <c r="R331" s="250"/>
      <c r="S331" s="251"/>
      <c r="T331" s="252"/>
      <c r="U331" s="249"/>
      <c r="V331" s="250"/>
      <c r="W331" s="251"/>
      <c r="X331" s="252"/>
      <c r="Y331" s="249"/>
      <c r="Z331" s="250"/>
      <c r="AA331" s="251"/>
      <c r="AB331" s="252"/>
      <c r="AC331" s="249"/>
      <c r="AD331" s="250"/>
      <c r="AE331" s="251"/>
      <c r="AF331" s="252"/>
      <c r="AG331" s="253"/>
      <c r="AH331" s="254"/>
      <c r="AI331" s="255"/>
      <c r="AJ331" s="256"/>
    </row>
    <row r="332" spans="1:36" s="106" customFormat="1" x14ac:dyDescent="0.25">
      <c r="A332" s="107" t="str">
        <f>IF(H332&lt;&gt;"",MAX($A$7:A331)+1,"")</f>
        <v/>
      </c>
      <c r="B332" s="244" t="str">
        <f t="shared" si="12"/>
        <v/>
      </c>
      <c r="C332" s="62" t="str">
        <f t="shared" si="13"/>
        <v/>
      </c>
      <c r="D332" s="246"/>
      <c r="E332" s="247"/>
      <c r="F332" s="247"/>
      <c r="G332" s="248"/>
      <c r="H332" s="241"/>
      <c r="I332" s="249"/>
      <c r="J332" s="250"/>
      <c r="K332" s="251"/>
      <c r="L332" s="252"/>
      <c r="M332" s="249"/>
      <c r="N332" s="250"/>
      <c r="O332" s="251"/>
      <c r="P332" s="252"/>
      <c r="Q332" s="249"/>
      <c r="R332" s="250"/>
      <c r="S332" s="251"/>
      <c r="T332" s="252"/>
      <c r="U332" s="249"/>
      <c r="V332" s="250"/>
      <c r="W332" s="251"/>
      <c r="X332" s="252"/>
      <c r="Y332" s="249"/>
      <c r="Z332" s="250"/>
      <c r="AA332" s="251"/>
      <c r="AB332" s="252"/>
      <c r="AC332" s="249"/>
      <c r="AD332" s="250"/>
      <c r="AE332" s="251"/>
      <c r="AF332" s="252"/>
      <c r="AG332" s="253"/>
      <c r="AH332" s="254"/>
      <c r="AI332" s="255"/>
      <c r="AJ332" s="256"/>
    </row>
    <row r="333" spans="1:36" s="106" customFormat="1" x14ac:dyDescent="0.25">
      <c r="A333" s="107" t="str">
        <f>IF(H333&lt;&gt;"",MAX($A$7:A332)+1,"")</f>
        <v/>
      </c>
      <c r="B333" s="244" t="str">
        <f t="shared" si="12"/>
        <v/>
      </c>
      <c r="C333" s="62" t="str">
        <f t="shared" si="13"/>
        <v/>
      </c>
      <c r="D333" s="246"/>
      <c r="E333" s="247"/>
      <c r="F333" s="247"/>
      <c r="G333" s="248"/>
      <c r="H333" s="241"/>
      <c r="I333" s="249"/>
      <c r="J333" s="250"/>
      <c r="K333" s="251"/>
      <c r="L333" s="252"/>
      <c r="M333" s="249"/>
      <c r="N333" s="250"/>
      <c r="O333" s="251"/>
      <c r="P333" s="252"/>
      <c r="Q333" s="249"/>
      <c r="R333" s="250"/>
      <c r="S333" s="251"/>
      <c r="T333" s="252"/>
      <c r="U333" s="249"/>
      <c r="V333" s="250"/>
      <c r="W333" s="251"/>
      <c r="X333" s="252"/>
      <c r="Y333" s="249"/>
      <c r="Z333" s="250"/>
      <c r="AA333" s="251"/>
      <c r="AB333" s="252"/>
      <c r="AC333" s="249"/>
      <c r="AD333" s="250"/>
      <c r="AE333" s="251"/>
      <c r="AF333" s="252"/>
      <c r="AG333" s="253"/>
      <c r="AH333" s="254"/>
      <c r="AI333" s="255"/>
      <c r="AJ333" s="256"/>
    </row>
    <row r="334" spans="1:36" s="106" customFormat="1" x14ac:dyDescent="0.25">
      <c r="A334" s="107" t="str">
        <f>IF(H334&lt;&gt;"",MAX($A$7:A333)+1,"")</f>
        <v/>
      </c>
      <c r="B334" s="244" t="str">
        <f t="shared" si="12"/>
        <v/>
      </c>
      <c r="C334" s="62" t="str">
        <f t="shared" si="13"/>
        <v/>
      </c>
      <c r="D334" s="246"/>
      <c r="E334" s="247"/>
      <c r="F334" s="247"/>
      <c r="G334" s="248"/>
      <c r="H334" s="241"/>
      <c r="I334" s="249"/>
      <c r="J334" s="250"/>
      <c r="K334" s="251"/>
      <c r="L334" s="252"/>
      <c r="M334" s="249"/>
      <c r="N334" s="250"/>
      <c r="O334" s="251"/>
      <c r="P334" s="252"/>
      <c r="Q334" s="249"/>
      <c r="R334" s="250"/>
      <c r="S334" s="251"/>
      <c r="T334" s="252"/>
      <c r="U334" s="249"/>
      <c r="V334" s="250"/>
      <c r="W334" s="251"/>
      <c r="X334" s="252"/>
      <c r="Y334" s="249"/>
      <c r="Z334" s="250"/>
      <c r="AA334" s="251"/>
      <c r="AB334" s="252"/>
      <c r="AC334" s="249"/>
      <c r="AD334" s="250"/>
      <c r="AE334" s="251"/>
      <c r="AF334" s="252"/>
      <c r="AG334" s="253"/>
      <c r="AH334" s="254"/>
      <c r="AI334" s="255"/>
      <c r="AJ334" s="256"/>
    </row>
    <row r="335" spans="1:36" s="106" customFormat="1" x14ac:dyDescent="0.25">
      <c r="A335" s="107" t="str">
        <f>IF(H335&lt;&gt;"",MAX($A$7:A334)+1,"")</f>
        <v/>
      </c>
      <c r="B335" s="244" t="str">
        <f t="shared" si="12"/>
        <v/>
      </c>
      <c r="C335" s="62" t="str">
        <f t="shared" si="13"/>
        <v/>
      </c>
      <c r="D335" s="246"/>
      <c r="E335" s="247"/>
      <c r="F335" s="247"/>
      <c r="G335" s="248"/>
      <c r="H335" s="241"/>
      <c r="I335" s="249"/>
      <c r="J335" s="250"/>
      <c r="K335" s="251"/>
      <c r="L335" s="252"/>
      <c r="M335" s="249"/>
      <c r="N335" s="250"/>
      <c r="O335" s="251"/>
      <c r="P335" s="252"/>
      <c r="Q335" s="249"/>
      <c r="R335" s="250"/>
      <c r="S335" s="251"/>
      <c r="T335" s="252"/>
      <c r="U335" s="249"/>
      <c r="V335" s="250"/>
      <c r="W335" s="251"/>
      <c r="X335" s="252"/>
      <c r="Y335" s="249"/>
      <c r="Z335" s="250"/>
      <c r="AA335" s="251"/>
      <c r="AB335" s="252"/>
      <c r="AC335" s="249"/>
      <c r="AD335" s="250"/>
      <c r="AE335" s="251"/>
      <c r="AF335" s="252"/>
      <c r="AG335" s="253"/>
      <c r="AH335" s="254"/>
      <c r="AI335" s="255"/>
      <c r="AJ335" s="256"/>
    </row>
    <row r="336" spans="1:36" s="106" customFormat="1" x14ac:dyDescent="0.25">
      <c r="A336" s="107" t="str">
        <f>IF(H336&lt;&gt;"",MAX($A$7:A335)+1,"")</f>
        <v/>
      </c>
      <c r="B336" s="244" t="str">
        <f t="shared" si="12"/>
        <v/>
      </c>
      <c r="C336" s="62" t="str">
        <f t="shared" si="13"/>
        <v/>
      </c>
      <c r="D336" s="246"/>
      <c r="E336" s="247"/>
      <c r="F336" s="247"/>
      <c r="G336" s="248"/>
      <c r="H336" s="241"/>
      <c r="I336" s="249"/>
      <c r="J336" s="250"/>
      <c r="K336" s="251"/>
      <c r="L336" s="252"/>
      <c r="M336" s="249"/>
      <c r="N336" s="250"/>
      <c r="O336" s="251"/>
      <c r="P336" s="252"/>
      <c r="Q336" s="249"/>
      <c r="R336" s="250"/>
      <c r="S336" s="251"/>
      <c r="T336" s="252"/>
      <c r="U336" s="249"/>
      <c r="V336" s="250"/>
      <c r="W336" s="251"/>
      <c r="X336" s="252"/>
      <c r="Y336" s="249"/>
      <c r="Z336" s="250"/>
      <c r="AA336" s="251"/>
      <c r="AB336" s="252"/>
      <c r="AC336" s="249"/>
      <c r="AD336" s="250"/>
      <c r="AE336" s="251"/>
      <c r="AF336" s="252"/>
      <c r="AG336" s="253"/>
      <c r="AH336" s="254"/>
      <c r="AI336" s="255"/>
      <c r="AJ336" s="256"/>
    </row>
    <row r="337" spans="1:36" s="106" customFormat="1" x14ac:dyDescent="0.25">
      <c r="A337" s="107" t="str">
        <f>IF(H337&lt;&gt;"",MAX($A$7:A336)+1,"")</f>
        <v/>
      </c>
      <c r="B337" s="244" t="str">
        <f t="shared" si="12"/>
        <v/>
      </c>
      <c r="C337" s="62" t="str">
        <f t="shared" si="13"/>
        <v/>
      </c>
      <c r="D337" s="246"/>
      <c r="E337" s="247"/>
      <c r="F337" s="247"/>
      <c r="G337" s="248"/>
      <c r="H337" s="241"/>
      <c r="I337" s="249"/>
      <c r="J337" s="250"/>
      <c r="K337" s="251"/>
      <c r="L337" s="252"/>
      <c r="M337" s="249"/>
      <c r="N337" s="250"/>
      <c r="O337" s="251"/>
      <c r="P337" s="252"/>
      <c r="Q337" s="249"/>
      <c r="R337" s="250"/>
      <c r="S337" s="251"/>
      <c r="T337" s="252"/>
      <c r="U337" s="249"/>
      <c r="V337" s="250"/>
      <c r="W337" s="251"/>
      <c r="X337" s="252"/>
      <c r="Y337" s="249"/>
      <c r="Z337" s="250"/>
      <c r="AA337" s="251"/>
      <c r="AB337" s="252"/>
      <c r="AC337" s="249"/>
      <c r="AD337" s="250"/>
      <c r="AE337" s="251"/>
      <c r="AF337" s="252"/>
      <c r="AG337" s="253"/>
      <c r="AH337" s="254"/>
      <c r="AI337" s="255"/>
      <c r="AJ337" s="256"/>
    </row>
    <row r="338" spans="1:36" s="106" customFormat="1" x14ac:dyDescent="0.25">
      <c r="A338" s="107" t="str">
        <f>IF(H338&lt;&gt;"",MAX($A$7:A337)+1,"")</f>
        <v/>
      </c>
      <c r="B338" s="244" t="str">
        <f t="shared" si="12"/>
        <v/>
      </c>
      <c r="C338" s="62" t="str">
        <f t="shared" si="13"/>
        <v/>
      </c>
      <c r="D338" s="246"/>
      <c r="E338" s="247"/>
      <c r="F338" s="247"/>
      <c r="G338" s="248"/>
      <c r="H338" s="241"/>
      <c r="I338" s="249"/>
      <c r="J338" s="250"/>
      <c r="K338" s="251"/>
      <c r="L338" s="252"/>
      <c r="M338" s="249"/>
      <c r="N338" s="250"/>
      <c r="O338" s="251"/>
      <c r="P338" s="252"/>
      <c r="Q338" s="249"/>
      <c r="R338" s="250"/>
      <c r="S338" s="251"/>
      <c r="T338" s="252"/>
      <c r="U338" s="249"/>
      <c r="V338" s="250"/>
      <c r="W338" s="251"/>
      <c r="X338" s="252"/>
      <c r="Y338" s="249"/>
      <c r="Z338" s="250"/>
      <c r="AA338" s="251"/>
      <c r="AB338" s="252"/>
      <c r="AC338" s="249"/>
      <c r="AD338" s="250"/>
      <c r="AE338" s="251"/>
      <c r="AF338" s="252"/>
      <c r="AG338" s="253"/>
      <c r="AH338" s="254"/>
      <c r="AI338" s="255"/>
      <c r="AJ338" s="256"/>
    </row>
    <row r="339" spans="1:36" s="106" customFormat="1" x14ac:dyDescent="0.25">
      <c r="A339" s="107" t="str">
        <f>IF(H339&lt;&gt;"",MAX($A$7:A338)+1,"")</f>
        <v/>
      </c>
      <c r="B339" s="244" t="str">
        <f t="shared" si="12"/>
        <v/>
      </c>
      <c r="C339" s="62" t="str">
        <f t="shared" si="13"/>
        <v/>
      </c>
      <c r="D339" s="246"/>
      <c r="E339" s="247"/>
      <c r="F339" s="247"/>
      <c r="G339" s="248"/>
      <c r="H339" s="241"/>
      <c r="I339" s="249"/>
      <c r="J339" s="250"/>
      <c r="K339" s="251"/>
      <c r="L339" s="252"/>
      <c r="M339" s="249"/>
      <c r="N339" s="250"/>
      <c r="O339" s="251"/>
      <c r="P339" s="252"/>
      <c r="Q339" s="249"/>
      <c r="R339" s="250"/>
      <c r="S339" s="251"/>
      <c r="T339" s="252"/>
      <c r="U339" s="249"/>
      <c r="V339" s="250"/>
      <c r="W339" s="251"/>
      <c r="X339" s="252"/>
      <c r="Y339" s="249"/>
      <c r="Z339" s="250"/>
      <c r="AA339" s="251"/>
      <c r="AB339" s="252"/>
      <c r="AC339" s="249"/>
      <c r="AD339" s="250"/>
      <c r="AE339" s="251"/>
      <c r="AF339" s="252"/>
      <c r="AG339" s="253"/>
      <c r="AH339" s="254"/>
      <c r="AI339" s="255"/>
      <c r="AJ339" s="256"/>
    </row>
    <row r="340" spans="1:36" s="106" customFormat="1" x14ac:dyDescent="0.25">
      <c r="A340" s="107" t="str">
        <f>IF(H340&lt;&gt;"",MAX($A$7:A339)+1,"")</f>
        <v/>
      </c>
      <c r="B340" s="244" t="str">
        <f t="shared" si="12"/>
        <v/>
      </c>
      <c r="C340" s="62" t="str">
        <f t="shared" si="13"/>
        <v/>
      </c>
      <c r="D340" s="246"/>
      <c r="E340" s="247"/>
      <c r="F340" s="247"/>
      <c r="G340" s="248"/>
      <c r="H340" s="241"/>
      <c r="I340" s="249"/>
      <c r="J340" s="250"/>
      <c r="K340" s="251"/>
      <c r="L340" s="252"/>
      <c r="M340" s="249"/>
      <c r="N340" s="250"/>
      <c r="O340" s="251"/>
      <c r="P340" s="252"/>
      <c r="Q340" s="249"/>
      <c r="R340" s="250"/>
      <c r="S340" s="251"/>
      <c r="T340" s="252"/>
      <c r="U340" s="249"/>
      <c r="V340" s="250"/>
      <c r="W340" s="251"/>
      <c r="X340" s="252"/>
      <c r="Y340" s="249"/>
      <c r="Z340" s="250"/>
      <c r="AA340" s="251"/>
      <c r="AB340" s="252"/>
      <c r="AC340" s="249"/>
      <c r="AD340" s="250"/>
      <c r="AE340" s="251"/>
      <c r="AF340" s="252"/>
      <c r="AG340" s="253"/>
      <c r="AH340" s="254"/>
      <c r="AI340" s="255"/>
      <c r="AJ340" s="256"/>
    </row>
    <row r="341" spans="1:36" s="106" customFormat="1" x14ac:dyDescent="0.25">
      <c r="A341" s="107" t="str">
        <f>IF(H341&lt;&gt;"",MAX($A$7:A340)+1,"")</f>
        <v/>
      </c>
      <c r="B341" s="244" t="str">
        <f t="shared" si="12"/>
        <v/>
      </c>
      <c r="C341" s="62" t="str">
        <f t="shared" si="13"/>
        <v/>
      </c>
      <c r="D341" s="246"/>
      <c r="E341" s="247"/>
      <c r="F341" s="247"/>
      <c r="G341" s="248"/>
      <c r="H341" s="241"/>
      <c r="I341" s="249"/>
      <c r="J341" s="250"/>
      <c r="K341" s="251"/>
      <c r="L341" s="252"/>
      <c r="M341" s="249"/>
      <c r="N341" s="250"/>
      <c r="O341" s="251"/>
      <c r="P341" s="252"/>
      <c r="Q341" s="249"/>
      <c r="R341" s="250"/>
      <c r="S341" s="251"/>
      <c r="T341" s="252"/>
      <c r="U341" s="249"/>
      <c r="V341" s="250"/>
      <c r="W341" s="251"/>
      <c r="X341" s="252"/>
      <c r="Y341" s="249"/>
      <c r="Z341" s="250"/>
      <c r="AA341" s="251"/>
      <c r="AB341" s="252"/>
      <c r="AC341" s="249"/>
      <c r="AD341" s="250"/>
      <c r="AE341" s="251"/>
      <c r="AF341" s="252"/>
      <c r="AG341" s="253"/>
      <c r="AH341" s="254"/>
      <c r="AI341" s="255"/>
      <c r="AJ341" s="256"/>
    </row>
    <row r="342" spans="1:36" s="106" customFormat="1" x14ac:dyDescent="0.25">
      <c r="A342" s="107" t="str">
        <f>IF(H342&lt;&gt;"",MAX($A$7:A341)+1,"")</f>
        <v/>
      </c>
      <c r="B342" s="244" t="str">
        <f t="shared" si="12"/>
        <v/>
      </c>
      <c r="C342" s="62" t="str">
        <f t="shared" si="13"/>
        <v/>
      </c>
      <c r="D342" s="246"/>
      <c r="E342" s="247"/>
      <c r="F342" s="247"/>
      <c r="G342" s="248"/>
      <c r="H342" s="241"/>
      <c r="I342" s="249"/>
      <c r="J342" s="250"/>
      <c r="K342" s="251"/>
      <c r="L342" s="252"/>
      <c r="M342" s="249"/>
      <c r="N342" s="250"/>
      <c r="O342" s="251"/>
      <c r="P342" s="252"/>
      <c r="Q342" s="249"/>
      <c r="R342" s="250"/>
      <c r="S342" s="251"/>
      <c r="T342" s="252"/>
      <c r="U342" s="249"/>
      <c r="V342" s="250"/>
      <c r="W342" s="251"/>
      <c r="X342" s="252"/>
      <c r="Y342" s="249"/>
      <c r="Z342" s="250"/>
      <c r="AA342" s="251"/>
      <c r="AB342" s="252"/>
      <c r="AC342" s="249"/>
      <c r="AD342" s="250"/>
      <c r="AE342" s="251"/>
      <c r="AF342" s="252"/>
      <c r="AG342" s="253"/>
      <c r="AH342" s="254"/>
      <c r="AI342" s="255"/>
      <c r="AJ342" s="256"/>
    </row>
    <row r="343" spans="1:36" s="106" customFormat="1" x14ac:dyDescent="0.25">
      <c r="A343" s="107" t="str">
        <f>IF(H343&lt;&gt;"",MAX($A$7:A342)+1,"")</f>
        <v/>
      </c>
      <c r="B343" s="244" t="str">
        <f t="shared" si="12"/>
        <v/>
      </c>
      <c r="C343" s="62" t="str">
        <f t="shared" si="13"/>
        <v/>
      </c>
      <c r="D343" s="246"/>
      <c r="E343" s="247"/>
      <c r="F343" s="247"/>
      <c r="G343" s="248"/>
      <c r="H343" s="241"/>
      <c r="I343" s="249"/>
      <c r="J343" s="250"/>
      <c r="K343" s="251"/>
      <c r="L343" s="252"/>
      <c r="M343" s="249"/>
      <c r="N343" s="250"/>
      <c r="O343" s="251"/>
      <c r="P343" s="252"/>
      <c r="Q343" s="249"/>
      <c r="R343" s="250"/>
      <c r="S343" s="251"/>
      <c r="T343" s="252"/>
      <c r="U343" s="249"/>
      <c r="V343" s="250"/>
      <c r="W343" s="251"/>
      <c r="X343" s="252"/>
      <c r="Y343" s="249"/>
      <c r="Z343" s="250"/>
      <c r="AA343" s="251"/>
      <c r="AB343" s="252"/>
      <c r="AC343" s="249"/>
      <c r="AD343" s="250"/>
      <c r="AE343" s="251"/>
      <c r="AF343" s="252"/>
      <c r="AG343" s="253"/>
      <c r="AH343" s="254"/>
      <c r="AI343" s="255"/>
      <c r="AJ343" s="256"/>
    </row>
    <row r="344" spans="1:36" s="106" customFormat="1" x14ac:dyDescent="0.25">
      <c r="A344" s="107" t="str">
        <f>IF(H344&lt;&gt;"",MAX($A$7:A343)+1,"")</f>
        <v/>
      </c>
      <c r="B344" s="244" t="str">
        <f t="shared" si="12"/>
        <v/>
      </c>
      <c r="C344" s="62" t="str">
        <f t="shared" si="13"/>
        <v/>
      </c>
      <c r="D344" s="246"/>
      <c r="E344" s="247"/>
      <c r="F344" s="247"/>
      <c r="G344" s="248"/>
      <c r="H344" s="241"/>
      <c r="I344" s="249"/>
      <c r="J344" s="250"/>
      <c r="K344" s="251"/>
      <c r="L344" s="252"/>
      <c r="M344" s="249"/>
      <c r="N344" s="250"/>
      <c r="O344" s="251"/>
      <c r="P344" s="252"/>
      <c r="Q344" s="249"/>
      <c r="R344" s="250"/>
      <c r="S344" s="251"/>
      <c r="T344" s="252"/>
      <c r="U344" s="249"/>
      <c r="V344" s="250"/>
      <c r="W344" s="251"/>
      <c r="X344" s="252"/>
      <c r="Y344" s="249"/>
      <c r="Z344" s="250"/>
      <c r="AA344" s="251"/>
      <c r="AB344" s="252"/>
      <c r="AC344" s="249"/>
      <c r="AD344" s="250"/>
      <c r="AE344" s="251"/>
      <c r="AF344" s="252"/>
      <c r="AG344" s="253"/>
      <c r="AH344" s="254"/>
      <c r="AI344" s="255"/>
      <c r="AJ344" s="256"/>
    </row>
    <row r="345" spans="1:36" s="106" customFormat="1" x14ac:dyDescent="0.25">
      <c r="A345" s="107" t="str">
        <f>IF(H345&lt;&gt;"",MAX($A$7:A344)+1,"")</f>
        <v/>
      </c>
      <c r="B345" s="244" t="str">
        <f t="shared" si="12"/>
        <v/>
      </c>
      <c r="C345" s="62" t="str">
        <f t="shared" si="13"/>
        <v/>
      </c>
      <c r="D345" s="246"/>
      <c r="E345" s="247"/>
      <c r="F345" s="247"/>
      <c r="G345" s="248"/>
      <c r="H345" s="241"/>
      <c r="I345" s="249"/>
      <c r="J345" s="250"/>
      <c r="K345" s="251"/>
      <c r="L345" s="252"/>
      <c r="M345" s="249"/>
      <c r="N345" s="250"/>
      <c r="O345" s="251"/>
      <c r="P345" s="252"/>
      <c r="Q345" s="249"/>
      <c r="R345" s="250"/>
      <c r="S345" s="251"/>
      <c r="T345" s="252"/>
      <c r="U345" s="249"/>
      <c r="V345" s="250"/>
      <c r="W345" s="251"/>
      <c r="X345" s="252"/>
      <c r="Y345" s="249"/>
      <c r="Z345" s="250"/>
      <c r="AA345" s="251"/>
      <c r="AB345" s="252"/>
      <c r="AC345" s="249"/>
      <c r="AD345" s="250"/>
      <c r="AE345" s="251"/>
      <c r="AF345" s="252"/>
      <c r="AG345" s="253"/>
      <c r="AH345" s="254"/>
      <c r="AI345" s="255"/>
      <c r="AJ345" s="256"/>
    </row>
    <row r="346" spans="1:36" s="106" customFormat="1" x14ac:dyDescent="0.25">
      <c r="A346" s="107" t="str">
        <f>IF(H346&lt;&gt;"",MAX($A$7:A345)+1,"")</f>
        <v/>
      </c>
      <c r="B346" s="244" t="str">
        <f t="shared" si="12"/>
        <v/>
      </c>
      <c r="C346" s="62" t="str">
        <f t="shared" si="13"/>
        <v/>
      </c>
      <c r="D346" s="246"/>
      <c r="E346" s="247"/>
      <c r="F346" s="247"/>
      <c r="G346" s="248"/>
      <c r="H346" s="241"/>
      <c r="I346" s="249"/>
      <c r="J346" s="250"/>
      <c r="K346" s="251"/>
      <c r="L346" s="252"/>
      <c r="M346" s="249"/>
      <c r="N346" s="250"/>
      <c r="O346" s="251"/>
      <c r="P346" s="252"/>
      <c r="Q346" s="249"/>
      <c r="R346" s="250"/>
      <c r="S346" s="251"/>
      <c r="T346" s="252"/>
      <c r="U346" s="249"/>
      <c r="V346" s="250"/>
      <c r="W346" s="251"/>
      <c r="X346" s="252"/>
      <c r="Y346" s="249"/>
      <c r="Z346" s="250"/>
      <c r="AA346" s="251"/>
      <c r="AB346" s="252"/>
      <c r="AC346" s="249"/>
      <c r="AD346" s="250"/>
      <c r="AE346" s="251"/>
      <c r="AF346" s="252"/>
      <c r="AG346" s="253"/>
      <c r="AH346" s="254"/>
      <c r="AI346" s="255"/>
      <c r="AJ346" s="256"/>
    </row>
    <row r="347" spans="1:36" s="106" customFormat="1" x14ac:dyDescent="0.25">
      <c r="A347" s="107" t="str">
        <f>IF(H347&lt;&gt;"",MAX($A$7:A346)+1,"")</f>
        <v/>
      </c>
      <c r="B347" s="244" t="str">
        <f t="shared" si="12"/>
        <v/>
      </c>
      <c r="C347" s="62" t="str">
        <f t="shared" si="13"/>
        <v/>
      </c>
      <c r="D347" s="246"/>
      <c r="E347" s="247"/>
      <c r="F347" s="247"/>
      <c r="G347" s="248"/>
      <c r="H347" s="241"/>
      <c r="I347" s="249"/>
      <c r="J347" s="250"/>
      <c r="K347" s="251"/>
      <c r="L347" s="252"/>
      <c r="M347" s="249"/>
      <c r="N347" s="250"/>
      <c r="O347" s="251"/>
      <c r="P347" s="252"/>
      <c r="Q347" s="249"/>
      <c r="R347" s="250"/>
      <c r="S347" s="251"/>
      <c r="T347" s="252"/>
      <c r="U347" s="249"/>
      <c r="V347" s="250"/>
      <c r="W347" s="251"/>
      <c r="X347" s="252"/>
      <c r="Y347" s="249"/>
      <c r="Z347" s="250"/>
      <c r="AA347" s="251"/>
      <c r="AB347" s="252"/>
      <c r="AC347" s="249"/>
      <c r="AD347" s="250"/>
      <c r="AE347" s="251"/>
      <c r="AF347" s="252"/>
      <c r="AG347" s="253"/>
      <c r="AH347" s="254"/>
      <c r="AI347" s="255"/>
      <c r="AJ347" s="256"/>
    </row>
    <row r="348" spans="1:36" s="106" customFormat="1" x14ac:dyDescent="0.25">
      <c r="A348" s="107" t="str">
        <f>IF(H348&lt;&gt;"",MAX($A$7:A347)+1,"")</f>
        <v/>
      </c>
      <c r="B348" s="244" t="str">
        <f t="shared" si="12"/>
        <v/>
      </c>
      <c r="C348" s="62" t="str">
        <f t="shared" si="13"/>
        <v/>
      </c>
      <c r="D348" s="246"/>
      <c r="E348" s="247"/>
      <c r="F348" s="247"/>
      <c r="G348" s="248"/>
      <c r="H348" s="241"/>
      <c r="I348" s="249"/>
      <c r="J348" s="250"/>
      <c r="K348" s="251"/>
      <c r="L348" s="252"/>
      <c r="M348" s="249"/>
      <c r="N348" s="250"/>
      <c r="O348" s="251"/>
      <c r="P348" s="252"/>
      <c r="Q348" s="249"/>
      <c r="R348" s="250"/>
      <c r="S348" s="251"/>
      <c r="T348" s="252"/>
      <c r="U348" s="249"/>
      <c r="V348" s="250"/>
      <c r="W348" s="251"/>
      <c r="X348" s="252"/>
      <c r="Y348" s="249"/>
      <c r="Z348" s="250"/>
      <c r="AA348" s="251"/>
      <c r="AB348" s="252"/>
      <c r="AC348" s="249"/>
      <c r="AD348" s="250"/>
      <c r="AE348" s="251"/>
      <c r="AF348" s="252"/>
      <c r="AG348" s="253"/>
      <c r="AH348" s="254"/>
      <c r="AI348" s="255"/>
      <c r="AJ348" s="256"/>
    </row>
    <row r="349" spans="1:36" s="106" customFormat="1" x14ac:dyDescent="0.25">
      <c r="A349" s="107" t="str">
        <f>IF(H349&lt;&gt;"",MAX($A$7:A348)+1,"")</f>
        <v/>
      </c>
      <c r="B349" s="244" t="str">
        <f t="shared" si="12"/>
        <v/>
      </c>
      <c r="C349" s="62" t="str">
        <f t="shared" si="13"/>
        <v/>
      </c>
      <c r="D349" s="246"/>
      <c r="E349" s="247"/>
      <c r="F349" s="247"/>
      <c r="G349" s="248"/>
      <c r="H349" s="241"/>
      <c r="I349" s="249"/>
      <c r="J349" s="250"/>
      <c r="K349" s="251"/>
      <c r="L349" s="252"/>
      <c r="M349" s="249"/>
      <c r="N349" s="250"/>
      <c r="O349" s="251"/>
      <c r="P349" s="252"/>
      <c r="Q349" s="249"/>
      <c r="R349" s="250"/>
      <c r="S349" s="251"/>
      <c r="T349" s="252"/>
      <c r="U349" s="249"/>
      <c r="V349" s="250"/>
      <c r="W349" s="251"/>
      <c r="X349" s="252"/>
      <c r="Y349" s="249"/>
      <c r="Z349" s="250"/>
      <c r="AA349" s="251"/>
      <c r="AB349" s="252"/>
      <c r="AC349" s="249"/>
      <c r="AD349" s="250"/>
      <c r="AE349" s="251"/>
      <c r="AF349" s="252"/>
      <c r="AG349" s="253"/>
      <c r="AH349" s="254"/>
      <c r="AI349" s="255"/>
      <c r="AJ349" s="256"/>
    </row>
    <row r="350" spans="1:36" s="106" customFormat="1" x14ac:dyDescent="0.25">
      <c r="A350" s="107" t="str">
        <f>IF(H350&lt;&gt;"",MAX($A$7:A349)+1,"")</f>
        <v/>
      </c>
      <c r="B350" s="244" t="str">
        <f t="shared" si="12"/>
        <v/>
      </c>
      <c r="C350" s="62" t="str">
        <f t="shared" si="13"/>
        <v/>
      </c>
      <c r="D350" s="246"/>
      <c r="E350" s="247"/>
      <c r="F350" s="247"/>
      <c r="G350" s="248"/>
      <c r="H350" s="241"/>
      <c r="I350" s="249"/>
      <c r="J350" s="250"/>
      <c r="K350" s="251"/>
      <c r="L350" s="252"/>
      <c r="M350" s="249"/>
      <c r="N350" s="250"/>
      <c r="O350" s="251"/>
      <c r="P350" s="252"/>
      <c r="Q350" s="249"/>
      <c r="R350" s="250"/>
      <c r="S350" s="251"/>
      <c r="T350" s="252"/>
      <c r="U350" s="249"/>
      <c r="V350" s="250"/>
      <c r="W350" s="251"/>
      <c r="X350" s="252"/>
      <c r="Y350" s="249"/>
      <c r="Z350" s="250"/>
      <c r="AA350" s="251"/>
      <c r="AB350" s="252"/>
      <c r="AC350" s="249"/>
      <c r="AD350" s="250"/>
      <c r="AE350" s="251"/>
      <c r="AF350" s="252"/>
      <c r="AG350" s="253"/>
      <c r="AH350" s="254"/>
      <c r="AI350" s="255"/>
      <c r="AJ350" s="256"/>
    </row>
    <row r="351" spans="1:36" s="106" customFormat="1" x14ac:dyDescent="0.25">
      <c r="A351" s="107" t="str">
        <f>IF(H351&lt;&gt;"",MAX($A$7:A350)+1,"")</f>
        <v/>
      </c>
      <c r="B351" s="244" t="str">
        <f t="shared" si="12"/>
        <v/>
      </c>
      <c r="C351" s="62" t="str">
        <f t="shared" si="13"/>
        <v/>
      </c>
      <c r="D351" s="246"/>
      <c r="E351" s="247"/>
      <c r="F351" s="247"/>
      <c r="G351" s="248"/>
      <c r="H351" s="241"/>
      <c r="I351" s="249"/>
      <c r="J351" s="250"/>
      <c r="K351" s="251"/>
      <c r="L351" s="252"/>
      <c r="M351" s="249"/>
      <c r="N351" s="250"/>
      <c r="O351" s="251"/>
      <c r="P351" s="252"/>
      <c r="Q351" s="249"/>
      <c r="R351" s="250"/>
      <c r="S351" s="251"/>
      <c r="T351" s="252"/>
      <c r="U351" s="249"/>
      <c r="V351" s="250"/>
      <c r="W351" s="251"/>
      <c r="X351" s="252"/>
      <c r="Y351" s="249"/>
      <c r="Z351" s="250"/>
      <c r="AA351" s="251"/>
      <c r="AB351" s="252"/>
      <c r="AC351" s="249"/>
      <c r="AD351" s="250"/>
      <c r="AE351" s="251"/>
      <c r="AF351" s="252"/>
      <c r="AG351" s="253"/>
      <c r="AH351" s="254"/>
      <c r="AI351" s="255"/>
      <c r="AJ351" s="256"/>
    </row>
    <row r="352" spans="1:36" s="106" customFormat="1" x14ac:dyDescent="0.25">
      <c r="A352" s="107" t="str">
        <f>IF(H352&lt;&gt;"",MAX($A$7:A351)+1,"")</f>
        <v/>
      </c>
      <c r="B352" s="244" t="str">
        <f t="shared" si="12"/>
        <v/>
      </c>
      <c r="C352" s="62" t="str">
        <f t="shared" si="13"/>
        <v/>
      </c>
      <c r="D352" s="246"/>
      <c r="E352" s="247"/>
      <c r="F352" s="247"/>
      <c r="G352" s="248"/>
      <c r="H352" s="241"/>
      <c r="I352" s="249"/>
      <c r="J352" s="250"/>
      <c r="K352" s="251"/>
      <c r="L352" s="252"/>
      <c r="M352" s="249"/>
      <c r="N352" s="250"/>
      <c r="O352" s="251"/>
      <c r="P352" s="252"/>
      <c r="Q352" s="249"/>
      <c r="R352" s="250"/>
      <c r="S352" s="251"/>
      <c r="T352" s="252"/>
      <c r="U352" s="249"/>
      <c r="V352" s="250"/>
      <c r="W352" s="251"/>
      <c r="X352" s="252"/>
      <c r="Y352" s="249"/>
      <c r="Z352" s="250"/>
      <c r="AA352" s="251"/>
      <c r="AB352" s="252"/>
      <c r="AC352" s="249"/>
      <c r="AD352" s="250"/>
      <c r="AE352" s="251"/>
      <c r="AF352" s="252"/>
      <c r="AG352" s="253"/>
      <c r="AH352" s="254"/>
      <c r="AI352" s="255"/>
      <c r="AJ352" s="256"/>
    </row>
    <row r="353" spans="1:36" s="106" customFormat="1" x14ac:dyDescent="0.25">
      <c r="A353" s="107" t="str">
        <f>IF(H353&lt;&gt;"",MAX($A$7:A352)+1,"")</f>
        <v/>
      </c>
      <c r="B353" s="244" t="str">
        <f t="shared" si="12"/>
        <v/>
      </c>
      <c r="C353" s="62" t="str">
        <f t="shared" si="13"/>
        <v/>
      </c>
      <c r="D353" s="246"/>
      <c r="E353" s="247"/>
      <c r="F353" s="247"/>
      <c r="G353" s="248"/>
      <c r="H353" s="241"/>
      <c r="I353" s="249"/>
      <c r="J353" s="250"/>
      <c r="K353" s="251"/>
      <c r="L353" s="252"/>
      <c r="M353" s="249"/>
      <c r="N353" s="250"/>
      <c r="O353" s="251"/>
      <c r="P353" s="252"/>
      <c r="Q353" s="249"/>
      <c r="R353" s="250"/>
      <c r="S353" s="251"/>
      <c r="T353" s="252"/>
      <c r="U353" s="249"/>
      <c r="V353" s="250"/>
      <c r="W353" s="251"/>
      <c r="X353" s="252"/>
      <c r="Y353" s="249"/>
      <c r="Z353" s="250"/>
      <c r="AA353" s="251"/>
      <c r="AB353" s="252"/>
      <c r="AC353" s="249"/>
      <c r="AD353" s="250"/>
      <c r="AE353" s="251"/>
      <c r="AF353" s="252"/>
      <c r="AG353" s="253"/>
      <c r="AH353" s="254"/>
      <c r="AI353" s="255"/>
      <c r="AJ353" s="256"/>
    </row>
    <row r="354" spans="1:36" s="106" customFormat="1" x14ac:dyDescent="0.25">
      <c r="A354" s="107" t="str">
        <f>IF(H354&lt;&gt;"",MAX($A$7:A353)+1,"")</f>
        <v/>
      </c>
      <c r="B354" s="244" t="str">
        <f t="shared" si="12"/>
        <v/>
      </c>
      <c r="C354" s="62" t="str">
        <f t="shared" si="13"/>
        <v/>
      </c>
      <c r="D354" s="246"/>
      <c r="E354" s="247"/>
      <c r="F354" s="247"/>
      <c r="G354" s="248"/>
      <c r="H354" s="241"/>
      <c r="I354" s="249"/>
      <c r="J354" s="250"/>
      <c r="K354" s="251"/>
      <c r="L354" s="252"/>
      <c r="M354" s="249"/>
      <c r="N354" s="250"/>
      <c r="O354" s="251"/>
      <c r="P354" s="252"/>
      <c r="Q354" s="249"/>
      <c r="R354" s="250"/>
      <c r="S354" s="251"/>
      <c r="T354" s="252"/>
      <c r="U354" s="249"/>
      <c r="V354" s="250"/>
      <c r="W354" s="251"/>
      <c r="X354" s="252"/>
      <c r="Y354" s="249"/>
      <c r="Z354" s="250"/>
      <c r="AA354" s="251"/>
      <c r="AB354" s="252"/>
      <c r="AC354" s="249"/>
      <c r="AD354" s="250"/>
      <c r="AE354" s="251"/>
      <c r="AF354" s="252"/>
      <c r="AG354" s="253"/>
      <c r="AH354" s="254"/>
      <c r="AI354" s="255"/>
      <c r="AJ354" s="256"/>
    </row>
    <row r="355" spans="1:36" s="106" customFormat="1" x14ac:dyDescent="0.25">
      <c r="A355" s="107" t="str">
        <f>IF(H355&lt;&gt;"",MAX($A$7:A354)+1,"")</f>
        <v/>
      </c>
      <c r="B355" s="244" t="str">
        <f t="shared" si="12"/>
        <v/>
      </c>
      <c r="C355" s="62" t="str">
        <f t="shared" si="13"/>
        <v/>
      </c>
      <c r="D355" s="246"/>
      <c r="E355" s="247"/>
      <c r="F355" s="247"/>
      <c r="G355" s="248"/>
      <c r="H355" s="241"/>
      <c r="I355" s="249"/>
      <c r="J355" s="250"/>
      <c r="K355" s="251"/>
      <c r="L355" s="252"/>
      <c r="M355" s="249"/>
      <c r="N355" s="250"/>
      <c r="O355" s="251"/>
      <c r="P355" s="252"/>
      <c r="Q355" s="249"/>
      <c r="R355" s="250"/>
      <c r="S355" s="251"/>
      <c r="T355" s="252"/>
      <c r="U355" s="249"/>
      <c r="V355" s="250"/>
      <c r="W355" s="251"/>
      <c r="X355" s="252"/>
      <c r="Y355" s="249"/>
      <c r="Z355" s="250"/>
      <c r="AA355" s="251"/>
      <c r="AB355" s="252"/>
      <c r="AC355" s="249"/>
      <c r="AD355" s="250"/>
      <c r="AE355" s="251"/>
      <c r="AF355" s="252"/>
      <c r="AG355" s="253"/>
      <c r="AH355" s="254"/>
      <c r="AI355" s="255"/>
      <c r="AJ355" s="256"/>
    </row>
    <row r="356" spans="1:36" s="106" customFormat="1" x14ac:dyDescent="0.25">
      <c r="A356" s="107" t="str">
        <f>IF(H356&lt;&gt;"",MAX($A$7:A355)+1,"")</f>
        <v/>
      </c>
      <c r="B356" s="244" t="str">
        <f t="shared" si="12"/>
        <v/>
      </c>
      <c r="C356" s="62" t="str">
        <f t="shared" si="13"/>
        <v/>
      </c>
      <c r="D356" s="246"/>
      <c r="E356" s="247"/>
      <c r="F356" s="247"/>
      <c r="G356" s="248"/>
      <c r="H356" s="241"/>
      <c r="I356" s="249"/>
      <c r="J356" s="250"/>
      <c r="K356" s="251"/>
      <c r="L356" s="252"/>
      <c r="M356" s="249"/>
      <c r="N356" s="250"/>
      <c r="O356" s="251"/>
      <c r="P356" s="252"/>
      <c r="Q356" s="249"/>
      <c r="R356" s="250"/>
      <c r="S356" s="251"/>
      <c r="T356" s="252"/>
      <c r="U356" s="249"/>
      <c r="V356" s="250"/>
      <c r="W356" s="251"/>
      <c r="X356" s="252"/>
      <c r="Y356" s="249"/>
      <c r="Z356" s="250"/>
      <c r="AA356" s="251"/>
      <c r="AB356" s="252"/>
      <c r="AC356" s="249"/>
      <c r="AD356" s="250"/>
      <c r="AE356" s="251"/>
      <c r="AF356" s="252"/>
      <c r="AG356" s="253"/>
      <c r="AH356" s="254"/>
      <c r="AI356" s="255"/>
      <c r="AJ356" s="256"/>
    </row>
    <row r="357" spans="1:36" s="106" customFormat="1" x14ac:dyDescent="0.25">
      <c r="A357" s="107" t="str">
        <f>IF(H357&lt;&gt;"",MAX($A$7:A356)+1,"")</f>
        <v/>
      </c>
      <c r="B357" s="244" t="str">
        <f t="shared" si="12"/>
        <v/>
      </c>
      <c r="C357" s="62" t="str">
        <f t="shared" si="13"/>
        <v/>
      </c>
      <c r="D357" s="246"/>
      <c r="E357" s="247"/>
      <c r="F357" s="247"/>
      <c r="G357" s="248"/>
      <c r="H357" s="241"/>
      <c r="I357" s="249"/>
      <c r="J357" s="250"/>
      <c r="K357" s="251"/>
      <c r="L357" s="252"/>
      <c r="M357" s="249"/>
      <c r="N357" s="250"/>
      <c r="O357" s="251"/>
      <c r="P357" s="252"/>
      <c r="Q357" s="249"/>
      <c r="R357" s="250"/>
      <c r="S357" s="251"/>
      <c r="T357" s="252"/>
      <c r="U357" s="249"/>
      <c r="V357" s="250"/>
      <c r="W357" s="251"/>
      <c r="X357" s="252"/>
      <c r="Y357" s="249"/>
      <c r="Z357" s="250"/>
      <c r="AA357" s="251"/>
      <c r="AB357" s="252"/>
      <c r="AC357" s="249"/>
      <c r="AD357" s="250"/>
      <c r="AE357" s="251"/>
      <c r="AF357" s="252"/>
      <c r="AG357" s="253"/>
      <c r="AH357" s="254"/>
      <c r="AI357" s="255"/>
      <c r="AJ357" s="256"/>
    </row>
    <row r="358" spans="1:36" s="106" customFormat="1" x14ac:dyDescent="0.25">
      <c r="A358" s="107" t="str">
        <f>IF(H358&lt;&gt;"",MAX($A$7:A357)+1,"")</f>
        <v/>
      </c>
      <c r="B358" s="244" t="str">
        <f t="shared" si="12"/>
        <v/>
      </c>
      <c r="C358" s="62" t="str">
        <f t="shared" si="13"/>
        <v/>
      </c>
      <c r="D358" s="246"/>
      <c r="E358" s="247"/>
      <c r="F358" s="247"/>
      <c r="G358" s="248"/>
      <c r="H358" s="241"/>
      <c r="I358" s="249"/>
      <c r="J358" s="250"/>
      <c r="K358" s="251"/>
      <c r="L358" s="252"/>
      <c r="M358" s="249"/>
      <c r="N358" s="250"/>
      <c r="O358" s="251"/>
      <c r="P358" s="252"/>
      <c r="Q358" s="249"/>
      <c r="R358" s="250"/>
      <c r="S358" s="251"/>
      <c r="T358" s="252"/>
      <c r="U358" s="249"/>
      <c r="V358" s="250"/>
      <c r="W358" s="251"/>
      <c r="X358" s="252"/>
      <c r="Y358" s="249"/>
      <c r="Z358" s="250"/>
      <c r="AA358" s="251"/>
      <c r="AB358" s="252"/>
      <c r="AC358" s="249"/>
      <c r="AD358" s="250"/>
      <c r="AE358" s="251"/>
      <c r="AF358" s="252"/>
      <c r="AG358" s="253"/>
      <c r="AH358" s="254"/>
      <c r="AI358" s="255"/>
      <c r="AJ358" s="256"/>
    </row>
    <row r="359" spans="1:36" s="106" customFormat="1" x14ac:dyDescent="0.25">
      <c r="A359" s="107" t="str">
        <f>IF(H359&lt;&gt;"",MAX($A$7:A358)+1,"")</f>
        <v/>
      </c>
      <c r="B359" s="244" t="str">
        <f t="shared" si="12"/>
        <v/>
      </c>
      <c r="C359" s="62" t="str">
        <f t="shared" si="13"/>
        <v/>
      </c>
      <c r="D359" s="246"/>
      <c r="E359" s="247"/>
      <c r="F359" s="247"/>
      <c r="G359" s="248"/>
      <c r="H359" s="241"/>
      <c r="I359" s="249"/>
      <c r="J359" s="250"/>
      <c r="K359" s="251"/>
      <c r="L359" s="252"/>
      <c r="M359" s="249"/>
      <c r="N359" s="250"/>
      <c r="O359" s="251"/>
      <c r="P359" s="252"/>
      <c r="Q359" s="249"/>
      <c r="R359" s="250"/>
      <c r="S359" s="251"/>
      <c r="T359" s="252"/>
      <c r="U359" s="249"/>
      <c r="V359" s="250"/>
      <c r="W359" s="251"/>
      <c r="X359" s="252"/>
      <c r="Y359" s="249"/>
      <c r="Z359" s="250"/>
      <c r="AA359" s="251"/>
      <c r="AB359" s="252"/>
      <c r="AC359" s="249"/>
      <c r="AD359" s="250"/>
      <c r="AE359" s="251"/>
      <c r="AF359" s="252"/>
      <c r="AG359" s="253"/>
      <c r="AH359" s="254"/>
      <c r="AI359" s="255"/>
      <c r="AJ359" s="256"/>
    </row>
    <row r="360" spans="1:36" s="106" customFormat="1" x14ac:dyDescent="0.25">
      <c r="A360" s="107" t="str">
        <f>IF(H360&lt;&gt;"",MAX($A$7:A359)+1,"")</f>
        <v/>
      </c>
      <c r="B360" s="244" t="str">
        <f t="shared" si="12"/>
        <v/>
      </c>
      <c r="C360" s="62" t="str">
        <f t="shared" si="13"/>
        <v/>
      </c>
      <c r="D360" s="246"/>
      <c r="E360" s="247"/>
      <c r="F360" s="247"/>
      <c r="G360" s="248"/>
      <c r="H360" s="241"/>
      <c r="I360" s="249"/>
      <c r="J360" s="250"/>
      <c r="K360" s="251"/>
      <c r="L360" s="252"/>
      <c r="M360" s="249"/>
      <c r="N360" s="250"/>
      <c r="O360" s="251"/>
      <c r="P360" s="252"/>
      <c r="Q360" s="249"/>
      <c r="R360" s="250"/>
      <c r="S360" s="251"/>
      <c r="T360" s="252"/>
      <c r="U360" s="249"/>
      <c r="V360" s="250"/>
      <c r="W360" s="251"/>
      <c r="X360" s="252"/>
      <c r="Y360" s="249"/>
      <c r="Z360" s="250"/>
      <c r="AA360" s="251"/>
      <c r="AB360" s="252"/>
      <c r="AC360" s="249"/>
      <c r="AD360" s="250"/>
      <c r="AE360" s="251"/>
      <c r="AF360" s="252"/>
      <c r="AG360" s="253"/>
      <c r="AH360" s="254"/>
      <c r="AI360" s="255"/>
      <c r="AJ360" s="256"/>
    </row>
    <row r="361" spans="1:36" s="106" customFormat="1" x14ac:dyDescent="0.25">
      <c r="A361" s="107" t="str">
        <f>IF(H361&lt;&gt;"",MAX($A$7:A360)+1,"")</f>
        <v/>
      </c>
      <c r="B361" s="244" t="str">
        <f t="shared" si="12"/>
        <v/>
      </c>
      <c r="C361" s="62" t="str">
        <f t="shared" si="13"/>
        <v/>
      </c>
      <c r="D361" s="246"/>
      <c r="E361" s="247"/>
      <c r="F361" s="247"/>
      <c r="G361" s="248"/>
      <c r="H361" s="241"/>
      <c r="I361" s="249"/>
      <c r="J361" s="250"/>
      <c r="K361" s="251"/>
      <c r="L361" s="252"/>
      <c r="M361" s="249"/>
      <c r="N361" s="250"/>
      <c r="O361" s="251"/>
      <c r="P361" s="252"/>
      <c r="Q361" s="249"/>
      <c r="R361" s="250"/>
      <c r="S361" s="251"/>
      <c r="T361" s="252"/>
      <c r="U361" s="249"/>
      <c r="V361" s="250"/>
      <c r="W361" s="251"/>
      <c r="X361" s="252"/>
      <c r="Y361" s="249"/>
      <c r="Z361" s="250"/>
      <c r="AA361" s="251"/>
      <c r="AB361" s="252"/>
      <c r="AC361" s="249"/>
      <c r="AD361" s="250"/>
      <c r="AE361" s="251"/>
      <c r="AF361" s="252"/>
      <c r="AG361" s="253"/>
      <c r="AH361" s="254"/>
      <c r="AI361" s="255"/>
      <c r="AJ361" s="256"/>
    </row>
    <row r="362" spans="1:36" s="106" customFormat="1" x14ac:dyDescent="0.25">
      <c r="A362" s="107" t="str">
        <f>IF(H362&lt;&gt;"",MAX($A$7:A361)+1,"")</f>
        <v/>
      </c>
      <c r="B362" s="244" t="str">
        <f t="shared" si="12"/>
        <v/>
      </c>
      <c r="C362" s="62" t="str">
        <f t="shared" si="13"/>
        <v/>
      </c>
      <c r="D362" s="246"/>
      <c r="E362" s="247"/>
      <c r="F362" s="247"/>
      <c r="G362" s="248"/>
      <c r="H362" s="241"/>
      <c r="I362" s="249"/>
      <c r="J362" s="250"/>
      <c r="K362" s="251"/>
      <c r="L362" s="252"/>
      <c r="M362" s="249"/>
      <c r="N362" s="250"/>
      <c r="O362" s="251"/>
      <c r="P362" s="252"/>
      <c r="Q362" s="249"/>
      <c r="R362" s="250"/>
      <c r="S362" s="251"/>
      <c r="T362" s="252"/>
      <c r="U362" s="249"/>
      <c r="V362" s="250"/>
      <c r="W362" s="251"/>
      <c r="X362" s="252"/>
      <c r="Y362" s="249"/>
      <c r="Z362" s="250"/>
      <c r="AA362" s="251"/>
      <c r="AB362" s="252"/>
      <c r="AC362" s="249"/>
      <c r="AD362" s="250"/>
      <c r="AE362" s="251"/>
      <c r="AF362" s="252"/>
      <c r="AG362" s="253"/>
      <c r="AH362" s="254"/>
      <c r="AI362" s="255"/>
      <c r="AJ362" s="256"/>
    </row>
    <row r="363" spans="1:36" s="106" customFormat="1" x14ac:dyDescent="0.25">
      <c r="A363" s="107" t="str">
        <f>IF(H363&lt;&gt;"",MAX($A$7:A362)+1,"")</f>
        <v/>
      </c>
      <c r="B363" s="244" t="str">
        <f t="shared" si="12"/>
        <v/>
      </c>
      <c r="C363" s="62" t="str">
        <f t="shared" si="13"/>
        <v/>
      </c>
      <c r="D363" s="246"/>
      <c r="E363" s="247"/>
      <c r="F363" s="247"/>
      <c r="G363" s="248"/>
      <c r="H363" s="241"/>
      <c r="I363" s="249"/>
      <c r="J363" s="250"/>
      <c r="K363" s="251"/>
      <c r="L363" s="252"/>
      <c r="M363" s="249"/>
      <c r="N363" s="250"/>
      <c r="O363" s="251"/>
      <c r="P363" s="252"/>
      <c r="Q363" s="249"/>
      <c r="R363" s="250"/>
      <c r="S363" s="251"/>
      <c r="T363" s="252"/>
      <c r="U363" s="249"/>
      <c r="V363" s="250"/>
      <c r="W363" s="251"/>
      <c r="X363" s="252"/>
      <c r="Y363" s="249"/>
      <c r="Z363" s="250"/>
      <c r="AA363" s="251"/>
      <c r="AB363" s="252"/>
      <c r="AC363" s="249"/>
      <c r="AD363" s="250"/>
      <c r="AE363" s="251"/>
      <c r="AF363" s="252"/>
      <c r="AG363" s="253"/>
      <c r="AH363" s="254"/>
      <c r="AI363" s="255"/>
      <c r="AJ363" s="256"/>
    </row>
    <row r="364" spans="1:36" s="106" customFormat="1" x14ac:dyDescent="0.25">
      <c r="A364" s="107" t="str">
        <f>IF(H364&lt;&gt;"",MAX($A$7:A363)+1,"")</f>
        <v/>
      </c>
      <c r="B364" s="244" t="str">
        <f t="shared" si="12"/>
        <v/>
      </c>
      <c r="C364" s="62" t="str">
        <f t="shared" si="13"/>
        <v/>
      </c>
      <c r="D364" s="246"/>
      <c r="E364" s="247"/>
      <c r="F364" s="247"/>
      <c r="G364" s="248"/>
      <c r="H364" s="241"/>
      <c r="I364" s="249"/>
      <c r="J364" s="250"/>
      <c r="K364" s="251"/>
      <c r="L364" s="252"/>
      <c r="M364" s="249"/>
      <c r="N364" s="250"/>
      <c r="O364" s="251"/>
      <c r="P364" s="252"/>
      <c r="Q364" s="249"/>
      <c r="R364" s="250"/>
      <c r="S364" s="251"/>
      <c r="T364" s="252"/>
      <c r="U364" s="249"/>
      <c r="V364" s="250"/>
      <c r="W364" s="251"/>
      <c r="X364" s="252"/>
      <c r="Y364" s="249"/>
      <c r="Z364" s="250"/>
      <c r="AA364" s="251"/>
      <c r="AB364" s="252"/>
      <c r="AC364" s="249"/>
      <c r="AD364" s="250"/>
      <c r="AE364" s="251"/>
      <c r="AF364" s="252"/>
      <c r="AG364" s="253"/>
      <c r="AH364" s="254"/>
      <c r="AI364" s="255"/>
      <c r="AJ364" s="256"/>
    </row>
    <row r="365" spans="1:36" s="106" customFormat="1" x14ac:dyDescent="0.25">
      <c r="A365" s="107" t="str">
        <f>IF(H365&lt;&gt;"",MAX($A$7:A364)+1,"")</f>
        <v/>
      </c>
      <c r="B365" s="244" t="str">
        <f t="shared" si="12"/>
        <v/>
      </c>
      <c r="C365" s="62" t="str">
        <f t="shared" si="13"/>
        <v/>
      </c>
      <c r="D365" s="246"/>
      <c r="E365" s="247"/>
      <c r="F365" s="247"/>
      <c r="G365" s="248"/>
      <c r="H365" s="241"/>
      <c r="I365" s="249"/>
      <c r="J365" s="250"/>
      <c r="K365" s="251"/>
      <c r="L365" s="252"/>
      <c r="M365" s="249"/>
      <c r="N365" s="250"/>
      <c r="O365" s="251"/>
      <c r="P365" s="252"/>
      <c r="Q365" s="249"/>
      <c r="R365" s="250"/>
      <c r="S365" s="251"/>
      <c r="T365" s="252"/>
      <c r="U365" s="249"/>
      <c r="V365" s="250"/>
      <c r="W365" s="251"/>
      <c r="X365" s="252"/>
      <c r="Y365" s="249"/>
      <c r="Z365" s="250"/>
      <c r="AA365" s="251"/>
      <c r="AB365" s="252"/>
      <c r="AC365" s="249"/>
      <c r="AD365" s="250"/>
      <c r="AE365" s="251"/>
      <c r="AF365" s="252"/>
      <c r="AG365" s="253"/>
      <c r="AH365" s="254"/>
      <c r="AI365" s="255"/>
      <c r="AJ365" s="256"/>
    </row>
    <row r="366" spans="1:36" s="106" customFormat="1" x14ac:dyDescent="0.25">
      <c r="A366" s="107" t="str">
        <f>IF(H366&lt;&gt;"",MAX($A$7:A365)+1,"")</f>
        <v/>
      </c>
      <c r="B366" s="244" t="str">
        <f t="shared" si="12"/>
        <v/>
      </c>
      <c r="C366" s="62" t="str">
        <f t="shared" si="13"/>
        <v/>
      </c>
      <c r="D366" s="246"/>
      <c r="E366" s="247"/>
      <c r="F366" s="247"/>
      <c r="G366" s="248"/>
      <c r="H366" s="241"/>
      <c r="I366" s="249"/>
      <c r="J366" s="250"/>
      <c r="K366" s="251"/>
      <c r="L366" s="252"/>
      <c r="M366" s="249"/>
      <c r="N366" s="250"/>
      <c r="O366" s="251"/>
      <c r="P366" s="252"/>
      <c r="Q366" s="249"/>
      <c r="R366" s="250"/>
      <c r="S366" s="251"/>
      <c r="T366" s="252"/>
      <c r="U366" s="249"/>
      <c r="V366" s="250"/>
      <c r="W366" s="251"/>
      <c r="X366" s="252"/>
      <c r="Y366" s="249"/>
      <c r="Z366" s="250"/>
      <c r="AA366" s="251"/>
      <c r="AB366" s="252"/>
      <c r="AC366" s="249"/>
      <c r="AD366" s="250"/>
      <c r="AE366" s="251"/>
      <c r="AF366" s="252"/>
      <c r="AG366" s="253"/>
      <c r="AH366" s="254"/>
      <c r="AI366" s="255"/>
      <c r="AJ366" s="256"/>
    </row>
    <row r="367" spans="1:36" s="106" customFormat="1" x14ac:dyDescent="0.25">
      <c r="A367" s="107" t="str">
        <f>IF(H367&lt;&gt;"",MAX($A$7:A366)+1,"")</f>
        <v/>
      </c>
      <c r="B367" s="244" t="str">
        <f t="shared" si="12"/>
        <v/>
      </c>
      <c r="C367" s="62" t="str">
        <f t="shared" si="13"/>
        <v/>
      </c>
      <c r="D367" s="246"/>
      <c r="E367" s="247"/>
      <c r="F367" s="247"/>
      <c r="G367" s="248"/>
      <c r="H367" s="241"/>
      <c r="I367" s="249"/>
      <c r="J367" s="250"/>
      <c r="K367" s="251"/>
      <c r="L367" s="252"/>
      <c r="M367" s="249"/>
      <c r="N367" s="250"/>
      <c r="O367" s="251"/>
      <c r="P367" s="252"/>
      <c r="Q367" s="249"/>
      <c r="R367" s="250"/>
      <c r="S367" s="251"/>
      <c r="T367" s="252"/>
      <c r="U367" s="249"/>
      <c r="V367" s="250"/>
      <c r="W367" s="251"/>
      <c r="X367" s="252"/>
      <c r="Y367" s="249"/>
      <c r="Z367" s="250"/>
      <c r="AA367" s="251"/>
      <c r="AB367" s="252"/>
      <c r="AC367" s="249"/>
      <c r="AD367" s="250"/>
      <c r="AE367" s="251"/>
      <c r="AF367" s="252"/>
      <c r="AG367" s="253"/>
      <c r="AH367" s="254"/>
      <c r="AI367" s="255"/>
      <c r="AJ367" s="256"/>
    </row>
    <row r="368" spans="1:36" s="106" customFormat="1" x14ac:dyDescent="0.25">
      <c r="A368" s="107" t="str">
        <f>IF(H368&lt;&gt;"",MAX($A$7:A367)+1,"")</f>
        <v/>
      </c>
      <c r="B368" s="244" t="str">
        <f t="shared" si="12"/>
        <v/>
      </c>
      <c r="C368" s="62" t="str">
        <f t="shared" si="13"/>
        <v/>
      </c>
      <c r="D368" s="246"/>
      <c r="E368" s="247"/>
      <c r="F368" s="247"/>
      <c r="G368" s="248"/>
      <c r="H368" s="241"/>
      <c r="I368" s="249"/>
      <c r="J368" s="250"/>
      <c r="K368" s="251"/>
      <c r="L368" s="252"/>
      <c r="M368" s="249"/>
      <c r="N368" s="250"/>
      <c r="O368" s="251"/>
      <c r="P368" s="252"/>
      <c r="Q368" s="249"/>
      <c r="R368" s="250"/>
      <c r="S368" s="251"/>
      <c r="T368" s="252"/>
      <c r="U368" s="249"/>
      <c r="V368" s="250"/>
      <c r="W368" s="251"/>
      <c r="X368" s="252"/>
      <c r="Y368" s="249"/>
      <c r="Z368" s="250"/>
      <c r="AA368" s="251"/>
      <c r="AB368" s="252"/>
      <c r="AC368" s="249"/>
      <c r="AD368" s="250"/>
      <c r="AE368" s="251"/>
      <c r="AF368" s="252"/>
      <c r="AG368" s="253"/>
      <c r="AH368" s="254"/>
      <c r="AI368" s="255"/>
      <c r="AJ368" s="256"/>
    </row>
    <row r="369" spans="1:36" s="106" customFormat="1" x14ac:dyDescent="0.25">
      <c r="A369" s="107" t="str">
        <f>IF(H369&lt;&gt;"",MAX($A$7:A368)+1,"")</f>
        <v/>
      </c>
      <c r="B369" s="244" t="str">
        <f t="shared" si="12"/>
        <v/>
      </c>
      <c r="C369" s="62" t="str">
        <f t="shared" si="13"/>
        <v/>
      </c>
      <c r="D369" s="246"/>
      <c r="E369" s="247"/>
      <c r="F369" s="247"/>
      <c r="G369" s="248"/>
      <c r="H369" s="241"/>
      <c r="I369" s="249"/>
      <c r="J369" s="250"/>
      <c r="K369" s="251"/>
      <c r="L369" s="252"/>
      <c r="M369" s="249"/>
      <c r="N369" s="250"/>
      <c r="O369" s="251"/>
      <c r="P369" s="252"/>
      <c r="Q369" s="249"/>
      <c r="R369" s="250"/>
      <c r="S369" s="251"/>
      <c r="T369" s="252"/>
      <c r="U369" s="249"/>
      <c r="V369" s="250"/>
      <c r="W369" s="251"/>
      <c r="X369" s="252"/>
      <c r="Y369" s="249"/>
      <c r="Z369" s="250"/>
      <c r="AA369" s="251"/>
      <c r="AB369" s="252"/>
      <c r="AC369" s="249"/>
      <c r="AD369" s="250"/>
      <c r="AE369" s="251"/>
      <c r="AF369" s="252"/>
      <c r="AG369" s="253"/>
      <c r="AH369" s="254"/>
      <c r="AI369" s="255"/>
      <c r="AJ369" s="256"/>
    </row>
    <row r="370" spans="1:36" s="106" customFormat="1" x14ac:dyDescent="0.25">
      <c r="A370" s="107" t="str">
        <f>IF(H370&lt;&gt;"",MAX($A$7:A369)+1,"")</f>
        <v/>
      </c>
      <c r="B370" s="244" t="str">
        <f t="shared" si="12"/>
        <v/>
      </c>
      <c r="C370" s="62" t="str">
        <f t="shared" si="13"/>
        <v/>
      </c>
      <c r="D370" s="246"/>
      <c r="E370" s="247"/>
      <c r="F370" s="247"/>
      <c r="G370" s="248"/>
      <c r="H370" s="241"/>
      <c r="I370" s="249"/>
      <c r="J370" s="250"/>
      <c r="K370" s="251"/>
      <c r="L370" s="252"/>
      <c r="M370" s="249"/>
      <c r="N370" s="250"/>
      <c r="O370" s="251"/>
      <c r="P370" s="252"/>
      <c r="Q370" s="249"/>
      <c r="R370" s="250"/>
      <c r="S370" s="251"/>
      <c r="T370" s="252"/>
      <c r="U370" s="249"/>
      <c r="V370" s="250"/>
      <c r="W370" s="251"/>
      <c r="X370" s="252"/>
      <c r="Y370" s="249"/>
      <c r="Z370" s="250"/>
      <c r="AA370" s="251"/>
      <c r="AB370" s="252"/>
      <c r="AC370" s="249"/>
      <c r="AD370" s="250"/>
      <c r="AE370" s="251"/>
      <c r="AF370" s="252"/>
      <c r="AG370" s="253"/>
      <c r="AH370" s="254"/>
      <c r="AI370" s="255"/>
      <c r="AJ370" s="256"/>
    </row>
    <row r="371" spans="1:36" s="106" customFormat="1" x14ac:dyDescent="0.25">
      <c r="A371" s="107" t="str">
        <f>IF(H371&lt;&gt;"",MAX($A$7:A370)+1,"")</f>
        <v/>
      </c>
      <c r="B371" s="244" t="str">
        <f t="shared" si="12"/>
        <v/>
      </c>
      <c r="C371" s="62" t="str">
        <f t="shared" si="13"/>
        <v/>
      </c>
      <c r="D371" s="246"/>
      <c r="E371" s="247"/>
      <c r="F371" s="247"/>
      <c r="G371" s="248"/>
      <c r="H371" s="241"/>
      <c r="I371" s="249"/>
      <c r="J371" s="250"/>
      <c r="K371" s="251"/>
      <c r="L371" s="252"/>
      <c r="M371" s="249"/>
      <c r="N371" s="250"/>
      <c r="O371" s="251"/>
      <c r="P371" s="252"/>
      <c r="Q371" s="249"/>
      <c r="R371" s="250"/>
      <c r="S371" s="251"/>
      <c r="T371" s="252"/>
      <c r="U371" s="249"/>
      <c r="V371" s="250"/>
      <c r="W371" s="251"/>
      <c r="X371" s="252"/>
      <c r="Y371" s="249"/>
      <c r="Z371" s="250"/>
      <c r="AA371" s="251"/>
      <c r="AB371" s="252"/>
      <c r="AC371" s="249"/>
      <c r="AD371" s="250"/>
      <c r="AE371" s="251"/>
      <c r="AF371" s="252"/>
      <c r="AG371" s="253"/>
      <c r="AH371" s="254"/>
      <c r="AI371" s="255"/>
      <c r="AJ371" s="256"/>
    </row>
    <row r="372" spans="1:36" s="106" customFormat="1" x14ac:dyDescent="0.25">
      <c r="A372" s="107" t="str">
        <f>IF(H372&lt;&gt;"",MAX($A$7:A371)+1,"")</f>
        <v/>
      </c>
      <c r="B372" s="244" t="str">
        <f t="shared" si="12"/>
        <v/>
      </c>
      <c r="C372" s="62" t="str">
        <f t="shared" si="13"/>
        <v/>
      </c>
      <c r="D372" s="246"/>
      <c r="E372" s="247"/>
      <c r="F372" s="247"/>
      <c r="G372" s="248"/>
      <c r="H372" s="241"/>
      <c r="I372" s="249"/>
      <c r="J372" s="250"/>
      <c r="K372" s="251"/>
      <c r="L372" s="252"/>
      <c r="M372" s="249"/>
      <c r="N372" s="250"/>
      <c r="O372" s="251"/>
      <c r="P372" s="252"/>
      <c r="Q372" s="249"/>
      <c r="R372" s="250"/>
      <c r="S372" s="251"/>
      <c r="T372" s="252"/>
      <c r="U372" s="249"/>
      <c r="V372" s="250"/>
      <c r="W372" s="251"/>
      <c r="X372" s="252"/>
      <c r="Y372" s="249"/>
      <c r="Z372" s="250"/>
      <c r="AA372" s="251"/>
      <c r="AB372" s="252"/>
      <c r="AC372" s="249"/>
      <c r="AD372" s="250"/>
      <c r="AE372" s="251"/>
      <c r="AF372" s="252"/>
      <c r="AG372" s="253"/>
      <c r="AH372" s="254"/>
      <c r="AI372" s="255"/>
      <c r="AJ372" s="256"/>
    </row>
    <row r="373" spans="1:36" s="106" customFormat="1" x14ac:dyDescent="0.25">
      <c r="A373" s="107" t="str">
        <f>IF(H373&lt;&gt;"",MAX($A$7:A372)+1,"")</f>
        <v/>
      </c>
      <c r="B373" s="244" t="str">
        <f t="shared" si="12"/>
        <v/>
      </c>
      <c r="C373" s="62" t="str">
        <f t="shared" si="13"/>
        <v/>
      </c>
      <c r="D373" s="246"/>
      <c r="E373" s="247"/>
      <c r="F373" s="247"/>
      <c r="G373" s="248"/>
      <c r="H373" s="241"/>
      <c r="I373" s="249"/>
      <c r="J373" s="250"/>
      <c r="K373" s="251"/>
      <c r="L373" s="252"/>
      <c r="M373" s="249"/>
      <c r="N373" s="250"/>
      <c r="O373" s="251"/>
      <c r="P373" s="252"/>
      <c r="Q373" s="249"/>
      <c r="R373" s="250"/>
      <c r="S373" s="251"/>
      <c r="T373" s="252"/>
      <c r="U373" s="249"/>
      <c r="V373" s="250"/>
      <c r="W373" s="251"/>
      <c r="X373" s="252"/>
      <c r="Y373" s="249"/>
      <c r="Z373" s="250"/>
      <c r="AA373" s="251"/>
      <c r="AB373" s="252"/>
      <c r="AC373" s="249"/>
      <c r="AD373" s="250"/>
      <c r="AE373" s="251"/>
      <c r="AF373" s="252"/>
      <c r="AG373" s="253"/>
      <c r="AH373" s="254"/>
      <c r="AI373" s="255"/>
      <c r="AJ373" s="256"/>
    </row>
    <row r="374" spans="1:36" s="106" customFormat="1" x14ac:dyDescent="0.25">
      <c r="A374" s="107" t="str">
        <f>IF(H374&lt;&gt;"",MAX($A$7:A373)+1,"")</f>
        <v/>
      </c>
      <c r="B374" s="244" t="str">
        <f t="shared" si="12"/>
        <v/>
      </c>
      <c r="C374" s="62" t="str">
        <f t="shared" si="13"/>
        <v/>
      </c>
      <c r="D374" s="246"/>
      <c r="E374" s="247"/>
      <c r="F374" s="247"/>
      <c r="G374" s="248"/>
      <c r="H374" s="241"/>
      <c r="I374" s="249"/>
      <c r="J374" s="250"/>
      <c r="K374" s="251"/>
      <c r="L374" s="252"/>
      <c r="M374" s="249"/>
      <c r="N374" s="250"/>
      <c r="O374" s="251"/>
      <c r="P374" s="252"/>
      <c r="Q374" s="249"/>
      <c r="R374" s="250"/>
      <c r="S374" s="251"/>
      <c r="T374" s="252"/>
      <c r="U374" s="249"/>
      <c r="V374" s="250"/>
      <c r="W374" s="251"/>
      <c r="X374" s="252"/>
      <c r="Y374" s="249"/>
      <c r="Z374" s="250"/>
      <c r="AA374" s="251"/>
      <c r="AB374" s="252"/>
      <c r="AC374" s="249"/>
      <c r="AD374" s="250"/>
      <c r="AE374" s="251"/>
      <c r="AF374" s="252"/>
      <c r="AG374" s="253"/>
      <c r="AH374" s="254"/>
      <c r="AI374" s="255"/>
      <c r="AJ374" s="256"/>
    </row>
    <row r="375" spans="1:36" s="106" customFormat="1" x14ac:dyDescent="0.25">
      <c r="A375" s="107" t="str">
        <f>IF(H375&lt;&gt;"",MAX($A$7:A374)+1,"")</f>
        <v/>
      </c>
      <c r="B375" s="244" t="str">
        <f t="shared" si="12"/>
        <v/>
      </c>
      <c r="C375" s="62" t="str">
        <f t="shared" si="13"/>
        <v/>
      </c>
      <c r="D375" s="246"/>
      <c r="E375" s="247"/>
      <c r="F375" s="247"/>
      <c r="G375" s="248"/>
      <c r="H375" s="241"/>
      <c r="I375" s="249"/>
      <c r="J375" s="250"/>
      <c r="K375" s="251"/>
      <c r="L375" s="252"/>
      <c r="M375" s="249"/>
      <c r="N375" s="250"/>
      <c r="O375" s="251"/>
      <c r="P375" s="252"/>
      <c r="Q375" s="249"/>
      <c r="R375" s="250"/>
      <c r="S375" s="251"/>
      <c r="T375" s="252"/>
      <c r="U375" s="249"/>
      <c r="V375" s="250"/>
      <c r="W375" s="251"/>
      <c r="X375" s="252"/>
      <c r="Y375" s="249"/>
      <c r="Z375" s="250"/>
      <c r="AA375" s="251"/>
      <c r="AB375" s="252"/>
      <c r="AC375" s="249"/>
      <c r="AD375" s="250"/>
      <c r="AE375" s="251"/>
      <c r="AF375" s="252"/>
      <c r="AG375" s="253"/>
      <c r="AH375" s="254"/>
      <c r="AI375" s="255"/>
      <c r="AJ375" s="256"/>
    </row>
    <row r="376" spans="1:36" s="106" customFormat="1" x14ac:dyDescent="0.25">
      <c r="A376" s="107" t="str">
        <f>IF(H376&lt;&gt;"",MAX($A$7:A375)+1,"")</f>
        <v/>
      </c>
      <c r="B376" s="244" t="str">
        <f t="shared" si="12"/>
        <v/>
      </c>
      <c r="C376" s="62" t="str">
        <f t="shared" si="13"/>
        <v/>
      </c>
      <c r="D376" s="246"/>
      <c r="E376" s="247"/>
      <c r="F376" s="247"/>
      <c r="G376" s="248"/>
      <c r="H376" s="241"/>
      <c r="I376" s="249"/>
      <c r="J376" s="250"/>
      <c r="K376" s="251"/>
      <c r="L376" s="252"/>
      <c r="M376" s="249"/>
      <c r="N376" s="250"/>
      <c r="O376" s="251"/>
      <c r="P376" s="252"/>
      <c r="Q376" s="249"/>
      <c r="R376" s="250"/>
      <c r="S376" s="251"/>
      <c r="T376" s="252"/>
      <c r="U376" s="249"/>
      <c r="V376" s="250"/>
      <c r="W376" s="251"/>
      <c r="X376" s="252"/>
      <c r="Y376" s="249"/>
      <c r="Z376" s="250"/>
      <c r="AA376" s="251"/>
      <c r="AB376" s="252"/>
      <c r="AC376" s="249"/>
      <c r="AD376" s="250"/>
      <c r="AE376" s="251"/>
      <c r="AF376" s="252"/>
      <c r="AG376" s="253"/>
      <c r="AH376" s="254"/>
      <c r="AI376" s="255"/>
      <c r="AJ376" s="256"/>
    </row>
    <row r="377" spans="1:36" s="106" customFormat="1" x14ac:dyDescent="0.25">
      <c r="A377" s="107" t="str">
        <f>IF(H377&lt;&gt;"",MAX($A$7:A376)+1,"")</f>
        <v/>
      </c>
      <c r="B377" s="244" t="str">
        <f t="shared" si="12"/>
        <v/>
      </c>
      <c r="C377" s="62" t="str">
        <f t="shared" si="13"/>
        <v/>
      </c>
      <c r="D377" s="246"/>
      <c r="E377" s="247"/>
      <c r="F377" s="247"/>
      <c r="G377" s="248"/>
      <c r="H377" s="241"/>
      <c r="I377" s="249"/>
      <c r="J377" s="250"/>
      <c r="K377" s="251"/>
      <c r="L377" s="252"/>
      <c r="M377" s="249"/>
      <c r="N377" s="250"/>
      <c r="O377" s="251"/>
      <c r="P377" s="252"/>
      <c r="Q377" s="249"/>
      <c r="R377" s="250"/>
      <c r="S377" s="251"/>
      <c r="T377" s="252"/>
      <c r="U377" s="249"/>
      <c r="V377" s="250"/>
      <c r="W377" s="251"/>
      <c r="X377" s="252"/>
      <c r="Y377" s="249"/>
      <c r="Z377" s="250"/>
      <c r="AA377" s="251"/>
      <c r="AB377" s="252"/>
      <c r="AC377" s="249"/>
      <c r="AD377" s="250"/>
      <c r="AE377" s="251"/>
      <c r="AF377" s="252"/>
      <c r="AG377" s="253"/>
      <c r="AH377" s="254"/>
      <c r="AI377" s="255"/>
      <c r="AJ377" s="256"/>
    </row>
    <row r="378" spans="1:36" s="106" customFormat="1" x14ac:dyDescent="0.25">
      <c r="A378" s="107" t="str">
        <f>IF(H378&lt;&gt;"",MAX($A$7:A377)+1,"")</f>
        <v/>
      </c>
      <c r="B378" s="244" t="str">
        <f t="shared" si="12"/>
        <v/>
      </c>
      <c r="C378" s="62" t="str">
        <f t="shared" si="13"/>
        <v/>
      </c>
      <c r="D378" s="246"/>
      <c r="E378" s="247"/>
      <c r="F378" s="247"/>
      <c r="G378" s="248"/>
      <c r="H378" s="241"/>
      <c r="I378" s="249"/>
      <c r="J378" s="250"/>
      <c r="K378" s="251"/>
      <c r="L378" s="252"/>
      <c r="M378" s="249"/>
      <c r="N378" s="250"/>
      <c r="O378" s="251"/>
      <c r="P378" s="252"/>
      <c r="Q378" s="249"/>
      <c r="R378" s="250"/>
      <c r="S378" s="251"/>
      <c r="T378" s="252"/>
      <c r="U378" s="249"/>
      <c r="V378" s="250"/>
      <c r="W378" s="251"/>
      <c r="X378" s="252"/>
      <c r="Y378" s="249"/>
      <c r="Z378" s="250"/>
      <c r="AA378" s="251"/>
      <c r="AB378" s="252"/>
      <c r="AC378" s="249"/>
      <c r="AD378" s="250"/>
      <c r="AE378" s="251"/>
      <c r="AF378" s="252"/>
      <c r="AG378" s="253"/>
      <c r="AH378" s="254"/>
      <c r="AI378" s="255"/>
      <c r="AJ378" s="256"/>
    </row>
    <row r="379" spans="1:36" s="106" customFormat="1" x14ac:dyDescent="0.25">
      <c r="A379" s="107" t="str">
        <f>IF(H379&lt;&gt;"",MAX($A$7:A378)+1,"")</f>
        <v/>
      </c>
      <c r="B379" s="244" t="str">
        <f t="shared" si="12"/>
        <v/>
      </c>
      <c r="C379" s="62" t="str">
        <f t="shared" si="13"/>
        <v/>
      </c>
      <c r="D379" s="246"/>
      <c r="E379" s="247"/>
      <c r="F379" s="247"/>
      <c r="G379" s="248"/>
      <c r="H379" s="241"/>
      <c r="I379" s="249"/>
      <c r="J379" s="250"/>
      <c r="K379" s="251"/>
      <c r="L379" s="252"/>
      <c r="M379" s="249"/>
      <c r="N379" s="250"/>
      <c r="O379" s="251"/>
      <c r="P379" s="252"/>
      <c r="Q379" s="249"/>
      <c r="R379" s="250"/>
      <c r="S379" s="251"/>
      <c r="T379" s="252"/>
      <c r="U379" s="249"/>
      <c r="V379" s="250"/>
      <c r="W379" s="251"/>
      <c r="X379" s="252"/>
      <c r="Y379" s="249"/>
      <c r="Z379" s="250"/>
      <c r="AA379" s="251"/>
      <c r="AB379" s="252"/>
      <c r="AC379" s="249"/>
      <c r="AD379" s="250"/>
      <c r="AE379" s="251"/>
      <c r="AF379" s="252"/>
      <c r="AG379" s="253"/>
      <c r="AH379" s="254"/>
      <c r="AI379" s="255"/>
      <c r="AJ379" s="256"/>
    </row>
    <row r="380" spans="1:36" s="106" customFormat="1" x14ac:dyDescent="0.25">
      <c r="A380" s="107" t="str">
        <f>IF(H380&lt;&gt;"",MAX($A$7:A379)+1,"")</f>
        <v/>
      </c>
      <c r="B380" s="244" t="str">
        <f t="shared" si="12"/>
        <v/>
      </c>
      <c r="C380" s="62" t="str">
        <f t="shared" si="13"/>
        <v/>
      </c>
      <c r="D380" s="246"/>
      <c r="E380" s="247"/>
      <c r="F380" s="247"/>
      <c r="G380" s="248"/>
      <c r="H380" s="241"/>
      <c r="I380" s="249"/>
      <c r="J380" s="250"/>
      <c r="K380" s="251"/>
      <c r="L380" s="252"/>
      <c r="M380" s="249"/>
      <c r="N380" s="250"/>
      <c r="O380" s="251"/>
      <c r="P380" s="252"/>
      <c r="Q380" s="249"/>
      <c r="R380" s="250"/>
      <c r="S380" s="251"/>
      <c r="T380" s="252"/>
      <c r="U380" s="249"/>
      <c r="V380" s="250"/>
      <c r="W380" s="251"/>
      <c r="X380" s="252"/>
      <c r="Y380" s="249"/>
      <c r="Z380" s="250"/>
      <c r="AA380" s="251"/>
      <c r="AB380" s="252"/>
      <c r="AC380" s="249"/>
      <c r="AD380" s="250"/>
      <c r="AE380" s="251"/>
      <c r="AF380" s="252"/>
      <c r="AG380" s="253"/>
      <c r="AH380" s="254"/>
      <c r="AI380" s="255"/>
      <c r="AJ380" s="256"/>
    </row>
    <row r="381" spans="1:36" s="106" customFormat="1" x14ac:dyDescent="0.25">
      <c r="A381" s="107" t="str">
        <f>IF(H381&lt;&gt;"",MAX($A$7:A380)+1,"")</f>
        <v/>
      </c>
      <c r="B381" s="244" t="str">
        <f t="shared" si="12"/>
        <v/>
      </c>
      <c r="C381" s="62" t="str">
        <f t="shared" si="13"/>
        <v/>
      </c>
      <c r="D381" s="246"/>
      <c r="E381" s="247"/>
      <c r="F381" s="247"/>
      <c r="G381" s="248"/>
      <c r="H381" s="241"/>
      <c r="I381" s="249"/>
      <c r="J381" s="250"/>
      <c r="K381" s="251"/>
      <c r="L381" s="252"/>
      <c r="M381" s="249"/>
      <c r="N381" s="250"/>
      <c r="O381" s="251"/>
      <c r="P381" s="252"/>
      <c r="Q381" s="249"/>
      <c r="R381" s="250"/>
      <c r="S381" s="251"/>
      <c r="T381" s="252"/>
      <c r="U381" s="249"/>
      <c r="V381" s="250"/>
      <c r="W381" s="251"/>
      <c r="X381" s="252"/>
      <c r="Y381" s="249"/>
      <c r="Z381" s="250"/>
      <c r="AA381" s="251"/>
      <c r="AB381" s="252"/>
      <c r="AC381" s="249"/>
      <c r="AD381" s="250"/>
      <c r="AE381" s="251"/>
      <c r="AF381" s="252"/>
      <c r="AG381" s="253"/>
      <c r="AH381" s="254"/>
      <c r="AI381" s="255"/>
      <c r="AJ381" s="256"/>
    </row>
    <row r="382" spans="1:36" s="106" customFormat="1" x14ac:dyDescent="0.25">
      <c r="A382" s="107" t="str">
        <f>IF(H382&lt;&gt;"",MAX($A$7:A381)+1,"")</f>
        <v/>
      </c>
      <c r="B382" s="244" t="str">
        <f t="shared" si="12"/>
        <v/>
      </c>
      <c r="C382" s="62" t="str">
        <f t="shared" si="13"/>
        <v/>
      </c>
      <c r="D382" s="246"/>
      <c r="E382" s="247"/>
      <c r="F382" s="247"/>
      <c r="G382" s="248"/>
      <c r="H382" s="241"/>
      <c r="I382" s="249"/>
      <c r="J382" s="250"/>
      <c r="K382" s="251"/>
      <c r="L382" s="252"/>
      <c r="M382" s="249"/>
      <c r="N382" s="250"/>
      <c r="O382" s="251"/>
      <c r="P382" s="252"/>
      <c r="Q382" s="249"/>
      <c r="R382" s="250"/>
      <c r="S382" s="251"/>
      <c r="T382" s="252"/>
      <c r="U382" s="249"/>
      <c r="V382" s="250"/>
      <c r="W382" s="251"/>
      <c r="X382" s="252"/>
      <c r="Y382" s="249"/>
      <c r="Z382" s="250"/>
      <c r="AA382" s="251"/>
      <c r="AB382" s="252"/>
      <c r="AC382" s="249"/>
      <c r="AD382" s="250"/>
      <c r="AE382" s="251"/>
      <c r="AF382" s="252"/>
      <c r="AG382" s="253"/>
      <c r="AH382" s="254"/>
      <c r="AI382" s="255"/>
      <c r="AJ382" s="256"/>
    </row>
    <row r="383" spans="1:36" s="106" customFormat="1" x14ac:dyDescent="0.25">
      <c r="A383" s="107" t="str">
        <f>IF(H383&lt;&gt;"",MAX($A$7:A382)+1,"")</f>
        <v/>
      </c>
      <c r="B383" s="244" t="str">
        <f t="shared" si="12"/>
        <v/>
      </c>
      <c r="C383" s="62" t="str">
        <f t="shared" si="13"/>
        <v/>
      </c>
      <c r="D383" s="246"/>
      <c r="E383" s="247"/>
      <c r="F383" s="247"/>
      <c r="G383" s="248"/>
      <c r="H383" s="241"/>
      <c r="I383" s="249"/>
      <c r="J383" s="250"/>
      <c r="K383" s="251"/>
      <c r="L383" s="252"/>
      <c r="M383" s="249"/>
      <c r="N383" s="250"/>
      <c r="O383" s="251"/>
      <c r="P383" s="252"/>
      <c r="Q383" s="249"/>
      <c r="R383" s="250"/>
      <c r="S383" s="251"/>
      <c r="T383" s="252"/>
      <c r="U383" s="249"/>
      <c r="V383" s="250"/>
      <c r="W383" s="251"/>
      <c r="X383" s="252"/>
      <c r="Y383" s="249"/>
      <c r="Z383" s="250"/>
      <c r="AA383" s="251"/>
      <c r="AB383" s="252"/>
      <c r="AC383" s="249"/>
      <c r="AD383" s="250"/>
      <c r="AE383" s="251"/>
      <c r="AF383" s="252"/>
      <c r="AG383" s="253"/>
      <c r="AH383" s="254"/>
      <c r="AI383" s="255"/>
      <c r="AJ383" s="256"/>
    </row>
    <row r="384" spans="1:36" s="106" customFormat="1" x14ac:dyDescent="0.25">
      <c r="A384" s="107" t="str">
        <f>IF(H384&lt;&gt;"",MAX($A$7:A383)+1,"")</f>
        <v/>
      </c>
      <c r="B384" s="244" t="str">
        <f t="shared" si="12"/>
        <v/>
      </c>
      <c r="C384" s="62" t="str">
        <f t="shared" si="13"/>
        <v/>
      </c>
      <c r="D384" s="246"/>
      <c r="E384" s="247"/>
      <c r="F384" s="247"/>
      <c r="G384" s="248"/>
      <c r="H384" s="241"/>
      <c r="I384" s="249"/>
      <c r="J384" s="250"/>
      <c r="K384" s="251"/>
      <c r="L384" s="252"/>
      <c r="M384" s="249"/>
      <c r="N384" s="250"/>
      <c r="O384" s="251"/>
      <c r="P384" s="252"/>
      <c r="Q384" s="249"/>
      <c r="R384" s="250"/>
      <c r="S384" s="251"/>
      <c r="T384" s="252"/>
      <c r="U384" s="249"/>
      <c r="V384" s="250"/>
      <c r="W384" s="251"/>
      <c r="X384" s="252"/>
      <c r="Y384" s="249"/>
      <c r="Z384" s="250"/>
      <c r="AA384" s="251"/>
      <c r="AB384" s="252"/>
      <c r="AC384" s="249"/>
      <c r="AD384" s="250"/>
      <c r="AE384" s="251"/>
      <c r="AF384" s="252"/>
      <c r="AG384" s="253"/>
      <c r="AH384" s="254"/>
      <c r="AI384" s="255"/>
      <c r="AJ384" s="256"/>
    </row>
    <row r="385" spans="1:36" s="106" customFormat="1" x14ac:dyDescent="0.25">
      <c r="A385" s="107" t="str">
        <f>IF(H385&lt;&gt;"",MAX($A$7:A384)+1,"")</f>
        <v/>
      </c>
      <c r="B385" s="244" t="str">
        <f t="shared" si="12"/>
        <v/>
      </c>
      <c r="C385" s="62" t="str">
        <f t="shared" si="13"/>
        <v/>
      </c>
      <c r="D385" s="246"/>
      <c r="E385" s="247"/>
      <c r="F385" s="247"/>
      <c r="G385" s="248"/>
      <c r="H385" s="241"/>
      <c r="I385" s="249"/>
      <c r="J385" s="250"/>
      <c r="K385" s="251"/>
      <c r="L385" s="252"/>
      <c r="M385" s="249"/>
      <c r="N385" s="250"/>
      <c r="O385" s="251"/>
      <c r="P385" s="252"/>
      <c r="Q385" s="249"/>
      <c r="R385" s="250"/>
      <c r="S385" s="251"/>
      <c r="T385" s="252"/>
      <c r="U385" s="249"/>
      <c r="V385" s="250"/>
      <c r="W385" s="251"/>
      <c r="X385" s="252"/>
      <c r="Y385" s="249"/>
      <c r="Z385" s="250"/>
      <c r="AA385" s="251"/>
      <c r="AB385" s="252"/>
      <c r="AC385" s="249"/>
      <c r="AD385" s="250"/>
      <c r="AE385" s="251"/>
      <c r="AF385" s="252"/>
      <c r="AG385" s="253"/>
      <c r="AH385" s="254"/>
      <c r="AI385" s="255"/>
      <c r="AJ385" s="256"/>
    </row>
    <row r="386" spans="1:36" s="106" customFormat="1" x14ac:dyDescent="0.25">
      <c r="A386" s="107" t="str">
        <f>IF(H386&lt;&gt;"",MAX($A$7:A385)+1,"")</f>
        <v/>
      </c>
      <c r="B386" s="244" t="str">
        <f t="shared" si="12"/>
        <v/>
      </c>
      <c r="C386" s="62" t="str">
        <f t="shared" si="13"/>
        <v/>
      </c>
      <c r="D386" s="246"/>
      <c r="E386" s="247"/>
      <c r="F386" s="247"/>
      <c r="G386" s="248"/>
      <c r="H386" s="241"/>
      <c r="I386" s="249"/>
      <c r="J386" s="250"/>
      <c r="K386" s="251"/>
      <c r="L386" s="252"/>
      <c r="M386" s="249"/>
      <c r="N386" s="250"/>
      <c r="O386" s="251"/>
      <c r="P386" s="252"/>
      <c r="Q386" s="249"/>
      <c r="R386" s="250"/>
      <c r="S386" s="251"/>
      <c r="T386" s="252"/>
      <c r="U386" s="249"/>
      <c r="V386" s="250"/>
      <c r="W386" s="251"/>
      <c r="X386" s="252"/>
      <c r="Y386" s="249"/>
      <c r="Z386" s="250"/>
      <c r="AA386" s="251"/>
      <c r="AB386" s="252"/>
      <c r="AC386" s="249"/>
      <c r="AD386" s="250"/>
      <c r="AE386" s="251"/>
      <c r="AF386" s="252"/>
      <c r="AG386" s="253"/>
      <c r="AH386" s="254"/>
      <c r="AI386" s="255"/>
      <c r="AJ386" s="256"/>
    </row>
    <row r="387" spans="1:36" s="106" customFormat="1" x14ac:dyDescent="0.25">
      <c r="A387" s="107" t="str">
        <f>IF(H387&lt;&gt;"",MAX($A$7:A386)+1,"")</f>
        <v/>
      </c>
      <c r="B387" s="244" t="str">
        <f t="shared" si="12"/>
        <v/>
      </c>
      <c r="C387" s="62" t="str">
        <f t="shared" si="13"/>
        <v/>
      </c>
      <c r="D387" s="246"/>
      <c r="E387" s="247"/>
      <c r="F387" s="247"/>
      <c r="G387" s="248"/>
      <c r="H387" s="241"/>
      <c r="I387" s="249"/>
      <c r="J387" s="250"/>
      <c r="K387" s="251"/>
      <c r="L387" s="252"/>
      <c r="M387" s="249"/>
      <c r="N387" s="250"/>
      <c r="O387" s="251"/>
      <c r="P387" s="252"/>
      <c r="Q387" s="249"/>
      <c r="R387" s="250"/>
      <c r="S387" s="251"/>
      <c r="T387" s="252"/>
      <c r="U387" s="249"/>
      <c r="V387" s="250"/>
      <c r="W387" s="251"/>
      <c r="X387" s="252"/>
      <c r="Y387" s="249"/>
      <c r="Z387" s="250"/>
      <c r="AA387" s="251"/>
      <c r="AB387" s="252"/>
      <c r="AC387" s="249"/>
      <c r="AD387" s="250"/>
      <c r="AE387" s="251"/>
      <c r="AF387" s="252"/>
      <c r="AG387" s="253"/>
      <c r="AH387" s="254"/>
      <c r="AI387" s="255"/>
      <c r="AJ387" s="256"/>
    </row>
    <row r="388" spans="1:36" s="106" customFormat="1" x14ac:dyDescent="0.25">
      <c r="A388" s="107" t="str">
        <f>IF(H388&lt;&gt;"",MAX($A$7:A387)+1,"")</f>
        <v/>
      </c>
      <c r="B388" s="244" t="str">
        <f t="shared" si="12"/>
        <v/>
      </c>
      <c r="C388" s="62" t="str">
        <f t="shared" si="13"/>
        <v/>
      </c>
      <c r="D388" s="246"/>
      <c r="E388" s="247"/>
      <c r="F388" s="247"/>
      <c r="G388" s="248"/>
      <c r="H388" s="241"/>
      <c r="I388" s="249"/>
      <c r="J388" s="250"/>
      <c r="K388" s="251"/>
      <c r="L388" s="252"/>
      <c r="M388" s="249"/>
      <c r="N388" s="250"/>
      <c r="O388" s="251"/>
      <c r="P388" s="252"/>
      <c r="Q388" s="249"/>
      <c r="R388" s="250"/>
      <c r="S388" s="251"/>
      <c r="T388" s="252"/>
      <c r="U388" s="249"/>
      <c r="V388" s="250"/>
      <c r="W388" s="251"/>
      <c r="X388" s="252"/>
      <c r="Y388" s="249"/>
      <c r="Z388" s="250"/>
      <c r="AA388" s="251"/>
      <c r="AB388" s="252"/>
      <c r="AC388" s="249"/>
      <c r="AD388" s="250"/>
      <c r="AE388" s="251"/>
      <c r="AF388" s="252"/>
      <c r="AG388" s="253"/>
      <c r="AH388" s="254"/>
      <c r="AI388" s="255"/>
      <c r="AJ388" s="256"/>
    </row>
    <row r="389" spans="1:36" s="106" customFormat="1" x14ac:dyDescent="0.25">
      <c r="A389" s="107" t="str">
        <f>IF(H389&lt;&gt;"",MAX($A$7:A388)+1,"")</f>
        <v/>
      </c>
      <c r="B389" s="244" t="str">
        <f t="shared" si="12"/>
        <v/>
      </c>
      <c r="C389" s="62" t="str">
        <f t="shared" si="13"/>
        <v/>
      </c>
      <c r="D389" s="246"/>
      <c r="E389" s="247"/>
      <c r="F389" s="247"/>
      <c r="G389" s="248"/>
      <c r="H389" s="241"/>
      <c r="I389" s="249"/>
      <c r="J389" s="250"/>
      <c r="K389" s="251"/>
      <c r="L389" s="252"/>
      <c r="M389" s="249"/>
      <c r="N389" s="250"/>
      <c r="O389" s="251"/>
      <c r="P389" s="252"/>
      <c r="Q389" s="249"/>
      <c r="R389" s="250"/>
      <c r="S389" s="251"/>
      <c r="T389" s="252"/>
      <c r="U389" s="249"/>
      <c r="V389" s="250"/>
      <c r="W389" s="251"/>
      <c r="X389" s="252"/>
      <c r="Y389" s="249"/>
      <c r="Z389" s="250"/>
      <c r="AA389" s="251"/>
      <c r="AB389" s="252"/>
      <c r="AC389" s="249"/>
      <c r="AD389" s="250"/>
      <c r="AE389" s="251"/>
      <c r="AF389" s="252"/>
      <c r="AG389" s="253"/>
      <c r="AH389" s="254"/>
      <c r="AI389" s="255"/>
      <c r="AJ389" s="256"/>
    </row>
    <row r="390" spans="1:36" s="106" customFormat="1" x14ac:dyDescent="0.25">
      <c r="A390" s="107" t="str">
        <f>IF(H390&lt;&gt;"",MAX($A$7:A389)+1,"")</f>
        <v/>
      </c>
      <c r="B390" s="244" t="str">
        <f t="shared" si="12"/>
        <v/>
      </c>
      <c r="C390" s="62" t="str">
        <f t="shared" si="13"/>
        <v/>
      </c>
      <c r="D390" s="246"/>
      <c r="E390" s="247"/>
      <c r="F390" s="247"/>
      <c r="G390" s="248"/>
      <c r="H390" s="241"/>
      <c r="I390" s="249"/>
      <c r="J390" s="250"/>
      <c r="K390" s="251"/>
      <c r="L390" s="252"/>
      <c r="M390" s="249"/>
      <c r="N390" s="250"/>
      <c r="O390" s="251"/>
      <c r="P390" s="252"/>
      <c r="Q390" s="249"/>
      <c r="R390" s="250"/>
      <c r="S390" s="251"/>
      <c r="T390" s="252"/>
      <c r="U390" s="249"/>
      <c r="V390" s="250"/>
      <c r="W390" s="251"/>
      <c r="X390" s="252"/>
      <c r="Y390" s="249"/>
      <c r="Z390" s="250"/>
      <c r="AA390" s="251"/>
      <c r="AB390" s="252"/>
      <c r="AC390" s="249"/>
      <c r="AD390" s="250"/>
      <c r="AE390" s="251"/>
      <c r="AF390" s="252"/>
      <c r="AG390" s="253"/>
      <c r="AH390" s="254"/>
      <c r="AI390" s="255"/>
      <c r="AJ390" s="256"/>
    </row>
    <row r="391" spans="1:36" s="106" customFormat="1" x14ac:dyDescent="0.25">
      <c r="A391" s="107" t="str">
        <f>IF(H391&lt;&gt;"",MAX($A$7:A390)+1,"")</f>
        <v/>
      </c>
      <c r="B391" s="244" t="str">
        <f t="shared" ref="B391:B454" si="14">IF(A391="","",PREF_PREGUNTA&amp;" - "&amp;IF(MAX($A$7:$A$156)&gt;99,IF(A391&lt;100,"0",""),"")&amp;IF(A391&lt;10,"0","")&amp;A391&amp;IF(G391&lt;&gt;""," "&amp;G391,""))</f>
        <v/>
      </c>
      <c r="C391" s="62" t="str">
        <f t="shared" ref="C391:C454" si="15">IF(COUNTA(I391:N391)-D391=0,"",COUNTA(I391:N391)-D391)</f>
        <v/>
      </c>
      <c r="D391" s="246"/>
      <c r="E391" s="247"/>
      <c r="F391" s="247"/>
      <c r="G391" s="248"/>
      <c r="H391" s="241"/>
      <c r="I391" s="249"/>
      <c r="J391" s="250"/>
      <c r="K391" s="251"/>
      <c r="L391" s="252"/>
      <c r="M391" s="249"/>
      <c r="N391" s="250"/>
      <c r="O391" s="251"/>
      <c r="P391" s="252"/>
      <c r="Q391" s="249"/>
      <c r="R391" s="250"/>
      <c r="S391" s="251"/>
      <c r="T391" s="252"/>
      <c r="U391" s="249"/>
      <c r="V391" s="250"/>
      <c r="W391" s="251"/>
      <c r="X391" s="252"/>
      <c r="Y391" s="249"/>
      <c r="Z391" s="250"/>
      <c r="AA391" s="251"/>
      <c r="AB391" s="252"/>
      <c r="AC391" s="249"/>
      <c r="AD391" s="250"/>
      <c r="AE391" s="251"/>
      <c r="AF391" s="252"/>
      <c r="AG391" s="253"/>
      <c r="AH391" s="254"/>
      <c r="AI391" s="255"/>
      <c r="AJ391" s="256"/>
    </row>
    <row r="392" spans="1:36" s="106" customFormat="1" x14ac:dyDescent="0.25">
      <c r="A392" s="107" t="str">
        <f>IF(H392&lt;&gt;"",MAX($A$7:A391)+1,"")</f>
        <v/>
      </c>
      <c r="B392" s="244" t="str">
        <f t="shared" si="14"/>
        <v/>
      </c>
      <c r="C392" s="62" t="str">
        <f t="shared" si="15"/>
        <v/>
      </c>
      <c r="D392" s="246"/>
      <c r="E392" s="247"/>
      <c r="F392" s="247"/>
      <c r="G392" s="248"/>
      <c r="H392" s="241"/>
      <c r="I392" s="249"/>
      <c r="J392" s="250"/>
      <c r="K392" s="251"/>
      <c r="L392" s="252"/>
      <c r="M392" s="249"/>
      <c r="N392" s="250"/>
      <c r="O392" s="251"/>
      <c r="P392" s="252"/>
      <c r="Q392" s="249"/>
      <c r="R392" s="250"/>
      <c r="S392" s="251"/>
      <c r="T392" s="252"/>
      <c r="U392" s="249"/>
      <c r="V392" s="250"/>
      <c r="W392" s="251"/>
      <c r="X392" s="252"/>
      <c r="Y392" s="249"/>
      <c r="Z392" s="250"/>
      <c r="AA392" s="251"/>
      <c r="AB392" s="252"/>
      <c r="AC392" s="249"/>
      <c r="AD392" s="250"/>
      <c r="AE392" s="251"/>
      <c r="AF392" s="252"/>
      <c r="AG392" s="253"/>
      <c r="AH392" s="254"/>
      <c r="AI392" s="255"/>
      <c r="AJ392" s="256"/>
    </row>
    <row r="393" spans="1:36" s="106" customFormat="1" x14ac:dyDescent="0.25">
      <c r="A393" s="107" t="str">
        <f>IF(H393&lt;&gt;"",MAX($A$7:A392)+1,"")</f>
        <v/>
      </c>
      <c r="B393" s="244" t="str">
        <f t="shared" si="14"/>
        <v/>
      </c>
      <c r="C393" s="62" t="str">
        <f t="shared" si="15"/>
        <v/>
      </c>
      <c r="D393" s="246"/>
      <c r="E393" s="247"/>
      <c r="F393" s="247"/>
      <c r="G393" s="248"/>
      <c r="H393" s="241"/>
      <c r="I393" s="249"/>
      <c r="J393" s="250"/>
      <c r="K393" s="251"/>
      <c r="L393" s="252"/>
      <c r="M393" s="249"/>
      <c r="N393" s="250"/>
      <c r="O393" s="251"/>
      <c r="P393" s="252"/>
      <c r="Q393" s="249"/>
      <c r="R393" s="250"/>
      <c r="S393" s="251"/>
      <c r="T393" s="252"/>
      <c r="U393" s="249"/>
      <c r="V393" s="250"/>
      <c r="W393" s="251"/>
      <c r="X393" s="252"/>
      <c r="Y393" s="249"/>
      <c r="Z393" s="250"/>
      <c r="AA393" s="251"/>
      <c r="AB393" s="252"/>
      <c r="AC393" s="249"/>
      <c r="AD393" s="250"/>
      <c r="AE393" s="251"/>
      <c r="AF393" s="252"/>
      <c r="AG393" s="253"/>
      <c r="AH393" s="254"/>
      <c r="AI393" s="255"/>
      <c r="AJ393" s="256"/>
    </row>
    <row r="394" spans="1:36" s="106" customFormat="1" x14ac:dyDescent="0.25">
      <c r="A394" s="107" t="str">
        <f>IF(H394&lt;&gt;"",MAX($A$7:A393)+1,"")</f>
        <v/>
      </c>
      <c r="B394" s="244" t="str">
        <f t="shared" si="14"/>
        <v/>
      </c>
      <c r="C394" s="62" t="str">
        <f t="shared" si="15"/>
        <v/>
      </c>
      <c r="D394" s="246"/>
      <c r="E394" s="247"/>
      <c r="F394" s="247"/>
      <c r="G394" s="248"/>
      <c r="H394" s="241"/>
      <c r="I394" s="249"/>
      <c r="J394" s="250"/>
      <c r="K394" s="251"/>
      <c r="L394" s="252"/>
      <c r="M394" s="249"/>
      <c r="N394" s="250"/>
      <c r="O394" s="251"/>
      <c r="P394" s="252"/>
      <c r="Q394" s="249"/>
      <c r="R394" s="250"/>
      <c r="S394" s="251"/>
      <c r="T394" s="252"/>
      <c r="U394" s="249"/>
      <c r="V394" s="250"/>
      <c r="W394" s="251"/>
      <c r="X394" s="252"/>
      <c r="Y394" s="249"/>
      <c r="Z394" s="250"/>
      <c r="AA394" s="251"/>
      <c r="AB394" s="252"/>
      <c r="AC394" s="249"/>
      <c r="AD394" s="250"/>
      <c r="AE394" s="251"/>
      <c r="AF394" s="252"/>
      <c r="AG394" s="253"/>
      <c r="AH394" s="254"/>
      <c r="AI394" s="255"/>
      <c r="AJ394" s="256"/>
    </row>
    <row r="395" spans="1:36" s="106" customFormat="1" x14ac:dyDescent="0.25">
      <c r="A395" s="107" t="str">
        <f>IF(H395&lt;&gt;"",MAX($A$7:A394)+1,"")</f>
        <v/>
      </c>
      <c r="B395" s="244" t="str">
        <f t="shared" si="14"/>
        <v/>
      </c>
      <c r="C395" s="62" t="str">
        <f t="shared" si="15"/>
        <v/>
      </c>
      <c r="D395" s="246"/>
      <c r="E395" s="247"/>
      <c r="F395" s="247"/>
      <c r="G395" s="248"/>
      <c r="H395" s="241"/>
      <c r="I395" s="249"/>
      <c r="J395" s="250"/>
      <c r="K395" s="251"/>
      <c r="L395" s="252"/>
      <c r="M395" s="249"/>
      <c r="N395" s="250"/>
      <c r="O395" s="251"/>
      <c r="P395" s="252"/>
      <c r="Q395" s="249"/>
      <c r="R395" s="250"/>
      <c r="S395" s="251"/>
      <c r="T395" s="252"/>
      <c r="U395" s="249"/>
      <c r="V395" s="250"/>
      <c r="W395" s="251"/>
      <c r="X395" s="252"/>
      <c r="Y395" s="249"/>
      <c r="Z395" s="250"/>
      <c r="AA395" s="251"/>
      <c r="AB395" s="252"/>
      <c r="AC395" s="249"/>
      <c r="AD395" s="250"/>
      <c r="AE395" s="251"/>
      <c r="AF395" s="252"/>
      <c r="AG395" s="253"/>
      <c r="AH395" s="254"/>
      <c r="AI395" s="255"/>
      <c r="AJ395" s="256"/>
    </row>
    <row r="396" spans="1:36" s="106" customFormat="1" x14ac:dyDescent="0.25">
      <c r="A396" s="107" t="str">
        <f>IF(H396&lt;&gt;"",MAX($A$7:A395)+1,"")</f>
        <v/>
      </c>
      <c r="B396" s="244" t="str">
        <f t="shared" si="14"/>
        <v/>
      </c>
      <c r="C396" s="62" t="str">
        <f t="shared" si="15"/>
        <v/>
      </c>
      <c r="D396" s="246"/>
      <c r="E396" s="247"/>
      <c r="F396" s="247"/>
      <c r="G396" s="248"/>
      <c r="H396" s="241"/>
      <c r="I396" s="249"/>
      <c r="J396" s="250"/>
      <c r="K396" s="251"/>
      <c r="L396" s="252"/>
      <c r="M396" s="249"/>
      <c r="N396" s="250"/>
      <c r="O396" s="251"/>
      <c r="P396" s="252"/>
      <c r="Q396" s="249"/>
      <c r="R396" s="250"/>
      <c r="S396" s="251"/>
      <c r="T396" s="252"/>
      <c r="U396" s="249"/>
      <c r="V396" s="250"/>
      <c r="W396" s="251"/>
      <c r="X396" s="252"/>
      <c r="Y396" s="249"/>
      <c r="Z396" s="250"/>
      <c r="AA396" s="251"/>
      <c r="AB396" s="252"/>
      <c r="AC396" s="249"/>
      <c r="AD396" s="250"/>
      <c r="AE396" s="251"/>
      <c r="AF396" s="252"/>
      <c r="AG396" s="253"/>
      <c r="AH396" s="254"/>
      <c r="AI396" s="255"/>
      <c r="AJ396" s="256"/>
    </row>
    <row r="397" spans="1:36" s="106" customFormat="1" x14ac:dyDescent="0.25">
      <c r="A397" s="107" t="str">
        <f>IF(H397&lt;&gt;"",MAX($A$7:A396)+1,"")</f>
        <v/>
      </c>
      <c r="B397" s="244" t="str">
        <f t="shared" si="14"/>
        <v/>
      </c>
      <c r="C397" s="62" t="str">
        <f t="shared" si="15"/>
        <v/>
      </c>
      <c r="D397" s="246"/>
      <c r="E397" s="247"/>
      <c r="F397" s="247"/>
      <c r="G397" s="248"/>
      <c r="H397" s="241"/>
      <c r="I397" s="249"/>
      <c r="J397" s="250"/>
      <c r="K397" s="251"/>
      <c r="L397" s="252"/>
      <c r="M397" s="249"/>
      <c r="N397" s="250"/>
      <c r="O397" s="251"/>
      <c r="P397" s="252"/>
      <c r="Q397" s="249"/>
      <c r="R397" s="250"/>
      <c r="S397" s="251"/>
      <c r="T397" s="252"/>
      <c r="U397" s="249"/>
      <c r="V397" s="250"/>
      <c r="W397" s="251"/>
      <c r="X397" s="252"/>
      <c r="Y397" s="249"/>
      <c r="Z397" s="250"/>
      <c r="AA397" s="251"/>
      <c r="AB397" s="252"/>
      <c r="AC397" s="249"/>
      <c r="AD397" s="250"/>
      <c r="AE397" s="251"/>
      <c r="AF397" s="252"/>
      <c r="AG397" s="253"/>
      <c r="AH397" s="254"/>
      <c r="AI397" s="255"/>
      <c r="AJ397" s="256"/>
    </row>
    <row r="398" spans="1:36" s="106" customFormat="1" x14ac:dyDescent="0.25">
      <c r="A398" s="107" t="str">
        <f>IF(H398&lt;&gt;"",MAX($A$7:A397)+1,"")</f>
        <v/>
      </c>
      <c r="B398" s="244" t="str">
        <f t="shared" si="14"/>
        <v/>
      </c>
      <c r="C398" s="62" t="str">
        <f t="shared" si="15"/>
        <v/>
      </c>
      <c r="D398" s="246"/>
      <c r="E398" s="247"/>
      <c r="F398" s="247"/>
      <c r="G398" s="248"/>
      <c r="H398" s="241"/>
      <c r="I398" s="249"/>
      <c r="J398" s="250"/>
      <c r="K398" s="251"/>
      <c r="L398" s="252"/>
      <c r="M398" s="249"/>
      <c r="N398" s="250"/>
      <c r="O398" s="251"/>
      <c r="P398" s="252"/>
      <c r="Q398" s="249"/>
      <c r="R398" s="250"/>
      <c r="S398" s="251"/>
      <c r="T398" s="252"/>
      <c r="U398" s="249"/>
      <c r="V398" s="250"/>
      <c r="W398" s="251"/>
      <c r="X398" s="252"/>
      <c r="Y398" s="249"/>
      <c r="Z398" s="250"/>
      <c r="AA398" s="251"/>
      <c r="AB398" s="252"/>
      <c r="AC398" s="249"/>
      <c r="AD398" s="250"/>
      <c r="AE398" s="251"/>
      <c r="AF398" s="252"/>
      <c r="AG398" s="253"/>
      <c r="AH398" s="254"/>
      <c r="AI398" s="255"/>
      <c r="AJ398" s="256"/>
    </row>
    <row r="399" spans="1:36" s="106" customFormat="1" x14ac:dyDescent="0.25">
      <c r="A399" s="107" t="str">
        <f>IF(H399&lt;&gt;"",MAX($A$7:A398)+1,"")</f>
        <v/>
      </c>
      <c r="B399" s="244" t="str">
        <f t="shared" si="14"/>
        <v/>
      </c>
      <c r="C399" s="62" t="str">
        <f t="shared" si="15"/>
        <v/>
      </c>
      <c r="D399" s="246"/>
      <c r="E399" s="247"/>
      <c r="F399" s="247"/>
      <c r="G399" s="248"/>
      <c r="H399" s="241"/>
      <c r="I399" s="249"/>
      <c r="J399" s="250"/>
      <c r="K399" s="251"/>
      <c r="L399" s="252"/>
      <c r="M399" s="249"/>
      <c r="N399" s="250"/>
      <c r="O399" s="251"/>
      <c r="P399" s="252"/>
      <c r="Q399" s="249"/>
      <c r="R399" s="250"/>
      <c r="S399" s="251"/>
      <c r="T399" s="252"/>
      <c r="U399" s="249"/>
      <c r="V399" s="250"/>
      <c r="W399" s="251"/>
      <c r="X399" s="252"/>
      <c r="Y399" s="249"/>
      <c r="Z399" s="250"/>
      <c r="AA399" s="251"/>
      <c r="AB399" s="252"/>
      <c r="AC399" s="249"/>
      <c r="AD399" s="250"/>
      <c r="AE399" s="251"/>
      <c r="AF399" s="252"/>
      <c r="AG399" s="253"/>
      <c r="AH399" s="254"/>
      <c r="AI399" s="255"/>
      <c r="AJ399" s="256"/>
    </row>
    <row r="400" spans="1:36" s="106" customFormat="1" x14ac:dyDescent="0.25">
      <c r="A400" s="107" t="str">
        <f>IF(H400&lt;&gt;"",MAX($A$7:A399)+1,"")</f>
        <v/>
      </c>
      <c r="B400" s="244" t="str">
        <f t="shared" si="14"/>
        <v/>
      </c>
      <c r="C400" s="62" t="str">
        <f t="shared" si="15"/>
        <v/>
      </c>
      <c r="D400" s="246"/>
      <c r="E400" s="247"/>
      <c r="F400" s="247"/>
      <c r="G400" s="248"/>
      <c r="H400" s="241"/>
      <c r="I400" s="249"/>
      <c r="J400" s="250"/>
      <c r="K400" s="251"/>
      <c r="L400" s="252"/>
      <c r="M400" s="249"/>
      <c r="N400" s="250"/>
      <c r="O400" s="251"/>
      <c r="P400" s="252"/>
      <c r="Q400" s="249"/>
      <c r="R400" s="250"/>
      <c r="S400" s="251"/>
      <c r="T400" s="252"/>
      <c r="U400" s="249"/>
      <c r="V400" s="250"/>
      <c r="W400" s="251"/>
      <c r="X400" s="252"/>
      <c r="Y400" s="249"/>
      <c r="Z400" s="250"/>
      <c r="AA400" s="251"/>
      <c r="AB400" s="252"/>
      <c r="AC400" s="249"/>
      <c r="AD400" s="250"/>
      <c r="AE400" s="251"/>
      <c r="AF400" s="252"/>
      <c r="AG400" s="253"/>
      <c r="AH400" s="254"/>
      <c r="AI400" s="255"/>
      <c r="AJ400" s="256"/>
    </row>
    <row r="401" spans="1:36" s="106" customFormat="1" x14ac:dyDescent="0.25">
      <c r="A401" s="107" t="str">
        <f>IF(H401&lt;&gt;"",MAX($A$7:A400)+1,"")</f>
        <v/>
      </c>
      <c r="B401" s="244" t="str">
        <f t="shared" si="14"/>
        <v/>
      </c>
      <c r="C401" s="62" t="str">
        <f t="shared" si="15"/>
        <v/>
      </c>
      <c r="D401" s="246"/>
      <c r="E401" s="247"/>
      <c r="F401" s="247"/>
      <c r="G401" s="248"/>
      <c r="H401" s="241"/>
      <c r="I401" s="249"/>
      <c r="J401" s="250"/>
      <c r="K401" s="251"/>
      <c r="L401" s="252"/>
      <c r="M401" s="249"/>
      <c r="N401" s="250"/>
      <c r="O401" s="251"/>
      <c r="P401" s="252"/>
      <c r="Q401" s="249"/>
      <c r="R401" s="250"/>
      <c r="S401" s="251"/>
      <c r="T401" s="252"/>
      <c r="U401" s="249"/>
      <c r="V401" s="250"/>
      <c r="W401" s="251"/>
      <c r="X401" s="252"/>
      <c r="Y401" s="249"/>
      <c r="Z401" s="250"/>
      <c r="AA401" s="251"/>
      <c r="AB401" s="252"/>
      <c r="AC401" s="249"/>
      <c r="AD401" s="250"/>
      <c r="AE401" s="251"/>
      <c r="AF401" s="252"/>
      <c r="AG401" s="253"/>
      <c r="AH401" s="254"/>
      <c r="AI401" s="255"/>
      <c r="AJ401" s="256"/>
    </row>
    <row r="402" spans="1:36" s="106" customFormat="1" x14ac:dyDescent="0.25">
      <c r="A402" s="107" t="str">
        <f>IF(H402&lt;&gt;"",MAX($A$7:A401)+1,"")</f>
        <v/>
      </c>
      <c r="B402" s="244" t="str">
        <f t="shared" si="14"/>
        <v/>
      </c>
      <c r="C402" s="62" t="str">
        <f t="shared" si="15"/>
        <v/>
      </c>
      <c r="D402" s="246"/>
      <c r="E402" s="247"/>
      <c r="F402" s="247"/>
      <c r="G402" s="248"/>
      <c r="H402" s="241"/>
      <c r="I402" s="249"/>
      <c r="J402" s="250"/>
      <c r="K402" s="251"/>
      <c r="L402" s="252"/>
      <c r="M402" s="249"/>
      <c r="N402" s="250"/>
      <c r="O402" s="251"/>
      <c r="P402" s="252"/>
      <c r="Q402" s="249"/>
      <c r="R402" s="250"/>
      <c r="S402" s="251"/>
      <c r="T402" s="252"/>
      <c r="U402" s="249"/>
      <c r="V402" s="250"/>
      <c r="W402" s="251"/>
      <c r="X402" s="252"/>
      <c r="Y402" s="249"/>
      <c r="Z402" s="250"/>
      <c r="AA402" s="251"/>
      <c r="AB402" s="252"/>
      <c r="AC402" s="249"/>
      <c r="AD402" s="250"/>
      <c r="AE402" s="251"/>
      <c r="AF402" s="252"/>
      <c r="AG402" s="253"/>
      <c r="AH402" s="254"/>
      <c r="AI402" s="255"/>
      <c r="AJ402" s="256"/>
    </row>
    <row r="403" spans="1:36" s="106" customFormat="1" x14ac:dyDescent="0.25">
      <c r="A403" s="107" t="str">
        <f>IF(H403&lt;&gt;"",MAX($A$7:A402)+1,"")</f>
        <v/>
      </c>
      <c r="B403" s="244" t="str">
        <f t="shared" si="14"/>
        <v/>
      </c>
      <c r="C403" s="62" t="str">
        <f t="shared" si="15"/>
        <v/>
      </c>
      <c r="D403" s="246"/>
      <c r="E403" s="247"/>
      <c r="F403" s="247"/>
      <c r="G403" s="248"/>
      <c r="H403" s="241"/>
      <c r="I403" s="249"/>
      <c r="J403" s="250"/>
      <c r="K403" s="251"/>
      <c r="L403" s="252"/>
      <c r="M403" s="249"/>
      <c r="N403" s="250"/>
      <c r="O403" s="251"/>
      <c r="P403" s="252"/>
      <c r="Q403" s="249"/>
      <c r="R403" s="250"/>
      <c r="S403" s="251"/>
      <c r="T403" s="252"/>
      <c r="U403" s="249"/>
      <c r="V403" s="250"/>
      <c r="W403" s="251"/>
      <c r="X403" s="252"/>
      <c r="Y403" s="249"/>
      <c r="Z403" s="250"/>
      <c r="AA403" s="251"/>
      <c r="AB403" s="252"/>
      <c r="AC403" s="249"/>
      <c r="AD403" s="250"/>
      <c r="AE403" s="251"/>
      <c r="AF403" s="252"/>
      <c r="AG403" s="253"/>
      <c r="AH403" s="254"/>
      <c r="AI403" s="255"/>
      <c r="AJ403" s="256"/>
    </row>
    <row r="404" spans="1:36" s="106" customFormat="1" x14ac:dyDescent="0.25">
      <c r="A404" s="107" t="str">
        <f>IF(H404&lt;&gt;"",MAX($A$7:A403)+1,"")</f>
        <v/>
      </c>
      <c r="B404" s="244" t="str">
        <f t="shared" si="14"/>
        <v/>
      </c>
      <c r="C404" s="62" t="str">
        <f t="shared" si="15"/>
        <v/>
      </c>
      <c r="D404" s="246"/>
      <c r="E404" s="247"/>
      <c r="F404" s="247"/>
      <c r="G404" s="248"/>
      <c r="H404" s="241"/>
      <c r="I404" s="249"/>
      <c r="J404" s="250"/>
      <c r="K404" s="251"/>
      <c r="L404" s="252"/>
      <c r="M404" s="249"/>
      <c r="N404" s="250"/>
      <c r="O404" s="251"/>
      <c r="P404" s="252"/>
      <c r="Q404" s="249"/>
      <c r="R404" s="250"/>
      <c r="S404" s="251"/>
      <c r="T404" s="252"/>
      <c r="U404" s="249"/>
      <c r="V404" s="250"/>
      <c r="W404" s="251"/>
      <c r="X404" s="252"/>
      <c r="Y404" s="249"/>
      <c r="Z404" s="250"/>
      <c r="AA404" s="251"/>
      <c r="AB404" s="252"/>
      <c r="AC404" s="249"/>
      <c r="AD404" s="250"/>
      <c r="AE404" s="251"/>
      <c r="AF404" s="252"/>
      <c r="AG404" s="253"/>
      <c r="AH404" s="254"/>
      <c r="AI404" s="255"/>
      <c r="AJ404" s="256"/>
    </row>
    <row r="405" spans="1:36" s="106" customFormat="1" x14ac:dyDescent="0.25">
      <c r="A405" s="107" t="str">
        <f>IF(H405&lt;&gt;"",MAX($A$7:A404)+1,"")</f>
        <v/>
      </c>
      <c r="B405" s="244" t="str">
        <f t="shared" si="14"/>
        <v/>
      </c>
      <c r="C405" s="62" t="str">
        <f t="shared" si="15"/>
        <v/>
      </c>
      <c r="D405" s="246"/>
      <c r="E405" s="247"/>
      <c r="F405" s="247"/>
      <c r="G405" s="248"/>
      <c r="H405" s="241"/>
      <c r="I405" s="249"/>
      <c r="J405" s="250"/>
      <c r="K405" s="251"/>
      <c r="L405" s="252"/>
      <c r="M405" s="249"/>
      <c r="N405" s="250"/>
      <c r="O405" s="251"/>
      <c r="P405" s="252"/>
      <c r="Q405" s="249"/>
      <c r="R405" s="250"/>
      <c r="S405" s="251"/>
      <c r="T405" s="252"/>
      <c r="U405" s="249"/>
      <c r="V405" s="250"/>
      <c r="W405" s="251"/>
      <c r="X405" s="252"/>
      <c r="Y405" s="249"/>
      <c r="Z405" s="250"/>
      <c r="AA405" s="251"/>
      <c r="AB405" s="252"/>
      <c r="AC405" s="249"/>
      <c r="AD405" s="250"/>
      <c r="AE405" s="251"/>
      <c r="AF405" s="252"/>
      <c r="AG405" s="253"/>
      <c r="AH405" s="254"/>
      <c r="AI405" s="255"/>
      <c r="AJ405" s="256"/>
    </row>
    <row r="406" spans="1:36" s="106" customFormat="1" x14ac:dyDescent="0.25">
      <c r="A406" s="107" t="str">
        <f>IF(H406&lt;&gt;"",MAX($A$7:A405)+1,"")</f>
        <v/>
      </c>
      <c r="B406" s="244" t="str">
        <f t="shared" si="14"/>
        <v/>
      </c>
      <c r="C406" s="62" t="str">
        <f t="shared" si="15"/>
        <v/>
      </c>
      <c r="D406" s="246"/>
      <c r="E406" s="247"/>
      <c r="F406" s="247"/>
      <c r="G406" s="248"/>
      <c r="H406" s="241"/>
      <c r="I406" s="249"/>
      <c r="J406" s="250"/>
      <c r="K406" s="251"/>
      <c r="L406" s="252"/>
      <c r="M406" s="249"/>
      <c r="N406" s="250"/>
      <c r="O406" s="251"/>
      <c r="P406" s="252"/>
      <c r="Q406" s="249"/>
      <c r="R406" s="250"/>
      <c r="S406" s="251"/>
      <c r="T406" s="252"/>
      <c r="U406" s="249"/>
      <c r="V406" s="250"/>
      <c r="W406" s="251"/>
      <c r="X406" s="252"/>
      <c r="Y406" s="249"/>
      <c r="Z406" s="250"/>
      <c r="AA406" s="251"/>
      <c r="AB406" s="252"/>
      <c r="AC406" s="249"/>
      <c r="AD406" s="250"/>
      <c r="AE406" s="251"/>
      <c r="AF406" s="252"/>
      <c r="AG406" s="253"/>
      <c r="AH406" s="254"/>
      <c r="AI406" s="255"/>
      <c r="AJ406" s="256"/>
    </row>
    <row r="407" spans="1:36" s="106" customFormat="1" x14ac:dyDescent="0.25">
      <c r="A407" s="107" t="str">
        <f>IF(H407&lt;&gt;"",MAX($A$7:A406)+1,"")</f>
        <v/>
      </c>
      <c r="B407" s="244" t="str">
        <f t="shared" si="14"/>
        <v/>
      </c>
      <c r="C407" s="62" t="str">
        <f t="shared" si="15"/>
        <v/>
      </c>
      <c r="D407" s="246"/>
      <c r="E407" s="247"/>
      <c r="F407" s="247"/>
      <c r="G407" s="248"/>
      <c r="H407" s="241"/>
      <c r="I407" s="249"/>
      <c r="J407" s="250"/>
      <c r="K407" s="251"/>
      <c r="L407" s="252"/>
      <c r="M407" s="249"/>
      <c r="N407" s="250"/>
      <c r="O407" s="251"/>
      <c r="P407" s="252"/>
      <c r="Q407" s="249"/>
      <c r="R407" s="250"/>
      <c r="S407" s="251"/>
      <c r="T407" s="252"/>
      <c r="U407" s="249"/>
      <c r="V407" s="250"/>
      <c r="W407" s="251"/>
      <c r="X407" s="252"/>
      <c r="Y407" s="249"/>
      <c r="Z407" s="250"/>
      <c r="AA407" s="251"/>
      <c r="AB407" s="252"/>
      <c r="AC407" s="249"/>
      <c r="AD407" s="250"/>
      <c r="AE407" s="251"/>
      <c r="AF407" s="252"/>
      <c r="AG407" s="253"/>
      <c r="AH407" s="254"/>
      <c r="AI407" s="255"/>
      <c r="AJ407" s="256"/>
    </row>
    <row r="408" spans="1:36" s="106" customFormat="1" x14ac:dyDescent="0.25">
      <c r="A408" s="107" t="str">
        <f>IF(H408&lt;&gt;"",MAX($A$7:A407)+1,"")</f>
        <v/>
      </c>
      <c r="B408" s="244" t="str">
        <f t="shared" si="14"/>
        <v/>
      </c>
      <c r="C408" s="62" t="str">
        <f t="shared" si="15"/>
        <v/>
      </c>
      <c r="D408" s="246"/>
      <c r="E408" s="247"/>
      <c r="F408" s="247"/>
      <c r="G408" s="248"/>
      <c r="H408" s="241"/>
      <c r="I408" s="249"/>
      <c r="J408" s="250"/>
      <c r="K408" s="251"/>
      <c r="L408" s="252"/>
      <c r="M408" s="249"/>
      <c r="N408" s="250"/>
      <c r="O408" s="251"/>
      <c r="P408" s="252"/>
      <c r="Q408" s="249"/>
      <c r="R408" s="250"/>
      <c r="S408" s="251"/>
      <c r="T408" s="252"/>
      <c r="U408" s="249"/>
      <c r="V408" s="250"/>
      <c r="W408" s="251"/>
      <c r="X408" s="252"/>
      <c r="Y408" s="249"/>
      <c r="Z408" s="250"/>
      <c r="AA408" s="251"/>
      <c r="AB408" s="252"/>
      <c r="AC408" s="249"/>
      <c r="AD408" s="250"/>
      <c r="AE408" s="251"/>
      <c r="AF408" s="252"/>
      <c r="AG408" s="253"/>
      <c r="AH408" s="254"/>
      <c r="AI408" s="255"/>
      <c r="AJ408" s="256"/>
    </row>
    <row r="409" spans="1:36" s="106" customFormat="1" x14ac:dyDescent="0.25">
      <c r="A409" s="107" t="str">
        <f>IF(H409&lt;&gt;"",MAX($A$7:A408)+1,"")</f>
        <v/>
      </c>
      <c r="B409" s="244" t="str">
        <f t="shared" si="14"/>
        <v/>
      </c>
      <c r="C409" s="62" t="str">
        <f t="shared" si="15"/>
        <v/>
      </c>
      <c r="D409" s="246"/>
      <c r="E409" s="247"/>
      <c r="F409" s="247"/>
      <c r="G409" s="248"/>
      <c r="H409" s="241"/>
      <c r="I409" s="249"/>
      <c r="J409" s="250"/>
      <c r="K409" s="251"/>
      <c r="L409" s="252"/>
      <c r="M409" s="249"/>
      <c r="N409" s="250"/>
      <c r="O409" s="251"/>
      <c r="P409" s="252"/>
      <c r="Q409" s="249"/>
      <c r="R409" s="250"/>
      <c r="S409" s="251"/>
      <c r="T409" s="252"/>
      <c r="U409" s="249"/>
      <c r="V409" s="250"/>
      <c r="W409" s="251"/>
      <c r="X409" s="252"/>
      <c r="Y409" s="249"/>
      <c r="Z409" s="250"/>
      <c r="AA409" s="251"/>
      <c r="AB409" s="252"/>
      <c r="AC409" s="249"/>
      <c r="AD409" s="250"/>
      <c r="AE409" s="251"/>
      <c r="AF409" s="252"/>
      <c r="AG409" s="253"/>
      <c r="AH409" s="254"/>
      <c r="AI409" s="255"/>
      <c r="AJ409" s="256"/>
    </row>
    <row r="410" spans="1:36" s="106" customFormat="1" x14ac:dyDescent="0.25">
      <c r="A410" s="107" t="str">
        <f>IF(H410&lt;&gt;"",MAX($A$7:A409)+1,"")</f>
        <v/>
      </c>
      <c r="B410" s="244" t="str">
        <f t="shared" si="14"/>
        <v/>
      </c>
      <c r="C410" s="62" t="str">
        <f t="shared" si="15"/>
        <v/>
      </c>
      <c r="D410" s="246"/>
      <c r="E410" s="247"/>
      <c r="F410" s="247"/>
      <c r="G410" s="248"/>
      <c r="H410" s="241"/>
      <c r="I410" s="249"/>
      <c r="J410" s="250"/>
      <c r="K410" s="251"/>
      <c r="L410" s="252"/>
      <c r="M410" s="249"/>
      <c r="N410" s="250"/>
      <c r="O410" s="251"/>
      <c r="P410" s="252"/>
      <c r="Q410" s="249"/>
      <c r="R410" s="250"/>
      <c r="S410" s="251"/>
      <c r="T410" s="252"/>
      <c r="U410" s="249"/>
      <c r="V410" s="250"/>
      <c r="W410" s="251"/>
      <c r="X410" s="252"/>
      <c r="Y410" s="249"/>
      <c r="Z410" s="250"/>
      <c r="AA410" s="251"/>
      <c r="AB410" s="252"/>
      <c r="AC410" s="249"/>
      <c r="AD410" s="250"/>
      <c r="AE410" s="251"/>
      <c r="AF410" s="252"/>
      <c r="AG410" s="253"/>
      <c r="AH410" s="254"/>
      <c r="AI410" s="255"/>
      <c r="AJ410" s="256"/>
    </row>
    <row r="411" spans="1:36" s="106" customFormat="1" x14ac:dyDescent="0.25">
      <c r="A411" s="107" t="str">
        <f>IF(H411&lt;&gt;"",MAX($A$7:A410)+1,"")</f>
        <v/>
      </c>
      <c r="B411" s="244" t="str">
        <f t="shared" si="14"/>
        <v/>
      </c>
      <c r="C411" s="62" t="str">
        <f t="shared" si="15"/>
        <v/>
      </c>
      <c r="D411" s="246"/>
      <c r="E411" s="247"/>
      <c r="F411" s="247"/>
      <c r="G411" s="248"/>
      <c r="H411" s="241"/>
      <c r="I411" s="249"/>
      <c r="J411" s="250"/>
      <c r="K411" s="251"/>
      <c r="L411" s="252"/>
      <c r="M411" s="249"/>
      <c r="N411" s="250"/>
      <c r="O411" s="251"/>
      <c r="P411" s="252"/>
      <c r="Q411" s="249"/>
      <c r="R411" s="250"/>
      <c r="S411" s="251"/>
      <c r="T411" s="252"/>
      <c r="U411" s="249"/>
      <c r="V411" s="250"/>
      <c r="W411" s="251"/>
      <c r="X411" s="252"/>
      <c r="Y411" s="249"/>
      <c r="Z411" s="250"/>
      <c r="AA411" s="251"/>
      <c r="AB411" s="252"/>
      <c r="AC411" s="249"/>
      <c r="AD411" s="250"/>
      <c r="AE411" s="251"/>
      <c r="AF411" s="252"/>
      <c r="AG411" s="253"/>
      <c r="AH411" s="254"/>
      <c r="AI411" s="255"/>
      <c r="AJ411" s="256"/>
    </row>
    <row r="412" spans="1:36" s="106" customFormat="1" x14ac:dyDescent="0.25">
      <c r="A412" s="107" t="str">
        <f>IF(H412&lt;&gt;"",MAX($A$7:A411)+1,"")</f>
        <v/>
      </c>
      <c r="B412" s="244" t="str">
        <f t="shared" si="14"/>
        <v/>
      </c>
      <c r="C412" s="62" t="str">
        <f t="shared" si="15"/>
        <v/>
      </c>
      <c r="D412" s="246"/>
      <c r="E412" s="247"/>
      <c r="F412" s="247"/>
      <c r="G412" s="248"/>
      <c r="H412" s="241"/>
      <c r="I412" s="249"/>
      <c r="J412" s="250"/>
      <c r="K412" s="251"/>
      <c r="L412" s="252"/>
      <c r="M412" s="249"/>
      <c r="N412" s="250"/>
      <c r="O412" s="251"/>
      <c r="P412" s="252"/>
      <c r="Q412" s="249"/>
      <c r="R412" s="250"/>
      <c r="S412" s="251"/>
      <c r="T412" s="252"/>
      <c r="U412" s="249"/>
      <c r="V412" s="250"/>
      <c r="W412" s="251"/>
      <c r="X412" s="252"/>
      <c r="Y412" s="249"/>
      <c r="Z412" s="250"/>
      <c r="AA412" s="251"/>
      <c r="AB412" s="252"/>
      <c r="AC412" s="249"/>
      <c r="AD412" s="250"/>
      <c r="AE412" s="251"/>
      <c r="AF412" s="252"/>
      <c r="AG412" s="253"/>
      <c r="AH412" s="254"/>
      <c r="AI412" s="255"/>
      <c r="AJ412" s="256"/>
    </row>
    <row r="413" spans="1:36" s="106" customFormat="1" x14ac:dyDescent="0.25">
      <c r="A413" s="107" t="str">
        <f>IF(H413&lt;&gt;"",MAX($A$7:A412)+1,"")</f>
        <v/>
      </c>
      <c r="B413" s="244" t="str">
        <f t="shared" si="14"/>
        <v/>
      </c>
      <c r="C413" s="62" t="str">
        <f t="shared" si="15"/>
        <v/>
      </c>
      <c r="D413" s="246"/>
      <c r="E413" s="247"/>
      <c r="F413" s="247"/>
      <c r="G413" s="248"/>
      <c r="H413" s="241"/>
      <c r="I413" s="249"/>
      <c r="J413" s="250"/>
      <c r="K413" s="251"/>
      <c r="L413" s="252"/>
      <c r="M413" s="249"/>
      <c r="N413" s="250"/>
      <c r="O413" s="251"/>
      <c r="P413" s="252"/>
      <c r="Q413" s="249"/>
      <c r="R413" s="250"/>
      <c r="S413" s="251"/>
      <c r="T413" s="252"/>
      <c r="U413" s="249"/>
      <c r="V413" s="250"/>
      <c r="W413" s="251"/>
      <c r="X413" s="252"/>
      <c r="Y413" s="249"/>
      <c r="Z413" s="250"/>
      <c r="AA413" s="251"/>
      <c r="AB413" s="252"/>
      <c r="AC413" s="249"/>
      <c r="AD413" s="250"/>
      <c r="AE413" s="251"/>
      <c r="AF413" s="252"/>
      <c r="AG413" s="253"/>
      <c r="AH413" s="254"/>
      <c r="AI413" s="255"/>
      <c r="AJ413" s="256"/>
    </row>
    <row r="414" spans="1:36" s="106" customFormat="1" x14ac:dyDescent="0.25">
      <c r="A414" s="107" t="str">
        <f>IF(H414&lt;&gt;"",MAX($A$7:A413)+1,"")</f>
        <v/>
      </c>
      <c r="B414" s="244" t="str">
        <f t="shared" si="14"/>
        <v/>
      </c>
      <c r="C414" s="62" t="str">
        <f t="shared" si="15"/>
        <v/>
      </c>
      <c r="D414" s="246"/>
      <c r="E414" s="247"/>
      <c r="F414" s="247"/>
      <c r="G414" s="248"/>
      <c r="H414" s="241"/>
      <c r="I414" s="249"/>
      <c r="J414" s="250"/>
      <c r="K414" s="251"/>
      <c r="L414" s="252"/>
      <c r="M414" s="249"/>
      <c r="N414" s="250"/>
      <c r="O414" s="251"/>
      <c r="P414" s="252"/>
      <c r="Q414" s="249"/>
      <c r="R414" s="250"/>
      <c r="S414" s="251"/>
      <c r="T414" s="252"/>
      <c r="U414" s="249"/>
      <c r="V414" s="250"/>
      <c r="W414" s="251"/>
      <c r="X414" s="252"/>
      <c r="Y414" s="249"/>
      <c r="Z414" s="250"/>
      <c r="AA414" s="251"/>
      <c r="AB414" s="252"/>
      <c r="AC414" s="249"/>
      <c r="AD414" s="250"/>
      <c r="AE414" s="251"/>
      <c r="AF414" s="252"/>
      <c r="AG414" s="253"/>
      <c r="AH414" s="254"/>
      <c r="AI414" s="255"/>
      <c r="AJ414" s="256"/>
    </row>
    <row r="415" spans="1:36" s="106" customFormat="1" x14ac:dyDescent="0.25">
      <c r="A415" s="107" t="str">
        <f>IF(H415&lt;&gt;"",MAX($A$7:A414)+1,"")</f>
        <v/>
      </c>
      <c r="B415" s="244" t="str">
        <f t="shared" si="14"/>
        <v/>
      </c>
      <c r="C415" s="62" t="str">
        <f t="shared" si="15"/>
        <v/>
      </c>
      <c r="D415" s="246"/>
      <c r="E415" s="247"/>
      <c r="F415" s="247"/>
      <c r="G415" s="248"/>
      <c r="H415" s="241"/>
      <c r="I415" s="249"/>
      <c r="J415" s="250"/>
      <c r="K415" s="251"/>
      <c r="L415" s="252"/>
      <c r="M415" s="249"/>
      <c r="N415" s="250"/>
      <c r="O415" s="251"/>
      <c r="P415" s="252"/>
      <c r="Q415" s="249"/>
      <c r="R415" s="250"/>
      <c r="S415" s="251"/>
      <c r="T415" s="252"/>
      <c r="U415" s="249"/>
      <c r="V415" s="250"/>
      <c r="W415" s="251"/>
      <c r="X415" s="252"/>
      <c r="Y415" s="249"/>
      <c r="Z415" s="250"/>
      <c r="AA415" s="251"/>
      <c r="AB415" s="252"/>
      <c r="AC415" s="249"/>
      <c r="AD415" s="250"/>
      <c r="AE415" s="251"/>
      <c r="AF415" s="252"/>
      <c r="AG415" s="253"/>
      <c r="AH415" s="254"/>
      <c r="AI415" s="255"/>
      <c r="AJ415" s="256"/>
    </row>
    <row r="416" spans="1:36" s="106" customFormat="1" x14ac:dyDescent="0.25">
      <c r="A416" s="107" t="str">
        <f>IF(H416&lt;&gt;"",MAX($A$7:A415)+1,"")</f>
        <v/>
      </c>
      <c r="B416" s="244" t="str">
        <f t="shared" si="14"/>
        <v/>
      </c>
      <c r="C416" s="62" t="str">
        <f t="shared" si="15"/>
        <v/>
      </c>
      <c r="D416" s="246"/>
      <c r="E416" s="247"/>
      <c r="F416" s="247"/>
      <c r="G416" s="248"/>
      <c r="H416" s="241"/>
      <c r="I416" s="249"/>
      <c r="J416" s="250"/>
      <c r="K416" s="251"/>
      <c r="L416" s="252"/>
      <c r="M416" s="249"/>
      <c r="N416" s="250"/>
      <c r="O416" s="251"/>
      <c r="P416" s="252"/>
      <c r="Q416" s="249"/>
      <c r="R416" s="250"/>
      <c r="S416" s="251"/>
      <c r="T416" s="252"/>
      <c r="U416" s="249"/>
      <c r="V416" s="250"/>
      <c r="W416" s="251"/>
      <c r="X416" s="252"/>
      <c r="Y416" s="249"/>
      <c r="Z416" s="250"/>
      <c r="AA416" s="251"/>
      <c r="AB416" s="252"/>
      <c r="AC416" s="249"/>
      <c r="AD416" s="250"/>
      <c r="AE416" s="251"/>
      <c r="AF416" s="252"/>
      <c r="AG416" s="253"/>
      <c r="AH416" s="254"/>
      <c r="AI416" s="255"/>
      <c r="AJ416" s="256"/>
    </row>
    <row r="417" spans="1:36" s="106" customFormat="1" x14ac:dyDescent="0.25">
      <c r="A417" s="107" t="str">
        <f>IF(H417&lt;&gt;"",MAX($A$7:A416)+1,"")</f>
        <v/>
      </c>
      <c r="B417" s="244" t="str">
        <f t="shared" si="14"/>
        <v/>
      </c>
      <c r="C417" s="62" t="str">
        <f t="shared" si="15"/>
        <v/>
      </c>
      <c r="D417" s="246"/>
      <c r="E417" s="247"/>
      <c r="F417" s="247"/>
      <c r="G417" s="248"/>
      <c r="H417" s="241"/>
      <c r="I417" s="249"/>
      <c r="J417" s="250"/>
      <c r="K417" s="251"/>
      <c r="L417" s="252"/>
      <c r="M417" s="249"/>
      <c r="N417" s="250"/>
      <c r="O417" s="251"/>
      <c r="P417" s="252"/>
      <c r="Q417" s="249"/>
      <c r="R417" s="250"/>
      <c r="S417" s="251"/>
      <c r="T417" s="252"/>
      <c r="U417" s="249"/>
      <c r="V417" s="250"/>
      <c r="W417" s="251"/>
      <c r="X417" s="252"/>
      <c r="Y417" s="249"/>
      <c r="Z417" s="250"/>
      <c r="AA417" s="251"/>
      <c r="AB417" s="252"/>
      <c r="AC417" s="249"/>
      <c r="AD417" s="250"/>
      <c r="AE417" s="251"/>
      <c r="AF417" s="252"/>
      <c r="AG417" s="253"/>
      <c r="AH417" s="254"/>
      <c r="AI417" s="255"/>
      <c r="AJ417" s="256"/>
    </row>
    <row r="418" spans="1:36" s="106" customFormat="1" x14ac:dyDescent="0.25">
      <c r="A418" s="107" t="str">
        <f>IF(H418&lt;&gt;"",MAX($A$7:A417)+1,"")</f>
        <v/>
      </c>
      <c r="B418" s="244" t="str">
        <f t="shared" si="14"/>
        <v/>
      </c>
      <c r="C418" s="62" t="str">
        <f t="shared" si="15"/>
        <v/>
      </c>
      <c r="D418" s="246"/>
      <c r="E418" s="247"/>
      <c r="F418" s="247"/>
      <c r="G418" s="248"/>
      <c r="H418" s="241"/>
      <c r="I418" s="249"/>
      <c r="J418" s="250"/>
      <c r="K418" s="251"/>
      <c r="L418" s="252"/>
      <c r="M418" s="249"/>
      <c r="N418" s="250"/>
      <c r="O418" s="251"/>
      <c r="P418" s="252"/>
      <c r="Q418" s="249"/>
      <c r="R418" s="250"/>
      <c r="S418" s="251"/>
      <c r="T418" s="252"/>
      <c r="U418" s="249"/>
      <c r="V418" s="250"/>
      <c r="W418" s="251"/>
      <c r="X418" s="252"/>
      <c r="Y418" s="249"/>
      <c r="Z418" s="250"/>
      <c r="AA418" s="251"/>
      <c r="AB418" s="252"/>
      <c r="AC418" s="249"/>
      <c r="AD418" s="250"/>
      <c r="AE418" s="251"/>
      <c r="AF418" s="252"/>
      <c r="AG418" s="253"/>
      <c r="AH418" s="254"/>
      <c r="AI418" s="255"/>
      <c r="AJ418" s="256"/>
    </row>
    <row r="419" spans="1:36" s="106" customFormat="1" x14ac:dyDescent="0.25">
      <c r="A419" s="107" t="str">
        <f>IF(H419&lt;&gt;"",MAX($A$7:A418)+1,"")</f>
        <v/>
      </c>
      <c r="B419" s="244" t="str">
        <f t="shared" si="14"/>
        <v/>
      </c>
      <c r="C419" s="62" t="str">
        <f t="shared" si="15"/>
        <v/>
      </c>
      <c r="D419" s="246"/>
      <c r="E419" s="247"/>
      <c r="F419" s="247"/>
      <c r="G419" s="248"/>
      <c r="H419" s="241"/>
      <c r="I419" s="249"/>
      <c r="J419" s="250"/>
      <c r="K419" s="251"/>
      <c r="L419" s="252"/>
      <c r="M419" s="249"/>
      <c r="N419" s="250"/>
      <c r="O419" s="251"/>
      <c r="P419" s="252"/>
      <c r="Q419" s="249"/>
      <c r="R419" s="250"/>
      <c r="S419" s="251"/>
      <c r="T419" s="252"/>
      <c r="U419" s="249"/>
      <c r="V419" s="250"/>
      <c r="W419" s="251"/>
      <c r="X419" s="252"/>
      <c r="Y419" s="249"/>
      <c r="Z419" s="250"/>
      <c r="AA419" s="251"/>
      <c r="AB419" s="252"/>
      <c r="AC419" s="249"/>
      <c r="AD419" s="250"/>
      <c r="AE419" s="251"/>
      <c r="AF419" s="252"/>
      <c r="AG419" s="253"/>
      <c r="AH419" s="254"/>
      <c r="AI419" s="255"/>
      <c r="AJ419" s="256"/>
    </row>
    <row r="420" spans="1:36" s="106" customFormat="1" x14ac:dyDescent="0.25">
      <c r="A420" s="107" t="str">
        <f>IF(H420&lt;&gt;"",MAX($A$7:A419)+1,"")</f>
        <v/>
      </c>
      <c r="B420" s="244" t="str">
        <f t="shared" si="14"/>
        <v/>
      </c>
      <c r="C420" s="62" t="str">
        <f t="shared" si="15"/>
        <v/>
      </c>
      <c r="D420" s="246"/>
      <c r="E420" s="247"/>
      <c r="F420" s="247"/>
      <c r="G420" s="248"/>
      <c r="H420" s="241"/>
      <c r="I420" s="249"/>
      <c r="J420" s="250"/>
      <c r="K420" s="251"/>
      <c r="L420" s="252"/>
      <c r="M420" s="249"/>
      <c r="N420" s="250"/>
      <c r="O420" s="251"/>
      <c r="P420" s="252"/>
      <c r="Q420" s="249"/>
      <c r="R420" s="250"/>
      <c r="S420" s="251"/>
      <c r="T420" s="252"/>
      <c r="U420" s="249"/>
      <c r="V420" s="250"/>
      <c r="W420" s="251"/>
      <c r="X420" s="252"/>
      <c r="Y420" s="249"/>
      <c r="Z420" s="250"/>
      <c r="AA420" s="251"/>
      <c r="AB420" s="252"/>
      <c r="AC420" s="249"/>
      <c r="AD420" s="250"/>
      <c r="AE420" s="251"/>
      <c r="AF420" s="252"/>
      <c r="AG420" s="253"/>
      <c r="AH420" s="254"/>
      <c r="AI420" s="255"/>
      <c r="AJ420" s="256"/>
    </row>
    <row r="421" spans="1:36" s="106" customFormat="1" x14ac:dyDescent="0.25">
      <c r="A421" s="107" t="str">
        <f>IF(H421&lt;&gt;"",MAX($A$7:A420)+1,"")</f>
        <v/>
      </c>
      <c r="B421" s="244" t="str">
        <f t="shared" si="14"/>
        <v/>
      </c>
      <c r="C421" s="62" t="str">
        <f t="shared" si="15"/>
        <v/>
      </c>
      <c r="D421" s="246"/>
      <c r="E421" s="247"/>
      <c r="F421" s="247"/>
      <c r="G421" s="248"/>
      <c r="H421" s="241"/>
      <c r="I421" s="249"/>
      <c r="J421" s="250"/>
      <c r="K421" s="251"/>
      <c r="L421" s="252"/>
      <c r="M421" s="249"/>
      <c r="N421" s="250"/>
      <c r="O421" s="251"/>
      <c r="P421" s="252"/>
      <c r="Q421" s="249"/>
      <c r="R421" s="250"/>
      <c r="S421" s="251"/>
      <c r="T421" s="252"/>
      <c r="U421" s="249"/>
      <c r="V421" s="250"/>
      <c r="W421" s="251"/>
      <c r="X421" s="252"/>
      <c r="Y421" s="249"/>
      <c r="Z421" s="250"/>
      <c r="AA421" s="251"/>
      <c r="AB421" s="252"/>
      <c r="AC421" s="249"/>
      <c r="AD421" s="250"/>
      <c r="AE421" s="251"/>
      <c r="AF421" s="252"/>
      <c r="AG421" s="253"/>
      <c r="AH421" s="254"/>
      <c r="AI421" s="255"/>
      <c r="AJ421" s="256"/>
    </row>
    <row r="422" spans="1:36" s="106" customFormat="1" x14ac:dyDescent="0.25">
      <c r="A422" s="107" t="str">
        <f>IF(H422&lt;&gt;"",MAX($A$7:A421)+1,"")</f>
        <v/>
      </c>
      <c r="B422" s="244" t="str">
        <f t="shared" si="14"/>
        <v/>
      </c>
      <c r="C422" s="62" t="str">
        <f t="shared" si="15"/>
        <v/>
      </c>
      <c r="D422" s="246"/>
      <c r="E422" s="247"/>
      <c r="F422" s="247"/>
      <c r="G422" s="248"/>
      <c r="H422" s="241"/>
      <c r="I422" s="249"/>
      <c r="J422" s="250"/>
      <c r="K422" s="251"/>
      <c r="L422" s="252"/>
      <c r="M422" s="249"/>
      <c r="N422" s="250"/>
      <c r="O422" s="251"/>
      <c r="P422" s="252"/>
      <c r="Q422" s="249"/>
      <c r="R422" s="250"/>
      <c r="S422" s="251"/>
      <c r="T422" s="252"/>
      <c r="U422" s="249"/>
      <c r="V422" s="250"/>
      <c r="W422" s="251"/>
      <c r="X422" s="252"/>
      <c r="Y422" s="249"/>
      <c r="Z422" s="250"/>
      <c r="AA422" s="251"/>
      <c r="AB422" s="252"/>
      <c r="AC422" s="249"/>
      <c r="AD422" s="250"/>
      <c r="AE422" s="251"/>
      <c r="AF422" s="252"/>
      <c r="AG422" s="253"/>
      <c r="AH422" s="254"/>
      <c r="AI422" s="255"/>
      <c r="AJ422" s="256"/>
    </row>
    <row r="423" spans="1:36" s="106" customFormat="1" x14ac:dyDescent="0.25">
      <c r="A423" s="107" t="str">
        <f>IF(H423&lt;&gt;"",MAX($A$7:A422)+1,"")</f>
        <v/>
      </c>
      <c r="B423" s="244" t="str">
        <f t="shared" si="14"/>
        <v/>
      </c>
      <c r="C423" s="62" t="str">
        <f t="shared" si="15"/>
        <v/>
      </c>
      <c r="D423" s="246"/>
      <c r="E423" s="247"/>
      <c r="F423" s="247"/>
      <c r="G423" s="248"/>
      <c r="H423" s="241"/>
      <c r="I423" s="249"/>
      <c r="J423" s="250"/>
      <c r="K423" s="251"/>
      <c r="L423" s="252"/>
      <c r="M423" s="249"/>
      <c r="N423" s="250"/>
      <c r="O423" s="251"/>
      <c r="P423" s="252"/>
      <c r="Q423" s="249"/>
      <c r="R423" s="250"/>
      <c r="S423" s="251"/>
      <c r="T423" s="252"/>
      <c r="U423" s="249"/>
      <c r="V423" s="250"/>
      <c r="W423" s="251"/>
      <c r="X423" s="252"/>
      <c r="Y423" s="249"/>
      <c r="Z423" s="250"/>
      <c r="AA423" s="251"/>
      <c r="AB423" s="252"/>
      <c r="AC423" s="249"/>
      <c r="AD423" s="250"/>
      <c r="AE423" s="251"/>
      <c r="AF423" s="252"/>
      <c r="AG423" s="253"/>
      <c r="AH423" s="254"/>
      <c r="AI423" s="255"/>
      <c r="AJ423" s="256"/>
    </row>
    <row r="424" spans="1:36" s="106" customFormat="1" x14ac:dyDescent="0.25">
      <c r="A424" s="107" t="str">
        <f>IF(H424&lt;&gt;"",MAX($A$7:A423)+1,"")</f>
        <v/>
      </c>
      <c r="B424" s="244" t="str">
        <f t="shared" si="14"/>
        <v/>
      </c>
      <c r="C424" s="62" t="str">
        <f t="shared" si="15"/>
        <v/>
      </c>
      <c r="D424" s="246"/>
      <c r="E424" s="247"/>
      <c r="F424" s="247"/>
      <c r="G424" s="248"/>
      <c r="H424" s="241"/>
      <c r="I424" s="249"/>
      <c r="J424" s="250"/>
      <c r="K424" s="251"/>
      <c r="L424" s="252"/>
      <c r="M424" s="249"/>
      <c r="N424" s="250"/>
      <c r="O424" s="251"/>
      <c r="P424" s="252"/>
      <c r="Q424" s="249"/>
      <c r="R424" s="250"/>
      <c r="S424" s="251"/>
      <c r="T424" s="252"/>
      <c r="U424" s="249"/>
      <c r="V424" s="250"/>
      <c r="W424" s="251"/>
      <c r="X424" s="252"/>
      <c r="Y424" s="249"/>
      <c r="Z424" s="250"/>
      <c r="AA424" s="251"/>
      <c r="AB424" s="252"/>
      <c r="AC424" s="249"/>
      <c r="AD424" s="250"/>
      <c r="AE424" s="251"/>
      <c r="AF424" s="252"/>
      <c r="AG424" s="253"/>
      <c r="AH424" s="254"/>
      <c r="AI424" s="255"/>
      <c r="AJ424" s="256"/>
    </row>
    <row r="425" spans="1:36" s="106" customFormat="1" x14ac:dyDescent="0.25">
      <c r="A425" s="107" t="str">
        <f>IF(H425&lt;&gt;"",MAX($A$7:A424)+1,"")</f>
        <v/>
      </c>
      <c r="B425" s="244" t="str">
        <f t="shared" si="14"/>
        <v/>
      </c>
      <c r="C425" s="62" t="str">
        <f t="shared" si="15"/>
        <v/>
      </c>
      <c r="D425" s="246"/>
      <c r="E425" s="247"/>
      <c r="F425" s="247"/>
      <c r="G425" s="248"/>
      <c r="H425" s="241"/>
      <c r="I425" s="249"/>
      <c r="J425" s="250"/>
      <c r="K425" s="251"/>
      <c r="L425" s="252"/>
      <c r="M425" s="249"/>
      <c r="N425" s="250"/>
      <c r="O425" s="251"/>
      <c r="P425" s="252"/>
      <c r="Q425" s="249"/>
      <c r="R425" s="250"/>
      <c r="S425" s="251"/>
      <c r="T425" s="252"/>
      <c r="U425" s="249"/>
      <c r="V425" s="250"/>
      <c r="W425" s="251"/>
      <c r="X425" s="252"/>
      <c r="Y425" s="249"/>
      <c r="Z425" s="250"/>
      <c r="AA425" s="251"/>
      <c r="AB425" s="252"/>
      <c r="AC425" s="249"/>
      <c r="AD425" s="250"/>
      <c r="AE425" s="251"/>
      <c r="AF425" s="252"/>
      <c r="AG425" s="253"/>
      <c r="AH425" s="254"/>
      <c r="AI425" s="255"/>
      <c r="AJ425" s="256"/>
    </row>
    <row r="426" spans="1:36" s="106" customFormat="1" x14ac:dyDescent="0.25">
      <c r="A426" s="107" t="str">
        <f>IF(H426&lt;&gt;"",MAX($A$7:A425)+1,"")</f>
        <v/>
      </c>
      <c r="B426" s="244" t="str">
        <f t="shared" si="14"/>
        <v/>
      </c>
      <c r="C426" s="62" t="str">
        <f t="shared" si="15"/>
        <v/>
      </c>
      <c r="D426" s="246"/>
      <c r="E426" s="247"/>
      <c r="F426" s="247"/>
      <c r="G426" s="248"/>
      <c r="H426" s="241"/>
      <c r="I426" s="249"/>
      <c r="J426" s="250"/>
      <c r="K426" s="251"/>
      <c r="L426" s="252"/>
      <c r="M426" s="249"/>
      <c r="N426" s="250"/>
      <c r="O426" s="251"/>
      <c r="P426" s="252"/>
      <c r="Q426" s="249"/>
      <c r="R426" s="250"/>
      <c r="S426" s="251"/>
      <c r="T426" s="252"/>
      <c r="U426" s="249"/>
      <c r="V426" s="250"/>
      <c r="W426" s="251"/>
      <c r="X426" s="252"/>
      <c r="Y426" s="249"/>
      <c r="Z426" s="250"/>
      <c r="AA426" s="251"/>
      <c r="AB426" s="252"/>
      <c r="AC426" s="249"/>
      <c r="AD426" s="250"/>
      <c r="AE426" s="251"/>
      <c r="AF426" s="252"/>
      <c r="AG426" s="253"/>
      <c r="AH426" s="254"/>
      <c r="AI426" s="255"/>
      <c r="AJ426" s="256"/>
    </row>
    <row r="427" spans="1:36" s="106" customFormat="1" x14ac:dyDescent="0.25">
      <c r="A427" s="107" t="str">
        <f>IF(H427&lt;&gt;"",MAX($A$7:A426)+1,"")</f>
        <v/>
      </c>
      <c r="B427" s="244" t="str">
        <f t="shared" si="14"/>
        <v/>
      </c>
      <c r="C427" s="62" t="str">
        <f t="shared" si="15"/>
        <v/>
      </c>
      <c r="D427" s="246"/>
      <c r="E427" s="247"/>
      <c r="F427" s="247"/>
      <c r="G427" s="248"/>
      <c r="H427" s="241"/>
      <c r="I427" s="249"/>
      <c r="J427" s="250"/>
      <c r="K427" s="251"/>
      <c r="L427" s="252"/>
      <c r="M427" s="249"/>
      <c r="N427" s="250"/>
      <c r="O427" s="251"/>
      <c r="P427" s="252"/>
      <c r="Q427" s="249"/>
      <c r="R427" s="250"/>
      <c r="S427" s="251"/>
      <c r="T427" s="252"/>
      <c r="U427" s="249"/>
      <c r="V427" s="250"/>
      <c r="W427" s="251"/>
      <c r="X427" s="252"/>
      <c r="Y427" s="249"/>
      <c r="Z427" s="250"/>
      <c r="AA427" s="251"/>
      <c r="AB427" s="252"/>
      <c r="AC427" s="249"/>
      <c r="AD427" s="250"/>
      <c r="AE427" s="251"/>
      <c r="AF427" s="252"/>
      <c r="AG427" s="253"/>
      <c r="AH427" s="254"/>
      <c r="AI427" s="255"/>
      <c r="AJ427" s="256"/>
    </row>
    <row r="428" spans="1:36" s="106" customFormat="1" x14ac:dyDescent="0.25">
      <c r="A428" s="107" t="str">
        <f>IF(H428&lt;&gt;"",MAX($A$7:A427)+1,"")</f>
        <v/>
      </c>
      <c r="B428" s="244" t="str">
        <f t="shared" si="14"/>
        <v/>
      </c>
      <c r="C428" s="62" t="str">
        <f t="shared" si="15"/>
        <v/>
      </c>
      <c r="D428" s="246"/>
      <c r="E428" s="247"/>
      <c r="F428" s="247"/>
      <c r="G428" s="248"/>
      <c r="H428" s="241"/>
      <c r="I428" s="249"/>
      <c r="J428" s="250"/>
      <c r="K428" s="251"/>
      <c r="L428" s="252"/>
      <c r="M428" s="249"/>
      <c r="N428" s="250"/>
      <c r="O428" s="251"/>
      <c r="P428" s="252"/>
      <c r="Q428" s="249"/>
      <c r="R428" s="250"/>
      <c r="S428" s="251"/>
      <c r="T428" s="252"/>
      <c r="U428" s="249"/>
      <c r="V428" s="250"/>
      <c r="W428" s="251"/>
      <c r="X428" s="252"/>
      <c r="Y428" s="249"/>
      <c r="Z428" s="250"/>
      <c r="AA428" s="251"/>
      <c r="AB428" s="252"/>
      <c r="AC428" s="249"/>
      <c r="AD428" s="250"/>
      <c r="AE428" s="251"/>
      <c r="AF428" s="252"/>
      <c r="AG428" s="253"/>
      <c r="AH428" s="254"/>
      <c r="AI428" s="255"/>
      <c r="AJ428" s="256"/>
    </row>
    <row r="429" spans="1:36" s="106" customFormat="1" x14ac:dyDescent="0.25">
      <c r="A429" s="107" t="str">
        <f>IF(H429&lt;&gt;"",MAX($A$7:A428)+1,"")</f>
        <v/>
      </c>
      <c r="B429" s="244" t="str">
        <f t="shared" si="14"/>
        <v/>
      </c>
      <c r="C429" s="62" t="str">
        <f t="shared" si="15"/>
        <v/>
      </c>
      <c r="D429" s="246"/>
      <c r="E429" s="247"/>
      <c r="F429" s="247"/>
      <c r="G429" s="248"/>
      <c r="H429" s="241"/>
      <c r="I429" s="249"/>
      <c r="J429" s="250"/>
      <c r="K429" s="251"/>
      <c r="L429" s="252"/>
      <c r="M429" s="249"/>
      <c r="N429" s="250"/>
      <c r="O429" s="251"/>
      <c r="P429" s="252"/>
      <c r="Q429" s="249"/>
      <c r="R429" s="250"/>
      <c r="S429" s="251"/>
      <c r="T429" s="252"/>
      <c r="U429" s="249"/>
      <c r="V429" s="250"/>
      <c r="W429" s="251"/>
      <c r="X429" s="252"/>
      <c r="Y429" s="249"/>
      <c r="Z429" s="250"/>
      <c r="AA429" s="251"/>
      <c r="AB429" s="252"/>
      <c r="AC429" s="249"/>
      <c r="AD429" s="250"/>
      <c r="AE429" s="251"/>
      <c r="AF429" s="252"/>
      <c r="AG429" s="253"/>
      <c r="AH429" s="254"/>
      <c r="AI429" s="255"/>
      <c r="AJ429" s="256"/>
    </row>
    <row r="430" spans="1:36" s="106" customFormat="1" x14ac:dyDescent="0.25">
      <c r="A430" s="107" t="str">
        <f>IF(H430&lt;&gt;"",MAX($A$7:A429)+1,"")</f>
        <v/>
      </c>
      <c r="B430" s="244" t="str">
        <f t="shared" si="14"/>
        <v/>
      </c>
      <c r="C430" s="62" t="str">
        <f t="shared" si="15"/>
        <v/>
      </c>
      <c r="D430" s="246"/>
      <c r="E430" s="247"/>
      <c r="F430" s="247"/>
      <c r="G430" s="248"/>
      <c r="H430" s="241"/>
      <c r="I430" s="249"/>
      <c r="J430" s="250"/>
      <c r="K430" s="251"/>
      <c r="L430" s="252"/>
      <c r="M430" s="249"/>
      <c r="N430" s="250"/>
      <c r="O430" s="251"/>
      <c r="P430" s="252"/>
      <c r="Q430" s="249"/>
      <c r="R430" s="250"/>
      <c r="S430" s="251"/>
      <c r="T430" s="252"/>
      <c r="U430" s="249"/>
      <c r="V430" s="250"/>
      <c r="W430" s="251"/>
      <c r="X430" s="252"/>
      <c r="Y430" s="249"/>
      <c r="Z430" s="250"/>
      <c r="AA430" s="251"/>
      <c r="AB430" s="252"/>
      <c r="AC430" s="249"/>
      <c r="AD430" s="250"/>
      <c r="AE430" s="251"/>
      <c r="AF430" s="252"/>
      <c r="AG430" s="253"/>
      <c r="AH430" s="254"/>
      <c r="AI430" s="255"/>
      <c r="AJ430" s="256"/>
    </row>
    <row r="431" spans="1:36" s="106" customFormat="1" x14ac:dyDescent="0.25">
      <c r="A431" s="107" t="str">
        <f>IF(H431&lt;&gt;"",MAX($A$7:A430)+1,"")</f>
        <v/>
      </c>
      <c r="B431" s="244" t="str">
        <f t="shared" si="14"/>
        <v/>
      </c>
      <c r="C431" s="62" t="str">
        <f t="shared" si="15"/>
        <v/>
      </c>
      <c r="D431" s="246"/>
      <c r="E431" s="247"/>
      <c r="F431" s="247"/>
      <c r="G431" s="248"/>
      <c r="H431" s="241"/>
      <c r="I431" s="249"/>
      <c r="J431" s="250"/>
      <c r="K431" s="251"/>
      <c r="L431" s="252"/>
      <c r="M431" s="249"/>
      <c r="N431" s="250"/>
      <c r="O431" s="251"/>
      <c r="P431" s="252"/>
      <c r="Q431" s="249"/>
      <c r="R431" s="250"/>
      <c r="S431" s="251"/>
      <c r="T431" s="252"/>
      <c r="U431" s="249"/>
      <c r="V431" s="250"/>
      <c r="W431" s="251"/>
      <c r="X431" s="252"/>
      <c r="Y431" s="249"/>
      <c r="Z431" s="250"/>
      <c r="AA431" s="251"/>
      <c r="AB431" s="252"/>
      <c r="AC431" s="249"/>
      <c r="AD431" s="250"/>
      <c r="AE431" s="251"/>
      <c r="AF431" s="252"/>
      <c r="AG431" s="253"/>
      <c r="AH431" s="254"/>
      <c r="AI431" s="255"/>
      <c r="AJ431" s="256"/>
    </row>
    <row r="432" spans="1:36" s="106" customFormat="1" x14ac:dyDescent="0.25">
      <c r="A432" s="107" t="str">
        <f>IF(H432&lt;&gt;"",MAX($A$7:A431)+1,"")</f>
        <v/>
      </c>
      <c r="B432" s="244" t="str">
        <f t="shared" si="14"/>
        <v/>
      </c>
      <c r="C432" s="62" t="str">
        <f t="shared" si="15"/>
        <v/>
      </c>
      <c r="D432" s="246"/>
      <c r="E432" s="247"/>
      <c r="F432" s="247"/>
      <c r="G432" s="248"/>
      <c r="H432" s="241"/>
      <c r="I432" s="249"/>
      <c r="J432" s="250"/>
      <c r="K432" s="251"/>
      <c r="L432" s="252"/>
      <c r="M432" s="249"/>
      <c r="N432" s="250"/>
      <c r="O432" s="251"/>
      <c r="P432" s="252"/>
      <c r="Q432" s="249"/>
      <c r="R432" s="250"/>
      <c r="S432" s="251"/>
      <c r="T432" s="252"/>
      <c r="U432" s="249"/>
      <c r="V432" s="250"/>
      <c r="W432" s="251"/>
      <c r="X432" s="252"/>
      <c r="Y432" s="249"/>
      <c r="Z432" s="250"/>
      <c r="AA432" s="251"/>
      <c r="AB432" s="252"/>
      <c r="AC432" s="249"/>
      <c r="AD432" s="250"/>
      <c r="AE432" s="251"/>
      <c r="AF432" s="252"/>
      <c r="AG432" s="253"/>
      <c r="AH432" s="254"/>
      <c r="AI432" s="255"/>
      <c r="AJ432" s="256"/>
    </row>
    <row r="433" spans="1:36" s="106" customFormat="1" x14ac:dyDescent="0.25">
      <c r="A433" s="107" t="str">
        <f>IF(H433&lt;&gt;"",MAX($A$7:A432)+1,"")</f>
        <v/>
      </c>
      <c r="B433" s="244" t="str">
        <f t="shared" si="14"/>
        <v/>
      </c>
      <c r="C433" s="62" t="str">
        <f t="shared" si="15"/>
        <v/>
      </c>
      <c r="D433" s="246"/>
      <c r="E433" s="247"/>
      <c r="F433" s="247"/>
      <c r="G433" s="248"/>
      <c r="H433" s="241"/>
      <c r="I433" s="249"/>
      <c r="J433" s="250"/>
      <c r="K433" s="251"/>
      <c r="L433" s="252"/>
      <c r="M433" s="249"/>
      <c r="N433" s="250"/>
      <c r="O433" s="251"/>
      <c r="P433" s="252"/>
      <c r="Q433" s="249"/>
      <c r="R433" s="250"/>
      <c r="S433" s="251"/>
      <c r="T433" s="252"/>
      <c r="U433" s="249"/>
      <c r="V433" s="250"/>
      <c r="W433" s="251"/>
      <c r="X433" s="252"/>
      <c r="Y433" s="249"/>
      <c r="Z433" s="250"/>
      <c r="AA433" s="251"/>
      <c r="AB433" s="252"/>
      <c r="AC433" s="249"/>
      <c r="AD433" s="250"/>
      <c r="AE433" s="251"/>
      <c r="AF433" s="252"/>
      <c r="AG433" s="253"/>
      <c r="AH433" s="254"/>
      <c r="AI433" s="255"/>
      <c r="AJ433" s="256"/>
    </row>
    <row r="434" spans="1:36" s="106" customFormat="1" x14ac:dyDescent="0.25">
      <c r="A434" s="107" t="str">
        <f>IF(H434&lt;&gt;"",MAX($A$7:A433)+1,"")</f>
        <v/>
      </c>
      <c r="B434" s="244" t="str">
        <f t="shared" si="14"/>
        <v/>
      </c>
      <c r="C434" s="62" t="str">
        <f t="shared" si="15"/>
        <v/>
      </c>
      <c r="D434" s="246"/>
      <c r="E434" s="247"/>
      <c r="F434" s="247"/>
      <c r="G434" s="248"/>
      <c r="H434" s="241"/>
      <c r="I434" s="249"/>
      <c r="J434" s="250"/>
      <c r="K434" s="251"/>
      <c r="L434" s="252"/>
      <c r="M434" s="249"/>
      <c r="N434" s="250"/>
      <c r="O434" s="251"/>
      <c r="P434" s="252"/>
      <c r="Q434" s="249"/>
      <c r="R434" s="250"/>
      <c r="S434" s="251"/>
      <c r="T434" s="252"/>
      <c r="U434" s="249"/>
      <c r="V434" s="250"/>
      <c r="W434" s="251"/>
      <c r="X434" s="252"/>
      <c r="Y434" s="249"/>
      <c r="Z434" s="250"/>
      <c r="AA434" s="251"/>
      <c r="AB434" s="252"/>
      <c r="AC434" s="249"/>
      <c r="AD434" s="250"/>
      <c r="AE434" s="251"/>
      <c r="AF434" s="252"/>
      <c r="AG434" s="253"/>
      <c r="AH434" s="254"/>
      <c r="AI434" s="255"/>
      <c r="AJ434" s="256"/>
    </row>
    <row r="435" spans="1:36" s="106" customFormat="1" x14ac:dyDescent="0.25">
      <c r="A435" s="107" t="str">
        <f>IF(H435&lt;&gt;"",MAX($A$7:A434)+1,"")</f>
        <v/>
      </c>
      <c r="B435" s="244" t="str">
        <f t="shared" si="14"/>
        <v/>
      </c>
      <c r="C435" s="62" t="str">
        <f t="shared" si="15"/>
        <v/>
      </c>
      <c r="D435" s="246"/>
      <c r="E435" s="247"/>
      <c r="F435" s="247"/>
      <c r="G435" s="248"/>
      <c r="H435" s="241"/>
      <c r="I435" s="249"/>
      <c r="J435" s="250"/>
      <c r="K435" s="251"/>
      <c r="L435" s="252"/>
      <c r="M435" s="249"/>
      <c r="N435" s="250"/>
      <c r="O435" s="251"/>
      <c r="P435" s="252"/>
      <c r="Q435" s="249"/>
      <c r="R435" s="250"/>
      <c r="S435" s="251"/>
      <c r="T435" s="252"/>
      <c r="U435" s="249"/>
      <c r="V435" s="250"/>
      <c r="W435" s="251"/>
      <c r="X435" s="252"/>
      <c r="Y435" s="249"/>
      <c r="Z435" s="250"/>
      <c r="AA435" s="251"/>
      <c r="AB435" s="252"/>
      <c r="AC435" s="249"/>
      <c r="AD435" s="250"/>
      <c r="AE435" s="251"/>
      <c r="AF435" s="252"/>
      <c r="AG435" s="253"/>
      <c r="AH435" s="254"/>
      <c r="AI435" s="255"/>
      <c r="AJ435" s="256"/>
    </row>
    <row r="436" spans="1:36" s="106" customFormat="1" x14ac:dyDescent="0.25">
      <c r="A436" s="107" t="str">
        <f>IF(H436&lt;&gt;"",MAX($A$7:A435)+1,"")</f>
        <v/>
      </c>
      <c r="B436" s="244" t="str">
        <f t="shared" si="14"/>
        <v/>
      </c>
      <c r="C436" s="62" t="str">
        <f t="shared" si="15"/>
        <v/>
      </c>
      <c r="D436" s="246"/>
      <c r="E436" s="247"/>
      <c r="F436" s="247"/>
      <c r="G436" s="248"/>
      <c r="H436" s="241"/>
      <c r="I436" s="249"/>
      <c r="J436" s="250"/>
      <c r="K436" s="251"/>
      <c r="L436" s="252"/>
      <c r="M436" s="249"/>
      <c r="N436" s="250"/>
      <c r="O436" s="251"/>
      <c r="P436" s="252"/>
      <c r="Q436" s="249"/>
      <c r="R436" s="250"/>
      <c r="S436" s="251"/>
      <c r="T436" s="252"/>
      <c r="U436" s="249"/>
      <c r="V436" s="250"/>
      <c r="W436" s="251"/>
      <c r="X436" s="252"/>
      <c r="Y436" s="249"/>
      <c r="Z436" s="250"/>
      <c r="AA436" s="251"/>
      <c r="AB436" s="252"/>
      <c r="AC436" s="249"/>
      <c r="AD436" s="250"/>
      <c r="AE436" s="251"/>
      <c r="AF436" s="252"/>
      <c r="AG436" s="253"/>
      <c r="AH436" s="254"/>
      <c r="AI436" s="255"/>
      <c r="AJ436" s="256"/>
    </row>
    <row r="437" spans="1:36" s="106" customFormat="1" x14ac:dyDescent="0.25">
      <c r="A437" s="107" t="str">
        <f>IF(H437&lt;&gt;"",MAX($A$7:A436)+1,"")</f>
        <v/>
      </c>
      <c r="B437" s="244" t="str">
        <f t="shared" si="14"/>
        <v/>
      </c>
      <c r="C437" s="62" t="str">
        <f t="shared" si="15"/>
        <v/>
      </c>
      <c r="D437" s="246"/>
      <c r="E437" s="247"/>
      <c r="F437" s="247"/>
      <c r="G437" s="248"/>
      <c r="H437" s="241"/>
      <c r="I437" s="249"/>
      <c r="J437" s="250"/>
      <c r="K437" s="251"/>
      <c r="L437" s="252"/>
      <c r="M437" s="249"/>
      <c r="N437" s="250"/>
      <c r="O437" s="251"/>
      <c r="P437" s="252"/>
      <c r="Q437" s="249"/>
      <c r="R437" s="250"/>
      <c r="S437" s="251"/>
      <c r="T437" s="252"/>
      <c r="U437" s="249"/>
      <c r="V437" s="250"/>
      <c r="W437" s="251"/>
      <c r="X437" s="252"/>
      <c r="Y437" s="249"/>
      <c r="Z437" s="250"/>
      <c r="AA437" s="251"/>
      <c r="AB437" s="252"/>
      <c r="AC437" s="249"/>
      <c r="AD437" s="250"/>
      <c r="AE437" s="251"/>
      <c r="AF437" s="252"/>
      <c r="AG437" s="253"/>
      <c r="AH437" s="254"/>
      <c r="AI437" s="255"/>
      <c r="AJ437" s="256"/>
    </row>
    <row r="438" spans="1:36" s="106" customFormat="1" x14ac:dyDescent="0.25">
      <c r="A438" s="107" t="str">
        <f>IF(H438&lt;&gt;"",MAX($A$7:A437)+1,"")</f>
        <v/>
      </c>
      <c r="B438" s="244" t="str">
        <f t="shared" si="14"/>
        <v/>
      </c>
      <c r="C438" s="62" t="str">
        <f t="shared" si="15"/>
        <v/>
      </c>
      <c r="D438" s="246"/>
      <c r="E438" s="247"/>
      <c r="F438" s="247"/>
      <c r="G438" s="248"/>
      <c r="H438" s="241"/>
      <c r="I438" s="249"/>
      <c r="J438" s="250"/>
      <c r="K438" s="251"/>
      <c r="L438" s="252"/>
      <c r="M438" s="249"/>
      <c r="N438" s="250"/>
      <c r="O438" s="251"/>
      <c r="P438" s="252"/>
      <c r="Q438" s="249"/>
      <c r="R438" s="250"/>
      <c r="S438" s="251"/>
      <c r="T438" s="252"/>
      <c r="U438" s="249"/>
      <c r="V438" s="250"/>
      <c r="W438" s="251"/>
      <c r="X438" s="252"/>
      <c r="Y438" s="249"/>
      <c r="Z438" s="250"/>
      <c r="AA438" s="251"/>
      <c r="AB438" s="252"/>
      <c r="AC438" s="249"/>
      <c r="AD438" s="250"/>
      <c r="AE438" s="251"/>
      <c r="AF438" s="252"/>
      <c r="AG438" s="253"/>
      <c r="AH438" s="254"/>
      <c r="AI438" s="255"/>
      <c r="AJ438" s="256"/>
    </row>
    <row r="439" spans="1:36" s="106" customFormat="1" x14ac:dyDescent="0.25">
      <c r="A439" s="107" t="str">
        <f>IF(H439&lt;&gt;"",MAX($A$7:A438)+1,"")</f>
        <v/>
      </c>
      <c r="B439" s="244" t="str">
        <f t="shared" si="14"/>
        <v/>
      </c>
      <c r="C439" s="62" t="str">
        <f t="shared" si="15"/>
        <v/>
      </c>
      <c r="D439" s="246"/>
      <c r="E439" s="247"/>
      <c r="F439" s="247"/>
      <c r="G439" s="248"/>
      <c r="H439" s="241"/>
      <c r="I439" s="249"/>
      <c r="J439" s="250"/>
      <c r="K439" s="251"/>
      <c r="L439" s="252"/>
      <c r="M439" s="249"/>
      <c r="N439" s="250"/>
      <c r="O439" s="251"/>
      <c r="P439" s="252"/>
      <c r="Q439" s="249"/>
      <c r="R439" s="250"/>
      <c r="S439" s="251"/>
      <c r="T439" s="252"/>
      <c r="U439" s="249"/>
      <c r="V439" s="250"/>
      <c r="W439" s="251"/>
      <c r="X439" s="252"/>
      <c r="Y439" s="249"/>
      <c r="Z439" s="250"/>
      <c r="AA439" s="251"/>
      <c r="AB439" s="252"/>
      <c r="AC439" s="249"/>
      <c r="AD439" s="250"/>
      <c r="AE439" s="251"/>
      <c r="AF439" s="252"/>
      <c r="AG439" s="253"/>
      <c r="AH439" s="254"/>
      <c r="AI439" s="255"/>
      <c r="AJ439" s="256"/>
    </row>
    <row r="440" spans="1:36" s="106" customFormat="1" x14ac:dyDescent="0.25">
      <c r="A440" s="107" t="str">
        <f>IF(H440&lt;&gt;"",MAX($A$7:A439)+1,"")</f>
        <v/>
      </c>
      <c r="B440" s="244" t="str">
        <f t="shared" si="14"/>
        <v/>
      </c>
      <c r="C440" s="62" t="str">
        <f t="shared" si="15"/>
        <v/>
      </c>
      <c r="D440" s="246"/>
      <c r="E440" s="247"/>
      <c r="F440" s="247"/>
      <c r="G440" s="248"/>
      <c r="H440" s="241"/>
      <c r="I440" s="249"/>
      <c r="J440" s="250"/>
      <c r="K440" s="251"/>
      <c r="L440" s="252"/>
      <c r="M440" s="249"/>
      <c r="N440" s="250"/>
      <c r="O440" s="251"/>
      <c r="P440" s="252"/>
      <c r="Q440" s="249"/>
      <c r="R440" s="250"/>
      <c r="S440" s="251"/>
      <c r="T440" s="252"/>
      <c r="U440" s="249"/>
      <c r="V440" s="250"/>
      <c r="W440" s="251"/>
      <c r="X440" s="252"/>
      <c r="Y440" s="249"/>
      <c r="Z440" s="250"/>
      <c r="AA440" s="251"/>
      <c r="AB440" s="252"/>
      <c r="AC440" s="249"/>
      <c r="AD440" s="250"/>
      <c r="AE440" s="251"/>
      <c r="AF440" s="252"/>
      <c r="AG440" s="253"/>
      <c r="AH440" s="254"/>
      <c r="AI440" s="255"/>
      <c r="AJ440" s="256"/>
    </row>
    <row r="441" spans="1:36" s="106" customFormat="1" x14ac:dyDescent="0.25">
      <c r="A441" s="107" t="str">
        <f>IF(H441&lt;&gt;"",MAX($A$7:A440)+1,"")</f>
        <v/>
      </c>
      <c r="B441" s="244" t="str">
        <f t="shared" si="14"/>
        <v/>
      </c>
      <c r="C441" s="62" t="str">
        <f t="shared" si="15"/>
        <v/>
      </c>
      <c r="D441" s="246"/>
      <c r="E441" s="247"/>
      <c r="F441" s="247"/>
      <c r="G441" s="248"/>
      <c r="H441" s="241"/>
      <c r="I441" s="249"/>
      <c r="J441" s="250"/>
      <c r="K441" s="251"/>
      <c r="L441" s="252"/>
      <c r="M441" s="249"/>
      <c r="N441" s="250"/>
      <c r="O441" s="251"/>
      <c r="P441" s="252"/>
      <c r="Q441" s="249"/>
      <c r="R441" s="250"/>
      <c r="S441" s="251"/>
      <c r="T441" s="252"/>
      <c r="U441" s="249"/>
      <c r="V441" s="250"/>
      <c r="W441" s="251"/>
      <c r="X441" s="252"/>
      <c r="Y441" s="249"/>
      <c r="Z441" s="250"/>
      <c r="AA441" s="251"/>
      <c r="AB441" s="252"/>
      <c r="AC441" s="249"/>
      <c r="AD441" s="250"/>
      <c r="AE441" s="251"/>
      <c r="AF441" s="252"/>
      <c r="AG441" s="253"/>
      <c r="AH441" s="254"/>
      <c r="AI441" s="255"/>
      <c r="AJ441" s="256"/>
    </row>
    <row r="442" spans="1:36" s="106" customFormat="1" x14ac:dyDescent="0.25">
      <c r="A442" s="107" t="str">
        <f>IF(H442&lt;&gt;"",MAX($A$7:A441)+1,"")</f>
        <v/>
      </c>
      <c r="B442" s="244" t="str">
        <f t="shared" si="14"/>
        <v/>
      </c>
      <c r="C442" s="62" t="str">
        <f t="shared" si="15"/>
        <v/>
      </c>
      <c r="D442" s="246"/>
      <c r="E442" s="247"/>
      <c r="F442" s="247"/>
      <c r="G442" s="248"/>
      <c r="H442" s="241"/>
      <c r="I442" s="249"/>
      <c r="J442" s="250"/>
      <c r="K442" s="251"/>
      <c r="L442" s="252"/>
      <c r="M442" s="249"/>
      <c r="N442" s="250"/>
      <c r="O442" s="251"/>
      <c r="P442" s="252"/>
      <c r="Q442" s="249"/>
      <c r="R442" s="250"/>
      <c r="S442" s="251"/>
      <c r="T442" s="252"/>
      <c r="U442" s="249"/>
      <c r="V442" s="250"/>
      <c r="W442" s="251"/>
      <c r="X442" s="252"/>
      <c r="Y442" s="249"/>
      <c r="Z442" s="250"/>
      <c r="AA442" s="251"/>
      <c r="AB442" s="252"/>
      <c r="AC442" s="249"/>
      <c r="AD442" s="250"/>
      <c r="AE442" s="251"/>
      <c r="AF442" s="252"/>
      <c r="AG442" s="253"/>
      <c r="AH442" s="254"/>
      <c r="AI442" s="255"/>
      <c r="AJ442" s="256"/>
    </row>
    <row r="443" spans="1:36" s="106" customFormat="1" x14ac:dyDescent="0.25">
      <c r="A443" s="107" t="str">
        <f>IF(H443&lt;&gt;"",MAX($A$7:A442)+1,"")</f>
        <v/>
      </c>
      <c r="B443" s="244" t="str">
        <f t="shared" si="14"/>
        <v/>
      </c>
      <c r="C443" s="62" t="str">
        <f t="shared" si="15"/>
        <v/>
      </c>
      <c r="D443" s="246"/>
      <c r="E443" s="247"/>
      <c r="F443" s="247"/>
      <c r="G443" s="248"/>
      <c r="H443" s="241"/>
      <c r="I443" s="249"/>
      <c r="J443" s="250"/>
      <c r="K443" s="251"/>
      <c r="L443" s="252"/>
      <c r="M443" s="249"/>
      <c r="N443" s="250"/>
      <c r="O443" s="251"/>
      <c r="P443" s="252"/>
      <c r="Q443" s="249"/>
      <c r="R443" s="250"/>
      <c r="S443" s="251"/>
      <c r="T443" s="252"/>
      <c r="U443" s="249"/>
      <c r="V443" s="250"/>
      <c r="W443" s="251"/>
      <c r="X443" s="252"/>
      <c r="Y443" s="249"/>
      <c r="Z443" s="250"/>
      <c r="AA443" s="251"/>
      <c r="AB443" s="252"/>
      <c r="AC443" s="249"/>
      <c r="AD443" s="250"/>
      <c r="AE443" s="251"/>
      <c r="AF443" s="252"/>
      <c r="AG443" s="253"/>
      <c r="AH443" s="254"/>
      <c r="AI443" s="255"/>
      <c r="AJ443" s="256"/>
    </row>
    <row r="444" spans="1:36" s="106" customFormat="1" x14ac:dyDescent="0.25">
      <c r="A444" s="107" t="str">
        <f>IF(H444&lt;&gt;"",MAX($A$7:A443)+1,"")</f>
        <v/>
      </c>
      <c r="B444" s="244" t="str">
        <f t="shared" si="14"/>
        <v/>
      </c>
      <c r="C444" s="62" t="str">
        <f t="shared" si="15"/>
        <v/>
      </c>
      <c r="D444" s="246"/>
      <c r="E444" s="247"/>
      <c r="F444" s="247"/>
      <c r="G444" s="248"/>
      <c r="H444" s="241"/>
      <c r="I444" s="249"/>
      <c r="J444" s="250"/>
      <c r="K444" s="251"/>
      <c r="L444" s="252"/>
      <c r="M444" s="249"/>
      <c r="N444" s="250"/>
      <c r="O444" s="251"/>
      <c r="P444" s="252"/>
      <c r="Q444" s="249"/>
      <c r="R444" s="250"/>
      <c r="S444" s="251"/>
      <c r="T444" s="252"/>
      <c r="U444" s="249"/>
      <c r="V444" s="250"/>
      <c r="W444" s="251"/>
      <c r="X444" s="252"/>
      <c r="Y444" s="249"/>
      <c r="Z444" s="250"/>
      <c r="AA444" s="251"/>
      <c r="AB444" s="252"/>
      <c r="AC444" s="249"/>
      <c r="AD444" s="250"/>
      <c r="AE444" s="251"/>
      <c r="AF444" s="252"/>
      <c r="AG444" s="253"/>
      <c r="AH444" s="254"/>
      <c r="AI444" s="255"/>
      <c r="AJ444" s="256"/>
    </row>
    <row r="445" spans="1:36" s="106" customFormat="1" x14ac:dyDescent="0.25">
      <c r="A445" s="107" t="str">
        <f>IF(H445&lt;&gt;"",MAX($A$7:A444)+1,"")</f>
        <v/>
      </c>
      <c r="B445" s="244" t="str">
        <f t="shared" si="14"/>
        <v/>
      </c>
      <c r="C445" s="62" t="str">
        <f t="shared" si="15"/>
        <v/>
      </c>
      <c r="D445" s="246"/>
      <c r="E445" s="247"/>
      <c r="F445" s="247"/>
      <c r="G445" s="248"/>
      <c r="H445" s="241"/>
      <c r="I445" s="249"/>
      <c r="J445" s="250"/>
      <c r="K445" s="251"/>
      <c r="L445" s="252"/>
      <c r="M445" s="249"/>
      <c r="N445" s="250"/>
      <c r="O445" s="251"/>
      <c r="P445" s="252"/>
      <c r="Q445" s="249"/>
      <c r="R445" s="250"/>
      <c r="S445" s="251"/>
      <c r="T445" s="252"/>
      <c r="U445" s="249"/>
      <c r="V445" s="250"/>
      <c r="W445" s="251"/>
      <c r="X445" s="252"/>
      <c r="Y445" s="249"/>
      <c r="Z445" s="250"/>
      <c r="AA445" s="251"/>
      <c r="AB445" s="252"/>
      <c r="AC445" s="249"/>
      <c r="AD445" s="250"/>
      <c r="AE445" s="251"/>
      <c r="AF445" s="252"/>
      <c r="AG445" s="253"/>
      <c r="AH445" s="254"/>
      <c r="AI445" s="255"/>
      <c r="AJ445" s="256"/>
    </row>
    <row r="446" spans="1:36" s="106" customFormat="1" x14ac:dyDescent="0.25">
      <c r="A446" s="107" t="str">
        <f>IF(H446&lt;&gt;"",MAX($A$7:A445)+1,"")</f>
        <v/>
      </c>
      <c r="B446" s="244" t="str">
        <f t="shared" si="14"/>
        <v/>
      </c>
      <c r="C446" s="62" t="str">
        <f t="shared" si="15"/>
        <v/>
      </c>
      <c r="D446" s="246"/>
      <c r="E446" s="247"/>
      <c r="F446" s="247"/>
      <c r="G446" s="248"/>
      <c r="H446" s="241"/>
      <c r="I446" s="249"/>
      <c r="J446" s="250"/>
      <c r="K446" s="251"/>
      <c r="L446" s="252"/>
      <c r="M446" s="249"/>
      <c r="N446" s="250"/>
      <c r="O446" s="251"/>
      <c r="P446" s="252"/>
      <c r="Q446" s="249"/>
      <c r="R446" s="250"/>
      <c r="S446" s="251"/>
      <c r="T446" s="252"/>
      <c r="U446" s="249"/>
      <c r="V446" s="250"/>
      <c r="W446" s="251"/>
      <c r="X446" s="252"/>
      <c r="Y446" s="249"/>
      <c r="Z446" s="250"/>
      <c r="AA446" s="251"/>
      <c r="AB446" s="252"/>
      <c r="AC446" s="249"/>
      <c r="AD446" s="250"/>
      <c r="AE446" s="251"/>
      <c r="AF446" s="252"/>
      <c r="AG446" s="253"/>
      <c r="AH446" s="254"/>
      <c r="AI446" s="255"/>
      <c r="AJ446" s="256"/>
    </row>
    <row r="447" spans="1:36" s="106" customFormat="1" x14ac:dyDescent="0.25">
      <c r="A447" s="107" t="str">
        <f>IF(H447&lt;&gt;"",MAX($A$7:A446)+1,"")</f>
        <v/>
      </c>
      <c r="B447" s="244" t="str">
        <f t="shared" si="14"/>
        <v/>
      </c>
      <c r="C447" s="62" t="str">
        <f t="shared" si="15"/>
        <v/>
      </c>
      <c r="D447" s="246"/>
      <c r="E447" s="247"/>
      <c r="F447" s="247"/>
      <c r="G447" s="248"/>
      <c r="H447" s="241"/>
      <c r="I447" s="249"/>
      <c r="J447" s="250"/>
      <c r="K447" s="251"/>
      <c r="L447" s="252"/>
      <c r="M447" s="249"/>
      <c r="N447" s="250"/>
      <c r="O447" s="251"/>
      <c r="P447" s="252"/>
      <c r="Q447" s="249"/>
      <c r="R447" s="250"/>
      <c r="S447" s="251"/>
      <c r="T447" s="252"/>
      <c r="U447" s="249"/>
      <c r="V447" s="250"/>
      <c r="W447" s="251"/>
      <c r="X447" s="252"/>
      <c r="Y447" s="249"/>
      <c r="Z447" s="250"/>
      <c r="AA447" s="251"/>
      <c r="AB447" s="252"/>
      <c r="AC447" s="249"/>
      <c r="AD447" s="250"/>
      <c r="AE447" s="251"/>
      <c r="AF447" s="252"/>
      <c r="AG447" s="253"/>
      <c r="AH447" s="254"/>
      <c r="AI447" s="255"/>
      <c r="AJ447" s="256"/>
    </row>
    <row r="448" spans="1:36" s="106" customFormat="1" x14ac:dyDescent="0.25">
      <c r="A448" s="107" t="str">
        <f>IF(H448&lt;&gt;"",MAX($A$7:A447)+1,"")</f>
        <v/>
      </c>
      <c r="B448" s="244" t="str">
        <f t="shared" si="14"/>
        <v/>
      </c>
      <c r="C448" s="62" t="str">
        <f t="shared" si="15"/>
        <v/>
      </c>
      <c r="D448" s="246"/>
      <c r="E448" s="247"/>
      <c r="F448" s="247"/>
      <c r="G448" s="248"/>
      <c r="H448" s="241"/>
      <c r="I448" s="249"/>
      <c r="J448" s="250"/>
      <c r="K448" s="251"/>
      <c r="L448" s="252"/>
      <c r="M448" s="249"/>
      <c r="N448" s="250"/>
      <c r="O448" s="251"/>
      <c r="P448" s="252"/>
      <c r="Q448" s="249"/>
      <c r="R448" s="250"/>
      <c r="S448" s="251"/>
      <c r="T448" s="252"/>
      <c r="U448" s="249"/>
      <c r="V448" s="250"/>
      <c r="W448" s="251"/>
      <c r="X448" s="252"/>
      <c r="Y448" s="249"/>
      <c r="Z448" s="250"/>
      <c r="AA448" s="251"/>
      <c r="AB448" s="252"/>
      <c r="AC448" s="249"/>
      <c r="AD448" s="250"/>
      <c r="AE448" s="251"/>
      <c r="AF448" s="252"/>
      <c r="AG448" s="253"/>
      <c r="AH448" s="254"/>
      <c r="AI448" s="255"/>
      <c r="AJ448" s="256"/>
    </row>
    <row r="449" spans="1:36" s="106" customFormat="1" x14ac:dyDescent="0.25">
      <c r="A449" s="107" t="str">
        <f>IF(H449&lt;&gt;"",MAX($A$7:A448)+1,"")</f>
        <v/>
      </c>
      <c r="B449" s="244" t="str">
        <f t="shared" si="14"/>
        <v/>
      </c>
      <c r="C449" s="62" t="str">
        <f t="shared" si="15"/>
        <v/>
      </c>
      <c r="D449" s="246"/>
      <c r="E449" s="247"/>
      <c r="F449" s="247"/>
      <c r="G449" s="248"/>
      <c r="H449" s="241"/>
      <c r="I449" s="249"/>
      <c r="J449" s="250"/>
      <c r="K449" s="251"/>
      <c r="L449" s="252"/>
      <c r="M449" s="249"/>
      <c r="N449" s="250"/>
      <c r="O449" s="251"/>
      <c r="P449" s="252"/>
      <c r="Q449" s="249"/>
      <c r="R449" s="250"/>
      <c r="S449" s="251"/>
      <c r="T449" s="252"/>
      <c r="U449" s="249"/>
      <c r="V449" s="250"/>
      <c r="W449" s="251"/>
      <c r="X449" s="252"/>
      <c r="Y449" s="249"/>
      <c r="Z449" s="250"/>
      <c r="AA449" s="251"/>
      <c r="AB449" s="252"/>
      <c r="AC449" s="249"/>
      <c r="AD449" s="250"/>
      <c r="AE449" s="251"/>
      <c r="AF449" s="252"/>
      <c r="AG449" s="253"/>
      <c r="AH449" s="254"/>
      <c r="AI449" s="255"/>
      <c r="AJ449" s="256"/>
    </row>
    <row r="450" spans="1:36" s="106" customFormat="1" x14ac:dyDescent="0.25">
      <c r="A450" s="107" t="str">
        <f>IF(H450&lt;&gt;"",MAX($A$7:A449)+1,"")</f>
        <v/>
      </c>
      <c r="B450" s="244" t="str">
        <f t="shared" si="14"/>
        <v/>
      </c>
      <c r="C450" s="62" t="str">
        <f t="shared" si="15"/>
        <v/>
      </c>
      <c r="D450" s="246"/>
      <c r="E450" s="247"/>
      <c r="F450" s="247"/>
      <c r="G450" s="248"/>
      <c r="H450" s="241"/>
      <c r="I450" s="249"/>
      <c r="J450" s="250"/>
      <c r="K450" s="251"/>
      <c r="L450" s="252"/>
      <c r="M450" s="249"/>
      <c r="N450" s="250"/>
      <c r="O450" s="251"/>
      <c r="P450" s="252"/>
      <c r="Q450" s="249"/>
      <c r="R450" s="250"/>
      <c r="S450" s="251"/>
      <c r="T450" s="252"/>
      <c r="U450" s="249"/>
      <c r="V450" s="250"/>
      <c r="W450" s="251"/>
      <c r="X450" s="252"/>
      <c r="Y450" s="249"/>
      <c r="Z450" s="250"/>
      <c r="AA450" s="251"/>
      <c r="AB450" s="252"/>
      <c r="AC450" s="249"/>
      <c r="AD450" s="250"/>
      <c r="AE450" s="251"/>
      <c r="AF450" s="252"/>
      <c r="AG450" s="253"/>
      <c r="AH450" s="254"/>
      <c r="AI450" s="255"/>
      <c r="AJ450" s="256"/>
    </row>
    <row r="451" spans="1:36" s="106" customFormat="1" x14ac:dyDescent="0.25">
      <c r="A451" s="107" t="str">
        <f>IF(H451&lt;&gt;"",MAX($A$7:A450)+1,"")</f>
        <v/>
      </c>
      <c r="B451" s="244" t="str">
        <f t="shared" si="14"/>
        <v/>
      </c>
      <c r="C451" s="62" t="str">
        <f t="shared" si="15"/>
        <v/>
      </c>
      <c r="D451" s="246"/>
      <c r="E451" s="247"/>
      <c r="F451" s="247"/>
      <c r="G451" s="248"/>
      <c r="H451" s="241"/>
      <c r="I451" s="249"/>
      <c r="J451" s="250"/>
      <c r="K451" s="251"/>
      <c r="L451" s="252"/>
      <c r="M451" s="249"/>
      <c r="N451" s="250"/>
      <c r="O451" s="251"/>
      <c r="P451" s="252"/>
      <c r="Q451" s="249"/>
      <c r="R451" s="250"/>
      <c r="S451" s="251"/>
      <c r="T451" s="252"/>
      <c r="U451" s="249"/>
      <c r="V451" s="250"/>
      <c r="W451" s="251"/>
      <c r="X451" s="252"/>
      <c r="Y451" s="249"/>
      <c r="Z451" s="250"/>
      <c r="AA451" s="251"/>
      <c r="AB451" s="252"/>
      <c r="AC451" s="249"/>
      <c r="AD451" s="250"/>
      <c r="AE451" s="251"/>
      <c r="AF451" s="252"/>
      <c r="AG451" s="253"/>
      <c r="AH451" s="254"/>
      <c r="AI451" s="255"/>
      <c r="AJ451" s="256"/>
    </row>
    <row r="452" spans="1:36" s="106" customFormat="1" x14ac:dyDescent="0.25">
      <c r="A452" s="107" t="str">
        <f>IF(H452&lt;&gt;"",MAX($A$7:A451)+1,"")</f>
        <v/>
      </c>
      <c r="B452" s="244" t="str">
        <f t="shared" si="14"/>
        <v/>
      </c>
      <c r="C452" s="62" t="str">
        <f t="shared" si="15"/>
        <v/>
      </c>
      <c r="D452" s="246"/>
      <c r="E452" s="247"/>
      <c r="F452" s="247"/>
      <c r="G452" s="248"/>
      <c r="H452" s="241"/>
      <c r="I452" s="249"/>
      <c r="J452" s="250"/>
      <c r="K452" s="251"/>
      <c r="L452" s="252"/>
      <c r="M452" s="249"/>
      <c r="N452" s="250"/>
      <c r="O452" s="251"/>
      <c r="P452" s="252"/>
      <c r="Q452" s="249"/>
      <c r="R452" s="250"/>
      <c r="S452" s="251"/>
      <c r="T452" s="252"/>
      <c r="U452" s="249"/>
      <c r="V452" s="250"/>
      <c r="W452" s="251"/>
      <c r="X452" s="252"/>
      <c r="Y452" s="249"/>
      <c r="Z452" s="250"/>
      <c r="AA452" s="251"/>
      <c r="AB452" s="252"/>
      <c r="AC452" s="249"/>
      <c r="AD452" s="250"/>
      <c r="AE452" s="251"/>
      <c r="AF452" s="252"/>
      <c r="AG452" s="253"/>
      <c r="AH452" s="254"/>
      <c r="AI452" s="255"/>
      <c r="AJ452" s="256"/>
    </row>
    <row r="453" spans="1:36" s="106" customFormat="1" x14ac:dyDescent="0.25">
      <c r="A453" s="107" t="str">
        <f>IF(H453&lt;&gt;"",MAX($A$7:A452)+1,"")</f>
        <v/>
      </c>
      <c r="B453" s="244" t="str">
        <f t="shared" si="14"/>
        <v/>
      </c>
      <c r="C453" s="62" t="str">
        <f t="shared" si="15"/>
        <v/>
      </c>
      <c r="D453" s="246"/>
      <c r="E453" s="247"/>
      <c r="F453" s="247"/>
      <c r="G453" s="248"/>
      <c r="H453" s="241"/>
      <c r="I453" s="249"/>
      <c r="J453" s="250"/>
      <c r="K453" s="251"/>
      <c r="L453" s="252"/>
      <c r="M453" s="249"/>
      <c r="N453" s="250"/>
      <c r="O453" s="251"/>
      <c r="P453" s="252"/>
      <c r="Q453" s="249"/>
      <c r="R453" s="250"/>
      <c r="S453" s="251"/>
      <c r="T453" s="252"/>
      <c r="U453" s="249"/>
      <c r="V453" s="250"/>
      <c r="W453" s="251"/>
      <c r="X453" s="252"/>
      <c r="Y453" s="249"/>
      <c r="Z453" s="250"/>
      <c r="AA453" s="251"/>
      <c r="AB453" s="252"/>
      <c r="AC453" s="249"/>
      <c r="AD453" s="250"/>
      <c r="AE453" s="251"/>
      <c r="AF453" s="252"/>
      <c r="AG453" s="253"/>
      <c r="AH453" s="254"/>
      <c r="AI453" s="255"/>
      <c r="AJ453" s="256"/>
    </row>
    <row r="454" spans="1:36" s="106" customFormat="1" x14ac:dyDescent="0.25">
      <c r="A454" s="107" t="str">
        <f>IF(H454&lt;&gt;"",MAX($A$7:A453)+1,"")</f>
        <v/>
      </c>
      <c r="B454" s="244" t="str">
        <f t="shared" si="14"/>
        <v/>
      </c>
      <c r="C454" s="62" t="str">
        <f t="shared" si="15"/>
        <v/>
      </c>
      <c r="D454" s="246"/>
      <c r="E454" s="247"/>
      <c r="F454" s="247"/>
      <c r="G454" s="248"/>
      <c r="H454" s="241"/>
      <c r="I454" s="249"/>
      <c r="J454" s="250"/>
      <c r="K454" s="251"/>
      <c r="L454" s="252"/>
      <c r="M454" s="249"/>
      <c r="N454" s="250"/>
      <c r="O454" s="251"/>
      <c r="P454" s="252"/>
      <c r="Q454" s="249"/>
      <c r="R454" s="250"/>
      <c r="S454" s="251"/>
      <c r="T454" s="252"/>
      <c r="U454" s="249"/>
      <c r="V454" s="250"/>
      <c r="W454" s="251"/>
      <c r="X454" s="252"/>
      <c r="Y454" s="249"/>
      <c r="Z454" s="250"/>
      <c r="AA454" s="251"/>
      <c r="AB454" s="252"/>
      <c r="AC454" s="249"/>
      <c r="AD454" s="250"/>
      <c r="AE454" s="251"/>
      <c r="AF454" s="252"/>
      <c r="AG454" s="253"/>
      <c r="AH454" s="254"/>
      <c r="AI454" s="255"/>
      <c r="AJ454" s="256"/>
    </row>
    <row r="455" spans="1:36" s="106" customFormat="1" x14ac:dyDescent="0.25">
      <c r="A455" s="107" t="str">
        <f>IF(H455&lt;&gt;"",MAX($A$7:A454)+1,"")</f>
        <v/>
      </c>
      <c r="B455" s="244" t="str">
        <f t="shared" ref="B455:B518" si="16">IF(A455="","",PREF_PREGUNTA&amp;" - "&amp;IF(MAX($A$7:$A$156)&gt;99,IF(A455&lt;100,"0",""),"")&amp;IF(A455&lt;10,"0","")&amp;A455&amp;IF(G455&lt;&gt;""," "&amp;G455,""))</f>
        <v/>
      </c>
      <c r="C455" s="62" t="str">
        <f t="shared" ref="C455:C508" si="17">IF(COUNTA(I455:N455)-D455=0,"",COUNTA(I455:N455)-D455)</f>
        <v/>
      </c>
      <c r="D455" s="246"/>
      <c r="E455" s="247"/>
      <c r="F455" s="247"/>
      <c r="G455" s="248"/>
      <c r="H455" s="241"/>
      <c r="I455" s="249"/>
      <c r="J455" s="250"/>
      <c r="K455" s="251"/>
      <c r="L455" s="252"/>
      <c r="M455" s="249"/>
      <c r="N455" s="250"/>
      <c r="O455" s="251"/>
      <c r="P455" s="252"/>
      <c r="Q455" s="249"/>
      <c r="R455" s="250"/>
      <c r="S455" s="251"/>
      <c r="T455" s="252"/>
      <c r="U455" s="249"/>
      <c r="V455" s="250"/>
      <c r="W455" s="251"/>
      <c r="X455" s="252"/>
      <c r="Y455" s="249"/>
      <c r="Z455" s="250"/>
      <c r="AA455" s="251"/>
      <c r="AB455" s="252"/>
      <c r="AC455" s="249"/>
      <c r="AD455" s="250"/>
      <c r="AE455" s="251"/>
      <c r="AF455" s="252"/>
      <c r="AG455" s="253"/>
      <c r="AH455" s="254"/>
      <c r="AI455" s="255"/>
      <c r="AJ455" s="256"/>
    </row>
    <row r="456" spans="1:36" s="106" customFormat="1" x14ac:dyDescent="0.25">
      <c r="A456" s="107" t="str">
        <f>IF(H456&lt;&gt;"",MAX($A$7:A455)+1,"")</f>
        <v/>
      </c>
      <c r="B456" s="244" t="str">
        <f t="shared" si="16"/>
        <v/>
      </c>
      <c r="C456" s="62" t="str">
        <f t="shared" si="17"/>
        <v/>
      </c>
      <c r="D456" s="246"/>
      <c r="E456" s="247"/>
      <c r="F456" s="247"/>
      <c r="G456" s="248"/>
      <c r="H456" s="241"/>
      <c r="I456" s="249"/>
      <c r="J456" s="250"/>
      <c r="K456" s="251"/>
      <c r="L456" s="252"/>
      <c r="M456" s="249"/>
      <c r="N456" s="250"/>
      <c r="O456" s="251"/>
      <c r="P456" s="252"/>
      <c r="Q456" s="249"/>
      <c r="R456" s="250"/>
      <c r="S456" s="251"/>
      <c r="T456" s="252"/>
      <c r="U456" s="249"/>
      <c r="V456" s="250"/>
      <c r="W456" s="251"/>
      <c r="X456" s="252"/>
      <c r="Y456" s="249"/>
      <c r="Z456" s="250"/>
      <c r="AA456" s="251"/>
      <c r="AB456" s="252"/>
      <c r="AC456" s="249"/>
      <c r="AD456" s="250"/>
      <c r="AE456" s="251"/>
      <c r="AF456" s="252"/>
      <c r="AG456" s="253"/>
      <c r="AH456" s="254"/>
      <c r="AI456" s="255"/>
      <c r="AJ456" s="256"/>
    </row>
    <row r="457" spans="1:36" s="106" customFormat="1" x14ac:dyDescent="0.25">
      <c r="A457" s="107" t="str">
        <f>IF(H457&lt;&gt;"",MAX($A$7:A456)+1,"")</f>
        <v/>
      </c>
      <c r="B457" s="244" t="str">
        <f t="shared" si="16"/>
        <v/>
      </c>
      <c r="C457" s="62" t="str">
        <f t="shared" si="17"/>
        <v/>
      </c>
      <c r="D457" s="246"/>
      <c r="E457" s="247"/>
      <c r="F457" s="247"/>
      <c r="G457" s="248"/>
      <c r="H457" s="241"/>
      <c r="I457" s="249"/>
      <c r="J457" s="250"/>
      <c r="K457" s="251"/>
      <c r="L457" s="252"/>
      <c r="M457" s="249"/>
      <c r="N457" s="250"/>
      <c r="O457" s="251"/>
      <c r="P457" s="252"/>
      <c r="Q457" s="249"/>
      <c r="R457" s="250"/>
      <c r="S457" s="251"/>
      <c r="T457" s="252"/>
      <c r="U457" s="249"/>
      <c r="V457" s="250"/>
      <c r="W457" s="251"/>
      <c r="X457" s="252"/>
      <c r="Y457" s="249"/>
      <c r="Z457" s="250"/>
      <c r="AA457" s="251"/>
      <c r="AB457" s="252"/>
      <c r="AC457" s="249"/>
      <c r="AD457" s="250"/>
      <c r="AE457" s="251"/>
      <c r="AF457" s="252"/>
      <c r="AG457" s="253"/>
      <c r="AH457" s="254"/>
      <c r="AI457" s="255"/>
      <c r="AJ457" s="256"/>
    </row>
    <row r="458" spans="1:36" s="106" customFormat="1" x14ac:dyDescent="0.25">
      <c r="A458" s="107" t="str">
        <f>IF(H458&lt;&gt;"",MAX($A$7:A457)+1,"")</f>
        <v/>
      </c>
      <c r="B458" s="244" t="str">
        <f t="shared" si="16"/>
        <v/>
      </c>
      <c r="C458" s="62" t="str">
        <f t="shared" si="17"/>
        <v/>
      </c>
      <c r="D458" s="246"/>
      <c r="E458" s="247"/>
      <c r="F458" s="247"/>
      <c r="G458" s="248"/>
      <c r="H458" s="241"/>
      <c r="I458" s="249"/>
      <c r="J458" s="250"/>
      <c r="K458" s="251"/>
      <c r="L458" s="252"/>
      <c r="M458" s="249"/>
      <c r="N458" s="250"/>
      <c r="O458" s="251"/>
      <c r="P458" s="252"/>
      <c r="Q458" s="249"/>
      <c r="R458" s="250"/>
      <c r="S458" s="251"/>
      <c r="T458" s="252"/>
      <c r="U458" s="249"/>
      <c r="V458" s="250"/>
      <c r="W458" s="251"/>
      <c r="X458" s="252"/>
      <c r="Y458" s="249"/>
      <c r="Z458" s="250"/>
      <c r="AA458" s="251"/>
      <c r="AB458" s="252"/>
      <c r="AC458" s="249"/>
      <c r="AD458" s="250"/>
      <c r="AE458" s="251"/>
      <c r="AF458" s="252"/>
      <c r="AG458" s="253"/>
      <c r="AH458" s="254"/>
      <c r="AI458" s="255"/>
      <c r="AJ458" s="256"/>
    </row>
    <row r="459" spans="1:36" s="106" customFormat="1" x14ac:dyDescent="0.25">
      <c r="A459" s="107" t="str">
        <f>IF(H459&lt;&gt;"",MAX($A$7:A458)+1,"")</f>
        <v/>
      </c>
      <c r="B459" s="244" t="str">
        <f t="shared" si="16"/>
        <v/>
      </c>
      <c r="C459" s="62" t="str">
        <f t="shared" si="17"/>
        <v/>
      </c>
      <c r="D459" s="246"/>
      <c r="E459" s="247"/>
      <c r="F459" s="247"/>
      <c r="G459" s="248"/>
      <c r="H459" s="241"/>
      <c r="I459" s="249"/>
      <c r="J459" s="250"/>
      <c r="K459" s="251"/>
      <c r="L459" s="252"/>
      <c r="M459" s="249"/>
      <c r="N459" s="250"/>
      <c r="O459" s="251"/>
      <c r="P459" s="252"/>
      <c r="Q459" s="249"/>
      <c r="R459" s="250"/>
      <c r="S459" s="251"/>
      <c r="T459" s="252"/>
      <c r="U459" s="249"/>
      <c r="V459" s="250"/>
      <c r="W459" s="251"/>
      <c r="X459" s="252"/>
      <c r="Y459" s="249"/>
      <c r="Z459" s="250"/>
      <c r="AA459" s="251"/>
      <c r="AB459" s="252"/>
      <c r="AC459" s="249"/>
      <c r="AD459" s="250"/>
      <c r="AE459" s="251"/>
      <c r="AF459" s="252"/>
      <c r="AG459" s="253"/>
      <c r="AH459" s="254"/>
      <c r="AI459" s="255"/>
      <c r="AJ459" s="256"/>
    </row>
    <row r="460" spans="1:36" s="106" customFormat="1" x14ac:dyDescent="0.25">
      <c r="A460" s="107" t="str">
        <f>IF(H460&lt;&gt;"",MAX($A$7:A459)+1,"")</f>
        <v/>
      </c>
      <c r="B460" s="244" t="str">
        <f t="shared" si="16"/>
        <v/>
      </c>
      <c r="C460" s="62" t="str">
        <f t="shared" si="17"/>
        <v/>
      </c>
      <c r="D460" s="246"/>
      <c r="E460" s="247"/>
      <c r="F460" s="247"/>
      <c r="G460" s="248"/>
      <c r="H460" s="241"/>
      <c r="I460" s="249"/>
      <c r="J460" s="250"/>
      <c r="K460" s="251"/>
      <c r="L460" s="252"/>
      <c r="M460" s="249"/>
      <c r="N460" s="250"/>
      <c r="O460" s="251"/>
      <c r="P460" s="252"/>
      <c r="Q460" s="249"/>
      <c r="R460" s="250"/>
      <c r="S460" s="251"/>
      <c r="T460" s="252"/>
      <c r="U460" s="249"/>
      <c r="V460" s="250"/>
      <c r="W460" s="251"/>
      <c r="X460" s="252"/>
      <c r="Y460" s="249"/>
      <c r="Z460" s="250"/>
      <c r="AA460" s="251"/>
      <c r="AB460" s="252"/>
      <c r="AC460" s="249"/>
      <c r="AD460" s="250"/>
      <c r="AE460" s="251"/>
      <c r="AF460" s="252"/>
      <c r="AG460" s="253"/>
      <c r="AH460" s="254"/>
      <c r="AI460" s="255"/>
      <c r="AJ460" s="256"/>
    </row>
    <row r="461" spans="1:36" s="106" customFormat="1" x14ac:dyDescent="0.25">
      <c r="A461" s="107" t="str">
        <f>IF(H461&lt;&gt;"",MAX($A$7:A460)+1,"")</f>
        <v/>
      </c>
      <c r="B461" s="244" t="str">
        <f t="shared" si="16"/>
        <v/>
      </c>
      <c r="C461" s="62" t="str">
        <f t="shared" si="17"/>
        <v/>
      </c>
      <c r="D461" s="246"/>
      <c r="E461" s="247"/>
      <c r="F461" s="247"/>
      <c r="G461" s="248"/>
      <c r="H461" s="241"/>
      <c r="I461" s="249"/>
      <c r="J461" s="250"/>
      <c r="K461" s="251"/>
      <c r="L461" s="252"/>
      <c r="M461" s="249"/>
      <c r="N461" s="250"/>
      <c r="O461" s="251"/>
      <c r="P461" s="252"/>
      <c r="Q461" s="249"/>
      <c r="R461" s="250"/>
      <c r="S461" s="251"/>
      <c r="T461" s="252"/>
      <c r="U461" s="249"/>
      <c r="V461" s="250"/>
      <c r="W461" s="251"/>
      <c r="X461" s="252"/>
      <c r="Y461" s="249"/>
      <c r="Z461" s="250"/>
      <c r="AA461" s="251"/>
      <c r="AB461" s="252"/>
      <c r="AC461" s="249"/>
      <c r="AD461" s="250"/>
      <c r="AE461" s="251"/>
      <c r="AF461" s="252"/>
      <c r="AG461" s="253"/>
      <c r="AH461" s="254"/>
      <c r="AI461" s="255"/>
      <c r="AJ461" s="256"/>
    </row>
    <row r="462" spans="1:36" s="106" customFormat="1" x14ac:dyDescent="0.25">
      <c r="A462" s="107" t="str">
        <f>IF(H462&lt;&gt;"",MAX($A$7:A461)+1,"")</f>
        <v/>
      </c>
      <c r="B462" s="244" t="str">
        <f t="shared" si="16"/>
        <v/>
      </c>
      <c r="C462" s="62" t="str">
        <f t="shared" si="17"/>
        <v/>
      </c>
      <c r="D462" s="246"/>
      <c r="E462" s="247"/>
      <c r="F462" s="247"/>
      <c r="G462" s="248"/>
      <c r="H462" s="241"/>
      <c r="I462" s="249"/>
      <c r="J462" s="250"/>
      <c r="K462" s="251"/>
      <c r="L462" s="252"/>
      <c r="M462" s="249"/>
      <c r="N462" s="250"/>
      <c r="O462" s="251"/>
      <c r="P462" s="252"/>
      <c r="Q462" s="249"/>
      <c r="R462" s="250"/>
      <c r="S462" s="251"/>
      <c r="T462" s="252"/>
      <c r="U462" s="249"/>
      <c r="V462" s="250"/>
      <c r="W462" s="251"/>
      <c r="X462" s="252"/>
      <c r="Y462" s="249"/>
      <c r="Z462" s="250"/>
      <c r="AA462" s="251"/>
      <c r="AB462" s="252"/>
      <c r="AC462" s="249"/>
      <c r="AD462" s="250"/>
      <c r="AE462" s="251"/>
      <c r="AF462" s="252"/>
      <c r="AG462" s="253"/>
      <c r="AH462" s="254"/>
      <c r="AI462" s="255"/>
      <c r="AJ462" s="256"/>
    </row>
    <row r="463" spans="1:36" s="106" customFormat="1" x14ac:dyDescent="0.25">
      <c r="A463" s="107" t="str">
        <f>IF(H463&lt;&gt;"",MAX($A$7:A462)+1,"")</f>
        <v/>
      </c>
      <c r="B463" s="244" t="str">
        <f t="shared" si="16"/>
        <v/>
      </c>
      <c r="C463" s="62" t="str">
        <f t="shared" si="17"/>
        <v/>
      </c>
      <c r="D463" s="246"/>
      <c r="E463" s="247"/>
      <c r="F463" s="247"/>
      <c r="G463" s="248"/>
      <c r="H463" s="241"/>
      <c r="I463" s="249"/>
      <c r="J463" s="250"/>
      <c r="K463" s="251"/>
      <c r="L463" s="252"/>
      <c r="M463" s="249"/>
      <c r="N463" s="250"/>
      <c r="O463" s="251"/>
      <c r="P463" s="252"/>
      <c r="Q463" s="249"/>
      <c r="R463" s="250"/>
      <c r="S463" s="251"/>
      <c r="T463" s="252"/>
      <c r="U463" s="249"/>
      <c r="V463" s="250"/>
      <c r="W463" s="251"/>
      <c r="X463" s="252"/>
      <c r="Y463" s="249"/>
      <c r="Z463" s="250"/>
      <c r="AA463" s="251"/>
      <c r="AB463" s="252"/>
      <c r="AC463" s="249"/>
      <c r="AD463" s="250"/>
      <c r="AE463" s="251"/>
      <c r="AF463" s="252"/>
      <c r="AG463" s="253"/>
      <c r="AH463" s="254"/>
      <c r="AI463" s="255"/>
      <c r="AJ463" s="256"/>
    </row>
    <row r="464" spans="1:36" s="106" customFormat="1" x14ac:dyDescent="0.25">
      <c r="A464" s="107" t="str">
        <f>IF(H464&lt;&gt;"",MAX($A$7:A463)+1,"")</f>
        <v/>
      </c>
      <c r="B464" s="244" t="str">
        <f t="shared" si="16"/>
        <v/>
      </c>
      <c r="C464" s="62" t="str">
        <f t="shared" si="17"/>
        <v/>
      </c>
      <c r="D464" s="246"/>
      <c r="E464" s="247"/>
      <c r="F464" s="247"/>
      <c r="G464" s="248"/>
      <c r="H464" s="241"/>
      <c r="I464" s="249"/>
      <c r="J464" s="250"/>
      <c r="K464" s="251"/>
      <c r="L464" s="252"/>
      <c r="M464" s="249"/>
      <c r="N464" s="250"/>
      <c r="O464" s="251"/>
      <c r="P464" s="252"/>
      <c r="Q464" s="249"/>
      <c r="R464" s="250"/>
      <c r="S464" s="251"/>
      <c r="T464" s="252"/>
      <c r="U464" s="249"/>
      <c r="V464" s="250"/>
      <c r="W464" s="251"/>
      <c r="X464" s="252"/>
      <c r="Y464" s="249"/>
      <c r="Z464" s="250"/>
      <c r="AA464" s="251"/>
      <c r="AB464" s="252"/>
      <c r="AC464" s="249"/>
      <c r="AD464" s="250"/>
      <c r="AE464" s="251"/>
      <c r="AF464" s="252"/>
      <c r="AG464" s="253"/>
      <c r="AH464" s="254"/>
      <c r="AI464" s="255"/>
      <c r="AJ464" s="256"/>
    </row>
    <row r="465" spans="1:36" s="106" customFormat="1" x14ac:dyDescent="0.25">
      <c r="A465" s="107" t="str">
        <f>IF(H465&lt;&gt;"",MAX($A$7:A464)+1,"")</f>
        <v/>
      </c>
      <c r="B465" s="244" t="str">
        <f t="shared" si="16"/>
        <v/>
      </c>
      <c r="C465" s="62" t="str">
        <f t="shared" si="17"/>
        <v/>
      </c>
      <c r="D465" s="246"/>
      <c r="E465" s="247"/>
      <c r="F465" s="247"/>
      <c r="G465" s="248"/>
      <c r="H465" s="241"/>
      <c r="I465" s="249"/>
      <c r="J465" s="250"/>
      <c r="K465" s="251"/>
      <c r="L465" s="252"/>
      <c r="M465" s="249"/>
      <c r="N465" s="250"/>
      <c r="O465" s="251"/>
      <c r="P465" s="252"/>
      <c r="Q465" s="249"/>
      <c r="R465" s="250"/>
      <c r="S465" s="251"/>
      <c r="T465" s="252"/>
      <c r="U465" s="249"/>
      <c r="V465" s="250"/>
      <c r="W465" s="251"/>
      <c r="X465" s="252"/>
      <c r="Y465" s="249"/>
      <c r="Z465" s="250"/>
      <c r="AA465" s="251"/>
      <c r="AB465" s="252"/>
      <c r="AC465" s="249"/>
      <c r="AD465" s="250"/>
      <c r="AE465" s="251"/>
      <c r="AF465" s="252"/>
      <c r="AG465" s="253"/>
      <c r="AH465" s="254"/>
      <c r="AI465" s="255"/>
      <c r="AJ465" s="256"/>
    </row>
    <row r="466" spans="1:36" s="106" customFormat="1" x14ac:dyDescent="0.25">
      <c r="A466" s="107" t="str">
        <f>IF(H466&lt;&gt;"",MAX($A$7:A465)+1,"")</f>
        <v/>
      </c>
      <c r="B466" s="244" t="str">
        <f t="shared" si="16"/>
        <v/>
      </c>
      <c r="C466" s="62" t="str">
        <f t="shared" si="17"/>
        <v/>
      </c>
      <c r="D466" s="246"/>
      <c r="E466" s="247"/>
      <c r="F466" s="247"/>
      <c r="G466" s="248"/>
      <c r="H466" s="241"/>
      <c r="I466" s="249"/>
      <c r="J466" s="250"/>
      <c r="K466" s="251"/>
      <c r="L466" s="252"/>
      <c r="M466" s="249"/>
      <c r="N466" s="250"/>
      <c r="O466" s="251"/>
      <c r="P466" s="252"/>
      <c r="Q466" s="249"/>
      <c r="R466" s="250"/>
      <c r="S466" s="251"/>
      <c r="T466" s="252"/>
      <c r="U466" s="249"/>
      <c r="V466" s="250"/>
      <c r="W466" s="251"/>
      <c r="X466" s="252"/>
      <c r="Y466" s="249"/>
      <c r="Z466" s="250"/>
      <c r="AA466" s="251"/>
      <c r="AB466" s="252"/>
      <c r="AC466" s="249"/>
      <c r="AD466" s="250"/>
      <c r="AE466" s="251"/>
      <c r="AF466" s="252"/>
      <c r="AG466" s="253"/>
      <c r="AH466" s="254"/>
      <c r="AI466" s="255"/>
      <c r="AJ466" s="256"/>
    </row>
    <row r="467" spans="1:36" s="106" customFormat="1" x14ac:dyDescent="0.25">
      <c r="A467" s="107" t="str">
        <f>IF(H467&lt;&gt;"",MAX($A$7:A466)+1,"")</f>
        <v/>
      </c>
      <c r="B467" s="244" t="str">
        <f t="shared" si="16"/>
        <v/>
      </c>
      <c r="C467" s="62" t="str">
        <f t="shared" si="17"/>
        <v/>
      </c>
      <c r="D467" s="246"/>
      <c r="E467" s="247"/>
      <c r="F467" s="247"/>
      <c r="G467" s="248"/>
      <c r="H467" s="241"/>
      <c r="I467" s="249"/>
      <c r="J467" s="250"/>
      <c r="K467" s="251"/>
      <c r="L467" s="252"/>
      <c r="M467" s="249"/>
      <c r="N467" s="250"/>
      <c r="O467" s="251"/>
      <c r="P467" s="252"/>
      <c r="Q467" s="249"/>
      <c r="R467" s="250"/>
      <c r="S467" s="251"/>
      <c r="T467" s="252"/>
      <c r="U467" s="249"/>
      <c r="V467" s="250"/>
      <c r="W467" s="251"/>
      <c r="X467" s="252"/>
      <c r="Y467" s="249"/>
      <c r="Z467" s="250"/>
      <c r="AA467" s="251"/>
      <c r="AB467" s="252"/>
      <c r="AC467" s="249"/>
      <c r="AD467" s="250"/>
      <c r="AE467" s="251"/>
      <c r="AF467" s="252"/>
      <c r="AG467" s="253"/>
      <c r="AH467" s="254"/>
      <c r="AI467" s="255"/>
      <c r="AJ467" s="256"/>
    </row>
    <row r="468" spans="1:36" s="106" customFormat="1" x14ac:dyDescent="0.25">
      <c r="A468" s="107" t="str">
        <f>IF(H468&lt;&gt;"",MAX($A$7:A467)+1,"")</f>
        <v/>
      </c>
      <c r="B468" s="244" t="str">
        <f t="shared" si="16"/>
        <v/>
      </c>
      <c r="C468" s="62" t="str">
        <f t="shared" si="17"/>
        <v/>
      </c>
      <c r="D468" s="246"/>
      <c r="E468" s="247"/>
      <c r="F468" s="247"/>
      <c r="G468" s="248"/>
      <c r="H468" s="241"/>
      <c r="I468" s="249"/>
      <c r="J468" s="250"/>
      <c r="K468" s="251"/>
      <c r="L468" s="252"/>
      <c r="M468" s="249"/>
      <c r="N468" s="250"/>
      <c r="O468" s="251"/>
      <c r="P468" s="252"/>
      <c r="Q468" s="249"/>
      <c r="R468" s="250"/>
      <c r="S468" s="251"/>
      <c r="T468" s="252"/>
      <c r="U468" s="249"/>
      <c r="V468" s="250"/>
      <c r="W468" s="251"/>
      <c r="X468" s="252"/>
      <c r="Y468" s="249"/>
      <c r="Z468" s="250"/>
      <c r="AA468" s="251"/>
      <c r="AB468" s="252"/>
      <c r="AC468" s="249"/>
      <c r="AD468" s="250"/>
      <c r="AE468" s="251"/>
      <c r="AF468" s="252"/>
      <c r="AG468" s="253"/>
      <c r="AH468" s="254"/>
      <c r="AI468" s="255"/>
      <c r="AJ468" s="256"/>
    </row>
    <row r="469" spans="1:36" s="106" customFormat="1" x14ac:dyDescent="0.25">
      <c r="A469" s="107" t="str">
        <f>IF(H469&lt;&gt;"",MAX($A$7:A468)+1,"")</f>
        <v/>
      </c>
      <c r="B469" s="244" t="str">
        <f t="shared" si="16"/>
        <v/>
      </c>
      <c r="C469" s="62" t="str">
        <f t="shared" si="17"/>
        <v/>
      </c>
      <c r="D469" s="246"/>
      <c r="E469" s="247"/>
      <c r="F469" s="247"/>
      <c r="G469" s="248"/>
      <c r="H469" s="241"/>
      <c r="I469" s="249"/>
      <c r="J469" s="250"/>
      <c r="K469" s="251"/>
      <c r="L469" s="252"/>
      <c r="M469" s="249"/>
      <c r="N469" s="250"/>
      <c r="O469" s="251"/>
      <c r="P469" s="252"/>
      <c r="Q469" s="249"/>
      <c r="R469" s="250"/>
      <c r="S469" s="251"/>
      <c r="T469" s="252"/>
      <c r="U469" s="249"/>
      <c r="V469" s="250"/>
      <c r="W469" s="251"/>
      <c r="X469" s="252"/>
      <c r="Y469" s="249"/>
      <c r="Z469" s="250"/>
      <c r="AA469" s="251"/>
      <c r="AB469" s="252"/>
      <c r="AC469" s="249"/>
      <c r="AD469" s="250"/>
      <c r="AE469" s="251"/>
      <c r="AF469" s="252"/>
      <c r="AG469" s="253"/>
      <c r="AH469" s="254"/>
      <c r="AI469" s="255"/>
      <c r="AJ469" s="256"/>
    </row>
    <row r="470" spans="1:36" s="106" customFormat="1" x14ac:dyDescent="0.25">
      <c r="A470" s="107" t="str">
        <f>IF(H470&lt;&gt;"",MAX($A$7:A469)+1,"")</f>
        <v/>
      </c>
      <c r="B470" s="244" t="str">
        <f t="shared" si="16"/>
        <v/>
      </c>
      <c r="C470" s="62" t="str">
        <f t="shared" si="17"/>
        <v/>
      </c>
      <c r="D470" s="246"/>
      <c r="E470" s="247"/>
      <c r="F470" s="247"/>
      <c r="G470" s="248"/>
      <c r="H470" s="241"/>
      <c r="I470" s="249"/>
      <c r="J470" s="250"/>
      <c r="K470" s="251"/>
      <c r="L470" s="252"/>
      <c r="M470" s="249"/>
      <c r="N470" s="250"/>
      <c r="O470" s="251"/>
      <c r="P470" s="252"/>
      <c r="Q470" s="249"/>
      <c r="R470" s="250"/>
      <c r="S470" s="251"/>
      <c r="T470" s="252"/>
      <c r="U470" s="249"/>
      <c r="V470" s="250"/>
      <c r="W470" s="251"/>
      <c r="X470" s="252"/>
      <c r="Y470" s="249"/>
      <c r="Z470" s="250"/>
      <c r="AA470" s="251"/>
      <c r="AB470" s="252"/>
      <c r="AC470" s="249"/>
      <c r="AD470" s="250"/>
      <c r="AE470" s="251"/>
      <c r="AF470" s="252"/>
      <c r="AG470" s="253"/>
      <c r="AH470" s="254"/>
      <c r="AI470" s="255"/>
      <c r="AJ470" s="256"/>
    </row>
    <row r="471" spans="1:36" s="106" customFormat="1" x14ac:dyDescent="0.25">
      <c r="A471" s="107" t="str">
        <f>IF(H471&lt;&gt;"",MAX($A$7:A470)+1,"")</f>
        <v/>
      </c>
      <c r="B471" s="244" t="str">
        <f t="shared" si="16"/>
        <v/>
      </c>
      <c r="C471" s="62" t="str">
        <f t="shared" si="17"/>
        <v/>
      </c>
      <c r="D471" s="246"/>
      <c r="E471" s="247"/>
      <c r="F471" s="247"/>
      <c r="G471" s="248"/>
      <c r="H471" s="241"/>
      <c r="I471" s="249"/>
      <c r="J471" s="250"/>
      <c r="K471" s="251"/>
      <c r="L471" s="252"/>
      <c r="M471" s="249"/>
      <c r="N471" s="250"/>
      <c r="O471" s="251"/>
      <c r="P471" s="252"/>
      <c r="Q471" s="249"/>
      <c r="R471" s="250"/>
      <c r="S471" s="251"/>
      <c r="T471" s="252"/>
      <c r="U471" s="249"/>
      <c r="V471" s="250"/>
      <c r="W471" s="251"/>
      <c r="X471" s="252"/>
      <c r="Y471" s="249"/>
      <c r="Z471" s="250"/>
      <c r="AA471" s="251"/>
      <c r="AB471" s="252"/>
      <c r="AC471" s="249"/>
      <c r="AD471" s="250"/>
      <c r="AE471" s="251"/>
      <c r="AF471" s="252"/>
      <c r="AG471" s="253"/>
      <c r="AH471" s="254"/>
      <c r="AI471" s="255"/>
      <c r="AJ471" s="256"/>
    </row>
    <row r="472" spans="1:36" s="106" customFormat="1" x14ac:dyDescent="0.25">
      <c r="A472" s="107" t="str">
        <f>IF(H472&lt;&gt;"",MAX($A$7:A471)+1,"")</f>
        <v/>
      </c>
      <c r="B472" s="244" t="str">
        <f t="shared" si="16"/>
        <v/>
      </c>
      <c r="C472" s="62" t="str">
        <f t="shared" si="17"/>
        <v/>
      </c>
      <c r="D472" s="246"/>
      <c r="E472" s="247"/>
      <c r="F472" s="247"/>
      <c r="G472" s="248"/>
      <c r="H472" s="241"/>
      <c r="I472" s="249"/>
      <c r="J472" s="250"/>
      <c r="K472" s="251"/>
      <c r="L472" s="252"/>
      <c r="M472" s="249"/>
      <c r="N472" s="250"/>
      <c r="O472" s="251"/>
      <c r="P472" s="252"/>
      <c r="Q472" s="249"/>
      <c r="R472" s="250"/>
      <c r="S472" s="251"/>
      <c r="T472" s="252"/>
      <c r="U472" s="249"/>
      <c r="V472" s="250"/>
      <c r="W472" s="251"/>
      <c r="X472" s="252"/>
      <c r="Y472" s="249"/>
      <c r="Z472" s="250"/>
      <c r="AA472" s="251"/>
      <c r="AB472" s="252"/>
      <c r="AC472" s="249"/>
      <c r="AD472" s="250"/>
      <c r="AE472" s="251"/>
      <c r="AF472" s="252"/>
      <c r="AG472" s="253"/>
      <c r="AH472" s="254"/>
      <c r="AI472" s="255"/>
      <c r="AJ472" s="256"/>
    </row>
    <row r="473" spans="1:36" s="106" customFormat="1" x14ac:dyDescent="0.25">
      <c r="A473" s="107" t="str">
        <f>IF(H473&lt;&gt;"",MAX($A$7:A472)+1,"")</f>
        <v/>
      </c>
      <c r="B473" s="244" t="str">
        <f t="shared" si="16"/>
        <v/>
      </c>
      <c r="C473" s="62" t="str">
        <f t="shared" si="17"/>
        <v/>
      </c>
      <c r="D473" s="246"/>
      <c r="E473" s="247"/>
      <c r="F473" s="247"/>
      <c r="G473" s="248"/>
      <c r="H473" s="241"/>
      <c r="I473" s="249"/>
      <c r="J473" s="250"/>
      <c r="K473" s="251"/>
      <c r="L473" s="252"/>
      <c r="M473" s="249"/>
      <c r="N473" s="250"/>
      <c r="O473" s="251"/>
      <c r="P473" s="252"/>
      <c r="Q473" s="249"/>
      <c r="R473" s="250"/>
      <c r="S473" s="251"/>
      <c r="T473" s="252"/>
      <c r="U473" s="249"/>
      <c r="V473" s="250"/>
      <c r="W473" s="251"/>
      <c r="X473" s="252"/>
      <c r="Y473" s="249"/>
      <c r="Z473" s="250"/>
      <c r="AA473" s="251"/>
      <c r="AB473" s="252"/>
      <c r="AC473" s="249"/>
      <c r="AD473" s="250"/>
      <c r="AE473" s="251"/>
      <c r="AF473" s="252"/>
      <c r="AG473" s="253"/>
      <c r="AH473" s="254"/>
      <c r="AI473" s="255"/>
      <c r="AJ473" s="256"/>
    </row>
    <row r="474" spans="1:36" s="106" customFormat="1" x14ac:dyDescent="0.25">
      <c r="A474" s="107" t="str">
        <f>IF(H474&lt;&gt;"",MAX($A$7:A473)+1,"")</f>
        <v/>
      </c>
      <c r="B474" s="244" t="str">
        <f t="shared" si="16"/>
        <v/>
      </c>
      <c r="C474" s="62" t="str">
        <f t="shared" si="17"/>
        <v/>
      </c>
      <c r="D474" s="246"/>
      <c r="E474" s="247"/>
      <c r="F474" s="247"/>
      <c r="G474" s="248"/>
      <c r="H474" s="241"/>
      <c r="I474" s="249"/>
      <c r="J474" s="250"/>
      <c r="K474" s="251"/>
      <c r="L474" s="252"/>
      <c r="M474" s="249"/>
      <c r="N474" s="250"/>
      <c r="O474" s="251"/>
      <c r="P474" s="252"/>
      <c r="Q474" s="249"/>
      <c r="R474" s="250"/>
      <c r="S474" s="251"/>
      <c r="T474" s="252"/>
      <c r="U474" s="249"/>
      <c r="V474" s="250"/>
      <c r="W474" s="251"/>
      <c r="X474" s="252"/>
      <c r="Y474" s="249"/>
      <c r="Z474" s="250"/>
      <c r="AA474" s="251"/>
      <c r="AB474" s="252"/>
      <c r="AC474" s="249"/>
      <c r="AD474" s="250"/>
      <c r="AE474" s="251"/>
      <c r="AF474" s="252"/>
      <c r="AG474" s="253"/>
      <c r="AH474" s="254"/>
      <c r="AI474" s="255"/>
      <c r="AJ474" s="256"/>
    </row>
    <row r="475" spans="1:36" s="106" customFormat="1" x14ac:dyDescent="0.25">
      <c r="A475" s="107" t="str">
        <f>IF(H475&lt;&gt;"",MAX($A$7:A474)+1,"")</f>
        <v/>
      </c>
      <c r="B475" s="244" t="str">
        <f t="shared" si="16"/>
        <v/>
      </c>
      <c r="C475" s="62" t="str">
        <f t="shared" si="17"/>
        <v/>
      </c>
      <c r="D475" s="246"/>
      <c r="E475" s="247"/>
      <c r="F475" s="247"/>
      <c r="G475" s="248"/>
      <c r="H475" s="241"/>
      <c r="I475" s="249"/>
      <c r="J475" s="250"/>
      <c r="K475" s="251"/>
      <c r="L475" s="252"/>
      <c r="M475" s="249"/>
      <c r="N475" s="250"/>
      <c r="O475" s="251"/>
      <c r="P475" s="252"/>
      <c r="Q475" s="249"/>
      <c r="R475" s="250"/>
      <c r="S475" s="251"/>
      <c r="T475" s="252"/>
      <c r="U475" s="249"/>
      <c r="V475" s="250"/>
      <c r="W475" s="251"/>
      <c r="X475" s="252"/>
      <c r="Y475" s="249"/>
      <c r="Z475" s="250"/>
      <c r="AA475" s="251"/>
      <c r="AB475" s="252"/>
      <c r="AC475" s="249"/>
      <c r="AD475" s="250"/>
      <c r="AE475" s="251"/>
      <c r="AF475" s="252"/>
      <c r="AG475" s="253"/>
      <c r="AH475" s="254"/>
      <c r="AI475" s="255"/>
      <c r="AJ475" s="256"/>
    </row>
    <row r="476" spans="1:36" s="106" customFormat="1" x14ac:dyDescent="0.25">
      <c r="A476" s="107" t="str">
        <f>IF(H476&lt;&gt;"",MAX($A$7:A475)+1,"")</f>
        <v/>
      </c>
      <c r="B476" s="244" t="str">
        <f t="shared" si="16"/>
        <v/>
      </c>
      <c r="C476" s="62" t="str">
        <f t="shared" si="17"/>
        <v/>
      </c>
      <c r="D476" s="246"/>
      <c r="E476" s="247"/>
      <c r="F476" s="247"/>
      <c r="G476" s="248"/>
      <c r="H476" s="241"/>
      <c r="I476" s="249"/>
      <c r="J476" s="250"/>
      <c r="K476" s="251"/>
      <c r="L476" s="252"/>
      <c r="M476" s="249"/>
      <c r="N476" s="250"/>
      <c r="O476" s="251"/>
      <c r="P476" s="252"/>
      <c r="Q476" s="249"/>
      <c r="R476" s="250"/>
      <c r="S476" s="251"/>
      <c r="T476" s="252"/>
      <c r="U476" s="249"/>
      <c r="V476" s="250"/>
      <c r="W476" s="251"/>
      <c r="X476" s="252"/>
      <c r="Y476" s="249"/>
      <c r="Z476" s="250"/>
      <c r="AA476" s="251"/>
      <c r="AB476" s="252"/>
      <c r="AC476" s="249"/>
      <c r="AD476" s="250"/>
      <c r="AE476" s="251"/>
      <c r="AF476" s="252"/>
      <c r="AG476" s="253"/>
      <c r="AH476" s="254"/>
      <c r="AI476" s="255"/>
      <c r="AJ476" s="256"/>
    </row>
    <row r="477" spans="1:36" s="106" customFormat="1" x14ac:dyDescent="0.25">
      <c r="A477" s="107" t="str">
        <f>IF(H477&lt;&gt;"",MAX($A$7:A476)+1,"")</f>
        <v/>
      </c>
      <c r="B477" s="244" t="str">
        <f t="shared" si="16"/>
        <v/>
      </c>
      <c r="C477" s="62" t="str">
        <f t="shared" si="17"/>
        <v/>
      </c>
      <c r="D477" s="246"/>
      <c r="E477" s="247"/>
      <c r="F477" s="247"/>
      <c r="G477" s="248"/>
      <c r="H477" s="241"/>
      <c r="I477" s="249"/>
      <c r="J477" s="250"/>
      <c r="K477" s="251"/>
      <c r="L477" s="252"/>
      <c r="M477" s="249"/>
      <c r="N477" s="250"/>
      <c r="O477" s="251"/>
      <c r="P477" s="252"/>
      <c r="Q477" s="249"/>
      <c r="R477" s="250"/>
      <c r="S477" s="251"/>
      <c r="T477" s="252"/>
      <c r="U477" s="249"/>
      <c r="V477" s="250"/>
      <c r="W477" s="251"/>
      <c r="X477" s="252"/>
      <c r="Y477" s="249"/>
      <c r="Z477" s="250"/>
      <c r="AA477" s="251"/>
      <c r="AB477" s="252"/>
      <c r="AC477" s="249"/>
      <c r="AD477" s="250"/>
      <c r="AE477" s="251"/>
      <c r="AF477" s="252"/>
      <c r="AG477" s="253"/>
      <c r="AH477" s="254"/>
      <c r="AI477" s="255"/>
      <c r="AJ477" s="256"/>
    </row>
    <row r="478" spans="1:36" s="106" customFormat="1" x14ac:dyDescent="0.25">
      <c r="A478" s="107" t="str">
        <f>IF(H478&lt;&gt;"",MAX($A$7:A477)+1,"")</f>
        <v/>
      </c>
      <c r="B478" s="244" t="str">
        <f t="shared" si="16"/>
        <v/>
      </c>
      <c r="C478" s="62" t="str">
        <f t="shared" si="17"/>
        <v/>
      </c>
      <c r="D478" s="246"/>
      <c r="E478" s="247"/>
      <c r="F478" s="247"/>
      <c r="G478" s="248"/>
      <c r="H478" s="241"/>
      <c r="I478" s="249"/>
      <c r="J478" s="250"/>
      <c r="K478" s="251"/>
      <c r="L478" s="252"/>
      <c r="M478" s="249"/>
      <c r="N478" s="250"/>
      <c r="O478" s="251"/>
      <c r="P478" s="252"/>
      <c r="Q478" s="249"/>
      <c r="R478" s="250"/>
      <c r="S478" s="251"/>
      <c r="T478" s="252"/>
      <c r="U478" s="249"/>
      <c r="V478" s="250"/>
      <c r="W478" s="251"/>
      <c r="X478" s="252"/>
      <c r="Y478" s="249"/>
      <c r="Z478" s="250"/>
      <c r="AA478" s="251"/>
      <c r="AB478" s="252"/>
      <c r="AC478" s="249"/>
      <c r="AD478" s="250"/>
      <c r="AE478" s="251"/>
      <c r="AF478" s="252"/>
      <c r="AG478" s="253"/>
      <c r="AH478" s="254"/>
      <c r="AI478" s="255"/>
      <c r="AJ478" s="256"/>
    </row>
    <row r="479" spans="1:36" s="106" customFormat="1" x14ac:dyDescent="0.25">
      <c r="A479" s="107" t="str">
        <f>IF(H479&lt;&gt;"",MAX($A$7:A478)+1,"")</f>
        <v/>
      </c>
      <c r="B479" s="244" t="str">
        <f t="shared" si="16"/>
        <v/>
      </c>
      <c r="C479" s="62" t="str">
        <f t="shared" si="17"/>
        <v/>
      </c>
      <c r="D479" s="246"/>
      <c r="E479" s="247"/>
      <c r="F479" s="247"/>
      <c r="G479" s="248"/>
      <c r="H479" s="241"/>
      <c r="I479" s="249"/>
      <c r="J479" s="250"/>
      <c r="K479" s="251"/>
      <c r="L479" s="252"/>
      <c r="M479" s="249"/>
      <c r="N479" s="250"/>
      <c r="O479" s="251"/>
      <c r="P479" s="252"/>
      <c r="Q479" s="249"/>
      <c r="R479" s="250"/>
      <c r="S479" s="251"/>
      <c r="T479" s="252"/>
      <c r="U479" s="249"/>
      <c r="V479" s="250"/>
      <c r="W479" s="251"/>
      <c r="X479" s="252"/>
      <c r="Y479" s="249"/>
      <c r="Z479" s="250"/>
      <c r="AA479" s="251"/>
      <c r="AB479" s="252"/>
      <c r="AC479" s="249"/>
      <c r="AD479" s="250"/>
      <c r="AE479" s="251"/>
      <c r="AF479" s="252"/>
      <c r="AG479" s="253"/>
      <c r="AH479" s="254"/>
      <c r="AI479" s="255"/>
      <c r="AJ479" s="256"/>
    </row>
    <row r="480" spans="1:36" s="106" customFormat="1" x14ac:dyDescent="0.25">
      <c r="A480" s="107" t="str">
        <f>IF(H480&lt;&gt;"",MAX($A$7:A479)+1,"")</f>
        <v/>
      </c>
      <c r="B480" s="244" t="str">
        <f t="shared" si="16"/>
        <v/>
      </c>
      <c r="C480" s="62" t="str">
        <f t="shared" si="17"/>
        <v/>
      </c>
      <c r="D480" s="246"/>
      <c r="E480" s="247"/>
      <c r="F480" s="247"/>
      <c r="G480" s="248"/>
      <c r="H480" s="241"/>
      <c r="I480" s="249"/>
      <c r="J480" s="250"/>
      <c r="K480" s="251"/>
      <c r="L480" s="252"/>
      <c r="M480" s="249"/>
      <c r="N480" s="250"/>
      <c r="O480" s="251"/>
      <c r="P480" s="252"/>
      <c r="Q480" s="249"/>
      <c r="R480" s="250"/>
      <c r="S480" s="251"/>
      <c r="T480" s="252"/>
      <c r="U480" s="249"/>
      <c r="V480" s="250"/>
      <c r="W480" s="251"/>
      <c r="X480" s="252"/>
      <c r="Y480" s="249"/>
      <c r="Z480" s="250"/>
      <c r="AA480" s="251"/>
      <c r="AB480" s="252"/>
      <c r="AC480" s="249"/>
      <c r="AD480" s="250"/>
      <c r="AE480" s="251"/>
      <c r="AF480" s="252"/>
      <c r="AG480" s="253"/>
      <c r="AH480" s="254"/>
      <c r="AI480" s="255"/>
      <c r="AJ480" s="256"/>
    </row>
    <row r="481" spans="1:36" s="106" customFormat="1" x14ac:dyDescent="0.25">
      <c r="A481" s="107" t="str">
        <f>IF(H481&lt;&gt;"",MAX($A$7:A480)+1,"")</f>
        <v/>
      </c>
      <c r="B481" s="244" t="str">
        <f t="shared" si="16"/>
        <v/>
      </c>
      <c r="C481" s="62" t="str">
        <f t="shared" si="17"/>
        <v/>
      </c>
      <c r="D481" s="246"/>
      <c r="E481" s="247"/>
      <c r="F481" s="247"/>
      <c r="G481" s="248"/>
      <c r="H481" s="241"/>
      <c r="I481" s="249"/>
      <c r="J481" s="250"/>
      <c r="K481" s="251"/>
      <c r="L481" s="252"/>
      <c r="M481" s="249"/>
      <c r="N481" s="250"/>
      <c r="O481" s="251"/>
      <c r="P481" s="252"/>
      <c r="Q481" s="249"/>
      <c r="R481" s="250"/>
      <c r="S481" s="251"/>
      <c r="T481" s="252"/>
      <c r="U481" s="249"/>
      <c r="V481" s="250"/>
      <c r="W481" s="251"/>
      <c r="X481" s="252"/>
      <c r="Y481" s="249"/>
      <c r="Z481" s="250"/>
      <c r="AA481" s="251"/>
      <c r="AB481" s="252"/>
      <c r="AC481" s="249"/>
      <c r="AD481" s="250"/>
      <c r="AE481" s="251"/>
      <c r="AF481" s="252"/>
      <c r="AG481" s="253"/>
      <c r="AH481" s="254"/>
      <c r="AI481" s="255"/>
      <c r="AJ481" s="256"/>
    </row>
    <row r="482" spans="1:36" s="106" customFormat="1" x14ac:dyDescent="0.25">
      <c r="A482" s="107" t="str">
        <f>IF(H482&lt;&gt;"",MAX($A$7:A481)+1,"")</f>
        <v/>
      </c>
      <c r="B482" s="244" t="str">
        <f t="shared" si="16"/>
        <v/>
      </c>
      <c r="C482" s="62" t="str">
        <f t="shared" si="17"/>
        <v/>
      </c>
      <c r="D482" s="246"/>
      <c r="E482" s="247"/>
      <c r="F482" s="247"/>
      <c r="G482" s="248"/>
      <c r="H482" s="241"/>
      <c r="I482" s="249"/>
      <c r="J482" s="250"/>
      <c r="K482" s="251"/>
      <c r="L482" s="252"/>
      <c r="M482" s="249"/>
      <c r="N482" s="250"/>
      <c r="O482" s="251"/>
      <c r="P482" s="252"/>
      <c r="Q482" s="249"/>
      <c r="R482" s="250"/>
      <c r="S482" s="251"/>
      <c r="T482" s="252"/>
      <c r="U482" s="249"/>
      <c r="V482" s="250"/>
      <c r="W482" s="251"/>
      <c r="X482" s="252"/>
      <c r="Y482" s="249"/>
      <c r="Z482" s="250"/>
      <c r="AA482" s="251"/>
      <c r="AB482" s="252"/>
      <c r="AC482" s="249"/>
      <c r="AD482" s="250"/>
      <c r="AE482" s="251"/>
      <c r="AF482" s="252"/>
      <c r="AG482" s="253"/>
      <c r="AH482" s="254"/>
      <c r="AI482" s="255"/>
      <c r="AJ482" s="256"/>
    </row>
    <row r="483" spans="1:36" s="106" customFormat="1" x14ac:dyDescent="0.25">
      <c r="A483" s="107" t="str">
        <f>IF(H483&lt;&gt;"",MAX($A$7:A482)+1,"")</f>
        <v/>
      </c>
      <c r="B483" s="244" t="str">
        <f t="shared" si="16"/>
        <v/>
      </c>
      <c r="C483" s="62" t="str">
        <f t="shared" si="17"/>
        <v/>
      </c>
      <c r="D483" s="246"/>
      <c r="E483" s="247"/>
      <c r="F483" s="247"/>
      <c r="G483" s="248"/>
      <c r="H483" s="241"/>
      <c r="I483" s="249"/>
      <c r="J483" s="250"/>
      <c r="K483" s="251"/>
      <c r="L483" s="252"/>
      <c r="M483" s="249"/>
      <c r="N483" s="250"/>
      <c r="O483" s="251"/>
      <c r="P483" s="252"/>
      <c r="Q483" s="249"/>
      <c r="R483" s="250"/>
      <c r="S483" s="251"/>
      <c r="T483" s="252"/>
      <c r="U483" s="249"/>
      <c r="V483" s="250"/>
      <c r="W483" s="251"/>
      <c r="X483" s="252"/>
      <c r="Y483" s="249"/>
      <c r="Z483" s="250"/>
      <c r="AA483" s="251"/>
      <c r="AB483" s="252"/>
      <c r="AC483" s="249"/>
      <c r="AD483" s="250"/>
      <c r="AE483" s="251"/>
      <c r="AF483" s="252"/>
      <c r="AG483" s="253"/>
      <c r="AH483" s="254"/>
      <c r="AI483" s="255"/>
      <c r="AJ483" s="256"/>
    </row>
    <row r="484" spans="1:36" s="106" customFormat="1" x14ac:dyDescent="0.25">
      <c r="A484" s="107" t="str">
        <f>IF(H484&lt;&gt;"",MAX($A$7:A483)+1,"")</f>
        <v/>
      </c>
      <c r="B484" s="244" t="str">
        <f t="shared" si="16"/>
        <v/>
      </c>
      <c r="C484" s="62" t="str">
        <f t="shared" si="17"/>
        <v/>
      </c>
      <c r="D484" s="246"/>
      <c r="E484" s="247"/>
      <c r="F484" s="247"/>
      <c r="G484" s="248"/>
      <c r="H484" s="241"/>
      <c r="I484" s="249"/>
      <c r="J484" s="250"/>
      <c r="K484" s="251"/>
      <c r="L484" s="252"/>
      <c r="M484" s="249"/>
      <c r="N484" s="250"/>
      <c r="O484" s="251"/>
      <c r="P484" s="252"/>
      <c r="Q484" s="249"/>
      <c r="R484" s="250"/>
      <c r="S484" s="251"/>
      <c r="T484" s="252"/>
      <c r="U484" s="249"/>
      <c r="V484" s="250"/>
      <c r="W484" s="251"/>
      <c r="X484" s="252"/>
      <c r="Y484" s="249"/>
      <c r="Z484" s="250"/>
      <c r="AA484" s="251"/>
      <c r="AB484" s="252"/>
      <c r="AC484" s="249"/>
      <c r="AD484" s="250"/>
      <c r="AE484" s="251"/>
      <c r="AF484" s="252"/>
      <c r="AG484" s="253"/>
      <c r="AH484" s="254"/>
      <c r="AI484" s="255"/>
      <c r="AJ484" s="256"/>
    </row>
    <row r="485" spans="1:36" s="106" customFormat="1" x14ac:dyDescent="0.25">
      <c r="A485" s="107" t="str">
        <f>IF(H485&lt;&gt;"",MAX($A$7:A484)+1,"")</f>
        <v/>
      </c>
      <c r="B485" s="244" t="str">
        <f t="shared" si="16"/>
        <v/>
      </c>
      <c r="C485" s="62" t="str">
        <f t="shared" si="17"/>
        <v/>
      </c>
      <c r="D485" s="246"/>
      <c r="E485" s="247"/>
      <c r="F485" s="247"/>
      <c r="G485" s="248"/>
      <c r="H485" s="241"/>
      <c r="I485" s="249"/>
      <c r="J485" s="250"/>
      <c r="K485" s="251"/>
      <c r="L485" s="252"/>
      <c r="M485" s="249"/>
      <c r="N485" s="250"/>
      <c r="O485" s="251"/>
      <c r="P485" s="252"/>
      <c r="Q485" s="249"/>
      <c r="R485" s="250"/>
      <c r="S485" s="251"/>
      <c r="T485" s="252"/>
      <c r="U485" s="249"/>
      <c r="V485" s="250"/>
      <c r="W485" s="251"/>
      <c r="X485" s="252"/>
      <c r="Y485" s="249"/>
      <c r="Z485" s="250"/>
      <c r="AA485" s="251"/>
      <c r="AB485" s="252"/>
      <c r="AC485" s="249"/>
      <c r="AD485" s="250"/>
      <c r="AE485" s="251"/>
      <c r="AF485" s="252"/>
      <c r="AG485" s="253"/>
      <c r="AH485" s="254"/>
      <c r="AI485" s="255"/>
      <c r="AJ485" s="256"/>
    </row>
    <row r="486" spans="1:36" s="106" customFormat="1" x14ac:dyDescent="0.25">
      <c r="A486" s="107" t="str">
        <f>IF(H486&lt;&gt;"",MAX($A$7:A485)+1,"")</f>
        <v/>
      </c>
      <c r="B486" s="244" t="str">
        <f t="shared" si="16"/>
        <v/>
      </c>
      <c r="C486" s="62" t="str">
        <f t="shared" si="17"/>
        <v/>
      </c>
      <c r="D486" s="246"/>
      <c r="E486" s="247"/>
      <c r="F486" s="247"/>
      <c r="G486" s="248"/>
      <c r="H486" s="241"/>
      <c r="I486" s="249"/>
      <c r="J486" s="250"/>
      <c r="K486" s="251"/>
      <c r="L486" s="252"/>
      <c r="M486" s="249"/>
      <c r="N486" s="250"/>
      <c r="O486" s="251"/>
      <c r="P486" s="252"/>
      <c r="Q486" s="249"/>
      <c r="R486" s="250"/>
      <c r="S486" s="251"/>
      <c r="T486" s="252"/>
      <c r="U486" s="249"/>
      <c r="V486" s="250"/>
      <c r="W486" s="251"/>
      <c r="X486" s="252"/>
      <c r="Y486" s="249"/>
      <c r="Z486" s="250"/>
      <c r="AA486" s="251"/>
      <c r="AB486" s="252"/>
      <c r="AC486" s="249"/>
      <c r="AD486" s="250"/>
      <c r="AE486" s="251"/>
      <c r="AF486" s="252"/>
      <c r="AG486" s="253"/>
      <c r="AH486" s="254"/>
      <c r="AI486" s="255"/>
      <c r="AJ486" s="256"/>
    </row>
    <row r="487" spans="1:36" s="106" customFormat="1" x14ac:dyDescent="0.25">
      <c r="A487" s="107" t="str">
        <f>IF(H487&lt;&gt;"",MAX($A$7:A486)+1,"")</f>
        <v/>
      </c>
      <c r="B487" s="244" t="str">
        <f t="shared" si="16"/>
        <v/>
      </c>
      <c r="C487" s="62" t="str">
        <f t="shared" si="17"/>
        <v/>
      </c>
      <c r="D487" s="246"/>
      <c r="E487" s="247"/>
      <c r="F487" s="247"/>
      <c r="G487" s="248"/>
      <c r="H487" s="241"/>
      <c r="I487" s="249"/>
      <c r="J487" s="250"/>
      <c r="K487" s="251"/>
      <c r="L487" s="252"/>
      <c r="M487" s="249"/>
      <c r="N487" s="250"/>
      <c r="O487" s="251"/>
      <c r="P487" s="252"/>
      <c r="Q487" s="249"/>
      <c r="R487" s="250"/>
      <c r="S487" s="251"/>
      <c r="T487" s="252"/>
      <c r="U487" s="249"/>
      <c r="V487" s="250"/>
      <c r="W487" s="251"/>
      <c r="X487" s="252"/>
      <c r="Y487" s="249"/>
      <c r="Z487" s="250"/>
      <c r="AA487" s="251"/>
      <c r="AB487" s="252"/>
      <c r="AC487" s="249"/>
      <c r="AD487" s="250"/>
      <c r="AE487" s="251"/>
      <c r="AF487" s="252"/>
      <c r="AG487" s="253"/>
      <c r="AH487" s="254"/>
      <c r="AI487" s="255"/>
      <c r="AJ487" s="256"/>
    </row>
    <row r="488" spans="1:36" s="106" customFormat="1" x14ac:dyDescent="0.25">
      <c r="A488" s="107" t="str">
        <f>IF(H488&lt;&gt;"",MAX($A$7:A487)+1,"")</f>
        <v/>
      </c>
      <c r="B488" s="244" t="str">
        <f t="shared" si="16"/>
        <v/>
      </c>
      <c r="C488" s="62" t="str">
        <f t="shared" si="17"/>
        <v/>
      </c>
      <c r="D488" s="246"/>
      <c r="E488" s="247"/>
      <c r="F488" s="247"/>
      <c r="G488" s="248"/>
      <c r="H488" s="241"/>
      <c r="I488" s="249"/>
      <c r="J488" s="250"/>
      <c r="K488" s="251"/>
      <c r="L488" s="252"/>
      <c r="M488" s="249"/>
      <c r="N488" s="250"/>
      <c r="O488" s="251"/>
      <c r="P488" s="252"/>
      <c r="Q488" s="249"/>
      <c r="R488" s="250"/>
      <c r="S488" s="251"/>
      <c r="T488" s="252"/>
      <c r="U488" s="249"/>
      <c r="V488" s="250"/>
      <c r="W488" s="251"/>
      <c r="X488" s="252"/>
      <c r="Y488" s="249"/>
      <c r="Z488" s="250"/>
      <c r="AA488" s="251"/>
      <c r="AB488" s="252"/>
      <c r="AC488" s="249"/>
      <c r="AD488" s="250"/>
      <c r="AE488" s="251"/>
      <c r="AF488" s="252"/>
      <c r="AG488" s="253"/>
      <c r="AH488" s="254"/>
      <c r="AI488" s="255"/>
      <c r="AJ488" s="256"/>
    </row>
    <row r="489" spans="1:36" s="106" customFormat="1" x14ac:dyDescent="0.25">
      <c r="A489" s="107" t="str">
        <f>IF(H489&lt;&gt;"",MAX($A$7:A488)+1,"")</f>
        <v/>
      </c>
      <c r="B489" s="244" t="str">
        <f t="shared" si="16"/>
        <v/>
      </c>
      <c r="C489" s="62" t="str">
        <f t="shared" si="17"/>
        <v/>
      </c>
      <c r="D489" s="246"/>
      <c r="E489" s="247"/>
      <c r="F489" s="247"/>
      <c r="G489" s="248"/>
      <c r="H489" s="241"/>
      <c r="I489" s="249"/>
      <c r="J489" s="250"/>
      <c r="K489" s="251"/>
      <c r="L489" s="252"/>
      <c r="M489" s="249"/>
      <c r="N489" s="250"/>
      <c r="O489" s="251"/>
      <c r="P489" s="252"/>
      <c r="Q489" s="249"/>
      <c r="R489" s="250"/>
      <c r="S489" s="251"/>
      <c r="T489" s="252"/>
      <c r="U489" s="249"/>
      <c r="V489" s="250"/>
      <c r="W489" s="251"/>
      <c r="X489" s="252"/>
      <c r="Y489" s="249"/>
      <c r="Z489" s="250"/>
      <c r="AA489" s="251"/>
      <c r="AB489" s="252"/>
      <c r="AC489" s="249"/>
      <c r="AD489" s="250"/>
      <c r="AE489" s="251"/>
      <c r="AF489" s="252"/>
      <c r="AG489" s="253"/>
      <c r="AH489" s="254"/>
      <c r="AI489" s="255"/>
      <c r="AJ489" s="256"/>
    </row>
    <row r="490" spans="1:36" s="106" customFormat="1" x14ac:dyDescent="0.25">
      <c r="A490" s="107" t="str">
        <f>IF(H490&lt;&gt;"",MAX($A$7:A489)+1,"")</f>
        <v/>
      </c>
      <c r="B490" s="244" t="str">
        <f t="shared" si="16"/>
        <v/>
      </c>
      <c r="C490" s="62" t="str">
        <f t="shared" si="17"/>
        <v/>
      </c>
      <c r="D490" s="246"/>
      <c r="E490" s="247"/>
      <c r="F490" s="247"/>
      <c r="G490" s="248"/>
      <c r="H490" s="241"/>
      <c r="I490" s="249"/>
      <c r="J490" s="250"/>
      <c r="K490" s="251"/>
      <c r="L490" s="252"/>
      <c r="M490" s="249"/>
      <c r="N490" s="250"/>
      <c r="O490" s="251"/>
      <c r="P490" s="252"/>
      <c r="Q490" s="249"/>
      <c r="R490" s="250"/>
      <c r="S490" s="251"/>
      <c r="T490" s="252"/>
      <c r="U490" s="249"/>
      <c r="V490" s="250"/>
      <c r="W490" s="251"/>
      <c r="X490" s="252"/>
      <c r="Y490" s="249"/>
      <c r="Z490" s="250"/>
      <c r="AA490" s="251"/>
      <c r="AB490" s="252"/>
      <c r="AC490" s="249"/>
      <c r="AD490" s="250"/>
      <c r="AE490" s="251"/>
      <c r="AF490" s="252"/>
      <c r="AG490" s="253"/>
      <c r="AH490" s="254"/>
      <c r="AI490" s="255"/>
      <c r="AJ490" s="256"/>
    </row>
    <row r="491" spans="1:36" s="106" customFormat="1" x14ac:dyDescent="0.25">
      <c r="A491" s="107" t="str">
        <f>IF(H491&lt;&gt;"",MAX($A$7:A490)+1,"")</f>
        <v/>
      </c>
      <c r="B491" s="244" t="str">
        <f t="shared" si="16"/>
        <v/>
      </c>
      <c r="C491" s="62" t="str">
        <f t="shared" si="17"/>
        <v/>
      </c>
      <c r="D491" s="246"/>
      <c r="E491" s="247"/>
      <c r="F491" s="247"/>
      <c r="G491" s="248"/>
      <c r="H491" s="241"/>
      <c r="I491" s="249"/>
      <c r="J491" s="250"/>
      <c r="K491" s="251"/>
      <c r="L491" s="252"/>
      <c r="M491" s="249"/>
      <c r="N491" s="250"/>
      <c r="O491" s="251"/>
      <c r="P491" s="252"/>
      <c r="Q491" s="249"/>
      <c r="R491" s="250"/>
      <c r="S491" s="251"/>
      <c r="T491" s="252"/>
      <c r="U491" s="249"/>
      <c r="V491" s="250"/>
      <c r="W491" s="251"/>
      <c r="X491" s="252"/>
      <c r="Y491" s="249"/>
      <c r="Z491" s="250"/>
      <c r="AA491" s="251"/>
      <c r="AB491" s="252"/>
      <c r="AC491" s="249"/>
      <c r="AD491" s="250"/>
      <c r="AE491" s="251"/>
      <c r="AF491" s="252"/>
      <c r="AG491" s="253"/>
      <c r="AH491" s="254"/>
      <c r="AI491" s="255"/>
      <c r="AJ491" s="256"/>
    </row>
    <row r="492" spans="1:36" s="106" customFormat="1" x14ac:dyDescent="0.25">
      <c r="A492" s="107" t="str">
        <f>IF(H492&lt;&gt;"",MAX($A$7:A491)+1,"")</f>
        <v/>
      </c>
      <c r="B492" s="244" t="str">
        <f t="shared" si="16"/>
        <v/>
      </c>
      <c r="C492" s="62" t="str">
        <f t="shared" si="17"/>
        <v/>
      </c>
      <c r="D492" s="246"/>
      <c r="E492" s="247"/>
      <c r="F492" s="247"/>
      <c r="G492" s="248"/>
      <c r="H492" s="241"/>
      <c r="I492" s="249"/>
      <c r="J492" s="250"/>
      <c r="K492" s="251"/>
      <c r="L492" s="252"/>
      <c r="M492" s="249"/>
      <c r="N492" s="250"/>
      <c r="O492" s="251"/>
      <c r="P492" s="252"/>
      <c r="Q492" s="249"/>
      <c r="R492" s="250"/>
      <c r="S492" s="251"/>
      <c r="T492" s="252"/>
      <c r="U492" s="249"/>
      <c r="V492" s="250"/>
      <c r="W492" s="251"/>
      <c r="X492" s="252"/>
      <c r="Y492" s="249"/>
      <c r="Z492" s="250"/>
      <c r="AA492" s="251"/>
      <c r="AB492" s="252"/>
      <c r="AC492" s="249"/>
      <c r="AD492" s="250"/>
      <c r="AE492" s="251"/>
      <c r="AF492" s="252"/>
      <c r="AG492" s="253"/>
      <c r="AH492" s="254"/>
      <c r="AI492" s="255"/>
      <c r="AJ492" s="256"/>
    </row>
    <row r="493" spans="1:36" s="106" customFormat="1" x14ac:dyDescent="0.25">
      <c r="A493" s="107" t="str">
        <f>IF(H493&lt;&gt;"",MAX($A$7:A492)+1,"")</f>
        <v/>
      </c>
      <c r="B493" s="244" t="str">
        <f t="shared" si="16"/>
        <v/>
      </c>
      <c r="C493" s="62" t="str">
        <f t="shared" si="17"/>
        <v/>
      </c>
      <c r="D493" s="246"/>
      <c r="E493" s="247"/>
      <c r="F493" s="247"/>
      <c r="G493" s="248"/>
      <c r="H493" s="241"/>
      <c r="I493" s="249"/>
      <c r="J493" s="250"/>
      <c r="K493" s="251"/>
      <c r="L493" s="252"/>
      <c r="M493" s="249"/>
      <c r="N493" s="250"/>
      <c r="O493" s="251"/>
      <c r="P493" s="252"/>
      <c r="Q493" s="249"/>
      <c r="R493" s="250"/>
      <c r="S493" s="251"/>
      <c r="T493" s="252"/>
      <c r="U493" s="249"/>
      <c r="V493" s="250"/>
      <c r="W493" s="251"/>
      <c r="X493" s="252"/>
      <c r="Y493" s="249"/>
      <c r="Z493" s="250"/>
      <c r="AA493" s="251"/>
      <c r="AB493" s="252"/>
      <c r="AC493" s="249"/>
      <c r="AD493" s="250"/>
      <c r="AE493" s="251"/>
      <c r="AF493" s="252"/>
      <c r="AG493" s="253"/>
      <c r="AH493" s="254"/>
      <c r="AI493" s="255"/>
      <c r="AJ493" s="256"/>
    </row>
    <row r="494" spans="1:36" s="106" customFormat="1" x14ac:dyDescent="0.25">
      <c r="A494" s="107" t="str">
        <f>IF(H494&lt;&gt;"",MAX($A$7:A493)+1,"")</f>
        <v/>
      </c>
      <c r="B494" s="244" t="str">
        <f t="shared" si="16"/>
        <v/>
      </c>
      <c r="C494" s="62" t="str">
        <f t="shared" si="17"/>
        <v/>
      </c>
      <c r="D494" s="246"/>
      <c r="E494" s="247"/>
      <c r="F494" s="247"/>
      <c r="G494" s="248"/>
      <c r="H494" s="241"/>
      <c r="I494" s="249"/>
      <c r="J494" s="250"/>
      <c r="K494" s="251"/>
      <c r="L494" s="252"/>
      <c r="M494" s="249"/>
      <c r="N494" s="250"/>
      <c r="O494" s="251"/>
      <c r="P494" s="252"/>
      <c r="Q494" s="249"/>
      <c r="R494" s="250"/>
      <c r="S494" s="251"/>
      <c r="T494" s="252"/>
      <c r="U494" s="249"/>
      <c r="V494" s="250"/>
      <c r="W494" s="251"/>
      <c r="X494" s="252"/>
      <c r="Y494" s="249"/>
      <c r="Z494" s="250"/>
      <c r="AA494" s="251"/>
      <c r="AB494" s="252"/>
      <c r="AC494" s="249"/>
      <c r="AD494" s="250"/>
      <c r="AE494" s="251"/>
      <c r="AF494" s="252"/>
      <c r="AG494" s="253"/>
      <c r="AH494" s="254"/>
      <c r="AI494" s="255"/>
      <c r="AJ494" s="256"/>
    </row>
    <row r="495" spans="1:36" s="106" customFormat="1" x14ac:dyDescent="0.25">
      <c r="A495" s="107" t="str">
        <f>IF(H495&lt;&gt;"",MAX($A$7:A494)+1,"")</f>
        <v/>
      </c>
      <c r="B495" s="244" t="str">
        <f t="shared" si="16"/>
        <v/>
      </c>
      <c r="C495" s="62" t="str">
        <f t="shared" si="17"/>
        <v/>
      </c>
      <c r="D495" s="246"/>
      <c r="E495" s="247"/>
      <c r="F495" s="247"/>
      <c r="G495" s="248"/>
      <c r="H495" s="241"/>
      <c r="I495" s="249"/>
      <c r="J495" s="250"/>
      <c r="K495" s="251"/>
      <c r="L495" s="252"/>
      <c r="M495" s="249"/>
      <c r="N495" s="250"/>
      <c r="O495" s="251"/>
      <c r="P495" s="252"/>
      <c r="Q495" s="249"/>
      <c r="R495" s="250"/>
      <c r="S495" s="251"/>
      <c r="T495" s="252"/>
      <c r="U495" s="249"/>
      <c r="V495" s="250"/>
      <c r="W495" s="251"/>
      <c r="X495" s="252"/>
      <c r="Y495" s="249"/>
      <c r="Z495" s="250"/>
      <c r="AA495" s="251"/>
      <c r="AB495" s="252"/>
      <c r="AC495" s="249"/>
      <c r="AD495" s="250"/>
      <c r="AE495" s="251"/>
      <c r="AF495" s="252"/>
      <c r="AG495" s="253"/>
      <c r="AH495" s="254"/>
      <c r="AI495" s="255"/>
      <c r="AJ495" s="256"/>
    </row>
    <row r="496" spans="1:36" s="106" customFormat="1" x14ac:dyDescent="0.25">
      <c r="A496" s="107" t="str">
        <f>IF(H496&lt;&gt;"",MAX($A$7:A495)+1,"")</f>
        <v/>
      </c>
      <c r="B496" s="244" t="str">
        <f t="shared" si="16"/>
        <v/>
      </c>
      <c r="C496" s="62" t="str">
        <f t="shared" si="17"/>
        <v/>
      </c>
      <c r="D496" s="246"/>
      <c r="E496" s="247"/>
      <c r="F496" s="247"/>
      <c r="G496" s="248"/>
      <c r="H496" s="241"/>
      <c r="I496" s="249"/>
      <c r="J496" s="250"/>
      <c r="K496" s="251"/>
      <c r="L496" s="252"/>
      <c r="M496" s="249"/>
      <c r="N496" s="250"/>
      <c r="O496" s="251"/>
      <c r="P496" s="252"/>
      <c r="Q496" s="249"/>
      <c r="R496" s="250"/>
      <c r="S496" s="251"/>
      <c r="T496" s="252"/>
      <c r="U496" s="249"/>
      <c r="V496" s="250"/>
      <c r="W496" s="251"/>
      <c r="X496" s="252"/>
      <c r="Y496" s="249"/>
      <c r="Z496" s="250"/>
      <c r="AA496" s="251"/>
      <c r="AB496" s="252"/>
      <c r="AC496" s="249"/>
      <c r="AD496" s="250"/>
      <c r="AE496" s="251"/>
      <c r="AF496" s="252"/>
      <c r="AG496" s="253"/>
      <c r="AH496" s="254"/>
      <c r="AI496" s="255"/>
      <c r="AJ496" s="256"/>
    </row>
    <row r="497" spans="1:36" s="106" customFormat="1" x14ac:dyDescent="0.25">
      <c r="A497" s="107" t="str">
        <f>IF(H497&lt;&gt;"",MAX($A$7:A496)+1,"")</f>
        <v/>
      </c>
      <c r="B497" s="244" t="str">
        <f t="shared" si="16"/>
        <v/>
      </c>
      <c r="C497" s="62" t="str">
        <f t="shared" si="17"/>
        <v/>
      </c>
      <c r="D497" s="246"/>
      <c r="E497" s="247"/>
      <c r="F497" s="247"/>
      <c r="G497" s="248"/>
      <c r="H497" s="241"/>
      <c r="I497" s="249"/>
      <c r="J497" s="250"/>
      <c r="K497" s="251"/>
      <c r="L497" s="252"/>
      <c r="M497" s="249"/>
      <c r="N497" s="250"/>
      <c r="O497" s="251"/>
      <c r="P497" s="252"/>
      <c r="Q497" s="249"/>
      <c r="R497" s="250"/>
      <c r="S497" s="251"/>
      <c r="T497" s="252"/>
      <c r="U497" s="249"/>
      <c r="V497" s="250"/>
      <c r="W497" s="251"/>
      <c r="X497" s="252"/>
      <c r="Y497" s="249"/>
      <c r="Z497" s="250"/>
      <c r="AA497" s="251"/>
      <c r="AB497" s="252"/>
      <c r="AC497" s="249"/>
      <c r="AD497" s="250"/>
      <c r="AE497" s="251"/>
      <c r="AF497" s="252"/>
      <c r="AG497" s="253"/>
      <c r="AH497" s="254"/>
      <c r="AI497" s="255"/>
      <c r="AJ497" s="256"/>
    </row>
    <row r="498" spans="1:36" s="106" customFormat="1" x14ac:dyDescent="0.25">
      <c r="A498" s="107" t="str">
        <f>IF(H498&lt;&gt;"",MAX($A$7:A497)+1,"")</f>
        <v/>
      </c>
      <c r="B498" s="244" t="str">
        <f t="shared" si="16"/>
        <v/>
      </c>
      <c r="C498" s="62" t="str">
        <f t="shared" si="17"/>
        <v/>
      </c>
      <c r="D498" s="246"/>
      <c r="E498" s="247"/>
      <c r="F498" s="247"/>
      <c r="G498" s="248"/>
      <c r="H498" s="241"/>
      <c r="I498" s="249"/>
      <c r="J498" s="250"/>
      <c r="K498" s="251"/>
      <c r="L498" s="252"/>
      <c r="M498" s="249"/>
      <c r="N498" s="250"/>
      <c r="O498" s="251"/>
      <c r="P498" s="252"/>
      <c r="Q498" s="249"/>
      <c r="R498" s="250"/>
      <c r="S498" s="251"/>
      <c r="T498" s="252"/>
      <c r="U498" s="249"/>
      <c r="V498" s="250"/>
      <c r="W498" s="251"/>
      <c r="X498" s="252"/>
      <c r="Y498" s="249"/>
      <c r="Z498" s="250"/>
      <c r="AA498" s="251"/>
      <c r="AB498" s="252"/>
      <c r="AC498" s="249"/>
      <c r="AD498" s="250"/>
      <c r="AE498" s="251"/>
      <c r="AF498" s="252"/>
      <c r="AG498" s="253"/>
      <c r="AH498" s="254"/>
      <c r="AI498" s="255"/>
      <c r="AJ498" s="256"/>
    </row>
    <row r="499" spans="1:36" s="106" customFormat="1" x14ac:dyDescent="0.25">
      <c r="A499" s="107" t="str">
        <f>IF(H499&lt;&gt;"",MAX($A$7:A498)+1,"")</f>
        <v/>
      </c>
      <c r="B499" s="244" t="str">
        <f t="shared" si="16"/>
        <v/>
      </c>
      <c r="C499" s="62" t="str">
        <f t="shared" si="17"/>
        <v/>
      </c>
      <c r="D499" s="246"/>
      <c r="E499" s="247"/>
      <c r="F499" s="247"/>
      <c r="G499" s="248"/>
      <c r="H499" s="241"/>
      <c r="I499" s="249"/>
      <c r="J499" s="250"/>
      <c r="K499" s="251"/>
      <c r="L499" s="252"/>
      <c r="M499" s="249"/>
      <c r="N499" s="250"/>
      <c r="O499" s="251"/>
      <c r="P499" s="252"/>
      <c r="Q499" s="249"/>
      <c r="R499" s="250"/>
      <c r="S499" s="251"/>
      <c r="T499" s="252"/>
      <c r="U499" s="249"/>
      <c r="V499" s="250"/>
      <c r="W499" s="251"/>
      <c r="X499" s="252"/>
      <c r="Y499" s="249"/>
      <c r="Z499" s="250"/>
      <c r="AA499" s="251"/>
      <c r="AB499" s="252"/>
      <c r="AC499" s="249"/>
      <c r="AD499" s="250"/>
      <c r="AE499" s="251"/>
      <c r="AF499" s="252"/>
      <c r="AG499" s="253"/>
      <c r="AH499" s="254"/>
      <c r="AI499" s="255"/>
      <c r="AJ499" s="256"/>
    </row>
    <row r="500" spans="1:36" s="106" customFormat="1" x14ac:dyDescent="0.25">
      <c r="A500" s="107" t="str">
        <f>IF(H500&lt;&gt;"",MAX($A$7:A499)+1,"")</f>
        <v/>
      </c>
      <c r="B500" s="244" t="str">
        <f t="shared" si="16"/>
        <v/>
      </c>
      <c r="C500" s="62" t="str">
        <f t="shared" si="17"/>
        <v/>
      </c>
      <c r="D500" s="246"/>
      <c r="E500" s="247"/>
      <c r="F500" s="247"/>
      <c r="G500" s="248"/>
      <c r="H500" s="241"/>
      <c r="I500" s="249"/>
      <c r="J500" s="250"/>
      <c r="K500" s="251"/>
      <c r="L500" s="252"/>
      <c r="M500" s="249"/>
      <c r="N500" s="250"/>
      <c r="O500" s="251"/>
      <c r="P500" s="252"/>
      <c r="Q500" s="249"/>
      <c r="R500" s="250"/>
      <c r="S500" s="251"/>
      <c r="T500" s="252"/>
      <c r="U500" s="249"/>
      <c r="V500" s="250"/>
      <c r="W500" s="251"/>
      <c r="X500" s="252"/>
      <c r="Y500" s="249"/>
      <c r="Z500" s="250"/>
      <c r="AA500" s="251"/>
      <c r="AB500" s="252"/>
      <c r="AC500" s="249"/>
      <c r="AD500" s="250"/>
      <c r="AE500" s="251"/>
      <c r="AF500" s="252"/>
      <c r="AG500" s="253"/>
      <c r="AH500" s="254"/>
      <c r="AI500" s="255"/>
      <c r="AJ500" s="256"/>
    </row>
    <row r="501" spans="1:36" s="106" customFormat="1" x14ac:dyDescent="0.25">
      <c r="A501" s="107" t="str">
        <f>IF(H501&lt;&gt;"",MAX($A$7:A500)+1,"")</f>
        <v/>
      </c>
      <c r="B501" s="244" t="str">
        <f t="shared" si="16"/>
        <v/>
      </c>
      <c r="C501" s="62" t="str">
        <f t="shared" si="17"/>
        <v/>
      </c>
      <c r="D501" s="246"/>
      <c r="E501" s="247"/>
      <c r="F501" s="247"/>
      <c r="G501" s="248"/>
      <c r="H501" s="241"/>
      <c r="I501" s="249"/>
      <c r="J501" s="250"/>
      <c r="K501" s="251"/>
      <c r="L501" s="252"/>
      <c r="M501" s="249"/>
      <c r="N501" s="250"/>
      <c r="O501" s="251"/>
      <c r="P501" s="252"/>
      <c r="Q501" s="249"/>
      <c r="R501" s="250"/>
      <c r="S501" s="251"/>
      <c r="T501" s="252"/>
      <c r="U501" s="249"/>
      <c r="V501" s="250"/>
      <c r="W501" s="251"/>
      <c r="X501" s="252"/>
      <c r="Y501" s="249"/>
      <c r="Z501" s="250"/>
      <c r="AA501" s="251"/>
      <c r="AB501" s="252"/>
      <c r="AC501" s="249"/>
      <c r="AD501" s="250"/>
      <c r="AE501" s="251"/>
      <c r="AF501" s="252"/>
      <c r="AG501" s="253"/>
      <c r="AH501" s="254"/>
      <c r="AI501" s="255"/>
      <c r="AJ501" s="256"/>
    </row>
    <row r="502" spans="1:36" s="106" customFormat="1" x14ac:dyDescent="0.25">
      <c r="A502" s="107" t="str">
        <f>IF(H502&lt;&gt;"",MAX($A$7:A501)+1,"")</f>
        <v/>
      </c>
      <c r="B502" s="244" t="str">
        <f t="shared" si="16"/>
        <v/>
      </c>
      <c r="C502" s="62" t="str">
        <f t="shared" si="17"/>
        <v/>
      </c>
      <c r="D502" s="246"/>
      <c r="E502" s="247"/>
      <c r="F502" s="247"/>
      <c r="G502" s="248"/>
      <c r="H502" s="241"/>
      <c r="I502" s="249"/>
      <c r="J502" s="250"/>
      <c r="K502" s="251"/>
      <c r="L502" s="252"/>
      <c r="M502" s="249"/>
      <c r="N502" s="250"/>
      <c r="O502" s="251"/>
      <c r="P502" s="252"/>
      <c r="Q502" s="249"/>
      <c r="R502" s="250"/>
      <c r="S502" s="251"/>
      <c r="T502" s="252"/>
      <c r="U502" s="249"/>
      <c r="V502" s="250"/>
      <c r="W502" s="251"/>
      <c r="X502" s="252"/>
      <c r="Y502" s="249"/>
      <c r="Z502" s="250"/>
      <c r="AA502" s="251"/>
      <c r="AB502" s="252"/>
      <c r="AC502" s="249"/>
      <c r="AD502" s="250"/>
      <c r="AE502" s="251"/>
      <c r="AF502" s="252"/>
      <c r="AG502" s="253"/>
      <c r="AH502" s="254"/>
      <c r="AI502" s="255"/>
      <c r="AJ502" s="256"/>
    </row>
    <row r="503" spans="1:36" s="106" customFormat="1" x14ac:dyDescent="0.25">
      <c r="A503" s="107" t="str">
        <f>IF(H503&lt;&gt;"",MAX($A$7:A502)+1,"")</f>
        <v/>
      </c>
      <c r="B503" s="244" t="str">
        <f t="shared" si="16"/>
        <v/>
      </c>
      <c r="C503" s="62" t="str">
        <f t="shared" si="17"/>
        <v/>
      </c>
      <c r="D503" s="246"/>
      <c r="E503" s="247"/>
      <c r="F503" s="247"/>
      <c r="G503" s="248"/>
      <c r="H503" s="241"/>
      <c r="I503" s="249"/>
      <c r="J503" s="250"/>
      <c r="K503" s="251"/>
      <c r="L503" s="252"/>
      <c r="M503" s="249"/>
      <c r="N503" s="250"/>
      <c r="O503" s="251"/>
      <c r="P503" s="252"/>
      <c r="Q503" s="249"/>
      <c r="R503" s="250"/>
      <c r="S503" s="251"/>
      <c r="T503" s="252"/>
      <c r="U503" s="249"/>
      <c r="V503" s="250"/>
      <c r="W503" s="251"/>
      <c r="X503" s="252"/>
      <c r="Y503" s="249"/>
      <c r="Z503" s="250"/>
      <c r="AA503" s="251"/>
      <c r="AB503" s="252"/>
      <c r="AC503" s="249"/>
      <c r="AD503" s="250"/>
      <c r="AE503" s="251"/>
      <c r="AF503" s="252"/>
      <c r="AG503" s="253"/>
      <c r="AH503" s="254"/>
      <c r="AI503" s="255"/>
      <c r="AJ503" s="256"/>
    </row>
    <row r="504" spans="1:36" s="106" customFormat="1" x14ac:dyDescent="0.25">
      <c r="A504" s="107" t="str">
        <f>IF(H504&lt;&gt;"",MAX($A$7:A503)+1,"")</f>
        <v/>
      </c>
      <c r="B504" s="244" t="str">
        <f t="shared" si="16"/>
        <v/>
      </c>
      <c r="C504" s="62" t="str">
        <f t="shared" si="17"/>
        <v/>
      </c>
      <c r="D504" s="246"/>
      <c r="E504" s="247"/>
      <c r="F504" s="247"/>
      <c r="G504" s="248"/>
      <c r="H504" s="241"/>
      <c r="I504" s="249"/>
      <c r="J504" s="250"/>
      <c r="K504" s="251"/>
      <c r="L504" s="252"/>
      <c r="M504" s="249"/>
      <c r="N504" s="250"/>
      <c r="O504" s="251"/>
      <c r="P504" s="252"/>
      <c r="Q504" s="249"/>
      <c r="R504" s="250"/>
      <c r="S504" s="251"/>
      <c r="T504" s="252"/>
      <c r="U504" s="249"/>
      <c r="V504" s="250"/>
      <c r="W504" s="251"/>
      <c r="X504" s="252"/>
      <c r="Y504" s="249"/>
      <c r="Z504" s="250"/>
      <c r="AA504" s="251"/>
      <c r="AB504" s="252"/>
      <c r="AC504" s="249"/>
      <c r="AD504" s="250"/>
      <c r="AE504" s="251"/>
      <c r="AF504" s="252"/>
      <c r="AG504" s="253"/>
      <c r="AH504" s="254"/>
      <c r="AI504" s="255"/>
      <c r="AJ504" s="256"/>
    </row>
    <row r="505" spans="1:36" s="106" customFormat="1" x14ac:dyDescent="0.25">
      <c r="A505" s="107" t="str">
        <f>IF(H505&lt;&gt;"",MAX($A$7:A504)+1,"")</f>
        <v/>
      </c>
      <c r="B505" s="244" t="str">
        <f t="shared" si="16"/>
        <v/>
      </c>
      <c r="C505" s="62" t="str">
        <f t="shared" si="17"/>
        <v/>
      </c>
      <c r="D505" s="246"/>
      <c r="E505" s="247"/>
      <c r="F505" s="247"/>
      <c r="G505" s="248"/>
      <c r="H505" s="241"/>
      <c r="I505" s="249"/>
      <c r="J505" s="250"/>
      <c r="K505" s="251"/>
      <c r="L505" s="252"/>
      <c r="M505" s="249"/>
      <c r="N505" s="250"/>
      <c r="O505" s="251"/>
      <c r="P505" s="252"/>
      <c r="Q505" s="249"/>
      <c r="R505" s="250"/>
      <c r="S505" s="251"/>
      <c r="T505" s="252"/>
      <c r="U505" s="249"/>
      <c r="V505" s="250"/>
      <c r="W505" s="251"/>
      <c r="X505" s="252"/>
      <c r="Y505" s="249"/>
      <c r="Z505" s="250"/>
      <c r="AA505" s="251"/>
      <c r="AB505" s="252"/>
      <c r="AC505" s="249"/>
      <c r="AD505" s="250"/>
      <c r="AE505" s="251"/>
      <c r="AF505" s="252"/>
      <c r="AG505" s="253"/>
      <c r="AH505" s="254"/>
      <c r="AI505" s="255"/>
      <c r="AJ505" s="256"/>
    </row>
    <row r="506" spans="1:36" s="106" customFormat="1" x14ac:dyDescent="0.25">
      <c r="A506" s="107" t="str">
        <f>IF(H506&lt;&gt;"",MAX($A$7:A505)+1,"")</f>
        <v/>
      </c>
      <c r="B506" s="244" t="str">
        <f t="shared" si="16"/>
        <v/>
      </c>
      <c r="C506" s="62" t="str">
        <f t="shared" si="17"/>
        <v/>
      </c>
      <c r="D506" s="246"/>
      <c r="E506" s="247"/>
      <c r="F506" s="247"/>
      <c r="G506" s="248"/>
      <c r="H506" s="241"/>
      <c r="I506" s="249"/>
      <c r="J506" s="250"/>
      <c r="K506" s="251"/>
      <c r="L506" s="252"/>
      <c r="M506" s="249"/>
      <c r="N506" s="250"/>
      <c r="O506" s="251"/>
      <c r="P506" s="252"/>
      <c r="Q506" s="249"/>
      <c r="R506" s="250"/>
      <c r="S506" s="251"/>
      <c r="T506" s="252"/>
      <c r="U506" s="249"/>
      <c r="V506" s="250"/>
      <c r="W506" s="251"/>
      <c r="X506" s="252"/>
      <c r="Y506" s="249"/>
      <c r="Z506" s="250"/>
      <c r="AA506" s="251"/>
      <c r="AB506" s="252"/>
      <c r="AC506" s="249"/>
      <c r="AD506" s="250"/>
      <c r="AE506" s="251"/>
      <c r="AF506" s="252"/>
      <c r="AG506" s="253"/>
      <c r="AH506" s="254"/>
      <c r="AI506" s="255"/>
      <c r="AJ506" s="256"/>
    </row>
    <row r="507" spans="1:36" s="106" customFormat="1" x14ac:dyDescent="0.25">
      <c r="A507" s="107" t="str">
        <f>IF(H507&lt;&gt;"",MAX($A$7:A506)+1,"")</f>
        <v/>
      </c>
      <c r="B507" s="244" t="str">
        <f t="shared" si="16"/>
        <v/>
      </c>
      <c r="C507" s="62" t="str">
        <f t="shared" si="17"/>
        <v/>
      </c>
      <c r="D507" s="246"/>
      <c r="E507" s="247"/>
      <c r="F507" s="247"/>
      <c r="G507" s="248"/>
      <c r="H507" s="241"/>
      <c r="I507" s="249"/>
      <c r="J507" s="250"/>
      <c r="K507" s="251"/>
      <c r="L507" s="252"/>
      <c r="M507" s="249"/>
      <c r="N507" s="250"/>
      <c r="O507" s="251"/>
      <c r="P507" s="252"/>
      <c r="Q507" s="249"/>
      <c r="R507" s="250"/>
      <c r="S507" s="251"/>
      <c r="T507" s="252"/>
      <c r="U507" s="249"/>
      <c r="V507" s="250"/>
      <c r="W507" s="251"/>
      <c r="X507" s="252"/>
      <c r="Y507" s="249"/>
      <c r="Z507" s="250"/>
      <c r="AA507" s="251"/>
      <c r="AB507" s="252"/>
      <c r="AC507" s="249"/>
      <c r="AD507" s="250"/>
      <c r="AE507" s="251"/>
      <c r="AF507" s="252"/>
      <c r="AG507" s="253"/>
      <c r="AH507" s="254"/>
      <c r="AI507" s="255"/>
      <c r="AJ507" s="256"/>
    </row>
    <row r="508" spans="1:36" s="106" customFormat="1" x14ac:dyDescent="0.25">
      <c r="A508" s="107" t="str">
        <f>IF(H508&lt;&gt;"",MAX($A$7:A507)+1,"")</f>
        <v/>
      </c>
      <c r="B508" s="244" t="str">
        <f t="shared" si="16"/>
        <v/>
      </c>
      <c r="C508" s="62" t="str">
        <f t="shared" si="17"/>
        <v/>
      </c>
      <c r="D508" s="246"/>
      <c r="E508" s="247"/>
      <c r="F508" s="247"/>
      <c r="G508" s="248"/>
      <c r="H508" s="241"/>
      <c r="I508" s="249"/>
      <c r="J508" s="250"/>
      <c r="K508" s="251"/>
      <c r="L508" s="252"/>
      <c r="M508" s="249"/>
      <c r="N508" s="250"/>
      <c r="O508" s="251"/>
      <c r="P508" s="252"/>
      <c r="Q508" s="249"/>
      <c r="R508" s="250"/>
      <c r="S508" s="251"/>
      <c r="T508" s="252"/>
      <c r="U508" s="249"/>
      <c r="V508" s="250"/>
      <c r="W508" s="251"/>
      <c r="X508" s="252"/>
      <c r="Y508" s="249"/>
      <c r="Z508" s="250"/>
      <c r="AA508" s="251"/>
      <c r="AB508" s="252"/>
      <c r="AC508" s="249"/>
      <c r="AD508" s="250"/>
      <c r="AE508" s="251"/>
      <c r="AF508" s="252"/>
      <c r="AG508" s="253"/>
      <c r="AH508" s="254"/>
      <c r="AI508" s="255"/>
      <c r="AJ508" s="256"/>
    </row>
  </sheetData>
  <sheetProtection algorithmName="SHA-512" hashValue="1xb46sU7wmFNPAXf95YX5bSWxYrVsfI/YQuSSdfVYbH92OrtoqzSwRi0keULfd8zpyLT6MZNbLfJ2C+95dMJjw==" saltValue="TgCskJg8N78QQMPUJspZxQ==" spinCount="100000" sheet="1" objects="1" scenarios="1" selectLockedCells="1"/>
  <conditionalFormatting sqref="B6:G6">
    <cfRule type="cellIs" dxfId="17" priority="359" operator="equal">
      <formula>""</formula>
    </cfRule>
    <cfRule type="cellIs" dxfId="16" priority="360" operator="equal">
      <formula>0</formula>
    </cfRule>
  </conditionalFormatting>
  <conditionalFormatting sqref="AG6:AJ6 I6:L6">
    <cfRule type="cellIs" dxfId="15" priority="358" stopIfTrue="1" operator="equal">
      <formula>0</formula>
    </cfRule>
  </conditionalFormatting>
  <conditionalFormatting sqref="M6:AF6">
    <cfRule type="cellIs" dxfId="14" priority="357" stopIfTrue="1" operator="equal">
      <formula>0</formula>
    </cfRule>
  </conditionalFormatting>
  <conditionalFormatting sqref="C5:AJ5">
    <cfRule type="cellIs" dxfId="13" priority="347" stopIfTrue="1" operator="equal">
      <formula>""</formula>
    </cfRule>
    <cfRule type="cellIs" dxfId="12" priority="348" operator="equal">
      <formula>0</formula>
    </cfRule>
  </conditionalFormatting>
  <conditionalFormatting sqref="B5">
    <cfRule type="cellIs" dxfId="11" priority="291" operator="equal">
      <formula>""</formula>
    </cfRule>
    <cfRule type="cellIs" dxfId="10" priority="292" operator="equal">
      <formula>0</formula>
    </cfRule>
  </conditionalFormatting>
  <conditionalFormatting sqref="H6">
    <cfRule type="cellIs" dxfId="9" priority="37" operator="equal">
      <formula>""</formula>
    </cfRule>
    <cfRule type="cellIs" dxfId="8" priority="38" operator="equal">
      <formula>0</formula>
    </cfRule>
  </conditionalFormatting>
  <conditionalFormatting sqref="C7:C508">
    <cfRule type="cellIs" dxfId="7" priority="5" stopIfTrue="1" operator="equal">
      <formula>""</formula>
    </cfRule>
    <cfRule type="cellIs" dxfId="6" priority="6" operator="equal">
      <formula>0</formula>
    </cfRule>
  </conditionalFormatting>
  <conditionalFormatting sqref="B7:B508">
    <cfRule type="cellIs" dxfId="5" priority="3" operator="equal">
      <formula>""</formula>
    </cfRule>
    <cfRule type="cellIs" dxfId="4" priority="4" operator="equal">
      <formula>0</formula>
    </cfRule>
  </conditionalFormatting>
  <conditionalFormatting sqref="D7:AJ508">
    <cfRule type="cellIs" dxfId="3" priority="1" stopIfTrue="1" operator="equal">
      <formula>""</formula>
    </cfRule>
    <cfRule type="cellIs" dxfId="2"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F24"/>
  <sheetViews>
    <sheetView showGridLines="0" showRowColHeaders="0" zoomScale="115" zoomScaleNormal="115" workbookViewId="0">
      <selection activeCell="B22" sqref="B22"/>
    </sheetView>
  </sheetViews>
  <sheetFormatPr baseColWidth="10" defaultRowHeight="15" x14ac:dyDescent="0.25"/>
  <cols>
    <col min="1" max="1" width="5.28515625" customWidth="1"/>
    <col min="2" max="2" width="51.42578125" customWidth="1"/>
    <col min="3" max="3" width="26.28515625" customWidth="1"/>
    <col min="4" max="6" width="22.5703125" customWidth="1"/>
  </cols>
  <sheetData>
    <row r="1" spans="1:6" x14ac:dyDescent="0.25">
      <c r="B1" s="88" t="s">
        <v>359</v>
      </c>
      <c r="C1" s="88" t="s">
        <v>358</v>
      </c>
      <c r="D1" s="88" t="s">
        <v>360</v>
      </c>
      <c r="E1" s="88" t="s">
        <v>361</v>
      </c>
      <c r="F1" s="88" t="s">
        <v>362</v>
      </c>
    </row>
    <row r="2" spans="1:6" x14ac:dyDescent="0.25">
      <c r="A2" s="391">
        <v>0</v>
      </c>
      <c r="B2" s="6" t="s">
        <v>350</v>
      </c>
      <c r="C2" t="s">
        <v>351</v>
      </c>
    </row>
    <row r="3" spans="1:6" x14ac:dyDescent="0.25">
      <c r="A3" s="391">
        <v>1</v>
      </c>
      <c r="B3" s="88"/>
      <c r="C3" s="88"/>
      <c r="D3" s="88"/>
      <c r="E3" s="88"/>
    </row>
    <row r="4" spans="1:6" x14ac:dyDescent="0.25">
      <c r="B4" s="88"/>
      <c r="C4" s="88"/>
      <c r="D4" s="88"/>
      <c r="E4" s="88"/>
    </row>
    <row r="5" spans="1:6" x14ac:dyDescent="0.25">
      <c r="A5" s="391">
        <v>0</v>
      </c>
      <c r="B5" s="6" t="s">
        <v>352</v>
      </c>
      <c r="C5" t="s">
        <v>351</v>
      </c>
    </row>
    <row r="6" spans="1:6" x14ac:dyDescent="0.25">
      <c r="A6" s="391">
        <v>1</v>
      </c>
      <c r="B6" s="127" t="s">
        <v>338</v>
      </c>
      <c r="C6" t="s">
        <v>353</v>
      </c>
    </row>
    <row r="7" spans="1:6" x14ac:dyDescent="0.25">
      <c r="A7" s="391">
        <v>2</v>
      </c>
      <c r="B7" s="127" t="s">
        <v>301</v>
      </c>
      <c r="C7" t="s">
        <v>354</v>
      </c>
    </row>
    <row r="8" spans="1:6" x14ac:dyDescent="0.25">
      <c r="A8" s="391">
        <v>3</v>
      </c>
      <c r="B8" s="127" t="s">
        <v>302</v>
      </c>
      <c r="C8" t="s">
        <v>355</v>
      </c>
    </row>
    <row r="9" spans="1:6" x14ac:dyDescent="0.25">
      <c r="A9" s="391">
        <v>4</v>
      </c>
      <c r="B9" s="127" t="s">
        <v>4</v>
      </c>
    </row>
    <row r="10" spans="1:6" x14ac:dyDescent="0.25">
      <c r="A10" s="391">
        <v>5</v>
      </c>
      <c r="B10" s="127" t="s">
        <v>5</v>
      </c>
    </row>
    <row r="11" spans="1:6" x14ac:dyDescent="0.25">
      <c r="A11" s="391">
        <v>6</v>
      </c>
      <c r="B11" s="127" t="s">
        <v>6</v>
      </c>
    </row>
    <row r="12" spans="1:6" x14ac:dyDescent="0.25">
      <c r="A12" s="391">
        <v>7</v>
      </c>
      <c r="B12" s="127" t="s">
        <v>303</v>
      </c>
    </row>
    <row r="13" spans="1:6" x14ac:dyDescent="0.25">
      <c r="A13" s="391">
        <v>8</v>
      </c>
      <c r="B13" s="127" t="s">
        <v>7</v>
      </c>
    </row>
    <row r="14" spans="1:6" x14ac:dyDescent="0.25">
      <c r="A14" s="391">
        <v>9</v>
      </c>
      <c r="B14" s="127" t="s">
        <v>8</v>
      </c>
    </row>
    <row r="15" spans="1:6" x14ac:dyDescent="0.25">
      <c r="A15" s="391">
        <v>10</v>
      </c>
      <c r="B15" s="127" t="s">
        <v>9</v>
      </c>
    </row>
    <row r="16" spans="1:6" x14ac:dyDescent="0.25">
      <c r="A16" s="391">
        <v>11</v>
      </c>
      <c r="B16" s="127" t="s">
        <v>10</v>
      </c>
    </row>
    <row r="17" spans="1:2" x14ac:dyDescent="0.25">
      <c r="A17" s="391">
        <v>12</v>
      </c>
      <c r="B17" s="127" t="s">
        <v>12</v>
      </c>
    </row>
    <row r="18" spans="1:2" x14ac:dyDescent="0.25">
      <c r="A18" s="391">
        <v>13</v>
      </c>
      <c r="B18" s="127" t="s">
        <v>11</v>
      </c>
    </row>
    <row r="19" spans="1:2" x14ac:dyDescent="0.25">
      <c r="A19" s="391">
        <v>14</v>
      </c>
      <c r="B19" s="127" t="s">
        <v>14</v>
      </c>
    </row>
    <row r="20" spans="1:2" x14ac:dyDescent="0.25">
      <c r="A20" s="391"/>
      <c r="B20" s="125"/>
    </row>
    <row r="22" spans="1:2" x14ac:dyDescent="0.25">
      <c r="B22" s="6" t="s">
        <v>356</v>
      </c>
    </row>
    <row r="24" spans="1:2" x14ac:dyDescent="0.25">
      <c r="B24" s="6" t="s">
        <v>357</v>
      </c>
    </row>
  </sheetData>
  <sheetProtection algorithmName="SHA-512" hashValue="3B02owFTreRL3/bLMK4tXBrFI8SeKc9SiR2/AuskG44LfqUirHBuP7V+Da968BEHWfwm6+Gz4LoEwtl8XYaYHw==" saltValue="y5P6rJVuaOYnPKEBauEQlw==" spinCount="100000" sheet="1" objects="1" scenarios="1" selectLockedCells="1"/>
  <conditionalFormatting sqref="B18:B20">
    <cfRule type="expression" dxfId="1" priority="1" stopIfTrue="1">
      <formula>AND($C$51&lt;&gt;$C$44,$C$51&lt;&gt;$C$45)</formula>
    </cfRule>
  </conditionalFormatting>
  <conditionalFormatting sqref="B17">
    <cfRule type="expression" dxfId="0" priority="2" stopIfTrue="1">
      <formula>AND($C$51&lt;&gt;$C$44,$C$51&lt;&gt;$C$47,$C$51&lt;&gt;$C$49,$C$51&lt;&gt;$C$45)</formula>
    </cfRule>
  </conditionalFormatting>
  <dataValidations count="1">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B22 B24"/>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zoomScale="145" zoomScaleNormal="145" workbookViewId="0">
      <pane ySplit="2" topLeftCell="A3" activePane="bottomLeft" state="frozen"/>
      <selection pane="bottomLeft"/>
    </sheetView>
  </sheetViews>
  <sheetFormatPr baseColWidth="10" defaultRowHeight="15" x14ac:dyDescent="0.25"/>
  <cols>
    <col min="1" max="1" width="76.5703125" customWidth="1"/>
    <col min="2" max="2" width="5.85546875" hidden="1" customWidth="1"/>
    <col min="3" max="5" width="11.42578125" customWidth="1"/>
  </cols>
  <sheetData>
    <row r="1" spans="1:3" x14ac:dyDescent="0.25">
      <c r="A1" s="93" t="str">
        <f>"&lt;!-- question: "&amp;'Datos PP'!A2&amp;"  --&gt;"</f>
        <v>&lt;!-- question: 1  --&gt;</v>
      </c>
      <c r="B1" s="79">
        <f ca="1">COUNTA(A1:A98)-COUNTIF(A:A,"BORRAR")</f>
        <v>74</v>
      </c>
      <c r="C1" s="57"/>
    </row>
    <row r="2" spans="1:3" x14ac:dyDescent="0.25">
      <c r="A2" s="72" t="s">
        <v>184</v>
      </c>
      <c r="B2" s="72" t="s">
        <v>185</v>
      </c>
    </row>
    <row r="3" spans="1:3" x14ac:dyDescent="0.25">
      <c r="A3" t="s">
        <v>75</v>
      </c>
    </row>
    <row r="4" spans="1:3" x14ac:dyDescent="0.25">
      <c r="A4" t="e">
        <f>"      &lt;text&gt;"&amp;B4&amp;"&lt;/text&gt;"</f>
        <v>#N/A</v>
      </c>
      <c r="B4" t="e">
        <f>NOMBRE_PP</f>
        <v>#N/A</v>
      </c>
    </row>
    <row r="5" spans="1:3" x14ac:dyDescent="0.25">
      <c r="A5" t="s">
        <v>77</v>
      </c>
    </row>
    <row r="6" spans="1:3" x14ac:dyDescent="0.25">
      <c r="A6" t="s">
        <v>78</v>
      </c>
    </row>
    <row r="7" spans="1:3" x14ac:dyDescent="0.25">
      <c r="A7" t="e">
        <f>"      &lt;text&gt;&lt;![CDATA[&lt;p&gt;"&amp;B7&amp;"&lt;/p&gt;]]&gt;&lt;/text&gt;"</f>
        <v>#N/A</v>
      </c>
      <c r="B7" t="e">
        <f>ENUNCIADO_PP</f>
        <v>#N/A</v>
      </c>
    </row>
    <row r="8" spans="1:3" x14ac:dyDescent="0.25">
      <c r="A8" t="s">
        <v>79</v>
      </c>
    </row>
    <row r="9" spans="1:3" x14ac:dyDescent="0.25">
      <c r="A9" t="s">
        <v>80</v>
      </c>
    </row>
    <row r="10" spans="1:3" x14ac:dyDescent="0.25">
      <c r="A10" t="str">
        <f>"      &lt;text&gt;&lt;![CDATA[&lt;p&gt;"&amp;B10&amp;"&lt;/p&gt;]]&gt;&lt;/text&gt;"</f>
        <v xml:space="preserve">      &lt;text&gt;&lt;![CDATA[&lt;p&gt;Tomo no de tus respuestas&lt;/p&gt;]]&gt;&lt;/text&gt;</v>
      </c>
      <c r="B10" s="60" t="str">
        <f>Retroalim_GENERAL</f>
        <v>Tomo no de tus respuestas</v>
      </c>
    </row>
    <row r="11" spans="1:3" x14ac:dyDescent="0.25">
      <c r="A11" t="s">
        <v>82</v>
      </c>
      <c r="B11" s="60"/>
    </row>
    <row r="12" spans="1:3" x14ac:dyDescent="0.25">
      <c r="A12" t="str">
        <f>"    &lt;defaultgrade&gt;"&amp;B12&amp;"&lt;/defaultgrade&gt;"</f>
        <v xml:space="preserve">    &lt;defaultgrade&gt;1&lt;/defaultgrade&gt;</v>
      </c>
      <c r="B12" s="60">
        <f>PUNTUACION</f>
        <v>1</v>
      </c>
    </row>
    <row r="13" spans="1:3" x14ac:dyDescent="0.25">
      <c r="A13" t="str">
        <f>"    &lt;penalty&gt;"&amp;B13&amp;"&lt;/penalty&gt;"</f>
        <v xml:space="preserve">    &lt;penalty&gt;0,333333333333333&lt;/penalty&gt;</v>
      </c>
      <c r="B13" s="60">
        <f>PENALIZACION</f>
        <v>0.33333333333333331</v>
      </c>
    </row>
    <row r="14" spans="1:3" x14ac:dyDescent="0.25">
      <c r="A14" t="s">
        <v>111</v>
      </c>
      <c r="B14" s="60">
        <f>Oculto</f>
        <v>0</v>
      </c>
    </row>
    <row r="15" spans="1:3" x14ac:dyDescent="0.25">
      <c r="A15" t="str">
        <f>"    &lt;idnumber&gt;"&amp;B15&amp;"&lt;/idnumber&gt;"</f>
        <v xml:space="preserve">    &lt;idnumber&gt;&lt;/idnumber&gt;</v>
      </c>
      <c r="B15" s="60" t="str">
        <f>IF(CONTRASEN_A="","",CONTRASEN_A)</f>
        <v/>
      </c>
    </row>
    <row r="16" spans="1:3" x14ac:dyDescent="0.25">
      <c r="A16" t="str">
        <f>"    &lt;shuffleanswers&gt;"&amp;B16&amp;"&lt;/shuffleanswers&gt;"</f>
        <v xml:space="preserve">    &lt;shuffleanswers&gt;1&lt;/shuffleanswers&gt;</v>
      </c>
      <c r="B16" s="60">
        <f>IF(BARAJAR_R="true",1,0)</f>
        <v>1</v>
      </c>
    </row>
    <row r="17" spans="1:2" x14ac:dyDescent="0.25">
      <c r="A17" t="s">
        <v>90</v>
      </c>
    </row>
    <row r="18" spans="1:2" x14ac:dyDescent="0.25">
      <c r="A18" s="37" t="str">
        <f>"      &lt;text&gt;&lt;![CDATA[&lt;p&gt;"&amp;B18&amp;"&lt;/p&gt;]]&gt;&lt;/text&gt;"</f>
        <v xml:space="preserve">      &lt;text&gt;&lt;![CDATA[&lt;p&gt;Respuesta correcta.&lt;/p&gt;]]&gt;&lt;/text&gt;</v>
      </c>
      <c r="B18" s="40" t="str">
        <f>R_CORRECTA</f>
        <v>Respuesta correcta.</v>
      </c>
    </row>
    <row r="19" spans="1:2" x14ac:dyDescent="0.25">
      <c r="A19" s="37" t="s">
        <v>91</v>
      </c>
      <c r="B19" s="38"/>
    </row>
    <row r="20" spans="1:2" x14ac:dyDescent="0.25">
      <c r="A20" s="37" t="s">
        <v>92</v>
      </c>
      <c r="B20" s="38"/>
    </row>
    <row r="21" spans="1:2" x14ac:dyDescent="0.25">
      <c r="A21" s="37" t="str">
        <f>"      &lt;text&gt;&lt;![CDATA[&lt;p&gt;"&amp;B21&amp;"&lt;/p&gt;]]&gt;&lt;/text&gt;"</f>
        <v xml:space="preserve">      &lt;text&gt;&lt;![CDATA[&lt;p&gt;Respuesta parcialmente correcta.&lt;/p&gt;]]&gt;&lt;/text&gt;</v>
      </c>
      <c r="B21" s="40" t="str">
        <f>R_Par_CORRECTA</f>
        <v>Respuesta parcialmente correcta.</v>
      </c>
    </row>
    <row r="22" spans="1:2" x14ac:dyDescent="0.25">
      <c r="A22" s="37" t="s">
        <v>93</v>
      </c>
      <c r="B22" s="38"/>
    </row>
    <row r="23" spans="1:2" x14ac:dyDescent="0.25">
      <c r="A23" s="37" t="s">
        <v>94</v>
      </c>
      <c r="B23" s="95">
        <v>0</v>
      </c>
    </row>
    <row r="24" spans="1:2" x14ac:dyDescent="0.25">
      <c r="A24" s="37" t="str">
        <f>"      &lt;text&gt;&lt;![CDATA[&lt;p&gt;"&amp;B24&amp;"&lt;/p&gt;]]&gt;&lt;/text&gt;"</f>
        <v xml:space="preserve">      &lt;text&gt;&lt;![CDATA[&lt;p&gt;Respuesta incorrecta.&lt;/p&gt;]]&gt;&lt;/text&gt;</v>
      </c>
      <c r="B24" s="40" t="str">
        <f>R_INCORRECTA</f>
        <v>Respuesta incorrecta.</v>
      </c>
    </row>
    <row r="25" spans="1:2" x14ac:dyDescent="0.25">
      <c r="A25" t="s">
        <v>95</v>
      </c>
    </row>
    <row r="26" spans="1:2" x14ac:dyDescent="0.25">
      <c r="A26" s="57" t="s">
        <v>97</v>
      </c>
    </row>
    <row r="27" spans="1:2" x14ac:dyDescent="0.25">
      <c r="A27" s="90" t="e">
        <f ca="1">IF(OR(B28=0,B28=""),"BORRAR","    &lt;selectoption&gt;")</f>
        <v>#N/A</v>
      </c>
      <c r="B27" s="91">
        <f>B23+1</f>
        <v>1</v>
      </c>
    </row>
    <row r="28" spans="1:2" x14ac:dyDescent="0.25">
      <c r="A28" t="e">
        <f ca="1">IF(OR(B28=0,B28=""),"BORRAR","      &lt;text&gt;"&amp;B28&amp;"&lt;/text&gt;")</f>
        <v>#N/A</v>
      </c>
      <c r="B28" s="60" t="e">
        <f ca="1">INDIRECT("Par_"&amp;IF(B27&lt;10,"0","")&amp;B27&amp;"_2")</f>
        <v>#N/A</v>
      </c>
    </row>
    <row r="29" spans="1:2" x14ac:dyDescent="0.25">
      <c r="A29" t="e">
        <f ca="1">IF(OR(B28=0,B28=""),"BORRAR","      &lt;group&gt;"&amp;B29&amp;"&lt;/group&gt;")</f>
        <v>#N/A</v>
      </c>
      <c r="B29" s="60" t="e">
        <f ca="1">INDIRECT("Par_"&amp;IF(B27&lt;10,"0","")&amp;B27&amp;"_1")</f>
        <v>#N/A</v>
      </c>
    </row>
    <row r="30" spans="1:2" x14ac:dyDescent="0.25">
      <c r="A30" t="e">
        <f ca="1">IF(OR(B28=0,B28=""),"BORRAR","    &lt;/selectoption&gt;")</f>
        <v>#N/A</v>
      </c>
    </row>
    <row r="31" spans="1:2" x14ac:dyDescent="0.25">
      <c r="A31" s="90" t="e">
        <f ca="1">IF(OR(B32=0,B32=""),"BORRAR","    &lt;selectoption&gt;")</f>
        <v>#N/A</v>
      </c>
      <c r="B31" s="91">
        <f>B27+1</f>
        <v>2</v>
      </c>
    </row>
    <row r="32" spans="1:2" x14ac:dyDescent="0.25">
      <c r="A32" t="e">
        <f ca="1">IF(OR(B32=0,B32=""),"BORRAR","      &lt;text&gt;"&amp;B32&amp;"&lt;/text&gt;")</f>
        <v>#N/A</v>
      </c>
      <c r="B32" s="60" t="e">
        <f t="shared" ref="B32" ca="1" si="0">INDIRECT("Par_"&amp;IF(B31&lt;10,"0","")&amp;B31&amp;"_2")</f>
        <v>#N/A</v>
      </c>
    </row>
    <row r="33" spans="1:2" x14ac:dyDescent="0.25">
      <c r="A33" t="e">
        <f ca="1">IF(OR(B32=0,B32=""),"BORRAR","      &lt;group&gt;"&amp;B33&amp;"&lt;/group&gt;")</f>
        <v>#N/A</v>
      </c>
      <c r="B33" s="60" t="e">
        <f t="shared" ref="B33" ca="1" si="1">INDIRECT("Par_"&amp;IF(B31&lt;10,"0","")&amp;B31&amp;"_1")</f>
        <v>#N/A</v>
      </c>
    </row>
    <row r="34" spans="1:2" x14ac:dyDescent="0.25">
      <c r="A34" t="e">
        <f ca="1">IF(OR(B32=0,B32=""),"BORRAR","    &lt;/selectoption&gt;")</f>
        <v>#N/A</v>
      </c>
    </row>
    <row r="35" spans="1:2" x14ac:dyDescent="0.25">
      <c r="A35" s="78" t="e">
        <f ca="1">IF(OR(B36=0,B36=""),"BORRAR","    &lt;selectoption&gt;")</f>
        <v>#N/A</v>
      </c>
      <c r="B35" s="91">
        <f>B31+1</f>
        <v>3</v>
      </c>
    </row>
    <row r="36" spans="1:2" x14ac:dyDescent="0.25">
      <c r="A36" t="e">
        <f ca="1">IF(OR(B36=0,B36=""),"BORRAR","      &lt;text&gt;"&amp;B36&amp;"&lt;/text&gt;")</f>
        <v>#N/A</v>
      </c>
      <c r="B36" s="60" t="e">
        <f t="shared" ref="B36:B72" ca="1" si="2">INDIRECT("Par_"&amp;IF(B35&lt;10,"0","")&amp;B35&amp;"_2")</f>
        <v>#N/A</v>
      </c>
    </row>
    <row r="37" spans="1:2" x14ac:dyDescent="0.25">
      <c r="A37" t="e">
        <f ca="1">IF(OR(B36=0,B36=""),"BORRAR","      &lt;group&gt;"&amp;B37&amp;"&lt;/group&gt;")</f>
        <v>#N/A</v>
      </c>
      <c r="B37" s="60" t="e">
        <f t="shared" ref="B37" ca="1" si="3">INDIRECT("Par_"&amp;IF(B35&lt;10,"0","")&amp;B35&amp;"_1")</f>
        <v>#N/A</v>
      </c>
    </row>
    <row r="38" spans="1:2" x14ac:dyDescent="0.25">
      <c r="A38" t="e">
        <f ca="1">IF(OR(B36=0,B36=""),"BORRAR","    &lt;/selectoption&gt;")</f>
        <v>#N/A</v>
      </c>
    </row>
    <row r="39" spans="1:2" x14ac:dyDescent="0.25">
      <c r="A39" s="78" t="e">
        <f t="shared" ref="A39" ca="1" si="4">IF(OR(B40=0,B40=""),"BORRAR","    &lt;selectoption&gt;")</f>
        <v>#N/A</v>
      </c>
      <c r="B39" s="91">
        <f t="shared" ref="B39" si="5">B35+1</f>
        <v>4</v>
      </c>
    </row>
    <row r="40" spans="1:2" x14ac:dyDescent="0.25">
      <c r="A40" t="e">
        <f t="shared" ref="A40" ca="1" si="6">IF(OR(B40=0,B40=""),"BORRAR","      &lt;text&gt;"&amp;B40&amp;"&lt;/text&gt;")</f>
        <v>#N/A</v>
      </c>
      <c r="B40" s="60" t="e">
        <f t="shared" ca="1" si="2"/>
        <v>#N/A</v>
      </c>
    </row>
    <row r="41" spans="1:2" x14ac:dyDescent="0.25">
      <c r="A41" t="e">
        <f t="shared" ref="A41" ca="1" si="7">IF(OR(B40=0,B40=""),"BORRAR","      &lt;group&gt;"&amp;B41&amp;"&lt;/group&gt;")</f>
        <v>#N/A</v>
      </c>
      <c r="B41" s="60" t="e">
        <f t="shared" ref="B41:B73" ca="1" si="8">INDIRECT("Par_"&amp;IF(B39&lt;10,"0","")&amp;B39&amp;"_1")</f>
        <v>#N/A</v>
      </c>
    </row>
    <row r="42" spans="1:2" x14ac:dyDescent="0.25">
      <c r="A42" t="e">
        <f t="shared" ref="A42" ca="1" si="9">IF(OR(B40=0,B40=""),"BORRAR","    &lt;/selectoption&gt;")</f>
        <v>#N/A</v>
      </c>
    </row>
    <row r="43" spans="1:2" x14ac:dyDescent="0.25">
      <c r="A43" s="78" t="e">
        <f t="shared" ref="A43" ca="1" si="10">IF(OR(B44=0,B44=""),"BORRAR","    &lt;selectoption&gt;")</f>
        <v>#N/A</v>
      </c>
      <c r="B43" s="91">
        <f t="shared" ref="B43" si="11">B39+1</f>
        <v>5</v>
      </c>
    </row>
    <row r="44" spans="1:2" x14ac:dyDescent="0.25">
      <c r="A44" t="e">
        <f t="shared" ref="A44" ca="1" si="12">IF(OR(B44=0,B44=""),"BORRAR","      &lt;text&gt;"&amp;B44&amp;"&lt;/text&gt;")</f>
        <v>#N/A</v>
      </c>
      <c r="B44" s="60" t="e">
        <f t="shared" ca="1" si="2"/>
        <v>#N/A</v>
      </c>
    </row>
    <row r="45" spans="1:2" x14ac:dyDescent="0.25">
      <c r="A45" t="e">
        <f t="shared" ref="A45" ca="1" si="13">IF(OR(B44=0,B44=""),"BORRAR","      &lt;group&gt;"&amp;B45&amp;"&lt;/group&gt;")</f>
        <v>#N/A</v>
      </c>
      <c r="B45" s="60" t="e">
        <f t="shared" ca="1" si="8"/>
        <v>#N/A</v>
      </c>
    </row>
    <row r="46" spans="1:2" x14ac:dyDescent="0.25">
      <c r="A46" t="e">
        <f t="shared" ref="A46" ca="1" si="14">IF(OR(B44=0,B44=""),"BORRAR","    &lt;/selectoption&gt;")</f>
        <v>#N/A</v>
      </c>
    </row>
    <row r="47" spans="1:2" x14ac:dyDescent="0.25">
      <c r="A47" s="78" t="e">
        <f t="shared" ref="A47" ca="1" si="15">IF(OR(B48=0,B48=""),"BORRAR","    &lt;selectoption&gt;")</f>
        <v>#N/A</v>
      </c>
      <c r="B47" s="91">
        <f t="shared" ref="B47" si="16">B43+1</f>
        <v>6</v>
      </c>
    </row>
    <row r="48" spans="1:2" x14ac:dyDescent="0.25">
      <c r="A48" t="e">
        <f t="shared" ref="A48" ca="1" si="17">IF(OR(B48=0,B48=""),"BORRAR","      &lt;text&gt;"&amp;B48&amp;"&lt;/text&gt;")</f>
        <v>#N/A</v>
      </c>
      <c r="B48" s="60" t="e">
        <f t="shared" ca="1" si="2"/>
        <v>#N/A</v>
      </c>
    </row>
    <row r="49" spans="1:2" x14ac:dyDescent="0.25">
      <c r="A49" t="e">
        <f t="shared" ref="A49" ca="1" si="18">IF(OR(B48=0,B48=""),"BORRAR","      &lt;group&gt;"&amp;B49&amp;"&lt;/group&gt;")</f>
        <v>#N/A</v>
      </c>
      <c r="B49" s="60" t="e">
        <f t="shared" ca="1" si="8"/>
        <v>#N/A</v>
      </c>
    </row>
    <row r="50" spans="1:2" x14ac:dyDescent="0.25">
      <c r="A50" t="e">
        <f t="shared" ref="A50" ca="1" si="19">IF(OR(B48=0,B48=""),"BORRAR","    &lt;/selectoption&gt;")</f>
        <v>#N/A</v>
      </c>
    </row>
    <row r="51" spans="1:2" x14ac:dyDescent="0.25">
      <c r="A51" s="78" t="e">
        <f t="shared" ref="A51" ca="1" si="20">IF(OR(B52=0,B52=""),"BORRAR","    &lt;selectoption&gt;")</f>
        <v>#N/A</v>
      </c>
      <c r="B51" s="91">
        <f t="shared" ref="B51" si="21">B47+1</f>
        <v>7</v>
      </c>
    </row>
    <row r="52" spans="1:2" x14ac:dyDescent="0.25">
      <c r="A52" t="e">
        <f t="shared" ref="A52" ca="1" si="22">IF(OR(B52=0,B52=""),"BORRAR","      &lt;text&gt;"&amp;B52&amp;"&lt;/text&gt;")</f>
        <v>#N/A</v>
      </c>
      <c r="B52" s="60" t="e">
        <f t="shared" ca="1" si="2"/>
        <v>#N/A</v>
      </c>
    </row>
    <row r="53" spans="1:2" x14ac:dyDescent="0.25">
      <c r="A53" t="e">
        <f t="shared" ref="A53" ca="1" si="23">IF(OR(B52=0,B52=""),"BORRAR","      &lt;group&gt;"&amp;B53&amp;"&lt;/group&gt;")</f>
        <v>#N/A</v>
      </c>
      <c r="B53" s="60" t="e">
        <f t="shared" ca="1" si="8"/>
        <v>#N/A</v>
      </c>
    </row>
    <row r="54" spans="1:2" x14ac:dyDescent="0.25">
      <c r="A54" t="e">
        <f t="shared" ref="A54" ca="1" si="24">IF(OR(B52=0,B52=""),"BORRAR","    &lt;/selectoption&gt;")</f>
        <v>#N/A</v>
      </c>
    </row>
    <row r="55" spans="1:2" x14ac:dyDescent="0.25">
      <c r="A55" s="78" t="e">
        <f t="shared" ref="A55" ca="1" si="25">IF(OR(B56=0,B56=""),"BORRAR","    &lt;selectoption&gt;")</f>
        <v>#N/A</v>
      </c>
      <c r="B55" s="91">
        <f t="shared" ref="B55" si="26">B51+1</f>
        <v>8</v>
      </c>
    </row>
    <row r="56" spans="1:2" x14ac:dyDescent="0.25">
      <c r="A56" t="e">
        <f t="shared" ref="A56" ca="1" si="27">IF(OR(B56=0,B56=""),"BORRAR","      &lt;text&gt;"&amp;B56&amp;"&lt;/text&gt;")</f>
        <v>#N/A</v>
      </c>
      <c r="B56" s="60" t="e">
        <f t="shared" ca="1" si="2"/>
        <v>#N/A</v>
      </c>
    </row>
    <row r="57" spans="1:2" x14ac:dyDescent="0.25">
      <c r="A57" t="e">
        <f t="shared" ref="A57" ca="1" si="28">IF(OR(B56=0,B56=""),"BORRAR","      &lt;group&gt;"&amp;B57&amp;"&lt;/group&gt;")</f>
        <v>#N/A</v>
      </c>
      <c r="B57" s="60" t="e">
        <f t="shared" ca="1" si="8"/>
        <v>#N/A</v>
      </c>
    </row>
    <row r="58" spans="1:2" x14ac:dyDescent="0.25">
      <c r="A58" t="e">
        <f t="shared" ref="A58" ca="1" si="29">IF(OR(B56=0,B56=""),"BORRAR","    &lt;/selectoption&gt;")</f>
        <v>#N/A</v>
      </c>
    </row>
    <row r="59" spans="1:2" x14ac:dyDescent="0.25">
      <c r="A59" s="78" t="e">
        <f t="shared" ref="A59" ca="1" si="30">IF(OR(B60=0,B60=""),"BORRAR","    &lt;selectoption&gt;")</f>
        <v>#N/A</v>
      </c>
      <c r="B59" s="91">
        <f t="shared" ref="B59" si="31">B55+1</f>
        <v>9</v>
      </c>
    </row>
    <row r="60" spans="1:2" x14ac:dyDescent="0.25">
      <c r="A60" t="e">
        <f t="shared" ref="A60" ca="1" si="32">IF(OR(B60=0,B60=""),"BORRAR","      &lt;text&gt;"&amp;B60&amp;"&lt;/text&gt;")</f>
        <v>#N/A</v>
      </c>
      <c r="B60" s="60" t="e">
        <f t="shared" ca="1" si="2"/>
        <v>#N/A</v>
      </c>
    </row>
    <row r="61" spans="1:2" x14ac:dyDescent="0.25">
      <c r="A61" t="e">
        <f t="shared" ref="A61" ca="1" si="33">IF(OR(B60=0,B60=""),"BORRAR","      &lt;group&gt;"&amp;B61&amp;"&lt;/group&gt;")</f>
        <v>#N/A</v>
      </c>
      <c r="B61" s="60" t="e">
        <f t="shared" ca="1" si="8"/>
        <v>#N/A</v>
      </c>
    </row>
    <row r="62" spans="1:2" x14ac:dyDescent="0.25">
      <c r="A62" t="e">
        <f t="shared" ref="A62" ca="1" si="34">IF(OR(B60=0,B60=""),"BORRAR","    &lt;/selectoption&gt;")</f>
        <v>#N/A</v>
      </c>
    </row>
    <row r="63" spans="1:2" x14ac:dyDescent="0.25">
      <c r="A63" s="78" t="e">
        <f t="shared" ref="A63" ca="1" si="35">IF(OR(B64=0,B64=""),"BORRAR","    &lt;selectoption&gt;")</f>
        <v>#N/A</v>
      </c>
      <c r="B63" s="91">
        <f t="shared" ref="B63" si="36">B59+1</f>
        <v>10</v>
      </c>
    </row>
    <row r="64" spans="1:2" x14ac:dyDescent="0.25">
      <c r="A64" t="e">
        <f t="shared" ref="A64" ca="1" si="37">IF(OR(B64=0,B64=""),"BORRAR","      &lt;text&gt;"&amp;B64&amp;"&lt;/text&gt;")</f>
        <v>#N/A</v>
      </c>
      <c r="B64" s="60" t="e">
        <f t="shared" ca="1" si="2"/>
        <v>#N/A</v>
      </c>
    </row>
    <row r="65" spans="1:2" x14ac:dyDescent="0.25">
      <c r="A65" t="e">
        <f t="shared" ref="A65" ca="1" si="38">IF(OR(B64=0,B64=""),"BORRAR","      &lt;group&gt;"&amp;B65&amp;"&lt;/group&gt;")</f>
        <v>#N/A</v>
      </c>
      <c r="B65" s="60" t="e">
        <f t="shared" ca="1" si="8"/>
        <v>#N/A</v>
      </c>
    </row>
    <row r="66" spans="1:2" x14ac:dyDescent="0.25">
      <c r="A66" t="e">
        <f t="shared" ref="A66" ca="1" si="39">IF(OR(B64=0,B64=""),"BORRAR","    &lt;/selectoption&gt;")</f>
        <v>#N/A</v>
      </c>
    </row>
    <row r="67" spans="1:2" x14ac:dyDescent="0.25">
      <c r="A67" s="78" t="e">
        <f t="shared" ref="A67" ca="1" si="40">IF(OR(B68=0,B68=""),"BORRAR","    &lt;selectoption&gt;")</f>
        <v>#N/A</v>
      </c>
      <c r="B67" s="91">
        <f t="shared" ref="B67" si="41">B63+1</f>
        <v>11</v>
      </c>
    </row>
    <row r="68" spans="1:2" x14ac:dyDescent="0.25">
      <c r="A68" t="e">
        <f t="shared" ref="A68" ca="1" si="42">IF(OR(B68=0,B68=""),"BORRAR","      &lt;text&gt;"&amp;B68&amp;"&lt;/text&gt;")</f>
        <v>#N/A</v>
      </c>
      <c r="B68" s="60" t="e">
        <f t="shared" ca="1" si="2"/>
        <v>#N/A</v>
      </c>
    </row>
    <row r="69" spans="1:2" x14ac:dyDescent="0.25">
      <c r="A69" t="e">
        <f t="shared" ref="A69" ca="1" si="43">IF(OR(B68=0,B68=""),"BORRAR","      &lt;group&gt;"&amp;B69&amp;"&lt;/group&gt;")</f>
        <v>#N/A</v>
      </c>
      <c r="B69" s="60" t="e">
        <f t="shared" ca="1" si="8"/>
        <v>#N/A</v>
      </c>
    </row>
    <row r="70" spans="1:2" x14ac:dyDescent="0.25">
      <c r="A70" t="e">
        <f t="shared" ref="A70" ca="1" si="44">IF(OR(B68=0,B68=""),"BORRAR","    &lt;/selectoption&gt;")</f>
        <v>#N/A</v>
      </c>
    </row>
    <row r="71" spans="1:2" x14ac:dyDescent="0.25">
      <c r="A71" s="78" t="e">
        <f t="shared" ref="A71" ca="1" si="45">IF(OR(B72=0,B72=""),"BORRAR","    &lt;selectoption&gt;")</f>
        <v>#N/A</v>
      </c>
      <c r="B71" s="91">
        <f t="shared" ref="B71" si="46">B67+1</f>
        <v>12</v>
      </c>
    </row>
    <row r="72" spans="1:2" x14ac:dyDescent="0.25">
      <c r="A72" t="e">
        <f t="shared" ref="A72" ca="1" si="47">IF(OR(B72=0,B72=""),"BORRAR","      &lt;text&gt;"&amp;B72&amp;"&lt;/text&gt;")</f>
        <v>#N/A</v>
      </c>
      <c r="B72" s="60" t="e">
        <f t="shared" ca="1" si="2"/>
        <v>#N/A</v>
      </c>
    </row>
    <row r="73" spans="1:2" x14ac:dyDescent="0.25">
      <c r="A73" t="e">
        <f t="shared" ref="A73" ca="1" si="48">IF(OR(B72=0,B72=""),"BORRAR","      &lt;group&gt;"&amp;B73&amp;"&lt;/group&gt;")</f>
        <v>#N/A</v>
      </c>
      <c r="B73" s="60" t="e">
        <f t="shared" ca="1" si="8"/>
        <v>#N/A</v>
      </c>
    </row>
    <row r="74" spans="1:2" x14ac:dyDescent="0.25">
      <c r="A74" t="e">
        <f t="shared" ref="A74" ca="1" si="49">IF(OR(B72=0,B72=""),"BORRAR","    &lt;/selectoption&gt;")</f>
        <v>#N/A</v>
      </c>
    </row>
  </sheetData>
  <sheetProtection algorithmName="SHA-512" hashValue="KfLgbqtfqdGiHFg+iU0Qfar6uO2o0Gi4WWfJTheeRbdIKlTezTEEQ4ap1CsNj/vSkXJeuqsDAADQkwIhdMM/Gw==" saltValue="psT7DpaVGSWcM2CCfjY3nw=="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B3654"/>
  <sheetViews>
    <sheetView showGridLines="0" showRowColHeaders="0" zoomScale="145" zoomScaleNormal="145" workbookViewId="0">
      <pane ySplit="11" topLeftCell="A12" activePane="bottomLeft" state="frozen"/>
      <selection pane="bottomLeft" sqref="A1:A1214"/>
    </sheetView>
  </sheetViews>
  <sheetFormatPr baseColWidth="10" defaultRowHeight="15" x14ac:dyDescent="0.25"/>
  <cols>
    <col min="1" max="1" width="70.7109375" customWidth="1"/>
    <col min="2" max="2" width="61.7109375" bestFit="1" customWidth="1"/>
  </cols>
  <sheetData>
    <row r="1" spans="1:2" x14ac:dyDescent="0.25">
      <c r="A1" t="s">
        <v>275</v>
      </c>
      <c r="B1" s="56">
        <f>COUNTA(A:A)+1</f>
        <v>1214</v>
      </c>
    </row>
    <row r="2" spans="1:2" x14ac:dyDescent="0.25">
      <c r="A2" s="72" t="s">
        <v>103</v>
      </c>
      <c r="B2" s="57" t="s">
        <v>102</v>
      </c>
    </row>
    <row r="3" spans="1:2" x14ac:dyDescent="0.25">
      <c r="A3" t="s">
        <v>104</v>
      </c>
      <c r="B3" t="s">
        <v>104</v>
      </c>
    </row>
    <row r="4" spans="1:2" x14ac:dyDescent="0.25">
      <c r="A4" t="s">
        <v>105</v>
      </c>
      <c r="B4" t="s">
        <v>105</v>
      </c>
    </row>
    <row r="5" spans="1:2" x14ac:dyDescent="0.25">
      <c r="A5" t="s">
        <v>106</v>
      </c>
      <c r="B5" t="s">
        <v>106</v>
      </c>
    </row>
    <row r="6" spans="1:2" x14ac:dyDescent="0.25">
      <c r="A6" s="109" t="s">
        <v>369</v>
      </c>
      <c r="B6" s="57" t="str">
        <f>"      &lt;text&gt;$course$/top/"&amp;Tit_Categ&amp;IF(Tit_Subcat=FALSE,"","/"&amp;Tit_Subcat)&amp;"&lt;/text&gt;"</f>
        <v xml:space="preserve">      &lt;text&gt;$course$/top/TEMA 01/01_OM_1RESP&lt;/text&gt;</v>
      </c>
    </row>
    <row r="7" spans="1:2" x14ac:dyDescent="0.25">
      <c r="A7" s="109" t="s">
        <v>107</v>
      </c>
      <c r="B7" t="s">
        <v>107</v>
      </c>
    </row>
    <row r="8" spans="1:2" x14ac:dyDescent="0.25">
      <c r="A8" s="109" t="s">
        <v>108</v>
      </c>
      <c r="B8" t="s">
        <v>108</v>
      </c>
    </row>
    <row r="9" spans="1:2" x14ac:dyDescent="0.25">
      <c r="A9" s="109" t="s">
        <v>370</v>
      </c>
      <c r="B9" s="57" t="str">
        <f>"      &lt;text&gt;&lt;![CDATA[&lt;p&gt;"&amp;Des_Categ&amp;" "&amp;Tit_Categ&amp;" "&amp;IF(Des_Subcat="FALSO","",Des_Subcat)&amp;"&lt;/p&gt;]]&gt;&lt;/text&gt;"</f>
        <v xml:space="preserve">      &lt;text&gt;&lt;![CDATA[&lt;p&gt; TEMA 01 en una subcategoría&lt;/p&gt;]]&gt;&lt;/text&gt;</v>
      </c>
    </row>
    <row r="10" spans="1:2" x14ac:dyDescent="0.25">
      <c r="A10" t="s">
        <v>109</v>
      </c>
      <c r="B10" t="s">
        <v>109</v>
      </c>
    </row>
    <row r="11" spans="1:2" x14ac:dyDescent="0.25">
      <c r="A11" t="s">
        <v>110</v>
      </c>
      <c r="B11" t="s">
        <v>110</v>
      </c>
    </row>
    <row r="12" spans="1:2" x14ac:dyDescent="0.25">
      <c r="A12" t="s">
        <v>423</v>
      </c>
    </row>
    <row r="13" spans="1:2" x14ac:dyDescent="0.25">
      <c r="A13" t="s">
        <v>73</v>
      </c>
    </row>
    <row r="14" spans="1:2" x14ac:dyDescent="0.25">
      <c r="A14" t="s">
        <v>75</v>
      </c>
    </row>
    <row r="15" spans="1:2" x14ac:dyDescent="0.25">
      <c r="A15" t="s">
        <v>424</v>
      </c>
    </row>
    <row r="16" spans="1:2" x14ac:dyDescent="0.25">
      <c r="A16" t="s">
        <v>77</v>
      </c>
    </row>
    <row r="17" spans="1:1" x14ac:dyDescent="0.25">
      <c r="A17" t="s">
        <v>78</v>
      </c>
    </row>
    <row r="18" spans="1:1" x14ac:dyDescent="0.25">
      <c r="A18" t="s">
        <v>425</v>
      </c>
    </row>
    <row r="19" spans="1:1" x14ac:dyDescent="0.25">
      <c r="A19" t="s">
        <v>79</v>
      </c>
    </row>
    <row r="20" spans="1:1" x14ac:dyDescent="0.25">
      <c r="A20" t="s">
        <v>80</v>
      </c>
    </row>
    <row r="21" spans="1:1" x14ac:dyDescent="0.25">
      <c r="A21" t="s">
        <v>371</v>
      </c>
    </row>
    <row r="22" spans="1:1" x14ac:dyDescent="0.25">
      <c r="A22" t="s">
        <v>82</v>
      </c>
    </row>
    <row r="23" spans="1:1" x14ac:dyDescent="0.25">
      <c r="A23" t="s">
        <v>278</v>
      </c>
    </row>
    <row r="24" spans="1:1" x14ac:dyDescent="0.25">
      <c r="A24" t="s">
        <v>337</v>
      </c>
    </row>
    <row r="25" spans="1:1" x14ac:dyDescent="0.25">
      <c r="A25" t="s">
        <v>111</v>
      </c>
    </row>
    <row r="26" spans="1:1" x14ac:dyDescent="0.25">
      <c r="A26" t="s">
        <v>279</v>
      </c>
    </row>
    <row r="27" spans="1:1" x14ac:dyDescent="0.25">
      <c r="A27" t="s">
        <v>426</v>
      </c>
    </row>
    <row r="28" spans="1:1" x14ac:dyDescent="0.25">
      <c r="A28" t="s">
        <v>373</v>
      </c>
    </row>
    <row r="29" spans="1:1" x14ac:dyDescent="0.25">
      <c r="A29" t="s">
        <v>427</v>
      </c>
    </row>
    <row r="30" spans="1:1" x14ac:dyDescent="0.25">
      <c r="A30" t="s">
        <v>90</v>
      </c>
    </row>
    <row r="31" spans="1:1" x14ac:dyDescent="0.25">
      <c r="A31" t="s">
        <v>374</v>
      </c>
    </row>
    <row r="32" spans="1:1" x14ac:dyDescent="0.25">
      <c r="A32" t="s">
        <v>91</v>
      </c>
    </row>
    <row r="33" spans="1:1" x14ac:dyDescent="0.25">
      <c r="A33" t="s">
        <v>92</v>
      </c>
    </row>
    <row r="34" spans="1:1" x14ac:dyDescent="0.25">
      <c r="A34" t="s">
        <v>375</v>
      </c>
    </row>
    <row r="35" spans="1:1" x14ac:dyDescent="0.25">
      <c r="A35" t="s">
        <v>93</v>
      </c>
    </row>
    <row r="36" spans="1:1" x14ac:dyDescent="0.25">
      <c r="A36" t="s">
        <v>94</v>
      </c>
    </row>
    <row r="37" spans="1:1" x14ac:dyDescent="0.25">
      <c r="A37" t="s">
        <v>376</v>
      </c>
    </row>
    <row r="38" spans="1:1" x14ac:dyDescent="0.25">
      <c r="A38" t="s">
        <v>95</v>
      </c>
    </row>
    <row r="39" spans="1:1" x14ac:dyDescent="0.25">
      <c r="A39" t="s">
        <v>97</v>
      </c>
    </row>
    <row r="40" spans="1:1" x14ac:dyDescent="0.25">
      <c r="A40" t="s">
        <v>428</v>
      </c>
    </row>
    <row r="41" spans="1:1" x14ac:dyDescent="0.25">
      <c r="A41" t="s">
        <v>429</v>
      </c>
    </row>
    <row r="42" spans="1:1" x14ac:dyDescent="0.25">
      <c r="A42" t="s">
        <v>100</v>
      </c>
    </row>
    <row r="43" spans="1:1" x14ac:dyDescent="0.25">
      <c r="A43" t="s">
        <v>430</v>
      </c>
    </row>
    <row r="44" spans="1:1" x14ac:dyDescent="0.25">
      <c r="A44" t="s">
        <v>112</v>
      </c>
    </row>
    <row r="45" spans="1:1" x14ac:dyDescent="0.25">
      <c r="A45" t="s">
        <v>113</v>
      </c>
    </row>
    <row r="46" spans="1:1" x14ac:dyDescent="0.25">
      <c r="A46" t="s">
        <v>431</v>
      </c>
    </row>
    <row r="47" spans="1:1" x14ac:dyDescent="0.25">
      <c r="A47" t="s">
        <v>432</v>
      </c>
    </row>
    <row r="48" spans="1:1" x14ac:dyDescent="0.25">
      <c r="A48" t="s">
        <v>100</v>
      </c>
    </row>
    <row r="49" spans="1:1" x14ac:dyDescent="0.25">
      <c r="A49" t="s">
        <v>433</v>
      </c>
    </row>
    <row r="50" spans="1:1" x14ac:dyDescent="0.25">
      <c r="A50" t="s">
        <v>112</v>
      </c>
    </row>
    <row r="51" spans="1:1" x14ac:dyDescent="0.25">
      <c r="A51" t="s">
        <v>113</v>
      </c>
    </row>
    <row r="52" spans="1:1" x14ac:dyDescent="0.25">
      <c r="A52" t="s">
        <v>431</v>
      </c>
    </row>
    <row r="53" spans="1:1" x14ac:dyDescent="0.25">
      <c r="A53" t="s">
        <v>434</v>
      </c>
    </row>
    <row r="54" spans="1:1" x14ac:dyDescent="0.25">
      <c r="A54" t="s">
        <v>100</v>
      </c>
    </row>
    <row r="55" spans="1:1" x14ac:dyDescent="0.25">
      <c r="A55" t="s">
        <v>435</v>
      </c>
    </row>
    <row r="56" spans="1:1" x14ac:dyDescent="0.25">
      <c r="A56" t="s">
        <v>112</v>
      </c>
    </row>
    <row r="57" spans="1:1" x14ac:dyDescent="0.25">
      <c r="A57" t="s">
        <v>113</v>
      </c>
    </row>
    <row r="58" spans="1:1" x14ac:dyDescent="0.25">
      <c r="A58" t="s">
        <v>431</v>
      </c>
    </row>
    <row r="59" spans="1:1" x14ac:dyDescent="0.25">
      <c r="A59" t="s">
        <v>436</v>
      </c>
    </row>
    <row r="60" spans="1:1" x14ac:dyDescent="0.25">
      <c r="A60" t="s">
        <v>100</v>
      </c>
    </row>
    <row r="61" spans="1:1" x14ac:dyDescent="0.25">
      <c r="A61" t="s">
        <v>437</v>
      </c>
    </row>
    <row r="62" spans="1:1" x14ac:dyDescent="0.25">
      <c r="A62" t="s">
        <v>112</v>
      </c>
    </row>
    <row r="63" spans="1:1" x14ac:dyDescent="0.25">
      <c r="A63" t="s">
        <v>113</v>
      </c>
    </row>
    <row r="64" spans="1:1" x14ac:dyDescent="0.25">
      <c r="A64" t="s">
        <v>431</v>
      </c>
    </row>
    <row r="65" spans="1:1" x14ac:dyDescent="0.25">
      <c r="A65" t="s">
        <v>438</v>
      </c>
    </row>
    <row r="66" spans="1:1" x14ac:dyDescent="0.25">
      <c r="A66" t="s">
        <v>100</v>
      </c>
    </row>
    <row r="67" spans="1:1" x14ac:dyDescent="0.25">
      <c r="A67" t="s">
        <v>439</v>
      </c>
    </row>
    <row r="68" spans="1:1" x14ac:dyDescent="0.25">
      <c r="A68" t="s">
        <v>112</v>
      </c>
    </row>
    <row r="69" spans="1:1" x14ac:dyDescent="0.25">
      <c r="A69" t="s">
        <v>113</v>
      </c>
    </row>
    <row r="70" spans="1:1" x14ac:dyDescent="0.25">
      <c r="A70" t="s">
        <v>431</v>
      </c>
    </row>
    <row r="71" spans="1:1" x14ac:dyDescent="0.25">
      <c r="A71" t="s">
        <v>440</v>
      </c>
    </row>
    <row r="72" spans="1:1" x14ac:dyDescent="0.25">
      <c r="A72" t="s">
        <v>100</v>
      </c>
    </row>
    <row r="73" spans="1:1" x14ac:dyDescent="0.25">
      <c r="A73" t="s">
        <v>441</v>
      </c>
    </row>
    <row r="74" spans="1:1" x14ac:dyDescent="0.25">
      <c r="A74" t="s">
        <v>112</v>
      </c>
    </row>
    <row r="75" spans="1:1" x14ac:dyDescent="0.25">
      <c r="A75" t="s">
        <v>113</v>
      </c>
    </row>
    <row r="76" spans="1:1" x14ac:dyDescent="0.25">
      <c r="A76" t="s">
        <v>280</v>
      </c>
    </row>
    <row r="77" spans="1:1" x14ac:dyDescent="0.25">
      <c r="A77" t="s">
        <v>442</v>
      </c>
    </row>
    <row r="78" spans="1:1" x14ac:dyDescent="0.25">
      <c r="A78" t="s">
        <v>73</v>
      </c>
    </row>
    <row r="79" spans="1:1" x14ac:dyDescent="0.25">
      <c r="A79" t="s">
        <v>75</v>
      </c>
    </row>
    <row r="80" spans="1:1" x14ac:dyDescent="0.25">
      <c r="A80" t="s">
        <v>443</v>
      </c>
    </row>
    <row r="81" spans="1:1" x14ac:dyDescent="0.25">
      <c r="A81" t="s">
        <v>77</v>
      </c>
    </row>
    <row r="82" spans="1:1" x14ac:dyDescent="0.25">
      <c r="A82" t="s">
        <v>78</v>
      </c>
    </row>
    <row r="83" spans="1:1" x14ac:dyDescent="0.25">
      <c r="A83" t="s">
        <v>444</v>
      </c>
    </row>
    <row r="84" spans="1:1" x14ac:dyDescent="0.25">
      <c r="A84" t="s">
        <v>79</v>
      </c>
    </row>
    <row r="85" spans="1:1" x14ac:dyDescent="0.25">
      <c r="A85" t="s">
        <v>80</v>
      </c>
    </row>
    <row r="86" spans="1:1" x14ac:dyDescent="0.25">
      <c r="A86" t="s">
        <v>371</v>
      </c>
    </row>
    <row r="87" spans="1:1" x14ac:dyDescent="0.25">
      <c r="A87" t="s">
        <v>82</v>
      </c>
    </row>
    <row r="88" spans="1:1" x14ac:dyDescent="0.25">
      <c r="A88" t="s">
        <v>278</v>
      </c>
    </row>
    <row r="89" spans="1:1" x14ac:dyDescent="0.25">
      <c r="A89" t="s">
        <v>337</v>
      </c>
    </row>
    <row r="90" spans="1:1" x14ac:dyDescent="0.25">
      <c r="A90" t="s">
        <v>111</v>
      </c>
    </row>
    <row r="91" spans="1:1" x14ac:dyDescent="0.25">
      <c r="A91" t="s">
        <v>279</v>
      </c>
    </row>
    <row r="92" spans="1:1" x14ac:dyDescent="0.25">
      <c r="A92" t="s">
        <v>426</v>
      </c>
    </row>
    <row r="93" spans="1:1" x14ac:dyDescent="0.25">
      <c r="A93" t="s">
        <v>373</v>
      </c>
    </row>
    <row r="94" spans="1:1" x14ac:dyDescent="0.25">
      <c r="A94" t="s">
        <v>427</v>
      </c>
    </row>
    <row r="95" spans="1:1" x14ac:dyDescent="0.25">
      <c r="A95" t="s">
        <v>90</v>
      </c>
    </row>
    <row r="96" spans="1:1" x14ac:dyDescent="0.25">
      <c r="A96" t="s">
        <v>374</v>
      </c>
    </row>
    <row r="97" spans="1:1" x14ac:dyDescent="0.25">
      <c r="A97" t="s">
        <v>91</v>
      </c>
    </row>
    <row r="98" spans="1:1" x14ac:dyDescent="0.25">
      <c r="A98" t="s">
        <v>92</v>
      </c>
    </row>
    <row r="99" spans="1:1" x14ac:dyDescent="0.25">
      <c r="A99" t="s">
        <v>375</v>
      </c>
    </row>
    <row r="100" spans="1:1" x14ac:dyDescent="0.25">
      <c r="A100" t="s">
        <v>93</v>
      </c>
    </row>
    <row r="101" spans="1:1" x14ac:dyDescent="0.25">
      <c r="A101" t="s">
        <v>94</v>
      </c>
    </row>
    <row r="102" spans="1:1" x14ac:dyDescent="0.25">
      <c r="A102" t="s">
        <v>376</v>
      </c>
    </row>
    <row r="103" spans="1:1" x14ac:dyDescent="0.25">
      <c r="A103" t="s">
        <v>95</v>
      </c>
    </row>
    <row r="104" spans="1:1" x14ac:dyDescent="0.25">
      <c r="A104" t="s">
        <v>97</v>
      </c>
    </row>
    <row r="105" spans="1:1" x14ac:dyDescent="0.25">
      <c r="A105" s="108" t="s">
        <v>428</v>
      </c>
    </row>
    <row r="106" spans="1:1" x14ac:dyDescent="0.25">
      <c r="A106" t="s">
        <v>445</v>
      </c>
    </row>
    <row r="107" spans="1:1" x14ac:dyDescent="0.25">
      <c r="A107" t="s">
        <v>100</v>
      </c>
    </row>
    <row r="108" spans="1:1" x14ac:dyDescent="0.25">
      <c r="A108" t="s">
        <v>446</v>
      </c>
    </row>
    <row r="109" spans="1:1" x14ac:dyDescent="0.25">
      <c r="A109" t="s">
        <v>112</v>
      </c>
    </row>
    <row r="110" spans="1:1" x14ac:dyDescent="0.25">
      <c r="A110" t="s">
        <v>113</v>
      </c>
    </row>
    <row r="111" spans="1:1" x14ac:dyDescent="0.25">
      <c r="A111" t="s">
        <v>447</v>
      </c>
    </row>
    <row r="112" spans="1:1" x14ac:dyDescent="0.25">
      <c r="A112" t="s">
        <v>556</v>
      </c>
    </row>
    <row r="113" spans="1:1" x14ac:dyDescent="0.25">
      <c r="A113" t="s">
        <v>100</v>
      </c>
    </row>
    <row r="114" spans="1:1" x14ac:dyDescent="0.25">
      <c r="A114" t="s">
        <v>448</v>
      </c>
    </row>
    <row r="115" spans="1:1" x14ac:dyDescent="0.25">
      <c r="A115" t="s">
        <v>112</v>
      </c>
    </row>
    <row r="116" spans="1:1" x14ac:dyDescent="0.25">
      <c r="A116" t="s">
        <v>113</v>
      </c>
    </row>
    <row r="117" spans="1:1" x14ac:dyDescent="0.25">
      <c r="A117" t="s">
        <v>447</v>
      </c>
    </row>
    <row r="118" spans="1:1" x14ac:dyDescent="0.25">
      <c r="A118" t="s">
        <v>557</v>
      </c>
    </row>
    <row r="119" spans="1:1" x14ac:dyDescent="0.25">
      <c r="A119" t="s">
        <v>100</v>
      </c>
    </row>
    <row r="120" spans="1:1" x14ac:dyDescent="0.25">
      <c r="A120" t="s">
        <v>449</v>
      </c>
    </row>
    <row r="121" spans="1:1" x14ac:dyDescent="0.25">
      <c r="A121" t="s">
        <v>112</v>
      </c>
    </row>
    <row r="122" spans="1:1" x14ac:dyDescent="0.25">
      <c r="A122" t="s">
        <v>113</v>
      </c>
    </row>
    <row r="123" spans="1:1" x14ac:dyDescent="0.25">
      <c r="A123" t="s">
        <v>447</v>
      </c>
    </row>
    <row r="124" spans="1:1" x14ac:dyDescent="0.25">
      <c r="A124" t="s">
        <v>558</v>
      </c>
    </row>
    <row r="125" spans="1:1" x14ac:dyDescent="0.25">
      <c r="A125" t="s">
        <v>100</v>
      </c>
    </row>
    <row r="126" spans="1:1" x14ac:dyDescent="0.25">
      <c r="A126" t="s">
        <v>450</v>
      </c>
    </row>
    <row r="127" spans="1:1" x14ac:dyDescent="0.25">
      <c r="A127" t="s">
        <v>112</v>
      </c>
    </row>
    <row r="128" spans="1:1" x14ac:dyDescent="0.25">
      <c r="A128" t="s">
        <v>113</v>
      </c>
    </row>
    <row r="129" spans="1:1" x14ac:dyDescent="0.25">
      <c r="A129" t="s">
        <v>447</v>
      </c>
    </row>
    <row r="130" spans="1:1" x14ac:dyDescent="0.25">
      <c r="A130" t="s">
        <v>559</v>
      </c>
    </row>
    <row r="131" spans="1:1" x14ac:dyDescent="0.25">
      <c r="A131" t="s">
        <v>100</v>
      </c>
    </row>
    <row r="132" spans="1:1" x14ac:dyDescent="0.25">
      <c r="A132" t="s">
        <v>451</v>
      </c>
    </row>
    <row r="133" spans="1:1" x14ac:dyDescent="0.25">
      <c r="A133" t="s">
        <v>112</v>
      </c>
    </row>
    <row r="134" spans="1:1" x14ac:dyDescent="0.25">
      <c r="A134" t="s">
        <v>113</v>
      </c>
    </row>
    <row r="135" spans="1:1" x14ac:dyDescent="0.25">
      <c r="A135" t="s">
        <v>447</v>
      </c>
    </row>
    <row r="136" spans="1:1" x14ac:dyDescent="0.25">
      <c r="A136" t="s">
        <v>560</v>
      </c>
    </row>
    <row r="137" spans="1:1" x14ac:dyDescent="0.25">
      <c r="A137" t="s">
        <v>100</v>
      </c>
    </row>
    <row r="138" spans="1:1" x14ac:dyDescent="0.25">
      <c r="A138" t="s">
        <v>452</v>
      </c>
    </row>
    <row r="139" spans="1:1" x14ac:dyDescent="0.25">
      <c r="A139" t="s">
        <v>112</v>
      </c>
    </row>
    <row r="140" spans="1:1" x14ac:dyDescent="0.25">
      <c r="A140" t="s">
        <v>113</v>
      </c>
    </row>
    <row r="141" spans="1:1" x14ac:dyDescent="0.25">
      <c r="A141" t="s">
        <v>280</v>
      </c>
    </row>
    <row r="142" spans="1:1" x14ac:dyDescent="0.25">
      <c r="A142" t="s">
        <v>453</v>
      </c>
    </row>
    <row r="143" spans="1:1" x14ac:dyDescent="0.25">
      <c r="A143" t="s">
        <v>73</v>
      </c>
    </row>
    <row r="144" spans="1:1" x14ac:dyDescent="0.25">
      <c r="A144" t="s">
        <v>75</v>
      </c>
    </row>
    <row r="145" spans="1:1" x14ac:dyDescent="0.25">
      <c r="A145" t="s">
        <v>454</v>
      </c>
    </row>
    <row r="146" spans="1:1" x14ac:dyDescent="0.25">
      <c r="A146" t="s">
        <v>77</v>
      </c>
    </row>
    <row r="147" spans="1:1" x14ac:dyDescent="0.25">
      <c r="A147" t="s">
        <v>78</v>
      </c>
    </row>
    <row r="148" spans="1:1" x14ac:dyDescent="0.25">
      <c r="A148" t="s">
        <v>455</v>
      </c>
    </row>
    <row r="149" spans="1:1" x14ac:dyDescent="0.25">
      <c r="A149" t="s">
        <v>79</v>
      </c>
    </row>
    <row r="150" spans="1:1" x14ac:dyDescent="0.25">
      <c r="A150" t="s">
        <v>80</v>
      </c>
    </row>
    <row r="151" spans="1:1" x14ac:dyDescent="0.25">
      <c r="A151" t="s">
        <v>371</v>
      </c>
    </row>
    <row r="152" spans="1:1" x14ac:dyDescent="0.25">
      <c r="A152" t="s">
        <v>82</v>
      </c>
    </row>
    <row r="153" spans="1:1" x14ac:dyDescent="0.25">
      <c r="A153" t="s">
        <v>278</v>
      </c>
    </row>
    <row r="154" spans="1:1" x14ac:dyDescent="0.25">
      <c r="A154" t="s">
        <v>337</v>
      </c>
    </row>
    <row r="155" spans="1:1" x14ac:dyDescent="0.25">
      <c r="A155" t="s">
        <v>111</v>
      </c>
    </row>
    <row r="156" spans="1:1" x14ac:dyDescent="0.25">
      <c r="A156" t="s">
        <v>279</v>
      </c>
    </row>
    <row r="157" spans="1:1" x14ac:dyDescent="0.25">
      <c r="A157" t="s">
        <v>426</v>
      </c>
    </row>
    <row r="158" spans="1:1" x14ac:dyDescent="0.25">
      <c r="A158" t="s">
        <v>373</v>
      </c>
    </row>
    <row r="159" spans="1:1" x14ac:dyDescent="0.25">
      <c r="A159" t="s">
        <v>427</v>
      </c>
    </row>
    <row r="160" spans="1:1" x14ac:dyDescent="0.25">
      <c r="A160" t="s">
        <v>90</v>
      </c>
    </row>
    <row r="161" spans="1:1" x14ac:dyDescent="0.25">
      <c r="A161" t="s">
        <v>374</v>
      </c>
    </row>
    <row r="162" spans="1:1" x14ac:dyDescent="0.25">
      <c r="A162" t="s">
        <v>91</v>
      </c>
    </row>
    <row r="163" spans="1:1" x14ac:dyDescent="0.25">
      <c r="A163" t="s">
        <v>92</v>
      </c>
    </row>
    <row r="164" spans="1:1" x14ac:dyDescent="0.25">
      <c r="A164" t="s">
        <v>375</v>
      </c>
    </row>
    <row r="165" spans="1:1" x14ac:dyDescent="0.25">
      <c r="A165" t="s">
        <v>93</v>
      </c>
    </row>
    <row r="166" spans="1:1" x14ac:dyDescent="0.25">
      <c r="A166" t="s">
        <v>94</v>
      </c>
    </row>
    <row r="167" spans="1:1" x14ac:dyDescent="0.25">
      <c r="A167" t="s">
        <v>376</v>
      </c>
    </row>
    <row r="168" spans="1:1" x14ac:dyDescent="0.25">
      <c r="A168" t="s">
        <v>95</v>
      </c>
    </row>
    <row r="169" spans="1:1" x14ac:dyDescent="0.25">
      <c r="A169" t="s">
        <v>97</v>
      </c>
    </row>
    <row r="170" spans="1:1" x14ac:dyDescent="0.25">
      <c r="A170" t="s">
        <v>428</v>
      </c>
    </row>
    <row r="171" spans="1:1" x14ac:dyDescent="0.25">
      <c r="A171" t="s">
        <v>456</v>
      </c>
    </row>
    <row r="172" spans="1:1" x14ac:dyDescent="0.25">
      <c r="A172" t="s">
        <v>100</v>
      </c>
    </row>
    <row r="173" spans="1:1" x14ac:dyDescent="0.25">
      <c r="A173" t="s">
        <v>457</v>
      </c>
    </row>
    <row r="174" spans="1:1" x14ac:dyDescent="0.25">
      <c r="A174" t="s">
        <v>112</v>
      </c>
    </row>
    <row r="175" spans="1:1" x14ac:dyDescent="0.25">
      <c r="A175" t="s">
        <v>113</v>
      </c>
    </row>
    <row r="176" spans="1:1" x14ac:dyDescent="0.25">
      <c r="A176" t="s">
        <v>447</v>
      </c>
    </row>
    <row r="177" spans="1:1" x14ac:dyDescent="0.25">
      <c r="A177" t="s">
        <v>458</v>
      </c>
    </row>
    <row r="178" spans="1:1" x14ac:dyDescent="0.25">
      <c r="A178" t="s">
        <v>100</v>
      </c>
    </row>
    <row r="179" spans="1:1" x14ac:dyDescent="0.25">
      <c r="A179" t="s">
        <v>457</v>
      </c>
    </row>
    <row r="180" spans="1:1" x14ac:dyDescent="0.25">
      <c r="A180" t="s">
        <v>112</v>
      </c>
    </row>
    <row r="181" spans="1:1" x14ac:dyDescent="0.25">
      <c r="A181" t="s">
        <v>113</v>
      </c>
    </row>
    <row r="182" spans="1:1" x14ac:dyDescent="0.25">
      <c r="A182" t="s">
        <v>447</v>
      </c>
    </row>
    <row r="183" spans="1:1" x14ac:dyDescent="0.25">
      <c r="A183" t="s">
        <v>459</v>
      </c>
    </row>
    <row r="184" spans="1:1" x14ac:dyDescent="0.25">
      <c r="A184" t="s">
        <v>100</v>
      </c>
    </row>
    <row r="185" spans="1:1" x14ac:dyDescent="0.25">
      <c r="A185" t="s">
        <v>457</v>
      </c>
    </row>
    <row r="186" spans="1:1" x14ac:dyDescent="0.25">
      <c r="A186" t="s">
        <v>112</v>
      </c>
    </row>
    <row r="187" spans="1:1" x14ac:dyDescent="0.25">
      <c r="A187" t="s">
        <v>113</v>
      </c>
    </row>
    <row r="188" spans="1:1" x14ac:dyDescent="0.25">
      <c r="A188" t="s">
        <v>280</v>
      </c>
    </row>
    <row r="189" spans="1:1" x14ac:dyDescent="0.25">
      <c r="A189" t="s">
        <v>104</v>
      </c>
    </row>
    <row r="190" spans="1:1" x14ac:dyDescent="0.25">
      <c r="A190" t="s">
        <v>105</v>
      </c>
    </row>
    <row r="191" spans="1:1" x14ac:dyDescent="0.25">
      <c r="A191" t="s">
        <v>106</v>
      </c>
    </row>
    <row r="192" spans="1:1" x14ac:dyDescent="0.25">
      <c r="A192" s="108" t="s">
        <v>460</v>
      </c>
    </row>
    <row r="193" spans="1:1" x14ac:dyDescent="0.25">
      <c r="A193" t="s">
        <v>107</v>
      </c>
    </row>
    <row r="194" spans="1:1" x14ac:dyDescent="0.25">
      <c r="A194" t="s">
        <v>108</v>
      </c>
    </row>
    <row r="195" spans="1:1" x14ac:dyDescent="0.25">
      <c r="A195" t="s">
        <v>370</v>
      </c>
    </row>
    <row r="196" spans="1:1" x14ac:dyDescent="0.25">
      <c r="A196" t="s">
        <v>109</v>
      </c>
    </row>
    <row r="197" spans="1:1" x14ac:dyDescent="0.25">
      <c r="A197" t="s">
        <v>110</v>
      </c>
    </row>
    <row r="198" spans="1:1" x14ac:dyDescent="0.25">
      <c r="A198" t="s">
        <v>461</v>
      </c>
    </row>
    <row r="199" spans="1:1" x14ac:dyDescent="0.25">
      <c r="A199" t="s">
        <v>73</v>
      </c>
    </row>
    <row r="200" spans="1:1" x14ac:dyDescent="0.25">
      <c r="A200" t="s">
        <v>75</v>
      </c>
    </row>
    <row r="201" spans="1:1" x14ac:dyDescent="0.25">
      <c r="A201" t="s">
        <v>462</v>
      </c>
    </row>
    <row r="202" spans="1:1" x14ac:dyDescent="0.25">
      <c r="A202" t="s">
        <v>77</v>
      </c>
    </row>
    <row r="203" spans="1:1" x14ac:dyDescent="0.25">
      <c r="A203" t="s">
        <v>78</v>
      </c>
    </row>
    <row r="204" spans="1:1" x14ac:dyDescent="0.25">
      <c r="A204" t="s">
        <v>425</v>
      </c>
    </row>
    <row r="205" spans="1:1" x14ac:dyDescent="0.25">
      <c r="A205" t="s">
        <v>79</v>
      </c>
    </row>
    <row r="206" spans="1:1" x14ac:dyDescent="0.25">
      <c r="A206" t="s">
        <v>80</v>
      </c>
    </row>
    <row r="207" spans="1:1" x14ac:dyDescent="0.25">
      <c r="A207" t="s">
        <v>371</v>
      </c>
    </row>
    <row r="208" spans="1:1" x14ac:dyDescent="0.25">
      <c r="A208" t="s">
        <v>82</v>
      </c>
    </row>
    <row r="209" spans="1:1" x14ac:dyDescent="0.25">
      <c r="A209" t="s">
        <v>278</v>
      </c>
    </row>
    <row r="210" spans="1:1" x14ac:dyDescent="0.25">
      <c r="A210" t="s">
        <v>337</v>
      </c>
    </row>
    <row r="211" spans="1:1" x14ac:dyDescent="0.25">
      <c r="A211" t="s">
        <v>111</v>
      </c>
    </row>
    <row r="212" spans="1:1" x14ac:dyDescent="0.25">
      <c r="A212" t="s">
        <v>279</v>
      </c>
    </row>
    <row r="213" spans="1:1" x14ac:dyDescent="0.25">
      <c r="A213" t="s">
        <v>463</v>
      </c>
    </row>
    <row r="214" spans="1:1" x14ac:dyDescent="0.25">
      <c r="A214" t="s">
        <v>373</v>
      </c>
    </row>
    <row r="215" spans="1:1" x14ac:dyDescent="0.25">
      <c r="A215" t="s">
        <v>427</v>
      </c>
    </row>
    <row r="216" spans="1:1" x14ac:dyDescent="0.25">
      <c r="A216" t="s">
        <v>90</v>
      </c>
    </row>
    <row r="217" spans="1:1" x14ac:dyDescent="0.25">
      <c r="A217" t="s">
        <v>374</v>
      </c>
    </row>
    <row r="218" spans="1:1" x14ac:dyDescent="0.25">
      <c r="A218" t="s">
        <v>91</v>
      </c>
    </row>
    <row r="219" spans="1:1" x14ac:dyDescent="0.25">
      <c r="A219" t="s">
        <v>92</v>
      </c>
    </row>
    <row r="220" spans="1:1" x14ac:dyDescent="0.25">
      <c r="A220" t="s">
        <v>375</v>
      </c>
    </row>
    <row r="221" spans="1:1" x14ac:dyDescent="0.25">
      <c r="A221" t="s">
        <v>93</v>
      </c>
    </row>
    <row r="222" spans="1:1" x14ac:dyDescent="0.25">
      <c r="A222" t="s">
        <v>94</v>
      </c>
    </row>
    <row r="223" spans="1:1" x14ac:dyDescent="0.25">
      <c r="A223" t="s">
        <v>376</v>
      </c>
    </row>
    <row r="224" spans="1:1" x14ac:dyDescent="0.25">
      <c r="A224" t="s">
        <v>95</v>
      </c>
    </row>
    <row r="225" spans="1:1" x14ac:dyDescent="0.25">
      <c r="A225" t="s">
        <v>97</v>
      </c>
    </row>
    <row r="226" spans="1:1" x14ac:dyDescent="0.25">
      <c r="A226" t="s">
        <v>464</v>
      </c>
    </row>
    <row r="227" spans="1:1" x14ac:dyDescent="0.25">
      <c r="A227" t="s">
        <v>465</v>
      </c>
    </row>
    <row r="228" spans="1:1" x14ac:dyDescent="0.25">
      <c r="A228" t="s">
        <v>100</v>
      </c>
    </row>
    <row r="229" spans="1:1" x14ac:dyDescent="0.25">
      <c r="A229" t="s">
        <v>430</v>
      </c>
    </row>
    <row r="230" spans="1:1" x14ac:dyDescent="0.25">
      <c r="A230" t="s">
        <v>112</v>
      </c>
    </row>
    <row r="231" spans="1:1" x14ac:dyDescent="0.25">
      <c r="A231" t="s">
        <v>113</v>
      </c>
    </row>
    <row r="232" spans="1:1" x14ac:dyDescent="0.25">
      <c r="A232" t="s">
        <v>464</v>
      </c>
    </row>
    <row r="233" spans="1:1" x14ac:dyDescent="0.25">
      <c r="A233" t="s">
        <v>466</v>
      </c>
    </row>
    <row r="234" spans="1:1" x14ac:dyDescent="0.25">
      <c r="A234" t="s">
        <v>100</v>
      </c>
    </row>
    <row r="235" spans="1:1" x14ac:dyDescent="0.25">
      <c r="A235" t="s">
        <v>430</v>
      </c>
    </row>
    <row r="236" spans="1:1" x14ac:dyDescent="0.25">
      <c r="A236" t="s">
        <v>112</v>
      </c>
    </row>
    <row r="237" spans="1:1" x14ac:dyDescent="0.25">
      <c r="A237" t="s">
        <v>113</v>
      </c>
    </row>
    <row r="238" spans="1:1" x14ac:dyDescent="0.25">
      <c r="A238" t="s">
        <v>467</v>
      </c>
    </row>
    <row r="239" spans="1:1" x14ac:dyDescent="0.25">
      <c r="A239" t="s">
        <v>434</v>
      </c>
    </row>
    <row r="240" spans="1:1" x14ac:dyDescent="0.25">
      <c r="A240" t="s">
        <v>100</v>
      </c>
    </row>
    <row r="241" spans="1:1" x14ac:dyDescent="0.25">
      <c r="A241" t="s">
        <v>435</v>
      </c>
    </row>
    <row r="242" spans="1:1" x14ac:dyDescent="0.25">
      <c r="A242" t="s">
        <v>112</v>
      </c>
    </row>
    <row r="243" spans="1:1" x14ac:dyDescent="0.25">
      <c r="A243" t="s">
        <v>113</v>
      </c>
    </row>
    <row r="244" spans="1:1" x14ac:dyDescent="0.25">
      <c r="A244" t="s">
        <v>467</v>
      </c>
    </row>
    <row r="245" spans="1:1" x14ac:dyDescent="0.25">
      <c r="A245" t="s">
        <v>436</v>
      </c>
    </row>
    <row r="246" spans="1:1" x14ac:dyDescent="0.25">
      <c r="A246" t="s">
        <v>100</v>
      </c>
    </row>
    <row r="247" spans="1:1" x14ac:dyDescent="0.25">
      <c r="A247" t="s">
        <v>437</v>
      </c>
    </row>
    <row r="248" spans="1:1" x14ac:dyDescent="0.25">
      <c r="A248" t="s">
        <v>112</v>
      </c>
    </row>
    <row r="249" spans="1:1" x14ac:dyDescent="0.25">
      <c r="A249" t="s">
        <v>113</v>
      </c>
    </row>
    <row r="250" spans="1:1" x14ac:dyDescent="0.25">
      <c r="A250" t="s">
        <v>467</v>
      </c>
    </row>
    <row r="251" spans="1:1" x14ac:dyDescent="0.25">
      <c r="A251" t="s">
        <v>438</v>
      </c>
    </row>
    <row r="252" spans="1:1" x14ac:dyDescent="0.25">
      <c r="A252" t="s">
        <v>100</v>
      </c>
    </row>
    <row r="253" spans="1:1" x14ac:dyDescent="0.25">
      <c r="A253" t="s">
        <v>439</v>
      </c>
    </row>
    <row r="254" spans="1:1" x14ac:dyDescent="0.25">
      <c r="A254" t="s">
        <v>112</v>
      </c>
    </row>
    <row r="255" spans="1:1" x14ac:dyDescent="0.25">
      <c r="A255" t="s">
        <v>113</v>
      </c>
    </row>
    <row r="256" spans="1:1" x14ac:dyDescent="0.25">
      <c r="A256" t="s">
        <v>467</v>
      </c>
    </row>
    <row r="257" spans="1:1" x14ac:dyDescent="0.25">
      <c r="A257" t="s">
        <v>432</v>
      </c>
    </row>
    <row r="258" spans="1:1" x14ac:dyDescent="0.25">
      <c r="A258" t="s">
        <v>100</v>
      </c>
    </row>
    <row r="259" spans="1:1" x14ac:dyDescent="0.25">
      <c r="A259" t="s">
        <v>441</v>
      </c>
    </row>
    <row r="260" spans="1:1" x14ac:dyDescent="0.25">
      <c r="A260" t="s">
        <v>112</v>
      </c>
    </row>
    <row r="261" spans="1:1" x14ac:dyDescent="0.25">
      <c r="A261" t="s">
        <v>113</v>
      </c>
    </row>
    <row r="262" spans="1:1" x14ac:dyDescent="0.25">
      <c r="A262" t="s">
        <v>382</v>
      </c>
    </row>
    <row r="263" spans="1:1" x14ac:dyDescent="0.25">
      <c r="A263" t="s">
        <v>383</v>
      </c>
    </row>
    <row r="264" spans="1:1" x14ac:dyDescent="0.25">
      <c r="A264" t="s">
        <v>384</v>
      </c>
    </row>
    <row r="265" spans="1:1" x14ac:dyDescent="0.25">
      <c r="A265" t="s">
        <v>382</v>
      </c>
    </row>
    <row r="266" spans="1:1" x14ac:dyDescent="0.25">
      <c r="A266" s="108" t="s">
        <v>385</v>
      </c>
    </row>
    <row r="267" spans="1:1" x14ac:dyDescent="0.25">
      <c r="A267" t="s">
        <v>384</v>
      </c>
    </row>
    <row r="268" spans="1:1" x14ac:dyDescent="0.25">
      <c r="A268" t="s">
        <v>382</v>
      </c>
    </row>
    <row r="269" spans="1:1" x14ac:dyDescent="0.25">
      <c r="A269" t="s">
        <v>386</v>
      </c>
    </row>
    <row r="270" spans="1:1" x14ac:dyDescent="0.25">
      <c r="A270" t="s">
        <v>384</v>
      </c>
    </row>
    <row r="271" spans="1:1" x14ac:dyDescent="0.25">
      <c r="A271" t="s">
        <v>382</v>
      </c>
    </row>
    <row r="272" spans="1:1" x14ac:dyDescent="0.25">
      <c r="A272" t="s">
        <v>387</v>
      </c>
    </row>
    <row r="273" spans="1:1" x14ac:dyDescent="0.25">
      <c r="A273" t="s">
        <v>384</v>
      </c>
    </row>
    <row r="274" spans="1:1" x14ac:dyDescent="0.25">
      <c r="A274" t="s">
        <v>280</v>
      </c>
    </row>
    <row r="275" spans="1:1" x14ac:dyDescent="0.25">
      <c r="A275" t="s">
        <v>468</v>
      </c>
    </row>
    <row r="276" spans="1:1" x14ac:dyDescent="0.25">
      <c r="A276" t="s">
        <v>73</v>
      </c>
    </row>
    <row r="277" spans="1:1" x14ac:dyDescent="0.25">
      <c r="A277" t="s">
        <v>75</v>
      </c>
    </row>
    <row r="278" spans="1:1" x14ac:dyDescent="0.25">
      <c r="A278" t="s">
        <v>469</v>
      </c>
    </row>
    <row r="279" spans="1:1" x14ac:dyDescent="0.25">
      <c r="A279" s="108" t="s">
        <v>77</v>
      </c>
    </row>
    <row r="280" spans="1:1" x14ac:dyDescent="0.25">
      <c r="A280" t="s">
        <v>78</v>
      </c>
    </row>
    <row r="281" spans="1:1" x14ac:dyDescent="0.25">
      <c r="A281" t="s">
        <v>444</v>
      </c>
    </row>
    <row r="282" spans="1:1" x14ac:dyDescent="0.25">
      <c r="A282" t="s">
        <v>79</v>
      </c>
    </row>
    <row r="283" spans="1:1" x14ac:dyDescent="0.25">
      <c r="A283" t="s">
        <v>80</v>
      </c>
    </row>
    <row r="284" spans="1:1" x14ac:dyDescent="0.25">
      <c r="A284" t="s">
        <v>371</v>
      </c>
    </row>
    <row r="285" spans="1:1" x14ac:dyDescent="0.25">
      <c r="A285" t="s">
        <v>82</v>
      </c>
    </row>
    <row r="286" spans="1:1" x14ac:dyDescent="0.25">
      <c r="A286" t="s">
        <v>278</v>
      </c>
    </row>
    <row r="287" spans="1:1" x14ac:dyDescent="0.25">
      <c r="A287" t="s">
        <v>337</v>
      </c>
    </row>
    <row r="288" spans="1:1" x14ac:dyDescent="0.25">
      <c r="A288" t="s">
        <v>111</v>
      </c>
    </row>
    <row r="289" spans="1:1" x14ac:dyDescent="0.25">
      <c r="A289" t="s">
        <v>279</v>
      </c>
    </row>
    <row r="290" spans="1:1" x14ac:dyDescent="0.25">
      <c r="A290" t="s">
        <v>463</v>
      </c>
    </row>
    <row r="291" spans="1:1" x14ac:dyDescent="0.25">
      <c r="A291" t="s">
        <v>373</v>
      </c>
    </row>
    <row r="292" spans="1:1" x14ac:dyDescent="0.25">
      <c r="A292" t="s">
        <v>427</v>
      </c>
    </row>
    <row r="293" spans="1:1" x14ac:dyDescent="0.25">
      <c r="A293" t="s">
        <v>90</v>
      </c>
    </row>
    <row r="294" spans="1:1" x14ac:dyDescent="0.25">
      <c r="A294" t="s">
        <v>374</v>
      </c>
    </row>
    <row r="295" spans="1:1" x14ac:dyDescent="0.25">
      <c r="A295" t="s">
        <v>91</v>
      </c>
    </row>
    <row r="296" spans="1:1" x14ac:dyDescent="0.25">
      <c r="A296" t="s">
        <v>92</v>
      </c>
    </row>
    <row r="297" spans="1:1" x14ac:dyDescent="0.25">
      <c r="A297" t="s">
        <v>375</v>
      </c>
    </row>
    <row r="298" spans="1:1" x14ac:dyDescent="0.25">
      <c r="A298" t="s">
        <v>93</v>
      </c>
    </row>
    <row r="299" spans="1:1" x14ac:dyDescent="0.25">
      <c r="A299" t="s">
        <v>94</v>
      </c>
    </row>
    <row r="300" spans="1:1" x14ac:dyDescent="0.25">
      <c r="A300" t="s">
        <v>376</v>
      </c>
    </row>
    <row r="301" spans="1:1" x14ac:dyDescent="0.25">
      <c r="A301" t="s">
        <v>95</v>
      </c>
    </row>
    <row r="302" spans="1:1" x14ac:dyDescent="0.25">
      <c r="A302" t="s">
        <v>97</v>
      </c>
    </row>
    <row r="303" spans="1:1" x14ac:dyDescent="0.25">
      <c r="A303" t="s">
        <v>464</v>
      </c>
    </row>
    <row r="304" spans="1:1" x14ac:dyDescent="0.25">
      <c r="A304" t="s">
        <v>445</v>
      </c>
    </row>
    <row r="305" spans="1:1" x14ac:dyDescent="0.25">
      <c r="A305" t="s">
        <v>100</v>
      </c>
    </row>
    <row r="306" spans="1:1" x14ac:dyDescent="0.25">
      <c r="A306" t="s">
        <v>430</v>
      </c>
    </row>
    <row r="307" spans="1:1" x14ac:dyDescent="0.25">
      <c r="A307" t="s">
        <v>112</v>
      </c>
    </row>
    <row r="308" spans="1:1" x14ac:dyDescent="0.25">
      <c r="A308" t="s">
        <v>113</v>
      </c>
    </row>
    <row r="309" spans="1:1" x14ac:dyDescent="0.25">
      <c r="A309" t="s">
        <v>464</v>
      </c>
    </row>
    <row r="310" spans="1:1" x14ac:dyDescent="0.25">
      <c r="A310" t="s">
        <v>470</v>
      </c>
    </row>
    <row r="311" spans="1:1" x14ac:dyDescent="0.25">
      <c r="A311" t="s">
        <v>100</v>
      </c>
    </row>
    <row r="312" spans="1:1" x14ac:dyDescent="0.25">
      <c r="A312" t="s">
        <v>430</v>
      </c>
    </row>
    <row r="313" spans="1:1" x14ac:dyDescent="0.25">
      <c r="A313" t="s">
        <v>112</v>
      </c>
    </row>
    <row r="314" spans="1:1" x14ac:dyDescent="0.25">
      <c r="A314" t="s">
        <v>113</v>
      </c>
    </row>
    <row r="315" spans="1:1" x14ac:dyDescent="0.25">
      <c r="A315" t="s">
        <v>467</v>
      </c>
    </row>
    <row r="316" spans="1:1" x14ac:dyDescent="0.25">
      <c r="A316" t="s">
        <v>556</v>
      </c>
    </row>
    <row r="317" spans="1:1" x14ac:dyDescent="0.25">
      <c r="A317" t="s">
        <v>100</v>
      </c>
    </row>
    <row r="318" spans="1:1" x14ac:dyDescent="0.25">
      <c r="A318" t="s">
        <v>435</v>
      </c>
    </row>
    <row r="319" spans="1:1" x14ac:dyDescent="0.25">
      <c r="A319" t="s">
        <v>112</v>
      </c>
    </row>
    <row r="320" spans="1:1" x14ac:dyDescent="0.25">
      <c r="A320" t="s">
        <v>113</v>
      </c>
    </row>
    <row r="321" spans="1:1" x14ac:dyDescent="0.25">
      <c r="A321" t="s">
        <v>467</v>
      </c>
    </row>
    <row r="322" spans="1:1" x14ac:dyDescent="0.25">
      <c r="A322" t="s">
        <v>557</v>
      </c>
    </row>
    <row r="323" spans="1:1" x14ac:dyDescent="0.25">
      <c r="A323" t="s">
        <v>100</v>
      </c>
    </row>
    <row r="324" spans="1:1" x14ac:dyDescent="0.25">
      <c r="A324" t="s">
        <v>437</v>
      </c>
    </row>
    <row r="325" spans="1:1" x14ac:dyDescent="0.25">
      <c r="A325" t="s">
        <v>112</v>
      </c>
    </row>
    <row r="326" spans="1:1" x14ac:dyDescent="0.25">
      <c r="A326" t="s">
        <v>113</v>
      </c>
    </row>
    <row r="327" spans="1:1" x14ac:dyDescent="0.25">
      <c r="A327" t="s">
        <v>467</v>
      </c>
    </row>
    <row r="328" spans="1:1" x14ac:dyDescent="0.25">
      <c r="A328" t="s">
        <v>561</v>
      </c>
    </row>
    <row r="329" spans="1:1" x14ac:dyDescent="0.25">
      <c r="A329" t="s">
        <v>100</v>
      </c>
    </row>
    <row r="330" spans="1:1" x14ac:dyDescent="0.25">
      <c r="A330" t="s">
        <v>439</v>
      </c>
    </row>
    <row r="331" spans="1:1" x14ac:dyDescent="0.25">
      <c r="A331" t="s">
        <v>112</v>
      </c>
    </row>
    <row r="332" spans="1:1" x14ac:dyDescent="0.25">
      <c r="A332" t="s">
        <v>113</v>
      </c>
    </row>
    <row r="333" spans="1:1" x14ac:dyDescent="0.25">
      <c r="A333" t="s">
        <v>467</v>
      </c>
    </row>
    <row r="334" spans="1:1" x14ac:dyDescent="0.25">
      <c r="A334" t="s">
        <v>562</v>
      </c>
    </row>
    <row r="335" spans="1:1" x14ac:dyDescent="0.25">
      <c r="A335" t="s">
        <v>100</v>
      </c>
    </row>
    <row r="336" spans="1:1" x14ac:dyDescent="0.25">
      <c r="A336" t="s">
        <v>441</v>
      </c>
    </row>
    <row r="337" spans="1:1" x14ac:dyDescent="0.25">
      <c r="A337" t="s">
        <v>112</v>
      </c>
    </row>
    <row r="338" spans="1:1" x14ac:dyDescent="0.25">
      <c r="A338" t="s">
        <v>113</v>
      </c>
    </row>
    <row r="339" spans="1:1" x14ac:dyDescent="0.25">
      <c r="A339" t="s">
        <v>382</v>
      </c>
    </row>
    <row r="340" spans="1:1" x14ac:dyDescent="0.25">
      <c r="A340" t="s">
        <v>383</v>
      </c>
    </row>
    <row r="341" spans="1:1" x14ac:dyDescent="0.25">
      <c r="A341" t="s">
        <v>384</v>
      </c>
    </row>
    <row r="342" spans="1:1" x14ac:dyDescent="0.25">
      <c r="A342" t="s">
        <v>382</v>
      </c>
    </row>
    <row r="343" spans="1:1" x14ac:dyDescent="0.25">
      <c r="A343" t="s">
        <v>385</v>
      </c>
    </row>
    <row r="344" spans="1:1" x14ac:dyDescent="0.25">
      <c r="A344" t="s">
        <v>384</v>
      </c>
    </row>
    <row r="345" spans="1:1" x14ac:dyDescent="0.25">
      <c r="A345" t="s">
        <v>382</v>
      </c>
    </row>
    <row r="346" spans="1:1" x14ac:dyDescent="0.25">
      <c r="A346" t="s">
        <v>386</v>
      </c>
    </row>
    <row r="347" spans="1:1" x14ac:dyDescent="0.25">
      <c r="A347" t="s">
        <v>384</v>
      </c>
    </row>
    <row r="348" spans="1:1" x14ac:dyDescent="0.25">
      <c r="A348" t="s">
        <v>382</v>
      </c>
    </row>
    <row r="349" spans="1:1" x14ac:dyDescent="0.25">
      <c r="A349" t="s">
        <v>387</v>
      </c>
    </row>
    <row r="350" spans="1:1" x14ac:dyDescent="0.25">
      <c r="A350" t="s">
        <v>384</v>
      </c>
    </row>
    <row r="351" spans="1:1" x14ac:dyDescent="0.25">
      <c r="A351" t="s">
        <v>280</v>
      </c>
    </row>
    <row r="352" spans="1:1" x14ac:dyDescent="0.25">
      <c r="A352" t="s">
        <v>104</v>
      </c>
    </row>
    <row r="353" spans="1:1" x14ac:dyDescent="0.25">
      <c r="A353" t="s">
        <v>105</v>
      </c>
    </row>
    <row r="354" spans="1:1" x14ac:dyDescent="0.25">
      <c r="A354" t="s">
        <v>106</v>
      </c>
    </row>
    <row r="355" spans="1:1" x14ac:dyDescent="0.25">
      <c r="A355" t="s">
        <v>471</v>
      </c>
    </row>
    <row r="356" spans="1:1" x14ac:dyDescent="0.25">
      <c r="A356" t="s">
        <v>107</v>
      </c>
    </row>
    <row r="357" spans="1:1" x14ac:dyDescent="0.25">
      <c r="A357" t="s">
        <v>108</v>
      </c>
    </row>
    <row r="358" spans="1:1" x14ac:dyDescent="0.25">
      <c r="A358" t="s">
        <v>370</v>
      </c>
    </row>
    <row r="359" spans="1:1" x14ac:dyDescent="0.25">
      <c r="A359" t="s">
        <v>109</v>
      </c>
    </row>
    <row r="360" spans="1:1" x14ac:dyDescent="0.25">
      <c r="A360" t="s">
        <v>110</v>
      </c>
    </row>
    <row r="361" spans="1:1" x14ac:dyDescent="0.25">
      <c r="A361" t="s">
        <v>472</v>
      </c>
    </row>
    <row r="362" spans="1:1" x14ac:dyDescent="0.25">
      <c r="A362" t="s">
        <v>115</v>
      </c>
    </row>
    <row r="363" spans="1:1" x14ac:dyDescent="0.25">
      <c r="A363" t="s">
        <v>75</v>
      </c>
    </row>
    <row r="364" spans="1:1" x14ac:dyDescent="0.25">
      <c r="A364" t="s">
        <v>473</v>
      </c>
    </row>
    <row r="365" spans="1:1" x14ac:dyDescent="0.25">
      <c r="A365" t="s">
        <v>77</v>
      </c>
    </row>
    <row r="366" spans="1:1" x14ac:dyDescent="0.25">
      <c r="A366" t="s">
        <v>78</v>
      </c>
    </row>
    <row r="367" spans="1:1" x14ac:dyDescent="0.25">
      <c r="A367" t="s">
        <v>474</v>
      </c>
    </row>
    <row r="368" spans="1:1" x14ac:dyDescent="0.25">
      <c r="A368" t="s">
        <v>79</v>
      </c>
    </row>
    <row r="369" spans="1:1" x14ac:dyDescent="0.25">
      <c r="A369" t="s">
        <v>80</v>
      </c>
    </row>
    <row r="370" spans="1:1" x14ac:dyDescent="0.25">
      <c r="A370" t="s">
        <v>371</v>
      </c>
    </row>
    <row r="371" spans="1:1" x14ac:dyDescent="0.25">
      <c r="A371" t="s">
        <v>82</v>
      </c>
    </row>
    <row r="372" spans="1:1" x14ac:dyDescent="0.25">
      <c r="A372" t="s">
        <v>278</v>
      </c>
    </row>
    <row r="373" spans="1:1" x14ac:dyDescent="0.25">
      <c r="A373" t="s">
        <v>337</v>
      </c>
    </row>
    <row r="374" spans="1:1" x14ac:dyDescent="0.25">
      <c r="A374" t="s">
        <v>111</v>
      </c>
    </row>
    <row r="375" spans="1:1" x14ac:dyDescent="0.25">
      <c r="A375" t="s">
        <v>279</v>
      </c>
    </row>
    <row r="376" spans="1:1" x14ac:dyDescent="0.25">
      <c r="A376" t="s">
        <v>117</v>
      </c>
    </row>
    <row r="377" spans="1:1" x14ac:dyDescent="0.25">
      <c r="A377" t="s">
        <v>475</v>
      </c>
    </row>
    <row r="378" spans="1:1" x14ac:dyDescent="0.25">
      <c r="A378" t="s">
        <v>100</v>
      </c>
    </row>
    <row r="379" spans="1:1" x14ac:dyDescent="0.25">
      <c r="A379" t="s">
        <v>457</v>
      </c>
    </row>
    <row r="380" spans="1:1" x14ac:dyDescent="0.25">
      <c r="A380" t="s">
        <v>112</v>
      </c>
    </row>
    <row r="381" spans="1:1" x14ac:dyDescent="0.25">
      <c r="A381" t="s">
        <v>113</v>
      </c>
    </row>
    <row r="382" spans="1:1" x14ac:dyDescent="0.25">
      <c r="A382" t="s">
        <v>118</v>
      </c>
    </row>
    <row r="383" spans="1:1" x14ac:dyDescent="0.25">
      <c r="A383" t="s">
        <v>476</v>
      </c>
    </row>
    <row r="384" spans="1:1" x14ac:dyDescent="0.25">
      <c r="A384" t="s">
        <v>100</v>
      </c>
    </row>
    <row r="385" spans="1:1" x14ac:dyDescent="0.25">
      <c r="A385" t="s">
        <v>457</v>
      </c>
    </row>
    <row r="386" spans="1:1" x14ac:dyDescent="0.25">
      <c r="A386" t="s">
        <v>112</v>
      </c>
    </row>
    <row r="387" spans="1:1" x14ac:dyDescent="0.25">
      <c r="A387" t="s">
        <v>113</v>
      </c>
    </row>
    <row r="388" spans="1:1" x14ac:dyDescent="0.25">
      <c r="A388" t="s">
        <v>382</v>
      </c>
    </row>
    <row r="389" spans="1:1" x14ac:dyDescent="0.25">
      <c r="A389" t="s">
        <v>383</v>
      </c>
    </row>
    <row r="390" spans="1:1" x14ac:dyDescent="0.25">
      <c r="A390" t="s">
        <v>384</v>
      </c>
    </row>
    <row r="391" spans="1:1" x14ac:dyDescent="0.25">
      <c r="A391" t="s">
        <v>382</v>
      </c>
    </row>
    <row r="392" spans="1:1" x14ac:dyDescent="0.25">
      <c r="A392" t="s">
        <v>385</v>
      </c>
    </row>
    <row r="393" spans="1:1" x14ac:dyDescent="0.25">
      <c r="A393" t="s">
        <v>384</v>
      </c>
    </row>
    <row r="394" spans="1:1" x14ac:dyDescent="0.25">
      <c r="A394" t="s">
        <v>382</v>
      </c>
    </row>
    <row r="395" spans="1:1" x14ac:dyDescent="0.25">
      <c r="A395" t="s">
        <v>386</v>
      </c>
    </row>
    <row r="396" spans="1:1" x14ac:dyDescent="0.25">
      <c r="A396" t="s">
        <v>384</v>
      </c>
    </row>
    <row r="397" spans="1:1" x14ac:dyDescent="0.25">
      <c r="A397" t="s">
        <v>382</v>
      </c>
    </row>
    <row r="398" spans="1:1" x14ac:dyDescent="0.25">
      <c r="A398" t="s">
        <v>387</v>
      </c>
    </row>
    <row r="399" spans="1:1" x14ac:dyDescent="0.25">
      <c r="A399" t="s">
        <v>384</v>
      </c>
    </row>
    <row r="400" spans="1:1" x14ac:dyDescent="0.25">
      <c r="A400" t="s">
        <v>280</v>
      </c>
    </row>
    <row r="401" spans="1:1" x14ac:dyDescent="0.25">
      <c r="A401" t="s">
        <v>477</v>
      </c>
    </row>
    <row r="402" spans="1:1" x14ac:dyDescent="0.25">
      <c r="A402" t="s">
        <v>115</v>
      </c>
    </row>
    <row r="403" spans="1:1" x14ac:dyDescent="0.25">
      <c r="A403" t="s">
        <v>75</v>
      </c>
    </row>
    <row r="404" spans="1:1" x14ac:dyDescent="0.25">
      <c r="A404" t="s">
        <v>478</v>
      </c>
    </row>
    <row r="405" spans="1:1" x14ac:dyDescent="0.25">
      <c r="A405" t="s">
        <v>77</v>
      </c>
    </row>
    <row r="406" spans="1:1" x14ac:dyDescent="0.25">
      <c r="A406" t="s">
        <v>78</v>
      </c>
    </row>
    <row r="407" spans="1:1" x14ac:dyDescent="0.25">
      <c r="A407" t="s">
        <v>479</v>
      </c>
    </row>
    <row r="408" spans="1:1" x14ac:dyDescent="0.25">
      <c r="A408" t="s">
        <v>79</v>
      </c>
    </row>
    <row r="409" spans="1:1" x14ac:dyDescent="0.25">
      <c r="A409" t="s">
        <v>80</v>
      </c>
    </row>
    <row r="410" spans="1:1" x14ac:dyDescent="0.25">
      <c r="A410" t="s">
        <v>371</v>
      </c>
    </row>
    <row r="411" spans="1:1" x14ac:dyDescent="0.25">
      <c r="A411" t="s">
        <v>82</v>
      </c>
    </row>
    <row r="412" spans="1:1" x14ac:dyDescent="0.25">
      <c r="A412" t="s">
        <v>278</v>
      </c>
    </row>
    <row r="413" spans="1:1" x14ac:dyDescent="0.25">
      <c r="A413" t="s">
        <v>337</v>
      </c>
    </row>
    <row r="414" spans="1:1" x14ac:dyDescent="0.25">
      <c r="A414" t="s">
        <v>111</v>
      </c>
    </row>
    <row r="415" spans="1:1" x14ac:dyDescent="0.25">
      <c r="A415" t="s">
        <v>279</v>
      </c>
    </row>
    <row r="416" spans="1:1" x14ac:dyDescent="0.25">
      <c r="A416" t="s">
        <v>117</v>
      </c>
    </row>
    <row r="417" spans="1:1" x14ac:dyDescent="0.25">
      <c r="A417" t="s">
        <v>476</v>
      </c>
    </row>
    <row r="418" spans="1:1" x14ac:dyDescent="0.25">
      <c r="A418" t="s">
        <v>100</v>
      </c>
    </row>
    <row r="419" spans="1:1" x14ac:dyDescent="0.25">
      <c r="A419" t="s">
        <v>457</v>
      </c>
    </row>
    <row r="420" spans="1:1" x14ac:dyDescent="0.25">
      <c r="A420" t="s">
        <v>112</v>
      </c>
    </row>
    <row r="421" spans="1:1" x14ac:dyDescent="0.25">
      <c r="A421" t="s">
        <v>113</v>
      </c>
    </row>
    <row r="422" spans="1:1" x14ac:dyDescent="0.25">
      <c r="A422" t="s">
        <v>118</v>
      </c>
    </row>
    <row r="423" spans="1:1" x14ac:dyDescent="0.25">
      <c r="A423" t="s">
        <v>475</v>
      </c>
    </row>
    <row r="424" spans="1:1" x14ac:dyDescent="0.25">
      <c r="A424" t="s">
        <v>100</v>
      </c>
    </row>
    <row r="425" spans="1:1" x14ac:dyDescent="0.25">
      <c r="A425" t="s">
        <v>457</v>
      </c>
    </row>
    <row r="426" spans="1:1" x14ac:dyDescent="0.25">
      <c r="A426" t="s">
        <v>112</v>
      </c>
    </row>
    <row r="427" spans="1:1" x14ac:dyDescent="0.25">
      <c r="A427" t="s">
        <v>113</v>
      </c>
    </row>
    <row r="428" spans="1:1" x14ac:dyDescent="0.25">
      <c r="A428" t="s">
        <v>382</v>
      </c>
    </row>
    <row r="429" spans="1:1" x14ac:dyDescent="0.25">
      <c r="A429" t="s">
        <v>383</v>
      </c>
    </row>
    <row r="430" spans="1:1" x14ac:dyDescent="0.25">
      <c r="A430" t="s">
        <v>384</v>
      </c>
    </row>
    <row r="431" spans="1:1" x14ac:dyDescent="0.25">
      <c r="A431" t="s">
        <v>382</v>
      </c>
    </row>
    <row r="432" spans="1:1" x14ac:dyDescent="0.25">
      <c r="A432" t="s">
        <v>385</v>
      </c>
    </row>
    <row r="433" spans="1:1" x14ac:dyDescent="0.25">
      <c r="A433" t="s">
        <v>384</v>
      </c>
    </row>
    <row r="434" spans="1:1" x14ac:dyDescent="0.25">
      <c r="A434" t="s">
        <v>382</v>
      </c>
    </row>
    <row r="435" spans="1:1" x14ac:dyDescent="0.25">
      <c r="A435" t="s">
        <v>386</v>
      </c>
    </row>
    <row r="436" spans="1:1" x14ac:dyDescent="0.25">
      <c r="A436" t="s">
        <v>384</v>
      </c>
    </row>
    <row r="437" spans="1:1" x14ac:dyDescent="0.25">
      <c r="A437" s="108" t="s">
        <v>382</v>
      </c>
    </row>
    <row r="438" spans="1:1" x14ac:dyDescent="0.25">
      <c r="A438" t="s">
        <v>387</v>
      </c>
    </row>
    <row r="439" spans="1:1" x14ac:dyDescent="0.25">
      <c r="A439" t="s">
        <v>384</v>
      </c>
    </row>
    <row r="440" spans="1:1" x14ac:dyDescent="0.25">
      <c r="A440" t="s">
        <v>280</v>
      </c>
    </row>
    <row r="441" spans="1:1" x14ac:dyDescent="0.25">
      <c r="A441" t="s">
        <v>104</v>
      </c>
    </row>
    <row r="442" spans="1:1" x14ac:dyDescent="0.25">
      <c r="A442" t="s">
        <v>105</v>
      </c>
    </row>
    <row r="443" spans="1:1" x14ac:dyDescent="0.25">
      <c r="A443" t="s">
        <v>106</v>
      </c>
    </row>
    <row r="444" spans="1:1" x14ac:dyDescent="0.25">
      <c r="A444" t="s">
        <v>480</v>
      </c>
    </row>
    <row r="445" spans="1:1" x14ac:dyDescent="0.25">
      <c r="A445" t="s">
        <v>107</v>
      </c>
    </row>
    <row r="446" spans="1:1" x14ac:dyDescent="0.25">
      <c r="A446" t="s">
        <v>108</v>
      </c>
    </row>
    <row r="447" spans="1:1" x14ac:dyDescent="0.25">
      <c r="A447" t="s">
        <v>370</v>
      </c>
    </row>
    <row r="448" spans="1:1" x14ac:dyDescent="0.25">
      <c r="A448" t="s">
        <v>109</v>
      </c>
    </row>
    <row r="449" spans="1:1" x14ac:dyDescent="0.25">
      <c r="A449" t="s">
        <v>110</v>
      </c>
    </row>
    <row r="450" spans="1:1" x14ac:dyDescent="0.25">
      <c r="A450" s="108" t="s">
        <v>378</v>
      </c>
    </row>
    <row r="451" spans="1:1" x14ac:dyDescent="0.25">
      <c r="A451" t="s">
        <v>161</v>
      </c>
    </row>
    <row r="452" spans="1:1" x14ac:dyDescent="0.25">
      <c r="A452" t="s">
        <v>75</v>
      </c>
    </row>
    <row r="453" spans="1:1" x14ac:dyDescent="0.25">
      <c r="A453" t="s">
        <v>481</v>
      </c>
    </row>
    <row r="454" spans="1:1" x14ac:dyDescent="0.25">
      <c r="A454" t="s">
        <v>77</v>
      </c>
    </row>
    <row r="455" spans="1:1" x14ac:dyDescent="0.25">
      <c r="A455" t="s">
        <v>78</v>
      </c>
    </row>
    <row r="456" spans="1:1" x14ac:dyDescent="0.25">
      <c r="A456" t="s">
        <v>482</v>
      </c>
    </row>
    <row r="457" spans="1:1" x14ac:dyDescent="0.25">
      <c r="A457" t="s">
        <v>79</v>
      </c>
    </row>
    <row r="458" spans="1:1" x14ac:dyDescent="0.25">
      <c r="A458" t="s">
        <v>80</v>
      </c>
    </row>
    <row r="459" spans="1:1" x14ac:dyDescent="0.25">
      <c r="A459" t="s">
        <v>371</v>
      </c>
    </row>
    <row r="460" spans="1:1" x14ac:dyDescent="0.25">
      <c r="A460" t="s">
        <v>82</v>
      </c>
    </row>
    <row r="461" spans="1:1" x14ac:dyDescent="0.25">
      <c r="A461" t="s">
        <v>278</v>
      </c>
    </row>
    <row r="462" spans="1:1" x14ac:dyDescent="0.25">
      <c r="A462" t="s">
        <v>337</v>
      </c>
    </row>
    <row r="463" spans="1:1" x14ac:dyDescent="0.25">
      <c r="A463" t="s">
        <v>111</v>
      </c>
    </row>
    <row r="464" spans="1:1" x14ac:dyDescent="0.25">
      <c r="A464" t="s">
        <v>279</v>
      </c>
    </row>
    <row r="465" spans="1:1" x14ac:dyDescent="0.25">
      <c r="A465" t="s">
        <v>373</v>
      </c>
    </row>
    <row r="466" spans="1:1" x14ac:dyDescent="0.25">
      <c r="A466" t="s">
        <v>90</v>
      </c>
    </row>
    <row r="467" spans="1:1" x14ac:dyDescent="0.25">
      <c r="A467" t="s">
        <v>374</v>
      </c>
    </row>
    <row r="468" spans="1:1" x14ac:dyDescent="0.25">
      <c r="A468" t="s">
        <v>91</v>
      </c>
    </row>
    <row r="469" spans="1:1" x14ac:dyDescent="0.25">
      <c r="A469" t="s">
        <v>92</v>
      </c>
    </row>
    <row r="470" spans="1:1" x14ac:dyDescent="0.25">
      <c r="A470" t="s">
        <v>375</v>
      </c>
    </row>
    <row r="471" spans="1:1" x14ac:dyDescent="0.25">
      <c r="A471" t="s">
        <v>93</v>
      </c>
    </row>
    <row r="472" spans="1:1" x14ac:dyDescent="0.25">
      <c r="A472" t="s">
        <v>94</v>
      </c>
    </row>
    <row r="473" spans="1:1" x14ac:dyDescent="0.25">
      <c r="A473" t="s">
        <v>376</v>
      </c>
    </row>
    <row r="474" spans="1:1" x14ac:dyDescent="0.25">
      <c r="A474" t="s">
        <v>95</v>
      </c>
    </row>
    <row r="475" spans="1:1" x14ac:dyDescent="0.25">
      <c r="A475" t="s">
        <v>97</v>
      </c>
    </row>
    <row r="476" spans="1:1" x14ac:dyDescent="0.25">
      <c r="A476" t="s">
        <v>164</v>
      </c>
    </row>
    <row r="477" spans="1:1" x14ac:dyDescent="0.25">
      <c r="A477" t="s">
        <v>483</v>
      </c>
    </row>
    <row r="478" spans="1:1" x14ac:dyDescent="0.25">
      <c r="A478" t="s">
        <v>165</v>
      </c>
    </row>
    <row r="479" spans="1:1" x14ac:dyDescent="0.25">
      <c r="A479" t="s">
        <v>484</v>
      </c>
    </row>
    <row r="480" spans="1:1" x14ac:dyDescent="0.25">
      <c r="A480" t="s">
        <v>166</v>
      </c>
    </row>
    <row r="481" spans="1:1" x14ac:dyDescent="0.25">
      <c r="A481" t="s">
        <v>167</v>
      </c>
    </row>
    <row r="482" spans="1:1" x14ac:dyDescent="0.25">
      <c r="A482" t="s">
        <v>164</v>
      </c>
    </row>
    <row r="483" spans="1:1" x14ac:dyDescent="0.25">
      <c r="A483" t="s">
        <v>485</v>
      </c>
    </row>
    <row r="484" spans="1:1" x14ac:dyDescent="0.25">
      <c r="A484" t="s">
        <v>165</v>
      </c>
    </row>
    <row r="485" spans="1:1" x14ac:dyDescent="0.25">
      <c r="A485" t="s">
        <v>486</v>
      </c>
    </row>
    <row r="486" spans="1:1" x14ac:dyDescent="0.25">
      <c r="A486" t="s">
        <v>166</v>
      </c>
    </row>
    <row r="487" spans="1:1" x14ac:dyDescent="0.25">
      <c r="A487" t="s">
        <v>167</v>
      </c>
    </row>
    <row r="488" spans="1:1" x14ac:dyDescent="0.25">
      <c r="A488" t="s">
        <v>164</v>
      </c>
    </row>
    <row r="489" spans="1:1" x14ac:dyDescent="0.25">
      <c r="A489" t="s">
        <v>487</v>
      </c>
    </row>
    <row r="490" spans="1:1" x14ac:dyDescent="0.25">
      <c r="A490" t="s">
        <v>165</v>
      </c>
    </row>
    <row r="491" spans="1:1" x14ac:dyDescent="0.25">
      <c r="A491" t="s">
        <v>488</v>
      </c>
    </row>
    <row r="492" spans="1:1" x14ac:dyDescent="0.25">
      <c r="A492" t="s">
        <v>166</v>
      </c>
    </row>
    <row r="493" spans="1:1" x14ac:dyDescent="0.25">
      <c r="A493" t="s">
        <v>167</v>
      </c>
    </row>
    <row r="494" spans="1:1" x14ac:dyDescent="0.25">
      <c r="A494" t="s">
        <v>164</v>
      </c>
    </row>
    <row r="495" spans="1:1" x14ac:dyDescent="0.25">
      <c r="A495" t="s">
        <v>489</v>
      </c>
    </row>
    <row r="496" spans="1:1" x14ac:dyDescent="0.25">
      <c r="A496" t="s">
        <v>165</v>
      </c>
    </row>
    <row r="497" spans="1:1" x14ac:dyDescent="0.25">
      <c r="A497" t="s">
        <v>490</v>
      </c>
    </row>
    <row r="498" spans="1:1" x14ac:dyDescent="0.25">
      <c r="A498" t="s">
        <v>166</v>
      </c>
    </row>
    <row r="499" spans="1:1" x14ac:dyDescent="0.25">
      <c r="A499" t="s">
        <v>167</v>
      </c>
    </row>
    <row r="500" spans="1:1" x14ac:dyDescent="0.25">
      <c r="A500" t="s">
        <v>164</v>
      </c>
    </row>
    <row r="501" spans="1:1" x14ac:dyDescent="0.25">
      <c r="A501" t="s">
        <v>491</v>
      </c>
    </row>
    <row r="502" spans="1:1" x14ac:dyDescent="0.25">
      <c r="A502" t="s">
        <v>165</v>
      </c>
    </row>
    <row r="503" spans="1:1" x14ac:dyDescent="0.25">
      <c r="A503" t="s">
        <v>492</v>
      </c>
    </row>
    <row r="504" spans="1:1" x14ac:dyDescent="0.25">
      <c r="A504" t="s">
        <v>166</v>
      </c>
    </row>
    <row r="505" spans="1:1" x14ac:dyDescent="0.25">
      <c r="A505" t="s">
        <v>167</v>
      </c>
    </row>
    <row r="506" spans="1:1" x14ac:dyDescent="0.25">
      <c r="A506" t="s">
        <v>164</v>
      </c>
    </row>
    <row r="507" spans="1:1" x14ac:dyDescent="0.25">
      <c r="A507" t="s">
        <v>493</v>
      </c>
    </row>
    <row r="508" spans="1:1" x14ac:dyDescent="0.25">
      <c r="A508" t="s">
        <v>165</v>
      </c>
    </row>
    <row r="509" spans="1:1" x14ac:dyDescent="0.25">
      <c r="A509" t="s">
        <v>494</v>
      </c>
    </row>
    <row r="510" spans="1:1" x14ac:dyDescent="0.25">
      <c r="A510" t="s">
        <v>166</v>
      </c>
    </row>
    <row r="511" spans="1:1" x14ac:dyDescent="0.25">
      <c r="A511" t="s">
        <v>167</v>
      </c>
    </row>
    <row r="512" spans="1:1" x14ac:dyDescent="0.25">
      <c r="A512" t="s">
        <v>164</v>
      </c>
    </row>
    <row r="513" spans="1:1" x14ac:dyDescent="0.25">
      <c r="A513" t="s">
        <v>495</v>
      </c>
    </row>
    <row r="514" spans="1:1" x14ac:dyDescent="0.25">
      <c r="A514" t="s">
        <v>165</v>
      </c>
    </row>
    <row r="515" spans="1:1" x14ac:dyDescent="0.25">
      <c r="A515" t="s">
        <v>496</v>
      </c>
    </row>
    <row r="516" spans="1:1" x14ac:dyDescent="0.25">
      <c r="A516" t="s">
        <v>166</v>
      </c>
    </row>
    <row r="517" spans="1:1" x14ac:dyDescent="0.25">
      <c r="A517" t="s">
        <v>167</v>
      </c>
    </row>
    <row r="518" spans="1:1" x14ac:dyDescent="0.25">
      <c r="A518" t="s">
        <v>164</v>
      </c>
    </row>
    <row r="519" spans="1:1" x14ac:dyDescent="0.25">
      <c r="A519" t="s">
        <v>497</v>
      </c>
    </row>
    <row r="520" spans="1:1" x14ac:dyDescent="0.25">
      <c r="A520" t="s">
        <v>165</v>
      </c>
    </row>
    <row r="521" spans="1:1" x14ac:dyDescent="0.25">
      <c r="A521" t="s">
        <v>498</v>
      </c>
    </row>
    <row r="522" spans="1:1" x14ac:dyDescent="0.25">
      <c r="A522" t="s">
        <v>166</v>
      </c>
    </row>
    <row r="523" spans="1:1" x14ac:dyDescent="0.25">
      <c r="A523" t="s">
        <v>167</v>
      </c>
    </row>
    <row r="524" spans="1:1" x14ac:dyDescent="0.25">
      <c r="A524" t="s">
        <v>164</v>
      </c>
    </row>
    <row r="525" spans="1:1" x14ac:dyDescent="0.25">
      <c r="A525" t="s">
        <v>499</v>
      </c>
    </row>
    <row r="526" spans="1:1" x14ac:dyDescent="0.25">
      <c r="A526" t="s">
        <v>165</v>
      </c>
    </row>
    <row r="527" spans="1:1" x14ac:dyDescent="0.25">
      <c r="A527" t="s">
        <v>500</v>
      </c>
    </row>
    <row r="528" spans="1:1" x14ac:dyDescent="0.25">
      <c r="A528" t="s">
        <v>166</v>
      </c>
    </row>
    <row r="529" spans="1:1" x14ac:dyDescent="0.25">
      <c r="A529" t="s">
        <v>167</v>
      </c>
    </row>
    <row r="530" spans="1:1" x14ac:dyDescent="0.25">
      <c r="A530" t="s">
        <v>164</v>
      </c>
    </row>
    <row r="531" spans="1:1" x14ac:dyDescent="0.25">
      <c r="A531" t="s">
        <v>501</v>
      </c>
    </row>
    <row r="532" spans="1:1" x14ac:dyDescent="0.25">
      <c r="A532" t="s">
        <v>165</v>
      </c>
    </row>
    <row r="533" spans="1:1" x14ac:dyDescent="0.25">
      <c r="A533" t="s">
        <v>502</v>
      </c>
    </row>
    <row r="534" spans="1:1" x14ac:dyDescent="0.25">
      <c r="A534" t="s">
        <v>166</v>
      </c>
    </row>
    <row r="535" spans="1:1" x14ac:dyDescent="0.25">
      <c r="A535" t="s">
        <v>167</v>
      </c>
    </row>
    <row r="536" spans="1:1" x14ac:dyDescent="0.25">
      <c r="A536" t="s">
        <v>164</v>
      </c>
    </row>
    <row r="537" spans="1:1" x14ac:dyDescent="0.25">
      <c r="A537" t="s">
        <v>503</v>
      </c>
    </row>
    <row r="538" spans="1:1" x14ac:dyDescent="0.25">
      <c r="A538" t="s">
        <v>165</v>
      </c>
    </row>
    <row r="539" spans="1:1" x14ac:dyDescent="0.25">
      <c r="A539" t="s">
        <v>504</v>
      </c>
    </row>
    <row r="540" spans="1:1" x14ac:dyDescent="0.25">
      <c r="A540" t="s">
        <v>166</v>
      </c>
    </row>
    <row r="541" spans="1:1" x14ac:dyDescent="0.25">
      <c r="A541" t="s">
        <v>167</v>
      </c>
    </row>
    <row r="542" spans="1:1" x14ac:dyDescent="0.25">
      <c r="A542" t="s">
        <v>164</v>
      </c>
    </row>
    <row r="543" spans="1:1" x14ac:dyDescent="0.25">
      <c r="A543" t="s">
        <v>505</v>
      </c>
    </row>
    <row r="544" spans="1:1" x14ac:dyDescent="0.25">
      <c r="A544" t="s">
        <v>165</v>
      </c>
    </row>
    <row r="545" spans="1:1" x14ac:dyDescent="0.25">
      <c r="A545" t="s">
        <v>506</v>
      </c>
    </row>
    <row r="546" spans="1:1" x14ac:dyDescent="0.25">
      <c r="A546" t="s">
        <v>166</v>
      </c>
    </row>
    <row r="547" spans="1:1" x14ac:dyDescent="0.25">
      <c r="A547" t="s">
        <v>167</v>
      </c>
    </row>
    <row r="548" spans="1:1" x14ac:dyDescent="0.25">
      <c r="A548" t="s">
        <v>382</v>
      </c>
    </row>
    <row r="549" spans="1:1" x14ac:dyDescent="0.25">
      <c r="A549" t="s">
        <v>383</v>
      </c>
    </row>
    <row r="550" spans="1:1" x14ac:dyDescent="0.25">
      <c r="A550" t="s">
        <v>384</v>
      </c>
    </row>
    <row r="551" spans="1:1" x14ac:dyDescent="0.25">
      <c r="A551" t="s">
        <v>382</v>
      </c>
    </row>
    <row r="552" spans="1:1" x14ac:dyDescent="0.25">
      <c r="A552" t="s">
        <v>385</v>
      </c>
    </row>
    <row r="553" spans="1:1" x14ac:dyDescent="0.25">
      <c r="A553" t="s">
        <v>384</v>
      </c>
    </row>
    <row r="554" spans="1:1" x14ac:dyDescent="0.25">
      <c r="A554" t="s">
        <v>382</v>
      </c>
    </row>
    <row r="555" spans="1:1" x14ac:dyDescent="0.25">
      <c r="A555" t="s">
        <v>386</v>
      </c>
    </row>
    <row r="556" spans="1:1" x14ac:dyDescent="0.25">
      <c r="A556" t="s">
        <v>384</v>
      </c>
    </row>
    <row r="557" spans="1:1" x14ac:dyDescent="0.25">
      <c r="A557" t="s">
        <v>382</v>
      </c>
    </row>
    <row r="558" spans="1:1" x14ac:dyDescent="0.25">
      <c r="A558" t="s">
        <v>387</v>
      </c>
    </row>
    <row r="559" spans="1:1" x14ac:dyDescent="0.25">
      <c r="A559" t="s">
        <v>384</v>
      </c>
    </row>
    <row r="560" spans="1:1" x14ac:dyDescent="0.25">
      <c r="A560" t="s">
        <v>280</v>
      </c>
    </row>
    <row r="561" spans="1:1" x14ac:dyDescent="0.25">
      <c r="A561" t="s">
        <v>507</v>
      </c>
    </row>
    <row r="562" spans="1:1" x14ac:dyDescent="0.25">
      <c r="A562" t="s">
        <v>161</v>
      </c>
    </row>
    <row r="563" spans="1:1" x14ac:dyDescent="0.25">
      <c r="A563" t="s">
        <v>75</v>
      </c>
    </row>
    <row r="564" spans="1:1" x14ac:dyDescent="0.25">
      <c r="A564" t="s">
        <v>508</v>
      </c>
    </row>
    <row r="565" spans="1:1" x14ac:dyDescent="0.25">
      <c r="A565" t="s">
        <v>77</v>
      </c>
    </row>
    <row r="566" spans="1:1" x14ac:dyDescent="0.25">
      <c r="A566" t="s">
        <v>78</v>
      </c>
    </row>
    <row r="567" spans="1:1" x14ac:dyDescent="0.25">
      <c r="A567" t="s">
        <v>379</v>
      </c>
    </row>
    <row r="568" spans="1:1" x14ac:dyDescent="0.25">
      <c r="A568" t="s">
        <v>79</v>
      </c>
    </row>
    <row r="569" spans="1:1" x14ac:dyDescent="0.25">
      <c r="A569" t="s">
        <v>80</v>
      </c>
    </row>
    <row r="570" spans="1:1" x14ac:dyDescent="0.25">
      <c r="A570" t="s">
        <v>371</v>
      </c>
    </row>
    <row r="571" spans="1:1" x14ac:dyDescent="0.25">
      <c r="A571" t="s">
        <v>82</v>
      </c>
    </row>
    <row r="572" spans="1:1" x14ac:dyDescent="0.25">
      <c r="A572" t="s">
        <v>278</v>
      </c>
    </row>
    <row r="573" spans="1:1" x14ac:dyDescent="0.25">
      <c r="A573" t="s">
        <v>337</v>
      </c>
    </row>
    <row r="574" spans="1:1" x14ac:dyDescent="0.25">
      <c r="A574" t="s">
        <v>111</v>
      </c>
    </row>
    <row r="575" spans="1:1" x14ac:dyDescent="0.25">
      <c r="A575" t="s">
        <v>279</v>
      </c>
    </row>
    <row r="576" spans="1:1" x14ac:dyDescent="0.25">
      <c r="A576" t="s">
        <v>373</v>
      </c>
    </row>
    <row r="577" spans="1:1" x14ac:dyDescent="0.25">
      <c r="A577" t="s">
        <v>90</v>
      </c>
    </row>
    <row r="578" spans="1:1" x14ac:dyDescent="0.25">
      <c r="A578" t="s">
        <v>374</v>
      </c>
    </row>
    <row r="579" spans="1:1" x14ac:dyDescent="0.25">
      <c r="A579" t="s">
        <v>91</v>
      </c>
    </row>
    <row r="580" spans="1:1" x14ac:dyDescent="0.25">
      <c r="A580" t="s">
        <v>92</v>
      </c>
    </row>
    <row r="581" spans="1:1" x14ac:dyDescent="0.25">
      <c r="A581" t="s">
        <v>375</v>
      </c>
    </row>
    <row r="582" spans="1:1" x14ac:dyDescent="0.25">
      <c r="A582" t="s">
        <v>93</v>
      </c>
    </row>
    <row r="583" spans="1:1" x14ac:dyDescent="0.25">
      <c r="A583" t="s">
        <v>94</v>
      </c>
    </row>
    <row r="584" spans="1:1" x14ac:dyDescent="0.25">
      <c r="A584" t="s">
        <v>376</v>
      </c>
    </row>
    <row r="585" spans="1:1" x14ac:dyDescent="0.25">
      <c r="A585" t="s">
        <v>95</v>
      </c>
    </row>
    <row r="586" spans="1:1" x14ac:dyDescent="0.25">
      <c r="A586" t="s">
        <v>97</v>
      </c>
    </row>
    <row r="587" spans="1:1" x14ac:dyDescent="0.25">
      <c r="A587" t="s">
        <v>164</v>
      </c>
    </row>
    <row r="588" spans="1:1" x14ac:dyDescent="0.25">
      <c r="A588" t="s">
        <v>446</v>
      </c>
    </row>
    <row r="589" spans="1:1" x14ac:dyDescent="0.25">
      <c r="A589" t="s">
        <v>165</v>
      </c>
    </row>
    <row r="590" spans="1:1" x14ac:dyDescent="0.25">
      <c r="A590" t="s">
        <v>509</v>
      </c>
    </row>
    <row r="591" spans="1:1" x14ac:dyDescent="0.25">
      <c r="A591" t="s">
        <v>166</v>
      </c>
    </row>
    <row r="592" spans="1:1" x14ac:dyDescent="0.25">
      <c r="A592" t="s">
        <v>167</v>
      </c>
    </row>
    <row r="593" spans="1:1" x14ac:dyDescent="0.25">
      <c r="A593" t="s">
        <v>164</v>
      </c>
    </row>
    <row r="594" spans="1:1" x14ac:dyDescent="0.25">
      <c r="A594" t="s">
        <v>448</v>
      </c>
    </row>
    <row r="595" spans="1:1" x14ac:dyDescent="0.25">
      <c r="A595" t="s">
        <v>165</v>
      </c>
    </row>
    <row r="596" spans="1:1" x14ac:dyDescent="0.25">
      <c r="A596" t="s">
        <v>510</v>
      </c>
    </row>
    <row r="597" spans="1:1" x14ac:dyDescent="0.25">
      <c r="A597" t="s">
        <v>166</v>
      </c>
    </row>
    <row r="598" spans="1:1" x14ac:dyDescent="0.25">
      <c r="A598" t="s">
        <v>167</v>
      </c>
    </row>
    <row r="599" spans="1:1" x14ac:dyDescent="0.25">
      <c r="A599" t="s">
        <v>164</v>
      </c>
    </row>
    <row r="600" spans="1:1" x14ac:dyDescent="0.25">
      <c r="A600" t="s">
        <v>449</v>
      </c>
    </row>
    <row r="601" spans="1:1" x14ac:dyDescent="0.25">
      <c r="A601" t="s">
        <v>165</v>
      </c>
    </row>
    <row r="602" spans="1:1" x14ac:dyDescent="0.25">
      <c r="A602" t="s">
        <v>511</v>
      </c>
    </row>
    <row r="603" spans="1:1" x14ac:dyDescent="0.25">
      <c r="A603" t="s">
        <v>166</v>
      </c>
    </row>
    <row r="604" spans="1:1" x14ac:dyDescent="0.25">
      <c r="A604" t="s">
        <v>167</v>
      </c>
    </row>
    <row r="605" spans="1:1" x14ac:dyDescent="0.25">
      <c r="A605" t="s">
        <v>164</v>
      </c>
    </row>
    <row r="606" spans="1:1" x14ac:dyDescent="0.25">
      <c r="A606" t="s">
        <v>450</v>
      </c>
    </row>
    <row r="607" spans="1:1" x14ac:dyDescent="0.25">
      <c r="A607" t="s">
        <v>165</v>
      </c>
    </row>
    <row r="608" spans="1:1" x14ac:dyDescent="0.25">
      <c r="A608" t="s">
        <v>512</v>
      </c>
    </row>
    <row r="609" spans="1:1" x14ac:dyDescent="0.25">
      <c r="A609" t="s">
        <v>166</v>
      </c>
    </row>
    <row r="610" spans="1:1" x14ac:dyDescent="0.25">
      <c r="A610" t="s">
        <v>167</v>
      </c>
    </row>
    <row r="611" spans="1:1" x14ac:dyDescent="0.25">
      <c r="A611" t="s">
        <v>164</v>
      </c>
    </row>
    <row r="612" spans="1:1" x14ac:dyDescent="0.25">
      <c r="A612" t="s">
        <v>451</v>
      </c>
    </row>
    <row r="613" spans="1:1" x14ac:dyDescent="0.25">
      <c r="A613" t="s">
        <v>165</v>
      </c>
    </row>
    <row r="614" spans="1:1" x14ac:dyDescent="0.25">
      <c r="A614" t="s">
        <v>513</v>
      </c>
    </row>
    <row r="615" spans="1:1" x14ac:dyDescent="0.25">
      <c r="A615" t="s">
        <v>166</v>
      </c>
    </row>
    <row r="616" spans="1:1" x14ac:dyDescent="0.25">
      <c r="A616" t="s">
        <v>167</v>
      </c>
    </row>
    <row r="617" spans="1:1" x14ac:dyDescent="0.25">
      <c r="A617" t="s">
        <v>164</v>
      </c>
    </row>
    <row r="618" spans="1:1" x14ac:dyDescent="0.25">
      <c r="A618" t="s">
        <v>452</v>
      </c>
    </row>
    <row r="619" spans="1:1" x14ac:dyDescent="0.25">
      <c r="A619" t="s">
        <v>165</v>
      </c>
    </row>
    <row r="620" spans="1:1" x14ac:dyDescent="0.25">
      <c r="A620" t="s">
        <v>514</v>
      </c>
    </row>
    <row r="621" spans="1:1" x14ac:dyDescent="0.25">
      <c r="A621" t="s">
        <v>166</v>
      </c>
    </row>
    <row r="622" spans="1:1" x14ac:dyDescent="0.25">
      <c r="A622" t="s">
        <v>167</v>
      </c>
    </row>
    <row r="623" spans="1:1" x14ac:dyDescent="0.25">
      <c r="A623" t="s">
        <v>164</v>
      </c>
    </row>
    <row r="624" spans="1:1" x14ac:dyDescent="0.25">
      <c r="A624" t="s">
        <v>515</v>
      </c>
    </row>
    <row r="625" spans="1:1" x14ac:dyDescent="0.25">
      <c r="A625" t="s">
        <v>165</v>
      </c>
    </row>
    <row r="626" spans="1:1" x14ac:dyDescent="0.25">
      <c r="A626" t="s">
        <v>516</v>
      </c>
    </row>
    <row r="627" spans="1:1" x14ac:dyDescent="0.25">
      <c r="A627" t="s">
        <v>166</v>
      </c>
    </row>
    <row r="628" spans="1:1" x14ac:dyDescent="0.25">
      <c r="A628" t="s">
        <v>167</v>
      </c>
    </row>
    <row r="629" spans="1:1" x14ac:dyDescent="0.25">
      <c r="A629" t="s">
        <v>164</v>
      </c>
    </row>
    <row r="630" spans="1:1" x14ac:dyDescent="0.25">
      <c r="A630" t="s">
        <v>517</v>
      </c>
    </row>
    <row r="631" spans="1:1" x14ac:dyDescent="0.25">
      <c r="A631" t="s">
        <v>165</v>
      </c>
    </row>
    <row r="632" spans="1:1" x14ac:dyDescent="0.25">
      <c r="A632" t="s">
        <v>518</v>
      </c>
    </row>
    <row r="633" spans="1:1" x14ac:dyDescent="0.25">
      <c r="A633" t="s">
        <v>166</v>
      </c>
    </row>
    <row r="634" spans="1:1" x14ac:dyDescent="0.25">
      <c r="A634" t="s">
        <v>167</v>
      </c>
    </row>
    <row r="635" spans="1:1" x14ac:dyDescent="0.25">
      <c r="A635" t="s">
        <v>164</v>
      </c>
    </row>
    <row r="636" spans="1:1" x14ac:dyDescent="0.25">
      <c r="A636" t="s">
        <v>519</v>
      </c>
    </row>
    <row r="637" spans="1:1" x14ac:dyDescent="0.25">
      <c r="A637" t="s">
        <v>165</v>
      </c>
    </row>
    <row r="638" spans="1:1" x14ac:dyDescent="0.25">
      <c r="A638" t="s">
        <v>520</v>
      </c>
    </row>
    <row r="639" spans="1:1" x14ac:dyDescent="0.25">
      <c r="A639" t="s">
        <v>166</v>
      </c>
    </row>
    <row r="640" spans="1:1" x14ac:dyDescent="0.25">
      <c r="A640" t="s">
        <v>167</v>
      </c>
    </row>
    <row r="641" spans="1:1" x14ac:dyDescent="0.25">
      <c r="A641" t="s">
        <v>164</v>
      </c>
    </row>
    <row r="642" spans="1:1" x14ac:dyDescent="0.25">
      <c r="A642" t="s">
        <v>521</v>
      </c>
    </row>
    <row r="643" spans="1:1" x14ac:dyDescent="0.25">
      <c r="A643" t="s">
        <v>165</v>
      </c>
    </row>
    <row r="644" spans="1:1" x14ac:dyDescent="0.25">
      <c r="A644" t="s">
        <v>522</v>
      </c>
    </row>
    <row r="645" spans="1:1" x14ac:dyDescent="0.25">
      <c r="A645" t="s">
        <v>166</v>
      </c>
    </row>
    <row r="646" spans="1:1" x14ac:dyDescent="0.25">
      <c r="A646" t="s">
        <v>167</v>
      </c>
    </row>
    <row r="647" spans="1:1" x14ac:dyDescent="0.25">
      <c r="A647" t="s">
        <v>164</v>
      </c>
    </row>
    <row r="648" spans="1:1" x14ac:dyDescent="0.25">
      <c r="A648" t="s">
        <v>523</v>
      </c>
    </row>
    <row r="649" spans="1:1" x14ac:dyDescent="0.25">
      <c r="A649" t="s">
        <v>165</v>
      </c>
    </row>
    <row r="650" spans="1:1" x14ac:dyDescent="0.25">
      <c r="A650" t="s">
        <v>524</v>
      </c>
    </row>
    <row r="651" spans="1:1" x14ac:dyDescent="0.25">
      <c r="A651" t="s">
        <v>166</v>
      </c>
    </row>
    <row r="652" spans="1:1" x14ac:dyDescent="0.25">
      <c r="A652" t="s">
        <v>167</v>
      </c>
    </row>
    <row r="653" spans="1:1" x14ac:dyDescent="0.25">
      <c r="A653" t="s">
        <v>164</v>
      </c>
    </row>
    <row r="654" spans="1:1" x14ac:dyDescent="0.25">
      <c r="A654" t="s">
        <v>525</v>
      </c>
    </row>
    <row r="655" spans="1:1" x14ac:dyDescent="0.25">
      <c r="A655" t="s">
        <v>165</v>
      </c>
    </row>
    <row r="656" spans="1:1" x14ac:dyDescent="0.25">
      <c r="A656" t="s">
        <v>526</v>
      </c>
    </row>
    <row r="657" spans="1:1" x14ac:dyDescent="0.25">
      <c r="A657" t="s">
        <v>166</v>
      </c>
    </row>
    <row r="658" spans="1:1" x14ac:dyDescent="0.25">
      <c r="A658" t="s">
        <v>167</v>
      </c>
    </row>
    <row r="659" spans="1:1" x14ac:dyDescent="0.25">
      <c r="A659" t="s">
        <v>382</v>
      </c>
    </row>
    <row r="660" spans="1:1" x14ac:dyDescent="0.25">
      <c r="A660" t="s">
        <v>383</v>
      </c>
    </row>
    <row r="661" spans="1:1" x14ac:dyDescent="0.25">
      <c r="A661" t="s">
        <v>384</v>
      </c>
    </row>
    <row r="662" spans="1:1" x14ac:dyDescent="0.25">
      <c r="A662" t="s">
        <v>382</v>
      </c>
    </row>
    <row r="663" spans="1:1" x14ac:dyDescent="0.25">
      <c r="A663" t="s">
        <v>385</v>
      </c>
    </row>
    <row r="664" spans="1:1" x14ac:dyDescent="0.25">
      <c r="A664" t="s">
        <v>384</v>
      </c>
    </row>
    <row r="665" spans="1:1" x14ac:dyDescent="0.25">
      <c r="A665" t="s">
        <v>382</v>
      </c>
    </row>
    <row r="666" spans="1:1" x14ac:dyDescent="0.25">
      <c r="A666" t="s">
        <v>386</v>
      </c>
    </row>
    <row r="667" spans="1:1" x14ac:dyDescent="0.25">
      <c r="A667" t="s">
        <v>384</v>
      </c>
    </row>
    <row r="668" spans="1:1" x14ac:dyDescent="0.25">
      <c r="A668" t="s">
        <v>382</v>
      </c>
    </row>
    <row r="669" spans="1:1" x14ac:dyDescent="0.25">
      <c r="A669" t="s">
        <v>387</v>
      </c>
    </row>
    <row r="670" spans="1:1" x14ac:dyDescent="0.25">
      <c r="A670" t="s">
        <v>384</v>
      </c>
    </row>
    <row r="671" spans="1:1" x14ac:dyDescent="0.25">
      <c r="A671" t="s">
        <v>280</v>
      </c>
    </row>
    <row r="672" spans="1:1" x14ac:dyDescent="0.25">
      <c r="A672" t="s">
        <v>527</v>
      </c>
    </row>
    <row r="673" spans="1:1" x14ac:dyDescent="0.25">
      <c r="A673" t="s">
        <v>161</v>
      </c>
    </row>
    <row r="674" spans="1:1" x14ac:dyDescent="0.25">
      <c r="A674" t="s">
        <v>75</v>
      </c>
    </row>
    <row r="675" spans="1:1" x14ac:dyDescent="0.25">
      <c r="A675" t="s">
        <v>528</v>
      </c>
    </row>
    <row r="676" spans="1:1" x14ac:dyDescent="0.25">
      <c r="A676" t="s">
        <v>77</v>
      </c>
    </row>
    <row r="677" spans="1:1" x14ac:dyDescent="0.25">
      <c r="A677" t="s">
        <v>78</v>
      </c>
    </row>
    <row r="678" spans="1:1" x14ac:dyDescent="0.25">
      <c r="A678" t="s">
        <v>379</v>
      </c>
    </row>
    <row r="679" spans="1:1" x14ac:dyDescent="0.25">
      <c r="A679" t="s">
        <v>79</v>
      </c>
    </row>
    <row r="680" spans="1:1" x14ac:dyDescent="0.25">
      <c r="A680" t="s">
        <v>80</v>
      </c>
    </row>
    <row r="681" spans="1:1" x14ac:dyDescent="0.25">
      <c r="A681" t="s">
        <v>371</v>
      </c>
    </row>
    <row r="682" spans="1:1" x14ac:dyDescent="0.25">
      <c r="A682" t="s">
        <v>82</v>
      </c>
    </row>
    <row r="683" spans="1:1" x14ac:dyDescent="0.25">
      <c r="A683" t="s">
        <v>278</v>
      </c>
    </row>
    <row r="684" spans="1:1" x14ac:dyDescent="0.25">
      <c r="A684" t="s">
        <v>337</v>
      </c>
    </row>
    <row r="685" spans="1:1" x14ac:dyDescent="0.25">
      <c r="A685" t="s">
        <v>111</v>
      </c>
    </row>
    <row r="686" spans="1:1" x14ac:dyDescent="0.25">
      <c r="A686" t="s">
        <v>279</v>
      </c>
    </row>
    <row r="687" spans="1:1" x14ac:dyDescent="0.25">
      <c r="A687" t="s">
        <v>373</v>
      </c>
    </row>
    <row r="688" spans="1:1" x14ac:dyDescent="0.25">
      <c r="A688" t="s">
        <v>90</v>
      </c>
    </row>
    <row r="689" spans="1:1" x14ac:dyDescent="0.25">
      <c r="A689" t="s">
        <v>374</v>
      </c>
    </row>
    <row r="690" spans="1:1" x14ac:dyDescent="0.25">
      <c r="A690" t="s">
        <v>91</v>
      </c>
    </row>
    <row r="691" spans="1:1" x14ac:dyDescent="0.25">
      <c r="A691" t="s">
        <v>92</v>
      </c>
    </row>
    <row r="692" spans="1:1" x14ac:dyDescent="0.25">
      <c r="A692" t="s">
        <v>375</v>
      </c>
    </row>
    <row r="693" spans="1:1" x14ac:dyDescent="0.25">
      <c r="A693" t="s">
        <v>93</v>
      </c>
    </row>
    <row r="694" spans="1:1" x14ac:dyDescent="0.25">
      <c r="A694" t="s">
        <v>94</v>
      </c>
    </row>
    <row r="695" spans="1:1" x14ac:dyDescent="0.25">
      <c r="A695" t="s">
        <v>376</v>
      </c>
    </row>
    <row r="696" spans="1:1" x14ac:dyDescent="0.25">
      <c r="A696" t="s">
        <v>95</v>
      </c>
    </row>
    <row r="697" spans="1:1" x14ac:dyDescent="0.25">
      <c r="A697" t="s">
        <v>97</v>
      </c>
    </row>
    <row r="698" spans="1:1" x14ac:dyDescent="0.25">
      <c r="A698" t="s">
        <v>164</v>
      </c>
    </row>
    <row r="699" spans="1:1" x14ac:dyDescent="0.25">
      <c r="A699" t="s">
        <v>380</v>
      </c>
    </row>
    <row r="700" spans="1:1" x14ac:dyDescent="0.25">
      <c r="A700" t="s">
        <v>165</v>
      </c>
    </row>
    <row r="701" spans="1:1" x14ac:dyDescent="0.25">
      <c r="A701" t="s">
        <v>388</v>
      </c>
    </row>
    <row r="702" spans="1:1" x14ac:dyDescent="0.25">
      <c r="A702" t="s">
        <v>166</v>
      </c>
    </row>
    <row r="703" spans="1:1" x14ac:dyDescent="0.25">
      <c r="A703" t="s">
        <v>167</v>
      </c>
    </row>
    <row r="704" spans="1:1" x14ac:dyDescent="0.25">
      <c r="A704" t="s">
        <v>164</v>
      </c>
    </row>
    <row r="705" spans="1:1" x14ac:dyDescent="0.25">
      <c r="A705" t="s">
        <v>381</v>
      </c>
    </row>
    <row r="706" spans="1:1" x14ac:dyDescent="0.25">
      <c r="A706" t="s">
        <v>165</v>
      </c>
    </row>
    <row r="707" spans="1:1" x14ac:dyDescent="0.25">
      <c r="A707" t="s">
        <v>389</v>
      </c>
    </row>
    <row r="708" spans="1:1" x14ac:dyDescent="0.25">
      <c r="A708" t="s">
        <v>166</v>
      </c>
    </row>
    <row r="709" spans="1:1" x14ac:dyDescent="0.25">
      <c r="A709" t="s">
        <v>167</v>
      </c>
    </row>
    <row r="710" spans="1:1" x14ac:dyDescent="0.25">
      <c r="A710" t="s">
        <v>164</v>
      </c>
    </row>
    <row r="711" spans="1:1" x14ac:dyDescent="0.25">
      <c r="A711" t="s">
        <v>390</v>
      </c>
    </row>
    <row r="712" spans="1:1" x14ac:dyDescent="0.25">
      <c r="A712" t="s">
        <v>165</v>
      </c>
    </row>
    <row r="713" spans="1:1" x14ac:dyDescent="0.25">
      <c r="A713" t="s">
        <v>391</v>
      </c>
    </row>
    <row r="714" spans="1:1" x14ac:dyDescent="0.25">
      <c r="A714" t="s">
        <v>166</v>
      </c>
    </row>
    <row r="715" spans="1:1" x14ac:dyDescent="0.25">
      <c r="A715" t="s">
        <v>167</v>
      </c>
    </row>
    <row r="716" spans="1:1" x14ac:dyDescent="0.25">
      <c r="A716" t="s">
        <v>164</v>
      </c>
    </row>
    <row r="717" spans="1:1" x14ac:dyDescent="0.25">
      <c r="A717" t="s">
        <v>392</v>
      </c>
    </row>
    <row r="718" spans="1:1" x14ac:dyDescent="0.25">
      <c r="A718" t="s">
        <v>165</v>
      </c>
    </row>
    <row r="719" spans="1:1" x14ac:dyDescent="0.25">
      <c r="A719" t="s">
        <v>393</v>
      </c>
    </row>
    <row r="720" spans="1:1" x14ac:dyDescent="0.25">
      <c r="A720" t="s">
        <v>166</v>
      </c>
    </row>
    <row r="721" spans="1:1" x14ac:dyDescent="0.25">
      <c r="A721" t="s">
        <v>167</v>
      </c>
    </row>
    <row r="722" spans="1:1" x14ac:dyDescent="0.25">
      <c r="A722" t="s">
        <v>382</v>
      </c>
    </row>
    <row r="723" spans="1:1" x14ac:dyDescent="0.25">
      <c r="A723" t="s">
        <v>383</v>
      </c>
    </row>
    <row r="724" spans="1:1" x14ac:dyDescent="0.25">
      <c r="A724" t="s">
        <v>384</v>
      </c>
    </row>
    <row r="725" spans="1:1" x14ac:dyDescent="0.25">
      <c r="A725" t="s">
        <v>382</v>
      </c>
    </row>
    <row r="726" spans="1:1" x14ac:dyDescent="0.25">
      <c r="A726" t="s">
        <v>385</v>
      </c>
    </row>
    <row r="727" spans="1:1" x14ac:dyDescent="0.25">
      <c r="A727" t="s">
        <v>384</v>
      </c>
    </row>
    <row r="728" spans="1:1" x14ac:dyDescent="0.25">
      <c r="A728" t="s">
        <v>382</v>
      </c>
    </row>
    <row r="729" spans="1:1" x14ac:dyDescent="0.25">
      <c r="A729" t="s">
        <v>386</v>
      </c>
    </row>
    <row r="730" spans="1:1" x14ac:dyDescent="0.25">
      <c r="A730" t="s">
        <v>384</v>
      </c>
    </row>
    <row r="731" spans="1:1" x14ac:dyDescent="0.25">
      <c r="A731" t="s">
        <v>382</v>
      </c>
    </row>
    <row r="732" spans="1:1" x14ac:dyDescent="0.25">
      <c r="A732" t="s">
        <v>387</v>
      </c>
    </row>
    <row r="733" spans="1:1" x14ac:dyDescent="0.25">
      <c r="A733" t="s">
        <v>384</v>
      </c>
    </row>
    <row r="734" spans="1:1" x14ac:dyDescent="0.25">
      <c r="A734" t="s">
        <v>280</v>
      </c>
    </row>
    <row r="735" spans="1:1" x14ac:dyDescent="0.25">
      <c r="A735" t="s">
        <v>104</v>
      </c>
    </row>
    <row r="736" spans="1:1" x14ac:dyDescent="0.25">
      <c r="A736" t="s">
        <v>105</v>
      </c>
    </row>
    <row r="737" spans="1:1" x14ac:dyDescent="0.25">
      <c r="A737" t="s">
        <v>106</v>
      </c>
    </row>
    <row r="738" spans="1:1" x14ac:dyDescent="0.25">
      <c r="A738" t="s">
        <v>422</v>
      </c>
    </row>
    <row r="739" spans="1:1" x14ac:dyDescent="0.25">
      <c r="A739" t="s">
        <v>107</v>
      </c>
    </row>
    <row r="740" spans="1:1" x14ac:dyDescent="0.25">
      <c r="A740" t="s">
        <v>108</v>
      </c>
    </row>
    <row r="741" spans="1:1" x14ac:dyDescent="0.25">
      <c r="A741" t="s">
        <v>370</v>
      </c>
    </row>
    <row r="742" spans="1:1" x14ac:dyDescent="0.25">
      <c r="A742" t="s">
        <v>109</v>
      </c>
    </row>
    <row r="743" spans="1:1" x14ac:dyDescent="0.25">
      <c r="A743" t="s">
        <v>110</v>
      </c>
    </row>
    <row r="744" spans="1:1" x14ac:dyDescent="0.25">
      <c r="A744" t="s">
        <v>529</v>
      </c>
    </row>
    <row r="745" spans="1:1" x14ac:dyDescent="0.25">
      <c r="A745" t="s">
        <v>179</v>
      </c>
    </row>
    <row r="746" spans="1:1" x14ac:dyDescent="0.25">
      <c r="A746" t="s">
        <v>75</v>
      </c>
    </row>
    <row r="747" spans="1:1" x14ac:dyDescent="0.25">
      <c r="A747" t="s">
        <v>530</v>
      </c>
    </row>
    <row r="748" spans="1:1" x14ac:dyDescent="0.25">
      <c r="A748" t="s">
        <v>77</v>
      </c>
    </row>
    <row r="749" spans="1:1" x14ac:dyDescent="0.25">
      <c r="A749" t="s">
        <v>78</v>
      </c>
    </row>
    <row r="750" spans="1:1" x14ac:dyDescent="0.25">
      <c r="A750" t="s">
        <v>531</v>
      </c>
    </row>
    <row r="751" spans="1:1" x14ac:dyDescent="0.25">
      <c r="A751" t="s">
        <v>79</v>
      </c>
    </row>
    <row r="752" spans="1:1" x14ac:dyDescent="0.25">
      <c r="A752" t="s">
        <v>80</v>
      </c>
    </row>
    <row r="753" spans="1:1" x14ac:dyDescent="0.25">
      <c r="A753" t="s">
        <v>371</v>
      </c>
    </row>
    <row r="754" spans="1:1" x14ac:dyDescent="0.25">
      <c r="A754" t="s">
        <v>82</v>
      </c>
    </row>
    <row r="755" spans="1:1" x14ac:dyDescent="0.25">
      <c r="A755" t="s">
        <v>278</v>
      </c>
    </row>
    <row r="756" spans="1:1" x14ac:dyDescent="0.25">
      <c r="A756" t="s">
        <v>337</v>
      </c>
    </row>
    <row r="757" spans="1:1" x14ac:dyDescent="0.25">
      <c r="A757" t="s">
        <v>111</v>
      </c>
    </row>
    <row r="758" spans="1:1" x14ac:dyDescent="0.25">
      <c r="A758" t="s">
        <v>279</v>
      </c>
    </row>
    <row r="759" spans="1:1" x14ac:dyDescent="0.25">
      <c r="A759" t="s">
        <v>532</v>
      </c>
    </row>
    <row r="760" spans="1:1" x14ac:dyDescent="0.25">
      <c r="A760" t="s">
        <v>533</v>
      </c>
    </row>
    <row r="761" spans="1:1" x14ac:dyDescent="0.25">
      <c r="A761" t="s">
        <v>399</v>
      </c>
    </row>
    <row r="762" spans="1:1" x14ac:dyDescent="0.25">
      <c r="A762" t="s">
        <v>100</v>
      </c>
    </row>
    <row r="763" spans="1:1" x14ac:dyDescent="0.25">
      <c r="A763" t="s">
        <v>534</v>
      </c>
    </row>
    <row r="764" spans="1:1" x14ac:dyDescent="0.25">
      <c r="A764" t="s">
        <v>112</v>
      </c>
    </row>
    <row r="765" spans="1:1" x14ac:dyDescent="0.25">
      <c r="A765" t="s">
        <v>113</v>
      </c>
    </row>
    <row r="766" spans="1:1" x14ac:dyDescent="0.25">
      <c r="A766" t="s">
        <v>533</v>
      </c>
    </row>
    <row r="767" spans="1:1" x14ac:dyDescent="0.25">
      <c r="A767" t="s">
        <v>402</v>
      </c>
    </row>
    <row r="768" spans="1:1" x14ac:dyDescent="0.25">
      <c r="A768" t="s">
        <v>100</v>
      </c>
    </row>
    <row r="769" spans="1:1" x14ac:dyDescent="0.25">
      <c r="A769" t="s">
        <v>534</v>
      </c>
    </row>
    <row r="770" spans="1:1" x14ac:dyDescent="0.25">
      <c r="A770" t="s">
        <v>112</v>
      </c>
    </row>
    <row r="771" spans="1:1" x14ac:dyDescent="0.25">
      <c r="A771" t="s">
        <v>113</v>
      </c>
    </row>
    <row r="772" spans="1:1" x14ac:dyDescent="0.25">
      <c r="A772" t="s">
        <v>533</v>
      </c>
    </row>
    <row r="773" spans="1:1" x14ac:dyDescent="0.25">
      <c r="A773" t="s">
        <v>535</v>
      </c>
    </row>
    <row r="774" spans="1:1" x14ac:dyDescent="0.25">
      <c r="A774" t="s">
        <v>100</v>
      </c>
    </row>
    <row r="775" spans="1:1" x14ac:dyDescent="0.25">
      <c r="A775" t="s">
        <v>534</v>
      </c>
    </row>
    <row r="776" spans="1:1" x14ac:dyDescent="0.25">
      <c r="A776" t="s">
        <v>112</v>
      </c>
    </row>
    <row r="777" spans="1:1" x14ac:dyDescent="0.25">
      <c r="A777" t="s">
        <v>113</v>
      </c>
    </row>
    <row r="778" spans="1:1" x14ac:dyDescent="0.25">
      <c r="A778" t="s">
        <v>533</v>
      </c>
    </row>
    <row r="779" spans="1:1" x14ac:dyDescent="0.25">
      <c r="A779" t="s">
        <v>536</v>
      </c>
    </row>
    <row r="780" spans="1:1" x14ac:dyDescent="0.25">
      <c r="A780" t="s">
        <v>100</v>
      </c>
    </row>
    <row r="781" spans="1:1" x14ac:dyDescent="0.25">
      <c r="A781" t="s">
        <v>534</v>
      </c>
    </row>
    <row r="782" spans="1:1" x14ac:dyDescent="0.25">
      <c r="A782" t="s">
        <v>112</v>
      </c>
    </row>
    <row r="783" spans="1:1" x14ac:dyDescent="0.25">
      <c r="A783" t="s">
        <v>113</v>
      </c>
    </row>
    <row r="784" spans="1:1" x14ac:dyDescent="0.25">
      <c r="A784" t="s">
        <v>533</v>
      </c>
    </row>
    <row r="785" spans="1:1" x14ac:dyDescent="0.25">
      <c r="A785" t="s">
        <v>403</v>
      </c>
    </row>
    <row r="786" spans="1:1" x14ac:dyDescent="0.25">
      <c r="A786" t="s">
        <v>100</v>
      </c>
    </row>
    <row r="787" spans="1:1" x14ac:dyDescent="0.25">
      <c r="A787" t="s">
        <v>534</v>
      </c>
    </row>
    <row r="788" spans="1:1" x14ac:dyDescent="0.25">
      <c r="A788" t="s">
        <v>112</v>
      </c>
    </row>
    <row r="789" spans="1:1" x14ac:dyDescent="0.25">
      <c r="A789" t="s">
        <v>113</v>
      </c>
    </row>
    <row r="790" spans="1:1" x14ac:dyDescent="0.25">
      <c r="A790" t="s">
        <v>533</v>
      </c>
    </row>
    <row r="791" spans="1:1" x14ac:dyDescent="0.25">
      <c r="A791" t="s">
        <v>404</v>
      </c>
    </row>
    <row r="792" spans="1:1" x14ac:dyDescent="0.25">
      <c r="A792" t="s">
        <v>100</v>
      </c>
    </row>
    <row r="793" spans="1:1" x14ac:dyDescent="0.25">
      <c r="A793" t="s">
        <v>534</v>
      </c>
    </row>
    <row r="794" spans="1:1" x14ac:dyDescent="0.25">
      <c r="A794" t="s">
        <v>112</v>
      </c>
    </row>
    <row r="795" spans="1:1" x14ac:dyDescent="0.25">
      <c r="A795" t="s">
        <v>113</v>
      </c>
    </row>
    <row r="796" spans="1:1" x14ac:dyDescent="0.25">
      <c r="A796" t="s">
        <v>533</v>
      </c>
    </row>
    <row r="797" spans="1:1" x14ac:dyDescent="0.25">
      <c r="A797" t="s">
        <v>537</v>
      </c>
    </row>
    <row r="798" spans="1:1" x14ac:dyDescent="0.25">
      <c r="A798" t="s">
        <v>100</v>
      </c>
    </row>
    <row r="799" spans="1:1" x14ac:dyDescent="0.25">
      <c r="A799" t="s">
        <v>534</v>
      </c>
    </row>
    <row r="800" spans="1:1" x14ac:dyDescent="0.25">
      <c r="A800" t="s">
        <v>112</v>
      </c>
    </row>
    <row r="801" spans="1:1" x14ac:dyDescent="0.25">
      <c r="A801" t="s">
        <v>113</v>
      </c>
    </row>
    <row r="802" spans="1:1" x14ac:dyDescent="0.25">
      <c r="A802" t="s">
        <v>533</v>
      </c>
    </row>
    <row r="803" spans="1:1" x14ac:dyDescent="0.25">
      <c r="A803" t="s">
        <v>538</v>
      </c>
    </row>
    <row r="804" spans="1:1" x14ac:dyDescent="0.25">
      <c r="A804" t="s">
        <v>100</v>
      </c>
    </row>
    <row r="805" spans="1:1" x14ac:dyDescent="0.25">
      <c r="A805" t="s">
        <v>534</v>
      </c>
    </row>
    <row r="806" spans="1:1" x14ac:dyDescent="0.25">
      <c r="A806" t="s">
        <v>112</v>
      </c>
    </row>
    <row r="807" spans="1:1" x14ac:dyDescent="0.25">
      <c r="A807" t="s">
        <v>113</v>
      </c>
    </row>
    <row r="808" spans="1:1" x14ac:dyDescent="0.25">
      <c r="A808" t="s">
        <v>382</v>
      </c>
    </row>
    <row r="809" spans="1:1" x14ac:dyDescent="0.25">
      <c r="A809" t="s">
        <v>539</v>
      </c>
    </row>
    <row r="810" spans="1:1" x14ac:dyDescent="0.25">
      <c r="A810" t="s">
        <v>384</v>
      </c>
    </row>
    <row r="811" spans="1:1" x14ac:dyDescent="0.25">
      <c r="A811" t="s">
        <v>382</v>
      </c>
    </row>
    <row r="812" spans="1:1" x14ac:dyDescent="0.25">
      <c r="A812" t="s">
        <v>540</v>
      </c>
    </row>
    <row r="813" spans="1:1" x14ac:dyDescent="0.25">
      <c r="A813" t="s">
        <v>384</v>
      </c>
    </row>
    <row r="814" spans="1:1" x14ac:dyDescent="0.25">
      <c r="A814" t="s">
        <v>382</v>
      </c>
    </row>
    <row r="815" spans="1:1" x14ac:dyDescent="0.25">
      <c r="A815" t="s">
        <v>541</v>
      </c>
    </row>
    <row r="816" spans="1:1" x14ac:dyDescent="0.25">
      <c r="A816" t="s">
        <v>384</v>
      </c>
    </row>
    <row r="817" spans="1:1" x14ac:dyDescent="0.25">
      <c r="A817" t="s">
        <v>382</v>
      </c>
    </row>
    <row r="818" spans="1:1" x14ac:dyDescent="0.25">
      <c r="A818" t="s">
        <v>542</v>
      </c>
    </row>
    <row r="819" spans="1:1" x14ac:dyDescent="0.25">
      <c r="A819" t="s">
        <v>384</v>
      </c>
    </row>
    <row r="820" spans="1:1" x14ac:dyDescent="0.25">
      <c r="A820" t="s">
        <v>280</v>
      </c>
    </row>
    <row r="821" spans="1:1" x14ac:dyDescent="0.25">
      <c r="A821" t="s">
        <v>543</v>
      </c>
    </row>
    <row r="822" spans="1:1" x14ac:dyDescent="0.25">
      <c r="A822" t="s">
        <v>179</v>
      </c>
    </row>
    <row r="823" spans="1:1" x14ac:dyDescent="0.25">
      <c r="A823" t="s">
        <v>75</v>
      </c>
    </row>
    <row r="824" spans="1:1" x14ac:dyDescent="0.25">
      <c r="A824" t="s">
        <v>544</v>
      </c>
    </row>
    <row r="825" spans="1:1" x14ac:dyDescent="0.25">
      <c r="A825" t="s">
        <v>77</v>
      </c>
    </row>
    <row r="826" spans="1:1" x14ac:dyDescent="0.25">
      <c r="A826" t="s">
        <v>78</v>
      </c>
    </row>
    <row r="827" spans="1:1" x14ac:dyDescent="0.25">
      <c r="A827" t="s">
        <v>545</v>
      </c>
    </row>
    <row r="828" spans="1:1" x14ac:dyDescent="0.25">
      <c r="A828" t="s">
        <v>79</v>
      </c>
    </row>
    <row r="829" spans="1:1" x14ac:dyDescent="0.25">
      <c r="A829" t="s">
        <v>80</v>
      </c>
    </row>
    <row r="830" spans="1:1" x14ac:dyDescent="0.25">
      <c r="A830" t="s">
        <v>371</v>
      </c>
    </row>
    <row r="831" spans="1:1" x14ac:dyDescent="0.25">
      <c r="A831" t="s">
        <v>82</v>
      </c>
    </row>
    <row r="832" spans="1:1" x14ac:dyDescent="0.25">
      <c r="A832" t="s">
        <v>278</v>
      </c>
    </row>
    <row r="833" spans="1:1" x14ac:dyDescent="0.25">
      <c r="A833" t="s">
        <v>337</v>
      </c>
    </row>
    <row r="834" spans="1:1" x14ac:dyDescent="0.25">
      <c r="A834" t="s">
        <v>111</v>
      </c>
    </row>
    <row r="835" spans="1:1" x14ac:dyDescent="0.25">
      <c r="A835" t="s">
        <v>279</v>
      </c>
    </row>
    <row r="836" spans="1:1" x14ac:dyDescent="0.25">
      <c r="A836" t="s">
        <v>532</v>
      </c>
    </row>
    <row r="837" spans="1:1" x14ac:dyDescent="0.25">
      <c r="A837" t="s">
        <v>533</v>
      </c>
    </row>
    <row r="838" spans="1:1" x14ac:dyDescent="0.25">
      <c r="A838" t="s">
        <v>546</v>
      </c>
    </row>
    <row r="839" spans="1:1" x14ac:dyDescent="0.25">
      <c r="A839" t="s">
        <v>100</v>
      </c>
    </row>
    <row r="840" spans="1:1" x14ac:dyDescent="0.25">
      <c r="A840" t="s">
        <v>534</v>
      </c>
    </row>
    <row r="841" spans="1:1" x14ac:dyDescent="0.25">
      <c r="A841" t="s">
        <v>112</v>
      </c>
    </row>
    <row r="842" spans="1:1" x14ac:dyDescent="0.25">
      <c r="A842" t="s">
        <v>113</v>
      </c>
    </row>
    <row r="843" spans="1:1" x14ac:dyDescent="0.25">
      <c r="A843" t="s">
        <v>547</v>
      </c>
    </row>
    <row r="844" spans="1:1" x14ac:dyDescent="0.25">
      <c r="A844" t="s">
        <v>548</v>
      </c>
    </row>
    <row r="845" spans="1:1" x14ac:dyDescent="0.25">
      <c r="A845" t="s">
        <v>100</v>
      </c>
    </row>
    <row r="846" spans="1:1" x14ac:dyDescent="0.25">
      <c r="A846" t="s">
        <v>549</v>
      </c>
    </row>
    <row r="847" spans="1:1" x14ac:dyDescent="0.25">
      <c r="A847" t="s">
        <v>112</v>
      </c>
    </row>
    <row r="848" spans="1:1" x14ac:dyDescent="0.25">
      <c r="A848" t="s">
        <v>113</v>
      </c>
    </row>
    <row r="849" spans="1:1" x14ac:dyDescent="0.25">
      <c r="A849" t="s">
        <v>533</v>
      </c>
    </row>
    <row r="850" spans="1:1" x14ac:dyDescent="0.25">
      <c r="A850" t="s">
        <v>550</v>
      </c>
    </row>
    <row r="851" spans="1:1" x14ac:dyDescent="0.25">
      <c r="A851" t="s">
        <v>100</v>
      </c>
    </row>
    <row r="852" spans="1:1" x14ac:dyDescent="0.25">
      <c r="A852" t="s">
        <v>551</v>
      </c>
    </row>
    <row r="853" spans="1:1" x14ac:dyDescent="0.25">
      <c r="A853" t="s">
        <v>112</v>
      </c>
    </row>
    <row r="854" spans="1:1" x14ac:dyDescent="0.25">
      <c r="A854" t="s">
        <v>113</v>
      </c>
    </row>
    <row r="855" spans="1:1" x14ac:dyDescent="0.25">
      <c r="A855" t="s">
        <v>280</v>
      </c>
    </row>
    <row r="856" spans="1:1" x14ac:dyDescent="0.25">
      <c r="A856" t="s">
        <v>104</v>
      </c>
    </row>
    <row r="857" spans="1:1" x14ac:dyDescent="0.25">
      <c r="A857" t="s">
        <v>105</v>
      </c>
    </row>
    <row r="858" spans="1:1" x14ac:dyDescent="0.25">
      <c r="A858" t="s">
        <v>106</v>
      </c>
    </row>
    <row r="859" spans="1:1" x14ac:dyDescent="0.25">
      <c r="A859" t="s">
        <v>422</v>
      </c>
    </row>
    <row r="860" spans="1:1" x14ac:dyDescent="0.25">
      <c r="A860" t="s">
        <v>107</v>
      </c>
    </row>
    <row r="861" spans="1:1" x14ac:dyDescent="0.25">
      <c r="A861" t="s">
        <v>108</v>
      </c>
    </row>
    <row r="862" spans="1:1" x14ac:dyDescent="0.25">
      <c r="A862" t="s">
        <v>370</v>
      </c>
    </row>
    <row r="863" spans="1:1" x14ac:dyDescent="0.25">
      <c r="A863" t="s">
        <v>109</v>
      </c>
    </row>
    <row r="864" spans="1:1" x14ac:dyDescent="0.25">
      <c r="A864" t="s">
        <v>110</v>
      </c>
    </row>
    <row r="865" spans="1:1" x14ac:dyDescent="0.25">
      <c r="A865" t="s">
        <v>394</v>
      </c>
    </row>
    <row r="866" spans="1:1" x14ac:dyDescent="0.25">
      <c r="A866" t="s">
        <v>184</v>
      </c>
    </row>
    <row r="867" spans="1:1" x14ac:dyDescent="0.25">
      <c r="A867" t="s">
        <v>75</v>
      </c>
    </row>
    <row r="868" spans="1:1" x14ac:dyDescent="0.25">
      <c r="A868" t="s">
        <v>395</v>
      </c>
    </row>
    <row r="869" spans="1:1" x14ac:dyDescent="0.25">
      <c r="A869" t="s">
        <v>77</v>
      </c>
    </row>
    <row r="870" spans="1:1" x14ac:dyDescent="0.25">
      <c r="A870" t="s">
        <v>78</v>
      </c>
    </row>
    <row r="871" spans="1:1" x14ac:dyDescent="0.25">
      <c r="A871" t="s">
        <v>396</v>
      </c>
    </row>
    <row r="872" spans="1:1" x14ac:dyDescent="0.25">
      <c r="A872" t="s">
        <v>79</v>
      </c>
    </row>
    <row r="873" spans="1:1" x14ac:dyDescent="0.25">
      <c r="A873" t="s">
        <v>80</v>
      </c>
    </row>
    <row r="874" spans="1:1" x14ac:dyDescent="0.25">
      <c r="A874" t="s">
        <v>371</v>
      </c>
    </row>
    <row r="875" spans="1:1" x14ac:dyDescent="0.25">
      <c r="A875" t="s">
        <v>82</v>
      </c>
    </row>
    <row r="876" spans="1:1" x14ac:dyDescent="0.25">
      <c r="A876" t="s">
        <v>278</v>
      </c>
    </row>
    <row r="877" spans="1:1" x14ac:dyDescent="0.25">
      <c r="A877" t="s">
        <v>337</v>
      </c>
    </row>
    <row r="878" spans="1:1" x14ac:dyDescent="0.25">
      <c r="A878" t="s">
        <v>111</v>
      </c>
    </row>
    <row r="879" spans="1:1" x14ac:dyDescent="0.25">
      <c r="A879" t="s">
        <v>279</v>
      </c>
    </row>
    <row r="880" spans="1:1" x14ac:dyDescent="0.25">
      <c r="A880" t="s">
        <v>397</v>
      </c>
    </row>
    <row r="881" spans="1:1" x14ac:dyDescent="0.25">
      <c r="A881" t="s">
        <v>90</v>
      </c>
    </row>
    <row r="882" spans="1:1" x14ac:dyDescent="0.25">
      <c r="A882" t="s">
        <v>374</v>
      </c>
    </row>
    <row r="883" spans="1:1" x14ac:dyDescent="0.25">
      <c r="A883" t="s">
        <v>91</v>
      </c>
    </row>
    <row r="884" spans="1:1" x14ac:dyDescent="0.25">
      <c r="A884" t="s">
        <v>92</v>
      </c>
    </row>
    <row r="885" spans="1:1" x14ac:dyDescent="0.25">
      <c r="A885" t="s">
        <v>375</v>
      </c>
    </row>
    <row r="886" spans="1:1" x14ac:dyDescent="0.25">
      <c r="A886" t="s">
        <v>93</v>
      </c>
    </row>
    <row r="887" spans="1:1" x14ac:dyDescent="0.25">
      <c r="A887" t="s">
        <v>94</v>
      </c>
    </row>
    <row r="888" spans="1:1" x14ac:dyDescent="0.25">
      <c r="A888" t="s">
        <v>376</v>
      </c>
    </row>
    <row r="889" spans="1:1" x14ac:dyDescent="0.25">
      <c r="A889" t="s">
        <v>95</v>
      </c>
    </row>
    <row r="890" spans="1:1" x14ac:dyDescent="0.25">
      <c r="A890" t="s">
        <v>97</v>
      </c>
    </row>
    <row r="891" spans="1:1" x14ac:dyDescent="0.25">
      <c r="A891" t="s">
        <v>398</v>
      </c>
    </row>
    <row r="892" spans="1:1" x14ac:dyDescent="0.25">
      <c r="A892" t="s">
        <v>399</v>
      </c>
    </row>
    <row r="893" spans="1:1" x14ac:dyDescent="0.25">
      <c r="A893" t="s">
        <v>400</v>
      </c>
    </row>
    <row r="894" spans="1:1" x14ac:dyDescent="0.25">
      <c r="A894" t="s">
        <v>401</v>
      </c>
    </row>
    <row r="895" spans="1:1" x14ac:dyDescent="0.25">
      <c r="A895" t="s">
        <v>398</v>
      </c>
    </row>
    <row r="896" spans="1:1" x14ac:dyDescent="0.25">
      <c r="A896" t="s">
        <v>402</v>
      </c>
    </row>
    <row r="897" spans="1:1" x14ac:dyDescent="0.25">
      <c r="A897" t="s">
        <v>400</v>
      </c>
    </row>
    <row r="898" spans="1:1" x14ac:dyDescent="0.25">
      <c r="A898" t="s">
        <v>401</v>
      </c>
    </row>
    <row r="899" spans="1:1" x14ac:dyDescent="0.25">
      <c r="A899" t="s">
        <v>398</v>
      </c>
    </row>
    <row r="900" spans="1:1" x14ac:dyDescent="0.25">
      <c r="A900" t="s">
        <v>403</v>
      </c>
    </row>
    <row r="901" spans="1:1" x14ac:dyDescent="0.25">
      <c r="A901" t="s">
        <v>400</v>
      </c>
    </row>
    <row r="902" spans="1:1" x14ac:dyDescent="0.25">
      <c r="A902" t="s">
        <v>401</v>
      </c>
    </row>
    <row r="903" spans="1:1" x14ac:dyDescent="0.25">
      <c r="A903" t="s">
        <v>398</v>
      </c>
    </row>
    <row r="904" spans="1:1" x14ac:dyDescent="0.25">
      <c r="A904" t="s">
        <v>404</v>
      </c>
    </row>
    <row r="905" spans="1:1" x14ac:dyDescent="0.25">
      <c r="A905" t="s">
        <v>400</v>
      </c>
    </row>
    <row r="906" spans="1:1" x14ac:dyDescent="0.25">
      <c r="A906" t="s">
        <v>401</v>
      </c>
    </row>
    <row r="907" spans="1:1" x14ac:dyDescent="0.25">
      <c r="A907" t="s">
        <v>398</v>
      </c>
    </row>
    <row r="908" spans="1:1" x14ac:dyDescent="0.25">
      <c r="A908" t="s">
        <v>405</v>
      </c>
    </row>
    <row r="909" spans="1:1" x14ac:dyDescent="0.25">
      <c r="A909" t="s">
        <v>406</v>
      </c>
    </row>
    <row r="910" spans="1:1" x14ac:dyDescent="0.25">
      <c r="A910" t="s">
        <v>401</v>
      </c>
    </row>
    <row r="911" spans="1:1" x14ac:dyDescent="0.25">
      <c r="A911" t="s">
        <v>398</v>
      </c>
    </row>
    <row r="912" spans="1:1" x14ac:dyDescent="0.25">
      <c r="A912" t="s">
        <v>407</v>
      </c>
    </row>
    <row r="913" spans="1:1" x14ac:dyDescent="0.25">
      <c r="A913" t="s">
        <v>406</v>
      </c>
    </row>
    <row r="914" spans="1:1" x14ac:dyDescent="0.25">
      <c r="A914" t="s">
        <v>401</v>
      </c>
    </row>
    <row r="915" spans="1:1" x14ac:dyDescent="0.25">
      <c r="A915" t="s">
        <v>398</v>
      </c>
    </row>
    <row r="916" spans="1:1" x14ac:dyDescent="0.25">
      <c r="A916" t="s">
        <v>408</v>
      </c>
    </row>
    <row r="917" spans="1:1" x14ac:dyDescent="0.25">
      <c r="A917" t="s">
        <v>406</v>
      </c>
    </row>
    <row r="918" spans="1:1" x14ac:dyDescent="0.25">
      <c r="A918" t="s">
        <v>401</v>
      </c>
    </row>
    <row r="919" spans="1:1" x14ac:dyDescent="0.25">
      <c r="A919" s="108" t="s">
        <v>398</v>
      </c>
    </row>
    <row r="920" spans="1:1" x14ac:dyDescent="0.25">
      <c r="A920" t="s">
        <v>409</v>
      </c>
    </row>
    <row r="921" spans="1:1" x14ac:dyDescent="0.25">
      <c r="A921" t="s">
        <v>410</v>
      </c>
    </row>
    <row r="922" spans="1:1" x14ac:dyDescent="0.25">
      <c r="A922" t="s">
        <v>401</v>
      </c>
    </row>
    <row r="923" spans="1:1" x14ac:dyDescent="0.25">
      <c r="A923" t="s">
        <v>398</v>
      </c>
    </row>
    <row r="924" spans="1:1" x14ac:dyDescent="0.25">
      <c r="A924" t="s">
        <v>411</v>
      </c>
    </row>
    <row r="925" spans="1:1" x14ac:dyDescent="0.25">
      <c r="A925" t="s">
        <v>410</v>
      </c>
    </row>
    <row r="926" spans="1:1" x14ac:dyDescent="0.25">
      <c r="A926" t="s">
        <v>401</v>
      </c>
    </row>
    <row r="927" spans="1:1" x14ac:dyDescent="0.25">
      <c r="A927" t="s">
        <v>398</v>
      </c>
    </row>
    <row r="928" spans="1:1" x14ac:dyDescent="0.25">
      <c r="A928" t="s">
        <v>412</v>
      </c>
    </row>
    <row r="929" spans="1:1" x14ac:dyDescent="0.25">
      <c r="A929" t="s">
        <v>410</v>
      </c>
    </row>
    <row r="930" spans="1:1" x14ac:dyDescent="0.25">
      <c r="A930" t="s">
        <v>401</v>
      </c>
    </row>
    <row r="931" spans="1:1" x14ac:dyDescent="0.25">
      <c r="A931" t="s">
        <v>398</v>
      </c>
    </row>
    <row r="932" spans="1:1" x14ac:dyDescent="0.25">
      <c r="A932" t="s">
        <v>413</v>
      </c>
    </row>
    <row r="933" spans="1:1" x14ac:dyDescent="0.25">
      <c r="A933" t="s">
        <v>410</v>
      </c>
    </row>
    <row r="934" spans="1:1" x14ac:dyDescent="0.25">
      <c r="A934" t="s">
        <v>401</v>
      </c>
    </row>
    <row r="935" spans="1:1" x14ac:dyDescent="0.25">
      <c r="A935" t="s">
        <v>398</v>
      </c>
    </row>
    <row r="936" spans="1:1" x14ac:dyDescent="0.25">
      <c r="A936" t="s">
        <v>414</v>
      </c>
    </row>
    <row r="937" spans="1:1" x14ac:dyDescent="0.25">
      <c r="A937" t="s">
        <v>410</v>
      </c>
    </row>
    <row r="938" spans="1:1" x14ac:dyDescent="0.25">
      <c r="A938" t="s">
        <v>401</v>
      </c>
    </row>
    <row r="939" spans="1:1" x14ac:dyDescent="0.25">
      <c r="A939" t="s">
        <v>382</v>
      </c>
    </row>
    <row r="940" spans="1:1" x14ac:dyDescent="0.25">
      <c r="A940" t="s">
        <v>415</v>
      </c>
    </row>
    <row r="941" spans="1:1" x14ac:dyDescent="0.25">
      <c r="A941" t="s">
        <v>384</v>
      </c>
    </row>
    <row r="942" spans="1:1" x14ac:dyDescent="0.25">
      <c r="A942" t="s">
        <v>382</v>
      </c>
    </row>
    <row r="943" spans="1:1" x14ac:dyDescent="0.25">
      <c r="A943" t="s">
        <v>416</v>
      </c>
    </row>
    <row r="944" spans="1:1" x14ac:dyDescent="0.25">
      <c r="A944" t="s">
        <v>384</v>
      </c>
    </row>
    <row r="945" spans="1:1" x14ac:dyDescent="0.25">
      <c r="A945" t="s">
        <v>382</v>
      </c>
    </row>
    <row r="946" spans="1:1" x14ac:dyDescent="0.25">
      <c r="A946" t="s">
        <v>417</v>
      </c>
    </row>
    <row r="947" spans="1:1" x14ac:dyDescent="0.25">
      <c r="A947" t="s">
        <v>384</v>
      </c>
    </row>
    <row r="948" spans="1:1" x14ac:dyDescent="0.25">
      <c r="A948" t="s">
        <v>382</v>
      </c>
    </row>
    <row r="949" spans="1:1" x14ac:dyDescent="0.25">
      <c r="A949" t="s">
        <v>418</v>
      </c>
    </row>
    <row r="950" spans="1:1" x14ac:dyDescent="0.25">
      <c r="A950" t="s">
        <v>384</v>
      </c>
    </row>
    <row r="951" spans="1:1" x14ac:dyDescent="0.25">
      <c r="A951" t="s">
        <v>280</v>
      </c>
    </row>
    <row r="952" spans="1:1" x14ac:dyDescent="0.25">
      <c r="A952" t="s">
        <v>419</v>
      </c>
    </row>
    <row r="953" spans="1:1" x14ac:dyDescent="0.25">
      <c r="A953" t="s">
        <v>184</v>
      </c>
    </row>
    <row r="954" spans="1:1" x14ac:dyDescent="0.25">
      <c r="A954" t="s">
        <v>75</v>
      </c>
    </row>
    <row r="955" spans="1:1" x14ac:dyDescent="0.25">
      <c r="A955" t="s">
        <v>420</v>
      </c>
    </row>
    <row r="956" spans="1:1" x14ac:dyDescent="0.25">
      <c r="A956" t="s">
        <v>77</v>
      </c>
    </row>
    <row r="957" spans="1:1" x14ac:dyDescent="0.25">
      <c r="A957" t="s">
        <v>78</v>
      </c>
    </row>
    <row r="958" spans="1:1" ht="60" x14ac:dyDescent="0.25">
      <c r="A958" s="108" t="s">
        <v>421</v>
      </c>
    </row>
    <row r="959" spans="1:1" x14ac:dyDescent="0.25">
      <c r="A959" t="s">
        <v>79</v>
      </c>
    </row>
    <row r="960" spans="1:1" x14ac:dyDescent="0.25">
      <c r="A960" t="s">
        <v>80</v>
      </c>
    </row>
    <row r="961" spans="1:1" x14ac:dyDescent="0.25">
      <c r="A961" t="s">
        <v>371</v>
      </c>
    </row>
    <row r="962" spans="1:1" x14ac:dyDescent="0.25">
      <c r="A962" t="s">
        <v>82</v>
      </c>
    </row>
    <row r="963" spans="1:1" x14ac:dyDescent="0.25">
      <c r="A963" t="s">
        <v>278</v>
      </c>
    </row>
    <row r="964" spans="1:1" x14ac:dyDescent="0.25">
      <c r="A964" t="s">
        <v>337</v>
      </c>
    </row>
    <row r="965" spans="1:1" x14ac:dyDescent="0.25">
      <c r="A965" t="s">
        <v>111</v>
      </c>
    </row>
    <row r="966" spans="1:1" x14ac:dyDescent="0.25">
      <c r="A966" t="s">
        <v>279</v>
      </c>
    </row>
    <row r="967" spans="1:1" x14ac:dyDescent="0.25">
      <c r="A967" t="s">
        <v>397</v>
      </c>
    </row>
    <row r="968" spans="1:1" x14ac:dyDescent="0.25">
      <c r="A968" t="s">
        <v>90</v>
      </c>
    </row>
    <row r="969" spans="1:1" x14ac:dyDescent="0.25">
      <c r="A969" t="s">
        <v>374</v>
      </c>
    </row>
    <row r="970" spans="1:1" x14ac:dyDescent="0.25">
      <c r="A970" t="s">
        <v>91</v>
      </c>
    </row>
    <row r="971" spans="1:1" x14ac:dyDescent="0.25">
      <c r="A971" t="s">
        <v>92</v>
      </c>
    </row>
    <row r="972" spans="1:1" x14ac:dyDescent="0.25">
      <c r="A972" t="s">
        <v>375</v>
      </c>
    </row>
    <row r="973" spans="1:1" x14ac:dyDescent="0.25">
      <c r="A973" t="s">
        <v>93</v>
      </c>
    </row>
    <row r="974" spans="1:1" x14ac:dyDescent="0.25">
      <c r="A974" t="s">
        <v>94</v>
      </c>
    </row>
    <row r="975" spans="1:1" x14ac:dyDescent="0.25">
      <c r="A975" t="s">
        <v>376</v>
      </c>
    </row>
    <row r="976" spans="1:1" x14ac:dyDescent="0.25">
      <c r="A976" t="s">
        <v>95</v>
      </c>
    </row>
    <row r="977" spans="1:1" x14ac:dyDescent="0.25">
      <c r="A977" t="s">
        <v>97</v>
      </c>
    </row>
    <row r="978" spans="1:1" x14ac:dyDescent="0.25">
      <c r="A978" t="s">
        <v>398</v>
      </c>
    </row>
    <row r="979" spans="1:1" x14ac:dyDescent="0.25">
      <c r="A979" t="s">
        <v>399</v>
      </c>
    </row>
    <row r="980" spans="1:1" x14ac:dyDescent="0.25">
      <c r="A980" t="s">
        <v>400</v>
      </c>
    </row>
    <row r="981" spans="1:1" x14ac:dyDescent="0.25">
      <c r="A981" t="s">
        <v>401</v>
      </c>
    </row>
    <row r="982" spans="1:1" x14ac:dyDescent="0.25">
      <c r="A982" t="s">
        <v>398</v>
      </c>
    </row>
    <row r="983" spans="1:1" x14ac:dyDescent="0.25">
      <c r="A983" t="s">
        <v>402</v>
      </c>
    </row>
    <row r="984" spans="1:1" x14ac:dyDescent="0.25">
      <c r="A984" t="s">
        <v>400</v>
      </c>
    </row>
    <row r="985" spans="1:1" x14ac:dyDescent="0.25">
      <c r="A985" t="s">
        <v>401</v>
      </c>
    </row>
    <row r="986" spans="1:1" x14ac:dyDescent="0.25">
      <c r="A986" t="s">
        <v>398</v>
      </c>
    </row>
    <row r="987" spans="1:1" x14ac:dyDescent="0.25">
      <c r="A987" t="s">
        <v>403</v>
      </c>
    </row>
    <row r="988" spans="1:1" x14ac:dyDescent="0.25">
      <c r="A988" t="s">
        <v>400</v>
      </c>
    </row>
    <row r="989" spans="1:1" x14ac:dyDescent="0.25">
      <c r="A989" t="s">
        <v>401</v>
      </c>
    </row>
    <row r="990" spans="1:1" x14ac:dyDescent="0.25">
      <c r="A990" t="s">
        <v>398</v>
      </c>
    </row>
    <row r="991" spans="1:1" x14ac:dyDescent="0.25">
      <c r="A991" t="s">
        <v>404</v>
      </c>
    </row>
    <row r="992" spans="1:1" x14ac:dyDescent="0.25">
      <c r="A992" t="s">
        <v>400</v>
      </c>
    </row>
    <row r="993" spans="1:1" x14ac:dyDescent="0.25">
      <c r="A993" t="s">
        <v>401</v>
      </c>
    </row>
    <row r="994" spans="1:1" x14ac:dyDescent="0.25">
      <c r="A994" t="s">
        <v>398</v>
      </c>
    </row>
    <row r="995" spans="1:1" x14ac:dyDescent="0.25">
      <c r="A995" t="s">
        <v>405</v>
      </c>
    </row>
    <row r="996" spans="1:1" x14ac:dyDescent="0.25">
      <c r="A996" t="s">
        <v>406</v>
      </c>
    </row>
    <row r="997" spans="1:1" x14ac:dyDescent="0.25">
      <c r="A997" t="s">
        <v>401</v>
      </c>
    </row>
    <row r="998" spans="1:1" x14ac:dyDescent="0.25">
      <c r="A998" t="s">
        <v>398</v>
      </c>
    </row>
    <row r="999" spans="1:1" x14ac:dyDescent="0.25">
      <c r="A999" t="s">
        <v>407</v>
      </c>
    </row>
    <row r="1000" spans="1:1" x14ac:dyDescent="0.25">
      <c r="A1000" t="s">
        <v>406</v>
      </c>
    </row>
    <row r="1001" spans="1:1" x14ac:dyDescent="0.25">
      <c r="A1001" t="s">
        <v>401</v>
      </c>
    </row>
    <row r="1002" spans="1:1" x14ac:dyDescent="0.25">
      <c r="A1002" t="s">
        <v>398</v>
      </c>
    </row>
    <row r="1003" spans="1:1" x14ac:dyDescent="0.25">
      <c r="A1003" t="s">
        <v>408</v>
      </c>
    </row>
    <row r="1004" spans="1:1" x14ac:dyDescent="0.25">
      <c r="A1004" t="s">
        <v>406</v>
      </c>
    </row>
    <row r="1005" spans="1:1" x14ac:dyDescent="0.25">
      <c r="A1005" t="s">
        <v>401</v>
      </c>
    </row>
    <row r="1006" spans="1:1" x14ac:dyDescent="0.25">
      <c r="A1006" t="s">
        <v>398</v>
      </c>
    </row>
    <row r="1007" spans="1:1" x14ac:dyDescent="0.25">
      <c r="A1007" t="s">
        <v>409</v>
      </c>
    </row>
    <row r="1008" spans="1:1" x14ac:dyDescent="0.25">
      <c r="A1008" t="s">
        <v>410</v>
      </c>
    </row>
    <row r="1009" spans="1:1" x14ac:dyDescent="0.25">
      <c r="A1009" t="s">
        <v>401</v>
      </c>
    </row>
    <row r="1010" spans="1:1" x14ac:dyDescent="0.25">
      <c r="A1010" t="s">
        <v>398</v>
      </c>
    </row>
    <row r="1011" spans="1:1" x14ac:dyDescent="0.25">
      <c r="A1011" t="s">
        <v>411</v>
      </c>
    </row>
    <row r="1012" spans="1:1" x14ac:dyDescent="0.25">
      <c r="A1012" t="s">
        <v>410</v>
      </c>
    </row>
    <row r="1013" spans="1:1" x14ac:dyDescent="0.25">
      <c r="A1013" t="s">
        <v>401</v>
      </c>
    </row>
    <row r="1014" spans="1:1" x14ac:dyDescent="0.25">
      <c r="A1014" t="s">
        <v>398</v>
      </c>
    </row>
    <row r="1015" spans="1:1" x14ac:dyDescent="0.25">
      <c r="A1015" t="s">
        <v>412</v>
      </c>
    </row>
    <row r="1016" spans="1:1" x14ac:dyDescent="0.25">
      <c r="A1016" t="s">
        <v>410</v>
      </c>
    </row>
    <row r="1017" spans="1:1" x14ac:dyDescent="0.25">
      <c r="A1017" t="s">
        <v>401</v>
      </c>
    </row>
    <row r="1018" spans="1:1" x14ac:dyDescent="0.25">
      <c r="A1018" t="s">
        <v>398</v>
      </c>
    </row>
    <row r="1019" spans="1:1" x14ac:dyDescent="0.25">
      <c r="A1019" t="s">
        <v>413</v>
      </c>
    </row>
    <row r="1020" spans="1:1" x14ac:dyDescent="0.25">
      <c r="A1020" t="s">
        <v>410</v>
      </c>
    </row>
    <row r="1021" spans="1:1" x14ac:dyDescent="0.25">
      <c r="A1021" t="s">
        <v>401</v>
      </c>
    </row>
    <row r="1022" spans="1:1" x14ac:dyDescent="0.25">
      <c r="A1022" t="s">
        <v>398</v>
      </c>
    </row>
    <row r="1023" spans="1:1" x14ac:dyDescent="0.25">
      <c r="A1023" t="s">
        <v>414</v>
      </c>
    </row>
    <row r="1024" spans="1:1" x14ac:dyDescent="0.25">
      <c r="A1024" t="s">
        <v>410</v>
      </c>
    </row>
    <row r="1025" spans="1:1" x14ac:dyDescent="0.25">
      <c r="A1025" t="s">
        <v>401</v>
      </c>
    </row>
    <row r="1026" spans="1:1" x14ac:dyDescent="0.25">
      <c r="A1026" t="s">
        <v>382</v>
      </c>
    </row>
    <row r="1027" spans="1:1" x14ac:dyDescent="0.25">
      <c r="A1027" t="s">
        <v>415</v>
      </c>
    </row>
    <row r="1028" spans="1:1" x14ac:dyDescent="0.25">
      <c r="A1028" t="s">
        <v>384</v>
      </c>
    </row>
    <row r="1029" spans="1:1" x14ac:dyDescent="0.25">
      <c r="A1029" t="s">
        <v>382</v>
      </c>
    </row>
    <row r="1030" spans="1:1" x14ac:dyDescent="0.25">
      <c r="A1030" t="s">
        <v>416</v>
      </c>
    </row>
    <row r="1031" spans="1:1" x14ac:dyDescent="0.25">
      <c r="A1031" t="s">
        <v>384</v>
      </c>
    </row>
    <row r="1032" spans="1:1" x14ac:dyDescent="0.25">
      <c r="A1032" t="s">
        <v>382</v>
      </c>
    </row>
    <row r="1033" spans="1:1" x14ac:dyDescent="0.25">
      <c r="A1033" t="s">
        <v>417</v>
      </c>
    </row>
    <row r="1034" spans="1:1" x14ac:dyDescent="0.25">
      <c r="A1034" t="s">
        <v>384</v>
      </c>
    </row>
    <row r="1035" spans="1:1" x14ac:dyDescent="0.25">
      <c r="A1035" t="s">
        <v>382</v>
      </c>
    </row>
    <row r="1036" spans="1:1" x14ac:dyDescent="0.25">
      <c r="A1036" t="s">
        <v>418</v>
      </c>
    </row>
    <row r="1037" spans="1:1" x14ac:dyDescent="0.25">
      <c r="A1037" t="s">
        <v>384</v>
      </c>
    </row>
    <row r="1038" spans="1:1" x14ac:dyDescent="0.25">
      <c r="A1038" t="s">
        <v>280</v>
      </c>
    </row>
    <row r="1039" spans="1:1" x14ac:dyDescent="0.25">
      <c r="A1039" t="s">
        <v>552</v>
      </c>
    </row>
    <row r="1040" spans="1:1" x14ac:dyDescent="0.25">
      <c r="A1040" t="s">
        <v>184</v>
      </c>
    </row>
    <row r="1041" spans="1:1" x14ac:dyDescent="0.25">
      <c r="A1041" t="s">
        <v>75</v>
      </c>
    </row>
    <row r="1042" spans="1:1" x14ac:dyDescent="0.25">
      <c r="A1042" t="s">
        <v>553</v>
      </c>
    </row>
    <row r="1043" spans="1:1" x14ac:dyDescent="0.25">
      <c r="A1043" t="s">
        <v>77</v>
      </c>
    </row>
    <row r="1044" spans="1:1" x14ac:dyDescent="0.25">
      <c r="A1044" t="s">
        <v>78</v>
      </c>
    </row>
    <row r="1045" spans="1:1" ht="30" x14ac:dyDescent="0.25">
      <c r="A1045" s="108" t="s">
        <v>396</v>
      </c>
    </row>
    <row r="1046" spans="1:1" x14ac:dyDescent="0.25">
      <c r="A1046" t="s">
        <v>79</v>
      </c>
    </row>
    <row r="1047" spans="1:1" x14ac:dyDescent="0.25">
      <c r="A1047" t="s">
        <v>80</v>
      </c>
    </row>
    <row r="1048" spans="1:1" x14ac:dyDescent="0.25">
      <c r="A1048" t="s">
        <v>371</v>
      </c>
    </row>
    <row r="1049" spans="1:1" x14ac:dyDescent="0.25">
      <c r="A1049" t="s">
        <v>82</v>
      </c>
    </row>
    <row r="1050" spans="1:1" x14ac:dyDescent="0.25">
      <c r="A1050" t="s">
        <v>278</v>
      </c>
    </row>
    <row r="1051" spans="1:1" x14ac:dyDescent="0.25">
      <c r="A1051" t="s">
        <v>337</v>
      </c>
    </row>
    <row r="1052" spans="1:1" x14ac:dyDescent="0.25">
      <c r="A1052" t="s">
        <v>111</v>
      </c>
    </row>
    <row r="1053" spans="1:1" x14ac:dyDescent="0.25">
      <c r="A1053" t="s">
        <v>279</v>
      </c>
    </row>
    <row r="1054" spans="1:1" x14ac:dyDescent="0.25">
      <c r="A1054" t="s">
        <v>397</v>
      </c>
    </row>
    <row r="1055" spans="1:1" x14ac:dyDescent="0.25">
      <c r="A1055" t="s">
        <v>90</v>
      </c>
    </row>
    <row r="1056" spans="1:1" x14ac:dyDescent="0.25">
      <c r="A1056" t="s">
        <v>374</v>
      </c>
    </row>
    <row r="1057" spans="1:1" x14ac:dyDescent="0.25">
      <c r="A1057" t="s">
        <v>91</v>
      </c>
    </row>
    <row r="1058" spans="1:1" x14ac:dyDescent="0.25">
      <c r="A1058" t="s">
        <v>92</v>
      </c>
    </row>
    <row r="1059" spans="1:1" x14ac:dyDescent="0.25">
      <c r="A1059" t="s">
        <v>375</v>
      </c>
    </row>
    <row r="1060" spans="1:1" x14ac:dyDescent="0.25">
      <c r="A1060" t="s">
        <v>93</v>
      </c>
    </row>
    <row r="1061" spans="1:1" x14ac:dyDescent="0.25">
      <c r="A1061" t="s">
        <v>94</v>
      </c>
    </row>
    <row r="1062" spans="1:1" x14ac:dyDescent="0.25">
      <c r="A1062" t="s">
        <v>376</v>
      </c>
    </row>
    <row r="1063" spans="1:1" x14ac:dyDescent="0.25">
      <c r="A1063" t="s">
        <v>95</v>
      </c>
    </row>
    <row r="1064" spans="1:1" x14ac:dyDescent="0.25">
      <c r="A1064" t="s">
        <v>97</v>
      </c>
    </row>
    <row r="1065" spans="1:1" x14ac:dyDescent="0.25">
      <c r="A1065" t="s">
        <v>398</v>
      </c>
    </row>
    <row r="1066" spans="1:1" x14ac:dyDescent="0.25">
      <c r="A1066" t="s">
        <v>399</v>
      </c>
    </row>
    <row r="1067" spans="1:1" x14ac:dyDescent="0.25">
      <c r="A1067" t="s">
        <v>400</v>
      </c>
    </row>
    <row r="1068" spans="1:1" x14ac:dyDescent="0.25">
      <c r="A1068" t="s">
        <v>401</v>
      </c>
    </row>
    <row r="1069" spans="1:1" x14ac:dyDescent="0.25">
      <c r="A1069" t="s">
        <v>398</v>
      </c>
    </row>
    <row r="1070" spans="1:1" x14ac:dyDescent="0.25">
      <c r="A1070" t="s">
        <v>402</v>
      </c>
    </row>
    <row r="1071" spans="1:1" x14ac:dyDescent="0.25">
      <c r="A1071" t="s">
        <v>400</v>
      </c>
    </row>
    <row r="1072" spans="1:1" x14ac:dyDescent="0.25">
      <c r="A1072" t="s">
        <v>401</v>
      </c>
    </row>
    <row r="1073" spans="1:1" x14ac:dyDescent="0.25">
      <c r="A1073" t="s">
        <v>398</v>
      </c>
    </row>
    <row r="1074" spans="1:1" x14ac:dyDescent="0.25">
      <c r="A1074" t="s">
        <v>403</v>
      </c>
    </row>
    <row r="1075" spans="1:1" x14ac:dyDescent="0.25">
      <c r="A1075" t="s">
        <v>400</v>
      </c>
    </row>
    <row r="1076" spans="1:1" x14ac:dyDescent="0.25">
      <c r="A1076" t="s">
        <v>401</v>
      </c>
    </row>
    <row r="1077" spans="1:1" x14ac:dyDescent="0.25">
      <c r="A1077" t="s">
        <v>398</v>
      </c>
    </row>
    <row r="1078" spans="1:1" x14ac:dyDescent="0.25">
      <c r="A1078" t="s">
        <v>404</v>
      </c>
    </row>
    <row r="1079" spans="1:1" x14ac:dyDescent="0.25">
      <c r="A1079" t="s">
        <v>400</v>
      </c>
    </row>
    <row r="1080" spans="1:1" x14ac:dyDescent="0.25">
      <c r="A1080" t="s">
        <v>401</v>
      </c>
    </row>
    <row r="1081" spans="1:1" x14ac:dyDescent="0.25">
      <c r="A1081" t="s">
        <v>398</v>
      </c>
    </row>
    <row r="1082" spans="1:1" x14ac:dyDescent="0.25">
      <c r="A1082" t="s">
        <v>405</v>
      </c>
    </row>
    <row r="1083" spans="1:1" x14ac:dyDescent="0.25">
      <c r="A1083" t="s">
        <v>406</v>
      </c>
    </row>
    <row r="1084" spans="1:1" x14ac:dyDescent="0.25">
      <c r="A1084" t="s">
        <v>401</v>
      </c>
    </row>
    <row r="1085" spans="1:1" x14ac:dyDescent="0.25">
      <c r="A1085" t="s">
        <v>398</v>
      </c>
    </row>
    <row r="1086" spans="1:1" x14ac:dyDescent="0.25">
      <c r="A1086" t="s">
        <v>407</v>
      </c>
    </row>
    <row r="1087" spans="1:1" x14ac:dyDescent="0.25">
      <c r="A1087" t="s">
        <v>406</v>
      </c>
    </row>
    <row r="1088" spans="1:1" x14ac:dyDescent="0.25">
      <c r="A1088" t="s">
        <v>401</v>
      </c>
    </row>
    <row r="1089" spans="1:1" x14ac:dyDescent="0.25">
      <c r="A1089" t="s">
        <v>398</v>
      </c>
    </row>
    <row r="1090" spans="1:1" x14ac:dyDescent="0.25">
      <c r="A1090" t="s">
        <v>408</v>
      </c>
    </row>
    <row r="1091" spans="1:1" x14ac:dyDescent="0.25">
      <c r="A1091" t="s">
        <v>406</v>
      </c>
    </row>
    <row r="1092" spans="1:1" x14ac:dyDescent="0.25">
      <c r="A1092" t="s">
        <v>401</v>
      </c>
    </row>
    <row r="1093" spans="1:1" x14ac:dyDescent="0.25">
      <c r="A1093" t="s">
        <v>398</v>
      </c>
    </row>
    <row r="1094" spans="1:1" x14ac:dyDescent="0.25">
      <c r="A1094" t="s">
        <v>409</v>
      </c>
    </row>
    <row r="1095" spans="1:1" x14ac:dyDescent="0.25">
      <c r="A1095" t="s">
        <v>410</v>
      </c>
    </row>
    <row r="1096" spans="1:1" x14ac:dyDescent="0.25">
      <c r="A1096" t="s">
        <v>401</v>
      </c>
    </row>
    <row r="1097" spans="1:1" x14ac:dyDescent="0.25">
      <c r="A1097" t="s">
        <v>398</v>
      </c>
    </row>
    <row r="1098" spans="1:1" x14ac:dyDescent="0.25">
      <c r="A1098" t="s">
        <v>411</v>
      </c>
    </row>
    <row r="1099" spans="1:1" x14ac:dyDescent="0.25">
      <c r="A1099" t="s">
        <v>410</v>
      </c>
    </row>
    <row r="1100" spans="1:1" x14ac:dyDescent="0.25">
      <c r="A1100" t="s">
        <v>401</v>
      </c>
    </row>
    <row r="1101" spans="1:1" x14ac:dyDescent="0.25">
      <c r="A1101" t="s">
        <v>398</v>
      </c>
    </row>
    <row r="1102" spans="1:1" x14ac:dyDescent="0.25">
      <c r="A1102" t="s">
        <v>412</v>
      </c>
    </row>
    <row r="1103" spans="1:1" x14ac:dyDescent="0.25">
      <c r="A1103" t="s">
        <v>410</v>
      </c>
    </row>
    <row r="1104" spans="1:1" x14ac:dyDescent="0.25">
      <c r="A1104" t="s">
        <v>401</v>
      </c>
    </row>
    <row r="1105" spans="1:1" x14ac:dyDescent="0.25">
      <c r="A1105" t="s">
        <v>398</v>
      </c>
    </row>
    <row r="1106" spans="1:1" x14ac:dyDescent="0.25">
      <c r="A1106" t="s">
        <v>413</v>
      </c>
    </row>
    <row r="1107" spans="1:1" x14ac:dyDescent="0.25">
      <c r="A1107" t="s">
        <v>410</v>
      </c>
    </row>
    <row r="1108" spans="1:1" x14ac:dyDescent="0.25">
      <c r="A1108" t="s">
        <v>401</v>
      </c>
    </row>
    <row r="1109" spans="1:1" x14ac:dyDescent="0.25">
      <c r="A1109" t="s">
        <v>398</v>
      </c>
    </row>
    <row r="1110" spans="1:1" x14ac:dyDescent="0.25">
      <c r="A1110" t="s">
        <v>414</v>
      </c>
    </row>
    <row r="1111" spans="1:1" x14ac:dyDescent="0.25">
      <c r="A1111" t="s">
        <v>410</v>
      </c>
    </row>
    <row r="1112" spans="1:1" x14ac:dyDescent="0.25">
      <c r="A1112" t="s">
        <v>401</v>
      </c>
    </row>
    <row r="1113" spans="1:1" x14ac:dyDescent="0.25">
      <c r="A1113" t="s">
        <v>382</v>
      </c>
    </row>
    <row r="1114" spans="1:1" x14ac:dyDescent="0.25">
      <c r="A1114" t="s">
        <v>415</v>
      </c>
    </row>
    <row r="1115" spans="1:1" x14ac:dyDescent="0.25">
      <c r="A1115" t="s">
        <v>384</v>
      </c>
    </row>
    <row r="1116" spans="1:1" x14ac:dyDescent="0.25">
      <c r="A1116" t="s">
        <v>382</v>
      </c>
    </row>
    <row r="1117" spans="1:1" x14ac:dyDescent="0.25">
      <c r="A1117" t="s">
        <v>416</v>
      </c>
    </row>
    <row r="1118" spans="1:1" x14ac:dyDescent="0.25">
      <c r="A1118" t="s">
        <v>384</v>
      </c>
    </row>
    <row r="1119" spans="1:1" x14ac:dyDescent="0.25">
      <c r="A1119" t="s">
        <v>382</v>
      </c>
    </row>
    <row r="1120" spans="1:1" x14ac:dyDescent="0.25">
      <c r="A1120" t="s">
        <v>417</v>
      </c>
    </row>
    <row r="1121" spans="1:1" x14ac:dyDescent="0.25">
      <c r="A1121" t="s">
        <v>384</v>
      </c>
    </row>
    <row r="1122" spans="1:1" x14ac:dyDescent="0.25">
      <c r="A1122" t="s">
        <v>382</v>
      </c>
    </row>
    <row r="1123" spans="1:1" x14ac:dyDescent="0.25">
      <c r="A1123" t="s">
        <v>418</v>
      </c>
    </row>
    <row r="1124" spans="1:1" x14ac:dyDescent="0.25">
      <c r="A1124" t="s">
        <v>384</v>
      </c>
    </row>
    <row r="1125" spans="1:1" x14ac:dyDescent="0.25">
      <c r="A1125" t="s">
        <v>280</v>
      </c>
    </row>
    <row r="1126" spans="1:1" x14ac:dyDescent="0.25">
      <c r="A1126" t="s">
        <v>554</v>
      </c>
    </row>
    <row r="1127" spans="1:1" x14ac:dyDescent="0.25">
      <c r="A1127" t="s">
        <v>184</v>
      </c>
    </row>
    <row r="1128" spans="1:1" x14ac:dyDescent="0.25">
      <c r="A1128" t="s">
        <v>75</v>
      </c>
    </row>
    <row r="1129" spans="1:1" x14ac:dyDescent="0.25">
      <c r="A1129" t="s">
        <v>555</v>
      </c>
    </row>
    <row r="1130" spans="1:1" x14ac:dyDescent="0.25">
      <c r="A1130" t="s">
        <v>77</v>
      </c>
    </row>
    <row r="1131" spans="1:1" x14ac:dyDescent="0.25">
      <c r="A1131" t="s">
        <v>78</v>
      </c>
    </row>
    <row r="1132" spans="1:1" ht="60" x14ac:dyDescent="0.25">
      <c r="A1132" s="108" t="s">
        <v>421</v>
      </c>
    </row>
    <row r="1133" spans="1:1" x14ac:dyDescent="0.25">
      <c r="A1133" t="s">
        <v>79</v>
      </c>
    </row>
    <row r="1134" spans="1:1" x14ac:dyDescent="0.25">
      <c r="A1134" t="s">
        <v>80</v>
      </c>
    </row>
    <row r="1135" spans="1:1" x14ac:dyDescent="0.25">
      <c r="A1135" t="s">
        <v>371</v>
      </c>
    </row>
    <row r="1136" spans="1:1" x14ac:dyDescent="0.25">
      <c r="A1136" t="s">
        <v>82</v>
      </c>
    </row>
    <row r="1137" spans="1:1" x14ac:dyDescent="0.25">
      <c r="A1137" t="s">
        <v>278</v>
      </c>
    </row>
    <row r="1138" spans="1:1" x14ac:dyDescent="0.25">
      <c r="A1138" t="s">
        <v>337</v>
      </c>
    </row>
    <row r="1139" spans="1:1" x14ac:dyDescent="0.25">
      <c r="A1139" t="s">
        <v>111</v>
      </c>
    </row>
    <row r="1140" spans="1:1" x14ac:dyDescent="0.25">
      <c r="A1140" t="s">
        <v>279</v>
      </c>
    </row>
    <row r="1141" spans="1:1" x14ac:dyDescent="0.25">
      <c r="A1141" t="s">
        <v>397</v>
      </c>
    </row>
    <row r="1142" spans="1:1" x14ac:dyDescent="0.25">
      <c r="A1142" t="s">
        <v>90</v>
      </c>
    </row>
    <row r="1143" spans="1:1" x14ac:dyDescent="0.25">
      <c r="A1143" t="s">
        <v>374</v>
      </c>
    </row>
    <row r="1144" spans="1:1" x14ac:dyDescent="0.25">
      <c r="A1144" t="s">
        <v>91</v>
      </c>
    </row>
    <row r="1145" spans="1:1" x14ac:dyDescent="0.25">
      <c r="A1145" t="s">
        <v>92</v>
      </c>
    </row>
    <row r="1146" spans="1:1" x14ac:dyDescent="0.25">
      <c r="A1146" t="s">
        <v>375</v>
      </c>
    </row>
    <row r="1147" spans="1:1" x14ac:dyDescent="0.25">
      <c r="A1147" t="s">
        <v>93</v>
      </c>
    </row>
    <row r="1148" spans="1:1" x14ac:dyDescent="0.25">
      <c r="A1148" t="s">
        <v>94</v>
      </c>
    </row>
    <row r="1149" spans="1:1" x14ac:dyDescent="0.25">
      <c r="A1149" t="s">
        <v>376</v>
      </c>
    </row>
    <row r="1150" spans="1:1" x14ac:dyDescent="0.25">
      <c r="A1150" t="s">
        <v>95</v>
      </c>
    </row>
    <row r="1151" spans="1:1" x14ac:dyDescent="0.25">
      <c r="A1151" t="s">
        <v>97</v>
      </c>
    </row>
    <row r="1152" spans="1:1" x14ac:dyDescent="0.25">
      <c r="A1152" t="s">
        <v>398</v>
      </c>
    </row>
    <row r="1153" spans="1:1" x14ac:dyDescent="0.25">
      <c r="A1153" t="s">
        <v>399</v>
      </c>
    </row>
    <row r="1154" spans="1:1" x14ac:dyDescent="0.25">
      <c r="A1154" t="s">
        <v>400</v>
      </c>
    </row>
    <row r="1155" spans="1:1" x14ac:dyDescent="0.25">
      <c r="A1155" t="s">
        <v>401</v>
      </c>
    </row>
    <row r="1156" spans="1:1" x14ac:dyDescent="0.25">
      <c r="A1156" t="s">
        <v>398</v>
      </c>
    </row>
    <row r="1157" spans="1:1" x14ac:dyDescent="0.25">
      <c r="A1157" t="s">
        <v>402</v>
      </c>
    </row>
    <row r="1158" spans="1:1" x14ac:dyDescent="0.25">
      <c r="A1158" t="s">
        <v>400</v>
      </c>
    </row>
    <row r="1159" spans="1:1" x14ac:dyDescent="0.25">
      <c r="A1159" t="s">
        <v>401</v>
      </c>
    </row>
    <row r="1160" spans="1:1" x14ac:dyDescent="0.25">
      <c r="A1160" t="s">
        <v>398</v>
      </c>
    </row>
    <row r="1161" spans="1:1" x14ac:dyDescent="0.25">
      <c r="A1161" t="s">
        <v>403</v>
      </c>
    </row>
    <row r="1162" spans="1:1" x14ac:dyDescent="0.25">
      <c r="A1162" t="s">
        <v>400</v>
      </c>
    </row>
    <row r="1163" spans="1:1" x14ac:dyDescent="0.25">
      <c r="A1163" t="s">
        <v>401</v>
      </c>
    </row>
    <row r="1164" spans="1:1" x14ac:dyDescent="0.25">
      <c r="A1164" t="s">
        <v>398</v>
      </c>
    </row>
    <row r="1165" spans="1:1" x14ac:dyDescent="0.25">
      <c r="A1165" t="s">
        <v>404</v>
      </c>
    </row>
    <row r="1166" spans="1:1" x14ac:dyDescent="0.25">
      <c r="A1166" t="s">
        <v>400</v>
      </c>
    </row>
    <row r="1167" spans="1:1" x14ac:dyDescent="0.25">
      <c r="A1167" t="s">
        <v>401</v>
      </c>
    </row>
    <row r="1168" spans="1:1" x14ac:dyDescent="0.25">
      <c r="A1168" t="s">
        <v>398</v>
      </c>
    </row>
    <row r="1169" spans="1:1" x14ac:dyDescent="0.25">
      <c r="A1169" t="s">
        <v>405</v>
      </c>
    </row>
    <row r="1170" spans="1:1" x14ac:dyDescent="0.25">
      <c r="A1170" t="s">
        <v>406</v>
      </c>
    </row>
    <row r="1171" spans="1:1" x14ac:dyDescent="0.25">
      <c r="A1171" t="s">
        <v>401</v>
      </c>
    </row>
    <row r="1172" spans="1:1" x14ac:dyDescent="0.25">
      <c r="A1172" t="s">
        <v>398</v>
      </c>
    </row>
    <row r="1173" spans="1:1" x14ac:dyDescent="0.25">
      <c r="A1173" t="s">
        <v>407</v>
      </c>
    </row>
    <row r="1174" spans="1:1" x14ac:dyDescent="0.25">
      <c r="A1174" t="s">
        <v>406</v>
      </c>
    </row>
    <row r="1175" spans="1:1" x14ac:dyDescent="0.25">
      <c r="A1175" t="s">
        <v>401</v>
      </c>
    </row>
    <row r="1176" spans="1:1" x14ac:dyDescent="0.25">
      <c r="A1176" t="s">
        <v>398</v>
      </c>
    </row>
    <row r="1177" spans="1:1" x14ac:dyDescent="0.25">
      <c r="A1177" t="s">
        <v>408</v>
      </c>
    </row>
    <row r="1178" spans="1:1" x14ac:dyDescent="0.25">
      <c r="A1178" t="s">
        <v>406</v>
      </c>
    </row>
    <row r="1179" spans="1:1" x14ac:dyDescent="0.25">
      <c r="A1179" t="s">
        <v>401</v>
      </c>
    </row>
    <row r="1180" spans="1:1" x14ac:dyDescent="0.25">
      <c r="A1180" t="s">
        <v>398</v>
      </c>
    </row>
    <row r="1181" spans="1:1" x14ac:dyDescent="0.25">
      <c r="A1181" t="s">
        <v>409</v>
      </c>
    </row>
    <row r="1182" spans="1:1" x14ac:dyDescent="0.25">
      <c r="A1182" t="s">
        <v>410</v>
      </c>
    </row>
    <row r="1183" spans="1:1" x14ac:dyDescent="0.25">
      <c r="A1183" t="s">
        <v>401</v>
      </c>
    </row>
    <row r="1184" spans="1:1" x14ac:dyDescent="0.25">
      <c r="A1184" t="s">
        <v>398</v>
      </c>
    </row>
    <row r="1185" spans="1:1" x14ac:dyDescent="0.25">
      <c r="A1185" t="s">
        <v>411</v>
      </c>
    </row>
    <row r="1186" spans="1:1" x14ac:dyDescent="0.25">
      <c r="A1186" t="s">
        <v>410</v>
      </c>
    </row>
    <row r="1187" spans="1:1" x14ac:dyDescent="0.25">
      <c r="A1187" t="s">
        <v>401</v>
      </c>
    </row>
    <row r="1188" spans="1:1" x14ac:dyDescent="0.25">
      <c r="A1188" t="s">
        <v>398</v>
      </c>
    </row>
    <row r="1189" spans="1:1" x14ac:dyDescent="0.25">
      <c r="A1189" t="s">
        <v>412</v>
      </c>
    </row>
    <row r="1190" spans="1:1" x14ac:dyDescent="0.25">
      <c r="A1190" t="s">
        <v>410</v>
      </c>
    </row>
    <row r="1191" spans="1:1" x14ac:dyDescent="0.25">
      <c r="A1191" t="s">
        <v>401</v>
      </c>
    </row>
    <row r="1192" spans="1:1" x14ac:dyDescent="0.25">
      <c r="A1192" t="s">
        <v>398</v>
      </c>
    </row>
    <row r="1193" spans="1:1" x14ac:dyDescent="0.25">
      <c r="A1193" t="s">
        <v>413</v>
      </c>
    </row>
    <row r="1194" spans="1:1" x14ac:dyDescent="0.25">
      <c r="A1194" s="108" t="s">
        <v>410</v>
      </c>
    </row>
    <row r="1195" spans="1:1" x14ac:dyDescent="0.25">
      <c r="A1195" t="s">
        <v>401</v>
      </c>
    </row>
    <row r="1196" spans="1:1" x14ac:dyDescent="0.25">
      <c r="A1196" t="s">
        <v>398</v>
      </c>
    </row>
    <row r="1197" spans="1:1" x14ac:dyDescent="0.25">
      <c r="A1197" t="s">
        <v>414</v>
      </c>
    </row>
    <row r="1198" spans="1:1" x14ac:dyDescent="0.25">
      <c r="A1198" t="s">
        <v>410</v>
      </c>
    </row>
    <row r="1199" spans="1:1" x14ac:dyDescent="0.25">
      <c r="A1199" t="s">
        <v>401</v>
      </c>
    </row>
    <row r="1200" spans="1:1" x14ac:dyDescent="0.25">
      <c r="A1200" t="s">
        <v>382</v>
      </c>
    </row>
    <row r="1201" spans="1:1" x14ac:dyDescent="0.25">
      <c r="A1201" t="s">
        <v>415</v>
      </c>
    </row>
    <row r="1202" spans="1:1" x14ac:dyDescent="0.25">
      <c r="A1202" t="s">
        <v>384</v>
      </c>
    </row>
    <row r="1203" spans="1:1" x14ac:dyDescent="0.25">
      <c r="A1203" t="s">
        <v>382</v>
      </c>
    </row>
    <row r="1204" spans="1:1" x14ac:dyDescent="0.25">
      <c r="A1204" t="s">
        <v>416</v>
      </c>
    </row>
    <row r="1205" spans="1:1" x14ac:dyDescent="0.25">
      <c r="A1205" t="s">
        <v>384</v>
      </c>
    </row>
    <row r="1206" spans="1:1" x14ac:dyDescent="0.25">
      <c r="A1206" t="s">
        <v>382</v>
      </c>
    </row>
    <row r="1207" spans="1:1" x14ac:dyDescent="0.25">
      <c r="A1207" t="s">
        <v>417</v>
      </c>
    </row>
    <row r="1208" spans="1:1" x14ac:dyDescent="0.25">
      <c r="A1208" t="s">
        <v>384</v>
      </c>
    </row>
    <row r="1209" spans="1:1" x14ac:dyDescent="0.25">
      <c r="A1209" t="s">
        <v>382</v>
      </c>
    </row>
    <row r="1210" spans="1:1" x14ac:dyDescent="0.25">
      <c r="A1210" t="s">
        <v>418</v>
      </c>
    </row>
    <row r="1211" spans="1:1" x14ac:dyDescent="0.25">
      <c r="A1211" s="108" t="s">
        <v>384</v>
      </c>
    </row>
    <row r="1212" spans="1:1" x14ac:dyDescent="0.25">
      <c r="A1212" t="s">
        <v>280</v>
      </c>
    </row>
    <row r="1213" spans="1:1" x14ac:dyDescent="0.25">
      <c r="A1213" t="s">
        <v>281</v>
      </c>
    </row>
    <row r="1219" spans="1:1" x14ac:dyDescent="0.25">
      <c r="A1219" s="108"/>
    </row>
    <row r="1264" spans="1:1" x14ac:dyDescent="0.25">
      <c r="A1264" s="108"/>
    </row>
    <row r="1281" spans="1:1" x14ac:dyDescent="0.25">
      <c r="A1281" s="108"/>
    </row>
    <row r="1294" spans="1:1" x14ac:dyDescent="0.25">
      <c r="A1294" s="108"/>
    </row>
    <row r="1298" spans="1:1" x14ac:dyDescent="0.25">
      <c r="A1298" s="108"/>
    </row>
    <row r="1341" spans="1:1" x14ac:dyDescent="0.25">
      <c r="A1341" s="108"/>
    </row>
    <row r="1368" spans="1:1" x14ac:dyDescent="0.25">
      <c r="A1368" s="108"/>
    </row>
    <row r="1381" spans="1:1" x14ac:dyDescent="0.25">
      <c r="A1381" s="108"/>
    </row>
    <row r="1385" spans="1:1" x14ac:dyDescent="0.25">
      <c r="A1385" s="108"/>
    </row>
    <row r="1428" spans="1:1" x14ac:dyDescent="0.25">
      <c r="A1428" s="108"/>
    </row>
    <row r="1438" spans="1:1" x14ac:dyDescent="0.25">
      <c r="A1438" s="108"/>
    </row>
    <row r="1468" spans="1:1" x14ac:dyDescent="0.25">
      <c r="A1468" s="108"/>
    </row>
    <row r="1512" spans="1:1" x14ac:dyDescent="0.25">
      <c r="A1512" s="108"/>
    </row>
    <row r="1515" spans="1:1" x14ac:dyDescent="0.25">
      <c r="A1515" s="108"/>
    </row>
    <row r="1599" spans="1:1" x14ac:dyDescent="0.25">
      <c r="A1599" s="108"/>
    </row>
    <row r="1641" spans="1:1" x14ac:dyDescent="0.25">
      <c r="A1641" s="108"/>
    </row>
    <row r="1643" spans="1:1" x14ac:dyDescent="0.25">
      <c r="A1643" s="108"/>
    </row>
    <row r="1686" spans="1:1" x14ac:dyDescent="0.25">
      <c r="A1686" s="108"/>
    </row>
    <row r="1688" spans="1:1" x14ac:dyDescent="0.25">
      <c r="A1688" s="108"/>
    </row>
    <row r="1730" spans="1:1" x14ac:dyDescent="0.25">
      <c r="A1730" s="108"/>
    </row>
    <row r="1743" spans="1:1" x14ac:dyDescent="0.25">
      <c r="A1743" s="108"/>
    </row>
    <row r="1815" spans="1:1" x14ac:dyDescent="0.25">
      <c r="A1815" s="108"/>
    </row>
    <row r="1817" spans="1:1" x14ac:dyDescent="0.25">
      <c r="A1817" s="108"/>
    </row>
    <row r="1830" spans="1:1" x14ac:dyDescent="0.25">
      <c r="A1830" s="108"/>
    </row>
    <row r="1862" spans="1:1" x14ac:dyDescent="0.25">
      <c r="A1862" s="108"/>
    </row>
    <row r="1867" spans="1:1" x14ac:dyDescent="0.25">
      <c r="A1867" s="108"/>
    </row>
    <row r="1917" spans="1:1" x14ac:dyDescent="0.25">
      <c r="A1917" s="108"/>
    </row>
    <row r="1920" spans="1:1" x14ac:dyDescent="0.25">
      <c r="A1920" s="108"/>
    </row>
    <row r="1954" spans="1:1" x14ac:dyDescent="0.25">
      <c r="A1954" s="108"/>
    </row>
    <row r="1967" spans="1:1" x14ac:dyDescent="0.25">
      <c r="A1967" s="108"/>
    </row>
    <row r="1990" spans="1:1" x14ac:dyDescent="0.25">
      <c r="A1990" s="108"/>
    </row>
    <row r="2007" spans="1:1" x14ac:dyDescent="0.25">
      <c r="A2007" s="108"/>
    </row>
    <row r="2041" spans="1:1" x14ac:dyDescent="0.25">
      <c r="A2041" s="108"/>
    </row>
    <row r="2054" spans="1:1" x14ac:dyDescent="0.25">
      <c r="A2054" s="108"/>
    </row>
    <row r="2077" spans="1:1" x14ac:dyDescent="0.25">
      <c r="A2077" s="108"/>
    </row>
    <row r="2094" spans="1:1" x14ac:dyDescent="0.25">
      <c r="A2094" s="108"/>
    </row>
    <row r="2120" spans="1:1" x14ac:dyDescent="0.25">
      <c r="A2120" s="108"/>
    </row>
    <row r="2141" spans="1:1" x14ac:dyDescent="0.25">
      <c r="A2141" s="108"/>
    </row>
    <row r="2164" spans="1:1" x14ac:dyDescent="0.25">
      <c r="A2164" s="108"/>
    </row>
    <row r="2207" spans="1:1" x14ac:dyDescent="0.25">
      <c r="A2207" s="108"/>
    </row>
    <row r="2294" spans="1:1" x14ac:dyDescent="0.25">
      <c r="A2294" s="108"/>
    </row>
    <row r="2316" spans="1:1" x14ac:dyDescent="0.25">
      <c r="A2316" s="108"/>
    </row>
    <row r="2403" spans="1:1" x14ac:dyDescent="0.25">
      <c r="A2403" s="108"/>
    </row>
    <row r="2490" spans="1:1" x14ac:dyDescent="0.25">
      <c r="A2490" s="108"/>
    </row>
    <row r="3132" spans="1:1" x14ac:dyDescent="0.25">
      <c r="A3132" s="108"/>
    </row>
    <row r="3306" spans="1:1" x14ac:dyDescent="0.25">
      <c r="A3306" s="108"/>
    </row>
    <row r="3480" spans="1:1" x14ac:dyDescent="0.25">
      <c r="A3480" s="108"/>
    </row>
    <row r="3654" spans="1:1" x14ac:dyDescent="0.25">
      <c r="A3654" s="108"/>
    </row>
  </sheetData>
  <sheetProtection algorithmName="SHA-512" hashValue="a1e/M+9uiy52WbhhZRuoKSK9YyT7HLcMDc2tttgvARYqwu7Pcczx5y63ugskR5KFt671VaXkpxY0irpkLJNPpA==" saltValue="4fm44eyUhl6IzpHhd2t6Mw==" spinCount="100000" sheet="1" objects="1" scenarios="1" selectLockedCells="1"/>
  <dataConsolidate/>
  <pageMargins left="0.7" right="0.7" top="0.75" bottom="0.75"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AA152"/>
  <sheetViews>
    <sheetView showGridLines="0" showRowColHeaders="0" zoomScaleNormal="100" workbookViewId="0">
      <pane xSplit="2" ySplit="2" topLeftCell="C3" activePane="bottomRight" state="frozen"/>
      <selection pane="topRight"/>
      <selection pane="bottomLeft"/>
      <selection pane="bottomRight"/>
    </sheetView>
  </sheetViews>
  <sheetFormatPr baseColWidth="10" defaultRowHeight="15" x14ac:dyDescent="0.25"/>
  <cols>
    <col min="1" max="1" width="6.42578125" hidden="1" customWidth="1"/>
    <col min="2" max="2" width="65.140625" customWidth="1"/>
    <col min="3" max="3" width="18.28515625" customWidth="1"/>
    <col min="4" max="27" width="12.85546875" customWidth="1"/>
  </cols>
  <sheetData>
    <row r="1" spans="1:27" hidden="1" x14ac:dyDescent="0.25">
      <c r="A1" t="s">
        <v>264</v>
      </c>
      <c r="B1" s="58" t="s">
        <v>114</v>
      </c>
      <c r="C1" s="58" t="str">
        <f>CHAR(CODE(B1)+1)</f>
        <v>I</v>
      </c>
      <c r="D1" s="58" t="str">
        <f>CHAR(CODE(C1)+1)</f>
        <v>J</v>
      </c>
      <c r="E1" s="58" t="str">
        <f t="shared" ref="E1:T1" si="0">CHAR(CODE(D1)+1)</f>
        <v>K</v>
      </c>
      <c r="F1" s="58" t="str">
        <f t="shared" si="0"/>
        <v>L</v>
      </c>
      <c r="G1" s="58" t="str">
        <f t="shared" si="0"/>
        <v>M</v>
      </c>
      <c r="H1" s="58" t="str">
        <f t="shared" si="0"/>
        <v>N</v>
      </c>
      <c r="I1" s="58" t="str">
        <f t="shared" si="0"/>
        <v>O</v>
      </c>
      <c r="J1" s="58" t="str">
        <f t="shared" si="0"/>
        <v>P</v>
      </c>
      <c r="K1" s="58" t="str">
        <f t="shared" si="0"/>
        <v>Q</v>
      </c>
      <c r="L1" s="58" t="str">
        <f t="shared" si="0"/>
        <v>R</v>
      </c>
      <c r="M1" s="58" t="str">
        <f t="shared" si="0"/>
        <v>S</v>
      </c>
      <c r="N1" s="58" t="str">
        <f t="shared" si="0"/>
        <v>T</v>
      </c>
      <c r="O1" s="58" t="str">
        <f t="shared" si="0"/>
        <v>U</v>
      </c>
      <c r="P1" s="58" t="str">
        <f t="shared" si="0"/>
        <v>V</v>
      </c>
      <c r="Q1" s="58" t="str">
        <f t="shared" si="0"/>
        <v>W</v>
      </c>
      <c r="R1" s="58" t="str">
        <f t="shared" si="0"/>
        <v>X</v>
      </c>
      <c r="S1" s="58" t="str">
        <f t="shared" si="0"/>
        <v>Y</v>
      </c>
      <c r="T1" s="58" t="str">
        <f t="shared" si="0"/>
        <v>Z</v>
      </c>
      <c r="U1" s="58" t="str">
        <f>"A"&amp;CHAR(CODE("A")+COUNTA($T$1:T1)-1)</f>
        <v>AA</v>
      </c>
      <c r="V1" s="58" t="str">
        <f>"A"&amp;CHAR(CODE("A")+COUNTA($T$1:U1)-1)</f>
        <v>AB</v>
      </c>
      <c r="W1" s="58" t="str">
        <f>"A"&amp;CHAR(CODE("A")+COUNTA($T$1:V1)-1)</f>
        <v>AC</v>
      </c>
      <c r="X1" s="58" t="str">
        <f>"A"&amp;CHAR(CODE("A")+COUNTA($T$1:W1)-1)</f>
        <v>AD</v>
      </c>
      <c r="Y1" s="58" t="str">
        <f>"A"&amp;CHAR(CODE("A")+COUNTA($T$1:X1)-1)</f>
        <v>AE</v>
      </c>
      <c r="Z1" s="58" t="str">
        <f>"A"&amp;CHAR(CODE("A")+COUNTA($T$1:Y1)-1)</f>
        <v>AF</v>
      </c>
      <c r="AA1" s="58" t="str">
        <f>"A"&amp;CHAR(CODE("A")+COUNTA($T$1:Z1)-1)</f>
        <v>AG</v>
      </c>
    </row>
    <row r="2" spans="1:27" x14ac:dyDescent="0.25">
      <c r="A2" s="294" t="s">
        <v>377</v>
      </c>
      <c r="B2" s="59" t="str">
        <f>"PREGUNTAS TIPO : "&amp;Tipo_Cuestionario_Nom&amp;" - "&amp;Tit_Categ&amp;" - "&amp;Tit_Subcat&amp;" - "&amp;PREF_PREGUNTA</f>
        <v>PREGUNTAS TIPO : Opción Múltiple 1R - TEMA 01 - 01_OM_1RESP - T01</v>
      </c>
      <c r="C2" s="60" t="str">
        <f ca="1">IF(COUNTA($B$1:B1)&gt;N_Respuestas,"",IF(AND(Tipo_Cuestionario_Cod="VF",COUNTA($B$1:B1)=2),CHAR(CODE(B2)+1)&amp;") ",
IF(MID(INDIRECT("'Datos "&amp;Tipo_Cuestionario_Cod&amp;"'!"&amp;C1&amp;"6"),1,5)="Retro","",
IF(MID(INDIRECT("'Datos "&amp;Tipo_Cuestionario_Cod&amp;"'!"&amp;C1&amp;"6"),1,5)="Punto",$A$2,
IF(OR(Tipo_Cuestionario_Cod="E",Tipo_Cuestionario_Cod="PP"),IF(MOD(COUNTA($B$2:B2),2)=0,$A$2," - "),
IF(Tipo_Cuestionario_Cod="RC",IF(MOD(COUNTA($B$2:B2),3)=0,$A$2," - "),
INDIRECT("'Datos "&amp;Tipo_Cuestionario_Cod&amp;"'!"&amp;C$1&amp;"6")&amp;") "))))))</f>
        <v xml:space="preserve">a) </v>
      </c>
      <c r="D2" s="60" t="str">
        <f ca="1">IF(COUNTA($B$1:C1)&gt;N_Respuestas,"",IF(AND(Tipo_Cuestionario_Cod="VF",COUNTA($B$1:C1)=2),CHAR(CODE(C2)+1)&amp;") ",
IF(MID(INDIRECT("'Datos "&amp;Tipo_Cuestionario_Cod&amp;"'!"&amp;D1&amp;"6"),1,5)="Retro","",
IF(MID(INDIRECT("'Datos "&amp;Tipo_Cuestionario_Cod&amp;"'!"&amp;D1&amp;"6"),1,5)="Punto",$A$2,
IF(OR(Tipo_Cuestionario_Cod="E",Tipo_Cuestionario_Cod="PP"),IF(MOD(COUNTA($B$2:C2),2)=0,$A$2," - "),
IF(Tipo_Cuestionario_Cod="RC",IF(MOD(COUNTA($B$2:C2),3)=0,$A$2," - "),
INDIRECT("'Datos "&amp;Tipo_Cuestionario_Cod&amp;"'!"&amp;D$1&amp;"6")&amp;") "))))))</f>
        <v xml:space="preserve">b) </v>
      </c>
      <c r="E2" s="60" t="str">
        <f ca="1">IF(COUNTA($B$1:D1)&gt;N_Respuestas,"",IF(AND(Tipo_Cuestionario_Cod="VF",COUNTA($B$1:D1)=2),CHAR(CODE(D2)+1)&amp;") ",
IF(MID(INDIRECT("'Datos "&amp;Tipo_Cuestionario_Cod&amp;"'!"&amp;E1&amp;"6"),1,5)="Retro","",
IF(MID(INDIRECT("'Datos "&amp;Tipo_Cuestionario_Cod&amp;"'!"&amp;E1&amp;"6"),1,5)="Punto",$A$2,
IF(OR(Tipo_Cuestionario_Cod="E",Tipo_Cuestionario_Cod="PP"),IF(MOD(COUNTA($B$2:D2),2)=0,$A$2," - "),
IF(Tipo_Cuestionario_Cod="RC",IF(MOD(COUNTA($B$2:D2),3)=0,$A$2," - "),
INDIRECT("'Datos "&amp;Tipo_Cuestionario_Cod&amp;"'!"&amp;E$1&amp;"6")&amp;") "))))))</f>
        <v xml:space="preserve">c) </v>
      </c>
      <c r="F2" s="60" t="str">
        <f ca="1">IF(COUNTA($B$1:E1)&gt;N_Respuestas,"",IF(AND(Tipo_Cuestionario_Cod="VF",COUNTA($B$1:E1)=2),CHAR(CODE(E2)+1)&amp;") ",
IF(MID(INDIRECT("'Datos "&amp;Tipo_Cuestionario_Cod&amp;"'!"&amp;F1&amp;"6"),1,5)="Retro","",
IF(MID(INDIRECT("'Datos "&amp;Tipo_Cuestionario_Cod&amp;"'!"&amp;F1&amp;"6"),1,5)="Punto",$A$2,
IF(OR(Tipo_Cuestionario_Cod="E",Tipo_Cuestionario_Cod="PP"),IF(MOD(COUNTA($B$2:E2),2)=0,$A$2," - "),
IF(Tipo_Cuestionario_Cod="RC",IF(MOD(COUNTA($B$2:E2),3)=0,$A$2," - "),
INDIRECT("'Datos "&amp;Tipo_Cuestionario_Cod&amp;"'!"&amp;F$1&amp;"6")&amp;") "))))))</f>
        <v xml:space="preserve">d) </v>
      </c>
      <c r="G2" s="60" t="str">
        <f ca="1">IF(COUNTA($B$1:F1)&gt;N_Respuestas,"",IF(AND(Tipo_Cuestionario_Cod="VF",COUNTA($B$1:F1)=2),CHAR(CODE(F2)+1)&amp;") ",
IF(MID(INDIRECT("'Datos "&amp;Tipo_Cuestionario_Cod&amp;"'!"&amp;G1&amp;"6"),1,5)="Retro","",
IF(MID(INDIRECT("'Datos "&amp;Tipo_Cuestionario_Cod&amp;"'!"&amp;G1&amp;"6"),1,5)="Punto",$A$2,
IF(OR(Tipo_Cuestionario_Cod="E",Tipo_Cuestionario_Cod="PP"),IF(MOD(COUNTA($B$2:F2),2)=0,$A$2," - "),
IF(Tipo_Cuestionario_Cod="RC",IF(MOD(COUNTA($B$2:F2),3)=0,$A$2," - "),
INDIRECT("'Datos "&amp;Tipo_Cuestionario_Cod&amp;"'!"&amp;G$1&amp;"6")&amp;") "))))))</f>
        <v xml:space="preserve">e) </v>
      </c>
      <c r="H2" s="60" t="str">
        <f ca="1">IF(COUNTA($B$1:G1)&gt;N_Respuestas,"",IF(AND(Tipo_Cuestionario_Cod="VF",COUNTA($B$1:G1)=2),CHAR(CODE(G2)+1)&amp;") ",
IF(MID(INDIRECT("'Datos "&amp;Tipo_Cuestionario_Cod&amp;"'!"&amp;H1&amp;"6"),1,5)="Retro","",
IF(MID(INDIRECT("'Datos "&amp;Tipo_Cuestionario_Cod&amp;"'!"&amp;H1&amp;"6"),1,5)="Punto",$A$2,
IF(OR(Tipo_Cuestionario_Cod="E",Tipo_Cuestionario_Cod="PP"),IF(MOD(COUNTA($B$2:G2),2)=0,$A$2," - "),
IF(Tipo_Cuestionario_Cod="RC",IF(MOD(COUNTA($B$2:G2),3)=0,$A$2," - "),
INDIRECT("'Datos "&amp;Tipo_Cuestionario_Cod&amp;"'!"&amp;H$1&amp;"6")&amp;") "))))))</f>
        <v xml:space="preserve">f) </v>
      </c>
      <c r="I2" s="60" t="str">
        <f ca="1">IF(COUNTA($B$1:H1)&gt;N_Respuestas,"",IF(AND(Tipo_Cuestionario_Cod="VF",COUNTA($B$1:H1)=2),CHAR(CODE(H2)+1)&amp;") ",
IF(MID(INDIRECT("'Datos "&amp;Tipo_Cuestionario_Cod&amp;"'!"&amp;I1&amp;"6"),1,5)="Retro","",
IF(MID(INDIRECT("'Datos "&amp;Tipo_Cuestionario_Cod&amp;"'!"&amp;I1&amp;"6"),1,5)="Punto",$A$2,
IF(OR(Tipo_Cuestionario_Cod="E",Tipo_Cuestionario_Cod="PP"),IF(MOD(COUNTA($B$2:H2),2)=0,$A$2," - "),
IF(Tipo_Cuestionario_Cod="RC",IF(MOD(COUNTA($B$2:H2),3)=0,$A$2," - "),
INDIRECT("'Datos "&amp;Tipo_Cuestionario_Cod&amp;"'!"&amp;I$1&amp;"6")&amp;") "))))))</f>
        <v/>
      </c>
      <c r="J2" s="60" t="str">
        <f ca="1">IF(COUNTA($B$1:I1)&gt;N_Respuestas,"",IF(AND(Tipo_Cuestionario_Cod="VF",COUNTA($B$1:I1)=2),CHAR(CODE(I2)+1)&amp;") ",
IF(MID(INDIRECT("'Datos "&amp;Tipo_Cuestionario_Cod&amp;"'!"&amp;J1&amp;"6"),1,5)="Retro","",
IF(MID(INDIRECT("'Datos "&amp;Tipo_Cuestionario_Cod&amp;"'!"&amp;J1&amp;"6"),1,5)="Punto",$A$2,
IF(OR(Tipo_Cuestionario_Cod="E",Tipo_Cuestionario_Cod="PP"),IF(MOD(COUNTA($B$2:I2),2)=0,$A$2," - "),
IF(Tipo_Cuestionario_Cod="RC",IF(MOD(COUNTA($B$2:I2),3)=0,$A$2," - "),
INDIRECT("'Datos "&amp;Tipo_Cuestionario_Cod&amp;"'!"&amp;J$1&amp;"6")&amp;") "))))))</f>
        <v/>
      </c>
      <c r="K2" s="60" t="str">
        <f ca="1">IF(COUNTA($B$1:J1)&gt;N_Respuestas,"",IF(AND(Tipo_Cuestionario_Cod="VF",COUNTA($B$1:J1)=2),CHAR(CODE(J2)+1)&amp;") ",
IF(MID(INDIRECT("'Datos "&amp;Tipo_Cuestionario_Cod&amp;"'!"&amp;K1&amp;"6"),1,5)="Retro","",
IF(MID(INDIRECT("'Datos "&amp;Tipo_Cuestionario_Cod&amp;"'!"&amp;K1&amp;"6"),1,5)="Punto",$A$2,
IF(OR(Tipo_Cuestionario_Cod="E",Tipo_Cuestionario_Cod="PP"),IF(MOD(COUNTA($B$2:J2),2)=0,$A$2," - "),
IF(Tipo_Cuestionario_Cod="RC",IF(MOD(COUNTA($B$2:J2),3)=0,$A$2," - "),
INDIRECT("'Datos "&amp;Tipo_Cuestionario_Cod&amp;"'!"&amp;K$1&amp;"6")&amp;") "))))))</f>
        <v/>
      </c>
      <c r="L2" s="60" t="str">
        <f ca="1">IF(COUNTA($B$1:K1)&gt;N_Respuestas,"",IF(AND(Tipo_Cuestionario_Cod="VF",COUNTA($B$1:K1)=2),CHAR(CODE(K2)+1)&amp;") ",
IF(MID(INDIRECT("'Datos "&amp;Tipo_Cuestionario_Cod&amp;"'!"&amp;L1&amp;"6"),1,5)="Retro","",
IF(MID(INDIRECT("'Datos "&amp;Tipo_Cuestionario_Cod&amp;"'!"&amp;L1&amp;"6"),1,5)="Punto",$A$2,
IF(OR(Tipo_Cuestionario_Cod="E",Tipo_Cuestionario_Cod="PP"),IF(MOD(COUNTA($B$2:K2),2)=0,$A$2," - "),
IF(Tipo_Cuestionario_Cod="RC",IF(MOD(COUNTA($B$2:K2),3)=0,$A$2," - "),
INDIRECT("'Datos "&amp;Tipo_Cuestionario_Cod&amp;"'!"&amp;L$1&amp;"6")&amp;") "))))))</f>
        <v/>
      </c>
      <c r="M2" s="60" t="str">
        <f ca="1">IF(COUNTA($B$1:L1)&gt;N_Respuestas,"",IF(AND(Tipo_Cuestionario_Cod="VF",COUNTA($B$1:L1)=2),CHAR(CODE(L2)+1)&amp;") ",
IF(MID(INDIRECT("'Datos "&amp;Tipo_Cuestionario_Cod&amp;"'!"&amp;M1&amp;"6"),1,5)="Retro","",
IF(MID(INDIRECT("'Datos "&amp;Tipo_Cuestionario_Cod&amp;"'!"&amp;M1&amp;"6"),1,5)="Punto",$A$2,
IF(OR(Tipo_Cuestionario_Cod="E",Tipo_Cuestionario_Cod="PP"),IF(MOD(COUNTA($B$2:L2),2)=0,$A$2," - "),
IF(Tipo_Cuestionario_Cod="RC",IF(MOD(COUNTA($B$2:L2),3)=0,$A$2," - "),
INDIRECT("'Datos "&amp;Tipo_Cuestionario_Cod&amp;"'!"&amp;M$1&amp;"6")&amp;") "))))))</f>
        <v/>
      </c>
      <c r="N2" s="60" t="str">
        <f ca="1">IF(COUNTA($B$1:M1)&gt;N_Respuestas,"",IF(AND(Tipo_Cuestionario_Cod="VF",COUNTA($B$1:M1)=2),CHAR(CODE(M2)+1)&amp;") ",
IF(MID(INDIRECT("'Datos "&amp;Tipo_Cuestionario_Cod&amp;"'!"&amp;N1&amp;"6"),1,5)="Retro","",
IF(MID(INDIRECT("'Datos "&amp;Tipo_Cuestionario_Cod&amp;"'!"&amp;N1&amp;"6"),1,5)="Punto",$A$2,
IF(OR(Tipo_Cuestionario_Cod="E",Tipo_Cuestionario_Cod="PP"),IF(MOD(COUNTA($B$2:M2),2)=0,$A$2," - "),
IF(Tipo_Cuestionario_Cod="RC",IF(MOD(COUNTA($B$2:M2),3)=0,$A$2," - "),
INDIRECT("'Datos "&amp;Tipo_Cuestionario_Cod&amp;"'!"&amp;N$1&amp;"6")&amp;") "))))))</f>
        <v/>
      </c>
      <c r="O2" s="60" t="str">
        <f ca="1">IF(COUNTA($B$1:N1)&gt;N_Respuestas,"",IF(AND(Tipo_Cuestionario_Cod="VF",COUNTA($B$1:N1)=2),CHAR(CODE(N2)+1)&amp;") ",
IF(MID(INDIRECT("'Datos "&amp;Tipo_Cuestionario_Cod&amp;"'!"&amp;O1&amp;"6"),1,5)="Retro","",
IF(MID(INDIRECT("'Datos "&amp;Tipo_Cuestionario_Cod&amp;"'!"&amp;O1&amp;"6"),1,5)="Punto",$A$2,
IF(OR(Tipo_Cuestionario_Cod="E",Tipo_Cuestionario_Cod="PP"),IF(MOD(COUNTA($B$2:N2),2)=0,$A$2," - "),
IF(Tipo_Cuestionario_Cod="RC",IF(MOD(COUNTA($B$2:N2),3)=0,$A$2," - "),
INDIRECT("'Datos "&amp;Tipo_Cuestionario_Cod&amp;"'!"&amp;O$1&amp;"6")&amp;") "))))))</f>
        <v/>
      </c>
      <c r="P2" s="60" t="str">
        <f ca="1">IF(COUNTA($B$1:O1)&gt;N_Respuestas,"",IF(AND(Tipo_Cuestionario_Cod="VF",COUNTA($B$1:O1)=2),CHAR(CODE(O2)+1)&amp;") ",
IF(MID(INDIRECT("'Datos "&amp;Tipo_Cuestionario_Cod&amp;"'!"&amp;P1&amp;"6"),1,5)="Retro","",
IF(MID(INDIRECT("'Datos "&amp;Tipo_Cuestionario_Cod&amp;"'!"&amp;P1&amp;"6"),1,5)="Punto",$A$2,
IF(OR(Tipo_Cuestionario_Cod="E",Tipo_Cuestionario_Cod="PP"),IF(MOD(COUNTA($B$2:O2),2)=0,$A$2," - "),
IF(Tipo_Cuestionario_Cod="RC",IF(MOD(COUNTA($B$2:O2),3)=0,$A$2," - "),
INDIRECT("'Datos "&amp;Tipo_Cuestionario_Cod&amp;"'!"&amp;P$1&amp;"6")&amp;") "))))))</f>
        <v/>
      </c>
      <c r="Q2" s="60" t="str">
        <f ca="1">IF(COUNTA($B$1:P1)&gt;N_Respuestas,"",IF(AND(Tipo_Cuestionario_Cod="VF",COUNTA($B$1:P1)=2),CHAR(CODE(P2)+1)&amp;") ",
IF(MID(INDIRECT("'Datos "&amp;Tipo_Cuestionario_Cod&amp;"'!"&amp;Q1&amp;"6"),1,5)="Retro","",
IF(MID(INDIRECT("'Datos "&amp;Tipo_Cuestionario_Cod&amp;"'!"&amp;Q1&amp;"6"),1,5)="Punto",$A$2,
IF(OR(Tipo_Cuestionario_Cod="E",Tipo_Cuestionario_Cod="PP"),IF(MOD(COUNTA($B$2:P2),2)=0,$A$2," - "),
IF(Tipo_Cuestionario_Cod="RC",IF(MOD(COUNTA($B$2:P2),3)=0,$A$2," - "),
INDIRECT("'Datos "&amp;Tipo_Cuestionario_Cod&amp;"'!"&amp;Q$1&amp;"6")&amp;") "))))))</f>
        <v/>
      </c>
      <c r="R2" s="60" t="str">
        <f ca="1">IF(COUNTA($B$1:Q1)&gt;N_Respuestas,"",IF(AND(Tipo_Cuestionario_Cod="VF",COUNTA($B$1:Q1)=2),CHAR(CODE(Q2)+1)&amp;") ",
IF(MID(INDIRECT("'Datos "&amp;Tipo_Cuestionario_Cod&amp;"'!"&amp;R1&amp;"6"),1,5)="Retro","",
IF(MID(INDIRECT("'Datos "&amp;Tipo_Cuestionario_Cod&amp;"'!"&amp;R1&amp;"6"),1,5)="Punto",$A$2,
IF(OR(Tipo_Cuestionario_Cod="E",Tipo_Cuestionario_Cod="PP"),IF(MOD(COUNTA($B$2:Q2),2)=0,$A$2," - "),
IF(Tipo_Cuestionario_Cod="RC",IF(MOD(COUNTA($B$2:Q2),3)=0,$A$2," - "),
INDIRECT("'Datos "&amp;Tipo_Cuestionario_Cod&amp;"'!"&amp;R$1&amp;"6")&amp;") "))))))</f>
        <v/>
      </c>
      <c r="S2" s="60" t="str">
        <f ca="1">IF(COUNTA($B$1:R1)&gt;N_Respuestas,"",IF(AND(Tipo_Cuestionario_Cod="VF",COUNTA($B$1:R1)=2),CHAR(CODE(R2)+1)&amp;") ",
IF(MID(INDIRECT("'Datos "&amp;Tipo_Cuestionario_Cod&amp;"'!"&amp;S1&amp;"6"),1,5)="Retro","",
IF(MID(INDIRECT("'Datos "&amp;Tipo_Cuestionario_Cod&amp;"'!"&amp;S1&amp;"6"),1,5)="Punto",$A$2,
IF(OR(Tipo_Cuestionario_Cod="E",Tipo_Cuestionario_Cod="PP"),IF(MOD(COUNTA($B$2:R2),2)=0,$A$2," - "),
IF(Tipo_Cuestionario_Cod="RC",IF(MOD(COUNTA($B$2:R2),3)=0,$A$2," - "),
INDIRECT("'Datos "&amp;Tipo_Cuestionario_Cod&amp;"'!"&amp;S$1&amp;"6")&amp;") "))))))</f>
        <v/>
      </c>
      <c r="T2" s="60" t="str">
        <f ca="1">IF(COUNTA($B$1:S1)&gt;N_Respuestas,"",IF(AND(Tipo_Cuestionario_Cod="VF",COUNTA($B$1:S1)=2),CHAR(CODE(S2)+1)&amp;") ",
IF(MID(INDIRECT("'Datos "&amp;Tipo_Cuestionario_Cod&amp;"'!"&amp;T1&amp;"6"),1,5)="Retro","",
IF(MID(INDIRECT("'Datos "&amp;Tipo_Cuestionario_Cod&amp;"'!"&amp;T1&amp;"6"),1,5)="Punto",$A$2,
IF(OR(Tipo_Cuestionario_Cod="E",Tipo_Cuestionario_Cod="PP"),IF(MOD(COUNTA($B$2:S2),2)=0,$A$2," - "),
IF(Tipo_Cuestionario_Cod="RC",IF(MOD(COUNTA($B$2:S2),3)=0,$A$2," - "),
INDIRECT("'Datos "&amp;Tipo_Cuestionario_Cod&amp;"'!"&amp;T$1&amp;"6")&amp;") "))))))</f>
        <v/>
      </c>
      <c r="U2" s="60" t="str">
        <f ca="1">IF(COUNTA($B$1:T1)&gt;N_Respuestas,"",IF(AND(Tipo_Cuestionario_Cod="VF",COUNTA($B$1:T1)=2),CHAR(CODE(T2)+1)&amp;") ",
IF(MID(INDIRECT("'Datos "&amp;Tipo_Cuestionario_Cod&amp;"'!"&amp;U1&amp;"6"),1,5)="Retro","",
IF(MID(INDIRECT("'Datos "&amp;Tipo_Cuestionario_Cod&amp;"'!"&amp;U1&amp;"6"),1,5)="Punto",$A$2,
IF(OR(Tipo_Cuestionario_Cod="E",Tipo_Cuestionario_Cod="PP"),IF(MOD(COUNTA($B$2:T2),2)=0,$A$2," - "),
IF(Tipo_Cuestionario_Cod="RC",IF(MOD(COUNTA($B$2:T2),3)=0,$A$2," - "),
INDIRECT("'Datos "&amp;Tipo_Cuestionario_Cod&amp;"'!"&amp;U$1&amp;"6")&amp;") "))))))</f>
        <v/>
      </c>
      <c r="V2" s="60" t="str">
        <f ca="1">IF(COUNTA($B$1:U1)&gt;N_Respuestas,"",IF(AND(Tipo_Cuestionario_Cod="VF",COUNTA($B$1:U1)=2),CHAR(CODE(U2)+1)&amp;") ",
IF(MID(INDIRECT("'Datos "&amp;Tipo_Cuestionario_Cod&amp;"'!"&amp;V1&amp;"6"),1,5)="Retro","",
IF(MID(INDIRECT("'Datos "&amp;Tipo_Cuestionario_Cod&amp;"'!"&amp;V1&amp;"6"),1,5)="Punto",$A$2,
IF(OR(Tipo_Cuestionario_Cod="E",Tipo_Cuestionario_Cod="PP"),IF(MOD(COUNTA($B$2:U2),2)=0,$A$2," - "),
IF(Tipo_Cuestionario_Cod="RC",IF(MOD(COUNTA($B$2:U2),3)=0,$A$2," - "),
INDIRECT("'Datos "&amp;Tipo_Cuestionario_Cod&amp;"'!"&amp;V$1&amp;"6")&amp;") "))))))</f>
        <v/>
      </c>
      <c r="W2" s="60" t="str">
        <f ca="1">IF(COUNTA($B$1:V1)&gt;N_Respuestas,"",IF(AND(Tipo_Cuestionario_Cod="VF",COUNTA($B$1:V1)=2),CHAR(CODE(V2)+1)&amp;") ",
IF(MID(INDIRECT("'Datos "&amp;Tipo_Cuestionario_Cod&amp;"'!"&amp;W1&amp;"6"),1,5)="Retro","",
IF(MID(INDIRECT("'Datos "&amp;Tipo_Cuestionario_Cod&amp;"'!"&amp;W1&amp;"6"),1,5)="Punto",$A$2,
IF(OR(Tipo_Cuestionario_Cod="E",Tipo_Cuestionario_Cod="PP"),IF(MOD(COUNTA($B$2:V2),2)=0,$A$2," - "),
IF(Tipo_Cuestionario_Cod="RC",IF(MOD(COUNTA($B$2:V2),3)=0,$A$2," - "),
INDIRECT("'Datos "&amp;Tipo_Cuestionario_Cod&amp;"'!"&amp;W$1&amp;"6")&amp;") "))))))</f>
        <v/>
      </c>
      <c r="X2" s="60" t="str">
        <f ca="1">IF(COUNTA($B$1:W1)&gt;N_Respuestas,"",IF(AND(Tipo_Cuestionario_Cod="VF",COUNTA($B$1:W1)=2),CHAR(CODE(W2)+1)&amp;") ",
IF(MID(INDIRECT("'Datos "&amp;Tipo_Cuestionario_Cod&amp;"'!"&amp;X1&amp;"6"),1,5)="Retro","",
IF(MID(INDIRECT("'Datos "&amp;Tipo_Cuestionario_Cod&amp;"'!"&amp;X1&amp;"6"),1,5)="Punto",$A$2,
IF(OR(Tipo_Cuestionario_Cod="E",Tipo_Cuestionario_Cod="PP"),IF(MOD(COUNTA($B$2:W2),2)=0,$A$2," - "),
IF(Tipo_Cuestionario_Cod="RC",IF(MOD(COUNTA($B$2:W2),3)=0,$A$2," - "),
INDIRECT("'Datos "&amp;Tipo_Cuestionario_Cod&amp;"'!"&amp;X$1&amp;"6")&amp;") "))))))</f>
        <v/>
      </c>
      <c r="Y2" s="60" t="str">
        <f ca="1">IF(COUNTA($B$1:X1)&gt;N_Respuestas,"",IF(AND(Tipo_Cuestionario_Cod="VF",COUNTA($B$1:X1)=2),CHAR(CODE(X2)+1)&amp;") ",
IF(MID(INDIRECT("'Datos "&amp;Tipo_Cuestionario_Cod&amp;"'!"&amp;Y1&amp;"6"),1,5)="Retro","",
IF(MID(INDIRECT("'Datos "&amp;Tipo_Cuestionario_Cod&amp;"'!"&amp;Y1&amp;"6"),1,5)="Punto",$A$2,
IF(OR(Tipo_Cuestionario_Cod="E",Tipo_Cuestionario_Cod="PP"),IF(MOD(COUNTA($B$2:X2),2)=0,$A$2," - "),
IF(Tipo_Cuestionario_Cod="RC",IF(MOD(COUNTA($B$2:X2),3)=0,$A$2," - "),
INDIRECT("'Datos "&amp;Tipo_Cuestionario_Cod&amp;"'!"&amp;Y$1&amp;"6")&amp;") "))))))</f>
        <v/>
      </c>
      <c r="Z2" s="60" t="str">
        <f ca="1">IF(COUNTA($B$1:Y1)&gt;N_Respuestas,"",IF(AND(Tipo_Cuestionario_Cod="VF",COUNTA($B$1:Y1)=2),CHAR(CODE(Y2)+1)&amp;") ",
IF(MID(INDIRECT("'Datos "&amp;Tipo_Cuestionario_Cod&amp;"'!"&amp;Z1&amp;"6"),1,5)="Retro","",
IF(MID(INDIRECT("'Datos "&amp;Tipo_Cuestionario_Cod&amp;"'!"&amp;Z1&amp;"6"),1,5)="Punto",$A$2,
IF(OR(Tipo_Cuestionario_Cod="E",Tipo_Cuestionario_Cod="PP"),IF(MOD(COUNTA($B$2:Y2),2)=0,$A$2," - "),
IF(Tipo_Cuestionario_Cod="RC",IF(MOD(COUNTA($B$2:Y2),3)=0,$A$2," - "),
INDIRECT("'Datos "&amp;Tipo_Cuestionario_Cod&amp;"'!"&amp;Z$1&amp;"6")&amp;") "))))))</f>
        <v/>
      </c>
      <c r="AA2" s="60" t="str">
        <f ca="1">IF(COUNTA($B$1:Z1)&gt;N_Respuestas,"",IF(AND(Tipo_Cuestionario_Cod="VF",COUNTA($B$1:Z1)=2),CHAR(CODE(Z2)+1)&amp;") ",
IF(MID(INDIRECT("'Datos "&amp;Tipo_Cuestionario_Cod&amp;"'!"&amp;AA1&amp;"6"),1,5)="Retro","",
IF(MID(INDIRECT("'Datos "&amp;Tipo_Cuestionario_Cod&amp;"'!"&amp;AA1&amp;"6"),1,5)="Punto",$A$2,
IF(OR(Tipo_Cuestionario_Cod="E",Tipo_Cuestionario_Cod="PP"),IF(MOD(COUNTA($B$2:Z2),2)=0,$A$2," - "),
IF(Tipo_Cuestionario_Cod="RC",IF(MOD(COUNTA($B$2:Z2),3)=0,$A$2," - "),
INDIRECT("'Datos "&amp;Tipo_Cuestionario_Cod&amp;"'!"&amp;AA$1&amp;"6")&amp;") "))))))</f>
        <v/>
      </c>
    </row>
    <row r="3" spans="1:27" x14ac:dyDescent="0.25">
      <c r="A3" s="176">
        <f ca="1">N_INICIAL-P_Min+1</f>
        <v>1</v>
      </c>
      <c r="B3" t="str">
        <f t="shared" ref="B3:B34" ca="1" si="1">IF(A3="","",A3&amp;") "&amp;IF(INDIRECT("'Datos "&amp;Tipo_Cuestionario_Cod&amp;"'!"&amp;B$1&amp;7+A3-1)="","",INDIRECT("'Datos "&amp;Tipo_Cuestionario_Cod&amp;"'!"&amp;B$1&amp;7+A3-1)))</f>
        <v xml:space="preserve">1) </v>
      </c>
      <c r="C3" s="60" t="str">
        <f t="shared" ref="C3:AA3" ca="1" si="2">IFERROR(IF(OR(INDIRECT("'Datos "&amp;Tipo_Cuestionario_Cod&amp;"'!"&amp;C$1&amp;7+$A3-1)="",C$2="",$B3=""),"",
IF(AND(C$1="J",Tipo_Cuestionario_Cod="VF"),C$2&amp;IF(MID(B3,FIND(")",B3)+2,1)="V","FALSO","VERDADERO"),
C$2&amp;INDIRECT("'Datos "&amp;Tipo_Cuestionario_Cod&amp;"'!"&amp;C$1&amp;7+$A3-1))),"")</f>
        <v/>
      </c>
      <c r="D3" s="60" t="str">
        <f t="shared" ca="1" si="2"/>
        <v/>
      </c>
      <c r="E3" s="60" t="str">
        <f t="shared" ca="1" si="2"/>
        <v/>
      </c>
      <c r="F3" s="60" t="str">
        <f t="shared" ca="1" si="2"/>
        <v/>
      </c>
      <c r="G3" s="60" t="str">
        <f t="shared" ca="1" si="2"/>
        <v/>
      </c>
      <c r="H3" s="60" t="str">
        <f t="shared" ca="1" si="2"/>
        <v/>
      </c>
      <c r="I3" s="60" t="str">
        <f t="shared" ca="1" si="2"/>
        <v/>
      </c>
      <c r="J3" s="60" t="str">
        <f t="shared" ca="1" si="2"/>
        <v/>
      </c>
      <c r="K3" s="60" t="str">
        <f t="shared" ca="1" si="2"/>
        <v/>
      </c>
      <c r="L3" s="60" t="str">
        <f t="shared" ca="1" si="2"/>
        <v/>
      </c>
      <c r="M3" s="60" t="str">
        <f t="shared" ca="1" si="2"/>
        <v/>
      </c>
      <c r="N3" s="60" t="str">
        <f t="shared" ca="1" si="2"/>
        <v/>
      </c>
      <c r="O3" s="60" t="str">
        <f t="shared" ca="1" si="2"/>
        <v/>
      </c>
      <c r="P3" s="60" t="str">
        <f t="shared" ca="1" si="2"/>
        <v/>
      </c>
      <c r="Q3" s="60" t="str">
        <f t="shared" ca="1" si="2"/>
        <v/>
      </c>
      <c r="R3" s="60" t="str">
        <f t="shared" ca="1" si="2"/>
        <v/>
      </c>
      <c r="S3" s="60" t="str">
        <f t="shared" ca="1" si="2"/>
        <v/>
      </c>
      <c r="T3" s="60" t="str">
        <f t="shared" ca="1" si="2"/>
        <v/>
      </c>
      <c r="U3" s="60" t="str">
        <f t="shared" ca="1" si="2"/>
        <v/>
      </c>
      <c r="V3" s="60" t="str">
        <f t="shared" ca="1" si="2"/>
        <v/>
      </c>
      <c r="W3" s="60" t="str">
        <f t="shared" ca="1" si="2"/>
        <v/>
      </c>
      <c r="X3" s="60" t="str">
        <f t="shared" ca="1" si="2"/>
        <v/>
      </c>
      <c r="Y3" s="60" t="str">
        <f t="shared" ca="1" si="2"/>
        <v/>
      </c>
      <c r="Z3" s="60" t="str">
        <f t="shared" ca="1" si="2"/>
        <v/>
      </c>
      <c r="AA3" s="60" t="str">
        <f t="shared" ca="1" si="2"/>
        <v/>
      </c>
    </row>
    <row r="4" spans="1:27" x14ac:dyDescent="0.25">
      <c r="A4" t="str">
        <f t="shared" ref="A4:A35" ca="1" si="3">IFERROR(IF(A3+1&gt;N_FINAL-INDIRECT("'Datos "&amp;Tipo_Cuestionario_Cod&amp;"'!A7")+1,"",A3+1),"")</f>
        <v/>
      </c>
      <c r="B4" t="str">
        <f t="shared" ca="1" si="1"/>
        <v/>
      </c>
      <c r="C4" s="60" t="str">
        <f t="shared" ref="C4:AA4" ca="1" si="4">IFERROR(IF(OR(INDIRECT("'Datos "&amp;Tipo_Cuestionario_Cod&amp;"'!"&amp;C$1&amp;7+$A4-1)="",C$2="",$B4=""),"",
IF(AND(C$1="J",Tipo_Cuestionario_Cod="VF"),C$2&amp;IF(MID(B4,FIND(")",B4)+2,1)="V","FALSO","VERDADERO"),
C$2&amp;INDIRECT("'Datos "&amp;Tipo_Cuestionario_Cod&amp;"'!"&amp;C$1&amp;7+$A4-1))),"")</f>
        <v/>
      </c>
      <c r="D4" s="60" t="str">
        <f t="shared" ca="1" si="4"/>
        <v/>
      </c>
      <c r="E4" s="60" t="str">
        <f t="shared" ca="1" si="4"/>
        <v/>
      </c>
      <c r="F4" s="60" t="str">
        <f t="shared" ca="1" si="4"/>
        <v/>
      </c>
      <c r="G4" s="60" t="str">
        <f t="shared" ca="1" si="4"/>
        <v/>
      </c>
      <c r="H4" s="60" t="str">
        <f t="shared" ca="1" si="4"/>
        <v/>
      </c>
      <c r="I4" s="60" t="str">
        <f t="shared" ca="1" si="4"/>
        <v/>
      </c>
      <c r="J4" s="60" t="str">
        <f t="shared" ca="1" si="4"/>
        <v/>
      </c>
      <c r="K4" s="60" t="str">
        <f t="shared" ca="1" si="4"/>
        <v/>
      </c>
      <c r="L4" s="60" t="str">
        <f t="shared" ca="1" si="4"/>
        <v/>
      </c>
      <c r="M4" s="60" t="str">
        <f t="shared" ca="1" si="4"/>
        <v/>
      </c>
      <c r="N4" s="60" t="str">
        <f t="shared" ca="1" si="4"/>
        <v/>
      </c>
      <c r="O4" s="60" t="str">
        <f t="shared" ca="1" si="4"/>
        <v/>
      </c>
      <c r="P4" s="60" t="str">
        <f t="shared" ca="1" si="4"/>
        <v/>
      </c>
      <c r="Q4" s="60" t="str">
        <f t="shared" ca="1" si="4"/>
        <v/>
      </c>
      <c r="R4" s="60" t="str">
        <f t="shared" ca="1" si="4"/>
        <v/>
      </c>
      <c r="S4" s="60" t="str">
        <f t="shared" ca="1" si="4"/>
        <v/>
      </c>
      <c r="T4" s="60" t="str">
        <f t="shared" ca="1" si="4"/>
        <v/>
      </c>
      <c r="U4" s="60" t="str">
        <f t="shared" ca="1" si="4"/>
        <v/>
      </c>
      <c r="V4" s="60" t="str">
        <f t="shared" ca="1" si="4"/>
        <v/>
      </c>
      <c r="W4" s="60" t="str">
        <f t="shared" ca="1" si="4"/>
        <v/>
      </c>
      <c r="X4" s="60" t="str">
        <f t="shared" ca="1" si="4"/>
        <v/>
      </c>
      <c r="Y4" s="60" t="str">
        <f t="shared" ca="1" si="4"/>
        <v/>
      </c>
      <c r="Z4" s="60" t="str">
        <f t="shared" ca="1" si="4"/>
        <v/>
      </c>
      <c r="AA4" s="60" t="str">
        <f t="shared" ca="1" si="4"/>
        <v/>
      </c>
    </row>
    <row r="5" spans="1:27" x14ac:dyDescent="0.25">
      <c r="A5" t="str">
        <f t="shared" ca="1" si="3"/>
        <v/>
      </c>
      <c r="B5" t="str">
        <f t="shared" ca="1" si="1"/>
        <v/>
      </c>
      <c r="C5" s="60" t="str">
        <f t="shared" ref="C5:AA5" ca="1" si="5">IFERROR(IF(OR(INDIRECT("'Datos "&amp;Tipo_Cuestionario_Cod&amp;"'!"&amp;C$1&amp;7+$A5-1)="",C$2="",$B5=""),"",
IF(AND(C$1="J",Tipo_Cuestionario_Cod="VF"),C$2&amp;IF(MID(B5,FIND(")",B5)+2,1)="V","FALSO","VERDADERO"),
C$2&amp;INDIRECT("'Datos "&amp;Tipo_Cuestionario_Cod&amp;"'!"&amp;C$1&amp;7+$A5-1))),"")</f>
        <v/>
      </c>
      <c r="D5" s="60" t="str">
        <f t="shared" ca="1" si="5"/>
        <v/>
      </c>
      <c r="E5" s="60" t="str">
        <f t="shared" ca="1" si="5"/>
        <v/>
      </c>
      <c r="F5" s="60" t="str">
        <f t="shared" ca="1" si="5"/>
        <v/>
      </c>
      <c r="G5" s="60" t="str">
        <f t="shared" ca="1" si="5"/>
        <v/>
      </c>
      <c r="H5" s="60" t="str">
        <f t="shared" ca="1" si="5"/>
        <v/>
      </c>
      <c r="I5" s="60" t="str">
        <f t="shared" ca="1" si="5"/>
        <v/>
      </c>
      <c r="J5" s="60" t="str">
        <f t="shared" ca="1" si="5"/>
        <v/>
      </c>
      <c r="K5" s="60" t="str">
        <f t="shared" ca="1" si="5"/>
        <v/>
      </c>
      <c r="L5" s="60" t="str">
        <f t="shared" ca="1" si="5"/>
        <v/>
      </c>
      <c r="M5" s="60" t="str">
        <f t="shared" ca="1" si="5"/>
        <v/>
      </c>
      <c r="N5" s="60" t="str">
        <f t="shared" ca="1" si="5"/>
        <v/>
      </c>
      <c r="O5" s="60" t="str">
        <f t="shared" ca="1" si="5"/>
        <v/>
      </c>
      <c r="P5" s="60" t="str">
        <f t="shared" ca="1" si="5"/>
        <v/>
      </c>
      <c r="Q5" s="60" t="str">
        <f t="shared" ca="1" si="5"/>
        <v/>
      </c>
      <c r="R5" s="60" t="str">
        <f t="shared" ca="1" si="5"/>
        <v/>
      </c>
      <c r="S5" s="60" t="str">
        <f t="shared" ca="1" si="5"/>
        <v/>
      </c>
      <c r="T5" s="60" t="str">
        <f t="shared" ca="1" si="5"/>
        <v/>
      </c>
      <c r="U5" s="60" t="str">
        <f t="shared" ca="1" si="5"/>
        <v/>
      </c>
      <c r="V5" s="60" t="str">
        <f t="shared" ca="1" si="5"/>
        <v/>
      </c>
      <c r="W5" s="60" t="str">
        <f t="shared" ca="1" si="5"/>
        <v/>
      </c>
      <c r="X5" s="60" t="str">
        <f t="shared" ca="1" si="5"/>
        <v/>
      </c>
      <c r="Y5" s="60" t="str">
        <f t="shared" ca="1" si="5"/>
        <v/>
      </c>
      <c r="Z5" s="60" t="str">
        <f t="shared" ca="1" si="5"/>
        <v/>
      </c>
      <c r="AA5" s="60" t="str">
        <f t="shared" ca="1" si="5"/>
        <v/>
      </c>
    </row>
    <row r="6" spans="1:27" x14ac:dyDescent="0.25">
      <c r="A6" t="str">
        <f t="shared" ca="1" si="3"/>
        <v/>
      </c>
      <c r="B6" t="str">
        <f t="shared" ca="1" si="1"/>
        <v/>
      </c>
      <c r="C6" s="60" t="str">
        <f t="shared" ref="C6:AA6" ca="1" si="6">IFERROR(IF(OR(INDIRECT("'Datos "&amp;Tipo_Cuestionario_Cod&amp;"'!"&amp;C$1&amp;7+$A6-1)="",C$2="",$B6=""),"",
IF(AND(C$1="J",Tipo_Cuestionario_Cod="VF"),C$2&amp;IF(MID(B6,FIND(")",B6)+2,1)="V","FALSO","VERDADERO"),
C$2&amp;INDIRECT("'Datos "&amp;Tipo_Cuestionario_Cod&amp;"'!"&amp;C$1&amp;7+$A6-1))),"")</f>
        <v/>
      </c>
      <c r="D6" s="60" t="str">
        <f t="shared" ca="1" si="6"/>
        <v/>
      </c>
      <c r="E6" s="60" t="str">
        <f t="shared" ca="1" si="6"/>
        <v/>
      </c>
      <c r="F6" s="60" t="str">
        <f t="shared" ca="1" si="6"/>
        <v/>
      </c>
      <c r="G6" s="60" t="str">
        <f t="shared" ca="1" si="6"/>
        <v/>
      </c>
      <c r="H6" s="60" t="str">
        <f t="shared" ca="1" si="6"/>
        <v/>
      </c>
      <c r="I6" s="60" t="str">
        <f t="shared" ca="1" si="6"/>
        <v/>
      </c>
      <c r="J6" s="60" t="str">
        <f t="shared" ca="1" si="6"/>
        <v/>
      </c>
      <c r="K6" s="60" t="str">
        <f t="shared" ca="1" si="6"/>
        <v/>
      </c>
      <c r="L6" s="60" t="str">
        <f t="shared" ca="1" si="6"/>
        <v/>
      </c>
      <c r="M6" s="60" t="str">
        <f t="shared" ca="1" si="6"/>
        <v/>
      </c>
      <c r="N6" s="60" t="str">
        <f t="shared" ca="1" si="6"/>
        <v/>
      </c>
      <c r="O6" s="60" t="str">
        <f t="shared" ca="1" si="6"/>
        <v/>
      </c>
      <c r="P6" s="60" t="str">
        <f t="shared" ca="1" si="6"/>
        <v/>
      </c>
      <c r="Q6" s="60" t="str">
        <f t="shared" ca="1" si="6"/>
        <v/>
      </c>
      <c r="R6" s="60" t="str">
        <f t="shared" ca="1" si="6"/>
        <v/>
      </c>
      <c r="S6" s="60" t="str">
        <f t="shared" ca="1" si="6"/>
        <v/>
      </c>
      <c r="T6" s="60" t="str">
        <f t="shared" ca="1" si="6"/>
        <v/>
      </c>
      <c r="U6" s="60" t="str">
        <f t="shared" ca="1" si="6"/>
        <v/>
      </c>
      <c r="V6" s="60" t="str">
        <f t="shared" ca="1" si="6"/>
        <v/>
      </c>
      <c r="W6" s="60" t="str">
        <f t="shared" ca="1" si="6"/>
        <v/>
      </c>
      <c r="X6" s="60" t="str">
        <f t="shared" ca="1" si="6"/>
        <v/>
      </c>
      <c r="Y6" s="60" t="str">
        <f t="shared" ca="1" si="6"/>
        <v/>
      </c>
      <c r="Z6" s="60" t="str">
        <f t="shared" ca="1" si="6"/>
        <v/>
      </c>
      <c r="AA6" s="60" t="str">
        <f t="shared" ca="1" si="6"/>
        <v/>
      </c>
    </row>
    <row r="7" spans="1:27" x14ac:dyDescent="0.25">
      <c r="A7" t="str">
        <f t="shared" ca="1" si="3"/>
        <v/>
      </c>
      <c r="B7" t="str">
        <f t="shared" ca="1" si="1"/>
        <v/>
      </c>
      <c r="C7" s="60" t="str">
        <f t="shared" ref="C7:AA7" ca="1" si="7">IFERROR(IF(OR(INDIRECT("'Datos "&amp;Tipo_Cuestionario_Cod&amp;"'!"&amp;C$1&amp;7+$A7-1)="",C$2="",$B7=""),"",
IF(AND(C$1="J",Tipo_Cuestionario_Cod="VF"),C$2&amp;IF(MID(B7,FIND(")",B7)+2,1)="V","FALSO","VERDADERO"),
C$2&amp;INDIRECT("'Datos "&amp;Tipo_Cuestionario_Cod&amp;"'!"&amp;C$1&amp;7+$A7-1))),"")</f>
        <v/>
      </c>
      <c r="D7" s="60" t="str">
        <f t="shared" ca="1" si="7"/>
        <v/>
      </c>
      <c r="E7" s="60" t="str">
        <f t="shared" ca="1" si="7"/>
        <v/>
      </c>
      <c r="F7" s="60" t="str">
        <f t="shared" ca="1" si="7"/>
        <v/>
      </c>
      <c r="G7" s="60" t="str">
        <f t="shared" ca="1" si="7"/>
        <v/>
      </c>
      <c r="H7" s="60" t="str">
        <f t="shared" ca="1" si="7"/>
        <v/>
      </c>
      <c r="I7" s="60" t="str">
        <f t="shared" ca="1" si="7"/>
        <v/>
      </c>
      <c r="J7" s="60" t="str">
        <f t="shared" ca="1" si="7"/>
        <v/>
      </c>
      <c r="K7" s="60" t="str">
        <f t="shared" ca="1" si="7"/>
        <v/>
      </c>
      <c r="L7" s="60" t="str">
        <f t="shared" ca="1" si="7"/>
        <v/>
      </c>
      <c r="M7" s="60" t="str">
        <f t="shared" ca="1" si="7"/>
        <v/>
      </c>
      <c r="N7" s="60" t="str">
        <f t="shared" ca="1" si="7"/>
        <v/>
      </c>
      <c r="O7" s="60" t="str">
        <f t="shared" ca="1" si="7"/>
        <v/>
      </c>
      <c r="P7" s="60" t="str">
        <f t="shared" ca="1" si="7"/>
        <v/>
      </c>
      <c r="Q7" s="60" t="str">
        <f t="shared" ca="1" si="7"/>
        <v/>
      </c>
      <c r="R7" s="60" t="str">
        <f t="shared" ca="1" si="7"/>
        <v/>
      </c>
      <c r="S7" s="60" t="str">
        <f t="shared" ca="1" si="7"/>
        <v/>
      </c>
      <c r="T7" s="60" t="str">
        <f t="shared" ca="1" si="7"/>
        <v/>
      </c>
      <c r="U7" s="60" t="str">
        <f t="shared" ca="1" si="7"/>
        <v/>
      </c>
      <c r="V7" s="60" t="str">
        <f t="shared" ca="1" si="7"/>
        <v/>
      </c>
      <c r="W7" s="60" t="str">
        <f t="shared" ca="1" si="7"/>
        <v/>
      </c>
      <c r="X7" s="60" t="str">
        <f t="shared" ca="1" si="7"/>
        <v/>
      </c>
      <c r="Y7" s="60" t="str">
        <f t="shared" ca="1" si="7"/>
        <v/>
      </c>
      <c r="Z7" s="60" t="str">
        <f t="shared" ca="1" si="7"/>
        <v/>
      </c>
      <c r="AA7" s="60" t="str">
        <f t="shared" ca="1" si="7"/>
        <v/>
      </c>
    </row>
    <row r="8" spans="1:27" x14ac:dyDescent="0.25">
      <c r="A8" t="str">
        <f t="shared" ca="1" si="3"/>
        <v/>
      </c>
      <c r="B8" t="str">
        <f t="shared" ca="1" si="1"/>
        <v/>
      </c>
      <c r="C8" s="60" t="str">
        <f t="shared" ref="C8:AA8" ca="1" si="8">IFERROR(IF(OR(INDIRECT("'Datos "&amp;Tipo_Cuestionario_Cod&amp;"'!"&amp;C$1&amp;7+$A8-1)="",C$2="",$B8=""),"",
IF(AND(C$1="J",Tipo_Cuestionario_Cod="VF"),C$2&amp;IF(MID(B8,FIND(")",B8)+2,1)="V","FALSO","VERDADERO"),
C$2&amp;INDIRECT("'Datos "&amp;Tipo_Cuestionario_Cod&amp;"'!"&amp;C$1&amp;7+$A8-1))),"")</f>
        <v/>
      </c>
      <c r="D8" s="60" t="str">
        <f t="shared" ca="1" si="8"/>
        <v/>
      </c>
      <c r="E8" s="60" t="str">
        <f t="shared" ca="1" si="8"/>
        <v/>
      </c>
      <c r="F8" s="60" t="str">
        <f t="shared" ca="1" si="8"/>
        <v/>
      </c>
      <c r="G8" s="60" t="str">
        <f t="shared" ca="1" si="8"/>
        <v/>
      </c>
      <c r="H8" s="60" t="str">
        <f t="shared" ca="1" si="8"/>
        <v/>
      </c>
      <c r="I8" s="60" t="str">
        <f t="shared" ca="1" si="8"/>
        <v/>
      </c>
      <c r="J8" s="60" t="str">
        <f t="shared" ca="1" si="8"/>
        <v/>
      </c>
      <c r="K8" s="60" t="str">
        <f t="shared" ca="1" si="8"/>
        <v/>
      </c>
      <c r="L8" s="60" t="str">
        <f t="shared" ca="1" si="8"/>
        <v/>
      </c>
      <c r="M8" s="60" t="str">
        <f t="shared" ca="1" si="8"/>
        <v/>
      </c>
      <c r="N8" s="60" t="str">
        <f t="shared" ca="1" si="8"/>
        <v/>
      </c>
      <c r="O8" s="60" t="str">
        <f t="shared" ca="1" si="8"/>
        <v/>
      </c>
      <c r="P8" s="60" t="str">
        <f t="shared" ca="1" si="8"/>
        <v/>
      </c>
      <c r="Q8" s="60" t="str">
        <f t="shared" ca="1" si="8"/>
        <v/>
      </c>
      <c r="R8" s="60" t="str">
        <f t="shared" ca="1" si="8"/>
        <v/>
      </c>
      <c r="S8" s="60" t="str">
        <f t="shared" ca="1" si="8"/>
        <v/>
      </c>
      <c r="T8" s="60" t="str">
        <f t="shared" ca="1" si="8"/>
        <v/>
      </c>
      <c r="U8" s="60" t="str">
        <f t="shared" ca="1" si="8"/>
        <v/>
      </c>
      <c r="V8" s="60" t="str">
        <f t="shared" ca="1" si="8"/>
        <v/>
      </c>
      <c r="W8" s="60" t="str">
        <f t="shared" ca="1" si="8"/>
        <v/>
      </c>
      <c r="X8" s="60" t="str">
        <f t="shared" ca="1" si="8"/>
        <v/>
      </c>
      <c r="Y8" s="60" t="str">
        <f t="shared" ca="1" si="8"/>
        <v/>
      </c>
      <c r="Z8" s="60" t="str">
        <f t="shared" ca="1" si="8"/>
        <v/>
      </c>
      <c r="AA8" s="60" t="str">
        <f t="shared" ca="1" si="8"/>
        <v/>
      </c>
    </row>
    <row r="9" spans="1:27" x14ac:dyDescent="0.25">
      <c r="A9" t="str">
        <f t="shared" ca="1" si="3"/>
        <v/>
      </c>
      <c r="B9" t="str">
        <f t="shared" ca="1" si="1"/>
        <v/>
      </c>
      <c r="C9" s="60" t="str">
        <f t="shared" ref="C9:AA9" ca="1" si="9">IFERROR(IF(OR(INDIRECT("'Datos "&amp;Tipo_Cuestionario_Cod&amp;"'!"&amp;C$1&amp;7+$A9-1)="",C$2="",$B9=""),"",
IF(AND(C$1="J",Tipo_Cuestionario_Cod="VF"),C$2&amp;IF(MID(B9,FIND(")",B9)+2,1)="V","FALSO","VERDADERO"),
C$2&amp;INDIRECT("'Datos "&amp;Tipo_Cuestionario_Cod&amp;"'!"&amp;C$1&amp;7+$A9-1))),"")</f>
        <v/>
      </c>
      <c r="D9" s="60" t="str">
        <f t="shared" ca="1" si="9"/>
        <v/>
      </c>
      <c r="E9" s="60" t="str">
        <f t="shared" ca="1" si="9"/>
        <v/>
      </c>
      <c r="F9" s="60" t="str">
        <f t="shared" ca="1" si="9"/>
        <v/>
      </c>
      <c r="G9" s="60" t="str">
        <f t="shared" ca="1" si="9"/>
        <v/>
      </c>
      <c r="H9" s="60" t="str">
        <f t="shared" ca="1" si="9"/>
        <v/>
      </c>
      <c r="I9" s="60" t="str">
        <f t="shared" ca="1" si="9"/>
        <v/>
      </c>
      <c r="J9" s="60" t="str">
        <f t="shared" ca="1" si="9"/>
        <v/>
      </c>
      <c r="K9" s="60" t="str">
        <f t="shared" ca="1" si="9"/>
        <v/>
      </c>
      <c r="L9" s="60" t="str">
        <f t="shared" ca="1" si="9"/>
        <v/>
      </c>
      <c r="M9" s="60" t="str">
        <f t="shared" ca="1" si="9"/>
        <v/>
      </c>
      <c r="N9" s="60" t="str">
        <f t="shared" ca="1" si="9"/>
        <v/>
      </c>
      <c r="O9" s="60" t="str">
        <f t="shared" ca="1" si="9"/>
        <v/>
      </c>
      <c r="P9" s="60" t="str">
        <f t="shared" ca="1" si="9"/>
        <v/>
      </c>
      <c r="Q9" s="60" t="str">
        <f t="shared" ca="1" si="9"/>
        <v/>
      </c>
      <c r="R9" s="60" t="str">
        <f t="shared" ca="1" si="9"/>
        <v/>
      </c>
      <c r="S9" s="60" t="str">
        <f t="shared" ca="1" si="9"/>
        <v/>
      </c>
      <c r="T9" s="60" t="str">
        <f t="shared" ca="1" si="9"/>
        <v/>
      </c>
      <c r="U9" s="60" t="str">
        <f t="shared" ca="1" si="9"/>
        <v/>
      </c>
      <c r="V9" s="60" t="str">
        <f t="shared" ca="1" si="9"/>
        <v/>
      </c>
      <c r="W9" s="60" t="str">
        <f t="shared" ca="1" si="9"/>
        <v/>
      </c>
      <c r="X9" s="60" t="str">
        <f t="shared" ca="1" si="9"/>
        <v/>
      </c>
      <c r="Y9" s="60" t="str">
        <f t="shared" ca="1" si="9"/>
        <v/>
      </c>
      <c r="Z9" s="60" t="str">
        <f t="shared" ca="1" si="9"/>
        <v/>
      </c>
      <c r="AA9" s="60" t="str">
        <f t="shared" ca="1" si="9"/>
        <v/>
      </c>
    </row>
    <row r="10" spans="1:27" x14ac:dyDescent="0.25">
      <c r="A10" t="str">
        <f t="shared" ca="1" si="3"/>
        <v/>
      </c>
      <c r="B10" t="str">
        <f t="shared" ca="1" si="1"/>
        <v/>
      </c>
      <c r="C10" s="60" t="str">
        <f t="shared" ref="C10:AA10" ca="1" si="10">IFERROR(IF(OR(INDIRECT("'Datos "&amp;Tipo_Cuestionario_Cod&amp;"'!"&amp;C$1&amp;7+$A10-1)="",C$2="",$B10=""),"",
IF(AND(C$1="J",Tipo_Cuestionario_Cod="VF"),C$2&amp;IF(MID(B10,FIND(")",B10)+2,1)="V","FALSO","VERDADERO"),
C$2&amp;INDIRECT("'Datos "&amp;Tipo_Cuestionario_Cod&amp;"'!"&amp;C$1&amp;7+$A10-1))),"")</f>
        <v/>
      </c>
      <c r="D10" s="60" t="str">
        <f t="shared" ca="1" si="10"/>
        <v/>
      </c>
      <c r="E10" s="60" t="str">
        <f t="shared" ca="1" si="10"/>
        <v/>
      </c>
      <c r="F10" s="60" t="str">
        <f t="shared" ca="1" si="10"/>
        <v/>
      </c>
      <c r="G10" s="60" t="str">
        <f t="shared" ca="1" si="10"/>
        <v/>
      </c>
      <c r="H10" s="60" t="str">
        <f t="shared" ca="1" si="10"/>
        <v/>
      </c>
      <c r="I10" s="60" t="str">
        <f t="shared" ca="1" si="10"/>
        <v/>
      </c>
      <c r="J10" s="60" t="str">
        <f t="shared" ca="1" si="10"/>
        <v/>
      </c>
      <c r="K10" s="60" t="str">
        <f t="shared" ca="1" si="10"/>
        <v/>
      </c>
      <c r="L10" s="60" t="str">
        <f t="shared" ca="1" si="10"/>
        <v/>
      </c>
      <c r="M10" s="60" t="str">
        <f t="shared" ca="1" si="10"/>
        <v/>
      </c>
      <c r="N10" s="60" t="str">
        <f t="shared" ca="1" si="10"/>
        <v/>
      </c>
      <c r="O10" s="60" t="str">
        <f t="shared" ca="1" si="10"/>
        <v/>
      </c>
      <c r="P10" s="60" t="str">
        <f t="shared" ca="1" si="10"/>
        <v/>
      </c>
      <c r="Q10" s="60" t="str">
        <f t="shared" ca="1" si="10"/>
        <v/>
      </c>
      <c r="R10" s="60" t="str">
        <f t="shared" ca="1" si="10"/>
        <v/>
      </c>
      <c r="S10" s="60" t="str">
        <f t="shared" ca="1" si="10"/>
        <v/>
      </c>
      <c r="T10" s="60" t="str">
        <f t="shared" ca="1" si="10"/>
        <v/>
      </c>
      <c r="U10" s="60" t="str">
        <f t="shared" ca="1" si="10"/>
        <v/>
      </c>
      <c r="V10" s="60" t="str">
        <f t="shared" ca="1" si="10"/>
        <v/>
      </c>
      <c r="W10" s="60" t="str">
        <f t="shared" ca="1" si="10"/>
        <v/>
      </c>
      <c r="X10" s="60" t="str">
        <f t="shared" ca="1" si="10"/>
        <v/>
      </c>
      <c r="Y10" s="60" t="str">
        <f t="shared" ca="1" si="10"/>
        <v/>
      </c>
      <c r="Z10" s="60" t="str">
        <f t="shared" ca="1" si="10"/>
        <v/>
      </c>
      <c r="AA10" s="60" t="str">
        <f t="shared" ca="1" si="10"/>
        <v/>
      </c>
    </row>
    <row r="11" spans="1:27" x14ac:dyDescent="0.25">
      <c r="A11" t="str">
        <f t="shared" ca="1" si="3"/>
        <v/>
      </c>
      <c r="B11" t="str">
        <f t="shared" ca="1" si="1"/>
        <v/>
      </c>
      <c r="C11" s="60" t="str">
        <f t="shared" ref="C11:AA11" ca="1" si="11">IFERROR(IF(OR(INDIRECT("'Datos "&amp;Tipo_Cuestionario_Cod&amp;"'!"&amp;C$1&amp;7+$A11-1)="",C$2="",$B11=""),"",
IF(AND(C$1="J",Tipo_Cuestionario_Cod="VF"),C$2&amp;IF(MID(B11,FIND(")",B11)+2,1)="V","FALSO","VERDADERO"),
C$2&amp;INDIRECT("'Datos "&amp;Tipo_Cuestionario_Cod&amp;"'!"&amp;C$1&amp;7+$A11-1))),"")</f>
        <v/>
      </c>
      <c r="D11" s="60" t="str">
        <f t="shared" ca="1" si="11"/>
        <v/>
      </c>
      <c r="E11" s="60" t="str">
        <f t="shared" ca="1" si="11"/>
        <v/>
      </c>
      <c r="F11" s="60" t="str">
        <f t="shared" ca="1" si="11"/>
        <v/>
      </c>
      <c r="G11" s="60" t="str">
        <f t="shared" ca="1" si="11"/>
        <v/>
      </c>
      <c r="H11" s="60" t="str">
        <f t="shared" ca="1" si="11"/>
        <v/>
      </c>
      <c r="I11" s="60" t="str">
        <f t="shared" ca="1" si="11"/>
        <v/>
      </c>
      <c r="J11" s="60" t="str">
        <f t="shared" ca="1" si="11"/>
        <v/>
      </c>
      <c r="K11" s="60" t="str">
        <f t="shared" ca="1" si="11"/>
        <v/>
      </c>
      <c r="L11" s="60" t="str">
        <f t="shared" ca="1" si="11"/>
        <v/>
      </c>
      <c r="M11" s="60" t="str">
        <f t="shared" ca="1" si="11"/>
        <v/>
      </c>
      <c r="N11" s="60" t="str">
        <f t="shared" ca="1" si="11"/>
        <v/>
      </c>
      <c r="O11" s="60" t="str">
        <f t="shared" ca="1" si="11"/>
        <v/>
      </c>
      <c r="P11" s="60" t="str">
        <f t="shared" ca="1" si="11"/>
        <v/>
      </c>
      <c r="Q11" s="60" t="str">
        <f t="shared" ca="1" si="11"/>
        <v/>
      </c>
      <c r="R11" s="60" t="str">
        <f t="shared" ca="1" si="11"/>
        <v/>
      </c>
      <c r="S11" s="60" t="str">
        <f t="shared" ca="1" si="11"/>
        <v/>
      </c>
      <c r="T11" s="60" t="str">
        <f t="shared" ca="1" si="11"/>
        <v/>
      </c>
      <c r="U11" s="60" t="str">
        <f t="shared" ca="1" si="11"/>
        <v/>
      </c>
      <c r="V11" s="60" t="str">
        <f t="shared" ca="1" si="11"/>
        <v/>
      </c>
      <c r="W11" s="60" t="str">
        <f t="shared" ca="1" si="11"/>
        <v/>
      </c>
      <c r="X11" s="60" t="str">
        <f t="shared" ca="1" si="11"/>
        <v/>
      </c>
      <c r="Y11" s="60" t="str">
        <f t="shared" ca="1" si="11"/>
        <v/>
      </c>
      <c r="Z11" s="60" t="str">
        <f t="shared" ca="1" si="11"/>
        <v/>
      </c>
      <c r="AA11" s="60" t="str">
        <f t="shared" ca="1" si="11"/>
        <v/>
      </c>
    </row>
    <row r="12" spans="1:27" x14ac:dyDescent="0.25">
      <c r="A12" t="str">
        <f t="shared" ca="1" si="3"/>
        <v/>
      </c>
      <c r="B12" t="str">
        <f t="shared" ca="1" si="1"/>
        <v/>
      </c>
      <c r="C12" s="60" t="str">
        <f t="shared" ref="C12:AA12" ca="1" si="12">IFERROR(IF(OR(INDIRECT("'Datos "&amp;Tipo_Cuestionario_Cod&amp;"'!"&amp;C$1&amp;7+$A12-1)="",C$2="",$B12=""),"",
IF(AND(C$1="J",Tipo_Cuestionario_Cod="VF"),C$2&amp;IF(MID(B12,FIND(")",B12)+2,1)="V","FALSO","VERDADERO"),
C$2&amp;INDIRECT("'Datos "&amp;Tipo_Cuestionario_Cod&amp;"'!"&amp;C$1&amp;7+$A12-1))),"")</f>
        <v/>
      </c>
      <c r="D12" s="60" t="str">
        <f t="shared" ca="1" si="12"/>
        <v/>
      </c>
      <c r="E12" s="60" t="str">
        <f t="shared" ca="1" si="12"/>
        <v/>
      </c>
      <c r="F12" s="60" t="str">
        <f t="shared" ca="1" si="12"/>
        <v/>
      </c>
      <c r="G12" s="60" t="str">
        <f t="shared" ca="1" si="12"/>
        <v/>
      </c>
      <c r="H12" s="60" t="str">
        <f t="shared" ca="1" si="12"/>
        <v/>
      </c>
      <c r="I12" s="60" t="str">
        <f t="shared" ca="1" si="12"/>
        <v/>
      </c>
      <c r="J12" s="60" t="str">
        <f t="shared" ca="1" si="12"/>
        <v/>
      </c>
      <c r="K12" s="60" t="str">
        <f t="shared" ca="1" si="12"/>
        <v/>
      </c>
      <c r="L12" s="60" t="str">
        <f t="shared" ca="1" si="12"/>
        <v/>
      </c>
      <c r="M12" s="60" t="str">
        <f t="shared" ca="1" si="12"/>
        <v/>
      </c>
      <c r="N12" s="60" t="str">
        <f t="shared" ca="1" si="12"/>
        <v/>
      </c>
      <c r="O12" s="60" t="str">
        <f t="shared" ca="1" si="12"/>
        <v/>
      </c>
      <c r="P12" s="60" t="str">
        <f t="shared" ca="1" si="12"/>
        <v/>
      </c>
      <c r="Q12" s="60" t="str">
        <f t="shared" ca="1" si="12"/>
        <v/>
      </c>
      <c r="R12" s="60" t="str">
        <f t="shared" ca="1" si="12"/>
        <v/>
      </c>
      <c r="S12" s="60" t="str">
        <f t="shared" ca="1" si="12"/>
        <v/>
      </c>
      <c r="T12" s="60" t="str">
        <f t="shared" ca="1" si="12"/>
        <v/>
      </c>
      <c r="U12" s="60" t="str">
        <f t="shared" ca="1" si="12"/>
        <v/>
      </c>
      <c r="V12" s="60" t="str">
        <f t="shared" ca="1" si="12"/>
        <v/>
      </c>
      <c r="W12" s="60" t="str">
        <f t="shared" ca="1" si="12"/>
        <v/>
      </c>
      <c r="X12" s="60" t="str">
        <f t="shared" ca="1" si="12"/>
        <v/>
      </c>
      <c r="Y12" s="60" t="str">
        <f t="shared" ca="1" si="12"/>
        <v/>
      </c>
      <c r="Z12" s="60" t="str">
        <f t="shared" ca="1" si="12"/>
        <v/>
      </c>
      <c r="AA12" s="60" t="str">
        <f t="shared" ca="1" si="12"/>
        <v/>
      </c>
    </row>
    <row r="13" spans="1:27" x14ac:dyDescent="0.25">
      <c r="A13" t="str">
        <f t="shared" ca="1" si="3"/>
        <v/>
      </c>
      <c r="B13" t="str">
        <f t="shared" ca="1" si="1"/>
        <v/>
      </c>
      <c r="C13" s="60" t="str">
        <f t="shared" ref="C13:AA13" ca="1" si="13">IFERROR(IF(OR(INDIRECT("'Datos "&amp;Tipo_Cuestionario_Cod&amp;"'!"&amp;C$1&amp;7+$A13-1)="",C$2="",$B13=""),"",
IF(AND(C$1="J",Tipo_Cuestionario_Cod="VF"),C$2&amp;IF(MID(B13,FIND(")",B13)+2,1)="V","FALSO","VERDADERO"),
C$2&amp;INDIRECT("'Datos "&amp;Tipo_Cuestionario_Cod&amp;"'!"&amp;C$1&amp;7+$A13-1))),"")</f>
        <v/>
      </c>
      <c r="D13" s="60" t="str">
        <f t="shared" ca="1" si="13"/>
        <v/>
      </c>
      <c r="E13" s="60" t="str">
        <f t="shared" ca="1" si="13"/>
        <v/>
      </c>
      <c r="F13" s="60" t="str">
        <f t="shared" ca="1" si="13"/>
        <v/>
      </c>
      <c r="G13" s="60" t="str">
        <f t="shared" ca="1" si="13"/>
        <v/>
      </c>
      <c r="H13" s="60" t="str">
        <f t="shared" ca="1" si="13"/>
        <v/>
      </c>
      <c r="I13" s="60" t="str">
        <f t="shared" ca="1" si="13"/>
        <v/>
      </c>
      <c r="J13" s="60" t="str">
        <f t="shared" ca="1" si="13"/>
        <v/>
      </c>
      <c r="K13" s="60" t="str">
        <f t="shared" ca="1" si="13"/>
        <v/>
      </c>
      <c r="L13" s="60" t="str">
        <f t="shared" ca="1" si="13"/>
        <v/>
      </c>
      <c r="M13" s="60" t="str">
        <f t="shared" ca="1" si="13"/>
        <v/>
      </c>
      <c r="N13" s="60" t="str">
        <f t="shared" ca="1" si="13"/>
        <v/>
      </c>
      <c r="O13" s="60" t="str">
        <f t="shared" ca="1" si="13"/>
        <v/>
      </c>
      <c r="P13" s="60" t="str">
        <f t="shared" ca="1" si="13"/>
        <v/>
      </c>
      <c r="Q13" s="60" t="str">
        <f t="shared" ca="1" si="13"/>
        <v/>
      </c>
      <c r="R13" s="60" t="str">
        <f t="shared" ca="1" si="13"/>
        <v/>
      </c>
      <c r="S13" s="60" t="str">
        <f t="shared" ca="1" si="13"/>
        <v/>
      </c>
      <c r="T13" s="60" t="str">
        <f t="shared" ca="1" si="13"/>
        <v/>
      </c>
      <c r="U13" s="60" t="str">
        <f t="shared" ca="1" si="13"/>
        <v/>
      </c>
      <c r="V13" s="60" t="str">
        <f t="shared" ca="1" si="13"/>
        <v/>
      </c>
      <c r="W13" s="60" t="str">
        <f t="shared" ca="1" si="13"/>
        <v/>
      </c>
      <c r="X13" s="60" t="str">
        <f t="shared" ca="1" si="13"/>
        <v/>
      </c>
      <c r="Y13" s="60" t="str">
        <f t="shared" ca="1" si="13"/>
        <v/>
      </c>
      <c r="Z13" s="60" t="str">
        <f t="shared" ca="1" si="13"/>
        <v/>
      </c>
      <c r="AA13" s="60" t="str">
        <f t="shared" ca="1" si="13"/>
        <v/>
      </c>
    </row>
    <row r="14" spans="1:27" x14ac:dyDescent="0.25">
      <c r="A14" t="str">
        <f t="shared" ca="1" si="3"/>
        <v/>
      </c>
      <c r="B14" t="str">
        <f t="shared" ca="1" si="1"/>
        <v/>
      </c>
      <c r="C14" s="60" t="str">
        <f t="shared" ref="C14:AA14" ca="1" si="14">IFERROR(IF(OR(INDIRECT("'Datos "&amp;Tipo_Cuestionario_Cod&amp;"'!"&amp;C$1&amp;7+$A14-1)="",C$2="",$B14=""),"",
IF(AND(C$1="J",Tipo_Cuestionario_Cod="VF"),C$2&amp;IF(MID(B14,FIND(")",B14)+2,1)="V","FALSO","VERDADERO"),
C$2&amp;INDIRECT("'Datos "&amp;Tipo_Cuestionario_Cod&amp;"'!"&amp;C$1&amp;7+$A14-1))),"")</f>
        <v/>
      </c>
      <c r="D14" s="60" t="str">
        <f t="shared" ca="1" si="14"/>
        <v/>
      </c>
      <c r="E14" s="60" t="str">
        <f t="shared" ca="1" si="14"/>
        <v/>
      </c>
      <c r="F14" s="60" t="str">
        <f t="shared" ca="1" si="14"/>
        <v/>
      </c>
      <c r="G14" s="60" t="str">
        <f t="shared" ca="1" si="14"/>
        <v/>
      </c>
      <c r="H14" s="60" t="str">
        <f t="shared" ca="1" si="14"/>
        <v/>
      </c>
      <c r="I14" s="60" t="str">
        <f t="shared" ca="1" si="14"/>
        <v/>
      </c>
      <c r="J14" s="60" t="str">
        <f t="shared" ca="1" si="14"/>
        <v/>
      </c>
      <c r="K14" s="60" t="str">
        <f t="shared" ca="1" si="14"/>
        <v/>
      </c>
      <c r="L14" s="60" t="str">
        <f t="shared" ca="1" si="14"/>
        <v/>
      </c>
      <c r="M14" s="60" t="str">
        <f t="shared" ca="1" si="14"/>
        <v/>
      </c>
      <c r="N14" s="60" t="str">
        <f t="shared" ca="1" si="14"/>
        <v/>
      </c>
      <c r="O14" s="60" t="str">
        <f t="shared" ca="1" si="14"/>
        <v/>
      </c>
      <c r="P14" s="60" t="str">
        <f t="shared" ca="1" si="14"/>
        <v/>
      </c>
      <c r="Q14" s="60" t="str">
        <f t="shared" ca="1" si="14"/>
        <v/>
      </c>
      <c r="R14" s="60" t="str">
        <f t="shared" ca="1" si="14"/>
        <v/>
      </c>
      <c r="S14" s="60" t="str">
        <f t="shared" ca="1" si="14"/>
        <v/>
      </c>
      <c r="T14" s="60" t="str">
        <f t="shared" ca="1" si="14"/>
        <v/>
      </c>
      <c r="U14" s="60" t="str">
        <f t="shared" ca="1" si="14"/>
        <v/>
      </c>
      <c r="V14" s="60" t="str">
        <f t="shared" ca="1" si="14"/>
        <v/>
      </c>
      <c r="W14" s="60" t="str">
        <f t="shared" ca="1" si="14"/>
        <v/>
      </c>
      <c r="X14" s="60" t="str">
        <f t="shared" ca="1" si="14"/>
        <v/>
      </c>
      <c r="Y14" s="60" t="str">
        <f t="shared" ca="1" si="14"/>
        <v/>
      </c>
      <c r="Z14" s="60" t="str">
        <f t="shared" ca="1" si="14"/>
        <v/>
      </c>
      <c r="AA14" s="60" t="str">
        <f t="shared" ca="1" si="14"/>
        <v/>
      </c>
    </row>
    <row r="15" spans="1:27" x14ac:dyDescent="0.25">
      <c r="A15" t="str">
        <f t="shared" ca="1" si="3"/>
        <v/>
      </c>
      <c r="B15" t="str">
        <f t="shared" ca="1" si="1"/>
        <v/>
      </c>
      <c r="C15" s="60" t="str">
        <f t="shared" ref="C15:AA15" ca="1" si="15">IFERROR(IF(OR(INDIRECT("'Datos "&amp;Tipo_Cuestionario_Cod&amp;"'!"&amp;C$1&amp;7+$A15-1)="",C$2="",$B15=""),"",
IF(AND(C$1="J",Tipo_Cuestionario_Cod="VF"),C$2&amp;IF(MID(B15,FIND(")",B15)+2,1)="V","FALSO","VERDADERO"),
C$2&amp;INDIRECT("'Datos "&amp;Tipo_Cuestionario_Cod&amp;"'!"&amp;C$1&amp;7+$A15-1))),"")</f>
        <v/>
      </c>
      <c r="D15" s="60" t="str">
        <f t="shared" ca="1" si="15"/>
        <v/>
      </c>
      <c r="E15" s="60" t="str">
        <f t="shared" ca="1" si="15"/>
        <v/>
      </c>
      <c r="F15" s="60" t="str">
        <f t="shared" ca="1" si="15"/>
        <v/>
      </c>
      <c r="G15" s="60" t="str">
        <f t="shared" ca="1" si="15"/>
        <v/>
      </c>
      <c r="H15" s="60" t="str">
        <f t="shared" ca="1" si="15"/>
        <v/>
      </c>
      <c r="I15" s="60" t="str">
        <f t="shared" ca="1" si="15"/>
        <v/>
      </c>
      <c r="J15" s="60" t="str">
        <f t="shared" ca="1" si="15"/>
        <v/>
      </c>
      <c r="K15" s="60" t="str">
        <f t="shared" ca="1" si="15"/>
        <v/>
      </c>
      <c r="L15" s="60" t="str">
        <f t="shared" ca="1" si="15"/>
        <v/>
      </c>
      <c r="M15" s="60" t="str">
        <f t="shared" ca="1" si="15"/>
        <v/>
      </c>
      <c r="N15" s="60" t="str">
        <f t="shared" ca="1" si="15"/>
        <v/>
      </c>
      <c r="O15" s="60" t="str">
        <f t="shared" ca="1" si="15"/>
        <v/>
      </c>
      <c r="P15" s="60" t="str">
        <f t="shared" ca="1" si="15"/>
        <v/>
      </c>
      <c r="Q15" s="60" t="str">
        <f t="shared" ca="1" si="15"/>
        <v/>
      </c>
      <c r="R15" s="60" t="str">
        <f t="shared" ca="1" si="15"/>
        <v/>
      </c>
      <c r="S15" s="60" t="str">
        <f t="shared" ca="1" si="15"/>
        <v/>
      </c>
      <c r="T15" s="60" t="str">
        <f t="shared" ca="1" si="15"/>
        <v/>
      </c>
      <c r="U15" s="60" t="str">
        <f t="shared" ca="1" si="15"/>
        <v/>
      </c>
      <c r="V15" s="60" t="str">
        <f t="shared" ca="1" si="15"/>
        <v/>
      </c>
      <c r="W15" s="60" t="str">
        <f t="shared" ca="1" si="15"/>
        <v/>
      </c>
      <c r="X15" s="60" t="str">
        <f t="shared" ca="1" si="15"/>
        <v/>
      </c>
      <c r="Y15" s="60" t="str">
        <f t="shared" ca="1" si="15"/>
        <v/>
      </c>
      <c r="Z15" s="60" t="str">
        <f t="shared" ca="1" si="15"/>
        <v/>
      </c>
      <c r="AA15" s="60" t="str">
        <f t="shared" ca="1" si="15"/>
        <v/>
      </c>
    </row>
    <row r="16" spans="1:27" x14ac:dyDescent="0.25">
      <c r="A16" t="str">
        <f t="shared" ca="1" si="3"/>
        <v/>
      </c>
      <c r="B16" t="str">
        <f t="shared" ca="1" si="1"/>
        <v/>
      </c>
      <c r="C16" s="60" t="str">
        <f t="shared" ref="C16:AA16" ca="1" si="16">IFERROR(IF(OR(INDIRECT("'Datos "&amp;Tipo_Cuestionario_Cod&amp;"'!"&amp;C$1&amp;7+$A16-1)="",C$2="",$B16=""),"",
IF(AND(C$1="J",Tipo_Cuestionario_Cod="VF"),C$2&amp;IF(MID(B16,FIND(")",B16)+2,1)="V","FALSO","VERDADERO"),
C$2&amp;INDIRECT("'Datos "&amp;Tipo_Cuestionario_Cod&amp;"'!"&amp;C$1&amp;7+$A16-1))),"")</f>
        <v/>
      </c>
      <c r="D16" s="60" t="str">
        <f t="shared" ca="1" si="16"/>
        <v/>
      </c>
      <c r="E16" s="60" t="str">
        <f t="shared" ca="1" si="16"/>
        <v/>
      </c>
      <c r="F16" s="60" t="str">
        <f t="shared" ca="1" si="16"/>
        <v/>
      </c>
      <c r="G16" s="60" t="str">
        <f t="shared" ca="1" si="16"/>
        <v/>
      </c>
      <c r="H16" s="60" t="str">
        <f t="shared" ca="1" si="16"/>
        <v/>
      </c>
      <c r="I16" s="60" t="str">
        <f t="shared" ca="1" si="16"/>
        <v/>
      </c>
      <c r="J16" s="60" t="str">
        <f t="shared" ca="1" si="16"/>
        <v/>
      </c>
      <c r="K16" s="60" t="str">
        <f t="shared" ca="1" si="16"/>
        <v/>
      </c>
      <c r="L16" s="60" t="str">
        <f t="shared" ca="1" si="16"/>
        <v/>
      </c>
      <c r="M16" s="60" t="str">
        <f t="shared" ca="1" si="16"/>
        <v/>
      </c>
      <c r="N16" s="60" t="str">
        <f t="shared" ca="1" si="16"/>
        <v/>
      </c>
      <c r="O16" s="60" t="str">
        <f t="shared" ca="1" si="16"/>
        <v/>
      </c>
      <c r="P16" s="60" t="str">
        <f t="shared" ca="1" si="16"/>
        <v/>
      </c>
      <c r="Q16" s="60" t="str">
        <f t="shared" ca="1" si="16"/>
        <v/>
      </c>
      <c r="R16" s="60" t="str">
        <f t="shared" ca="1" si="16"/>
        <v/>
      </c>
      <c r="S16" s="60" t="str">
        <f t="shared" ca="1" si="16"/>
        <v/>
      </c>
      <c r="T16" s="60" t="str">
        <f t="shared" ca="1" si="16"/>
        <v/>
      </c>
      <c r="U16" s="60" t="str">
        <f t="shared" ca="1" si="16"/>
        <v/>
      </c>
      <c r="V16" s="60" t="str">
        <f t="shared" ca="1" si="16"/>
        <v/>
      </c>
      <c r="W16" s="60" t="str">
        <f t="shared" ca="1" si="16"/>
        <v/>
      </c>
      <c r="X16" s="60" t="str">
        <f t="shared" ca="1" si="16"/>
        <v/>
      </c>
      <c r="Y16" s="60" t="str">
        <f t="shared" ca="1" si="16"/>
        <v/>
      </c>
      <c r="Z16" s="60" t="str">
        <f t="shared" ca="1" si="16"/>
        <v/>
      </c>
      <c r="AA16" s="60" t="str">
        <f t="shared" ca="1" si="16"/>
        <v/>
      </c>
    </row>
    <row r="17" spans="1:27" x14ac:dyDescent="0.25">
      <c r="A17" t="str">
        <f t="shared" ca="1" si="3"/>
        <v/>
      </c>
      <c r="B17" t="str">
        <f t="shared" ca="1" si="1"/>
        <v/>
      </c>
      <c r="C17" s="60" t="str">
        <f t="shared" ref="C17:AA17" ca="1" si="17">IFERROR(IF(OR(INDIRECT("'Datos "&amp;Tipo_Cuestionario_Cod&amp;"'!"&amp;C$1&amp;7+$A17-1)="",C$2="",$B17=""),"",
IF(AND(C$1="J",Tipo_Cuestionario_Cod="VF"),C$2&amp;IF(MID(B17,FIND(")",B17)+2,1)="V","FALSO","VERDADERO"),
C$2&amp;INDIRECT("'Datos "&amp;Tipo_Cuestionario_Cod&amp;"'!"&amp;C$1&amp;7+$A17-1))),"")</f>
        <v/>
      </c>
      <c r="D17" s="60" t="str">
        <f t="shared" ca="1" si="17"/>
        <v/>
      </c>
      <c r="E17" s="60" t="str">
        <f t="shared" ca="1" si="17"/>
        <v/>
      </c>
      <c r="F17" s="60" t="str">
        <f t="shared" ca="1" si="17"/>
        <v/>
      </c>
      <c r="G17" s="60" t="str">
        <f t="shared" ca="1" si="17"/>
        <v/>
      </c>
      <c r="H17" s="60" t="str">
        <f t="shared" ca="1" si="17"/>
        <v/>
      </c>
      <c r="I17" s="60" t="str">
        <f t="shared" ca="1" si="17"/>
        <v/>
      </c>
      <c r="J17" s="60" t="str">
        <f t="shared" ca="1" si="17"/>
        <v/>
      </c>
      <c r="K17" s="60" t="str">
        <f t="shared" ca="1" si="17"/>
        <v/>
      </c>
      <c r="L17" s="60" t="str">
        <f t="shared" ca="1" si="17"/>
        <v/>
      </c>
      <c r="M17" s="60" t="str">
        <f t="shared" ca="1" si="17"/>
        <v/>
      </c>
      <c r="N17" s="60" t="str">
        <f t="shared" ca="1" si="17"/>
        <v/>
      </c>
      <c r="O17" s="60" t="str">
        <f t="shared" ca="1" si="17"/>
        <v/>
      </c>
      <c r="P17" s="60" t="str">
        <f t="shared" ca="1" si="17"/>
        <v/>
      </c>
      <c r="Q17" s="60" t="str">
        <f t="shared" ca="1" si="17"/>
        <v/>
      </c>
      <c r="R17" s="60" t="str">
        <f t="shared" ca="1" si="17"/>
        <v/>
      </c>
      <c r="S17" s="60" t="str">
        <f t="shared" ca="1" si="17"/>
        <v/>
      </c>
      <c r="T17" s="60" t="str">
        <f t="shared" ca="1" si="17"/>
        <v/>
      </c>
      <c r="U17" s="60" t="str">
        <f t="shared" ca="1" si="17"/>
        <v/>
      </c>
      <c r="V17" s="60" t="str">
        <f t="shared" ca="1" si="17"/>
        <v/>
      </c>
      <c r="W17" s="60" t="str">
        <f t="shared" ca="1" si="17"/>
        <v/>
      </c>
      <c r="X17" s="60" t="str">
        <f t="shared" ca="1" si="17"/>
        <v/>
      </c>
      <c r="Y17" s="60" t="str">
        <f t="shared" ca="1" si="17"/>
        <v/>
      </c>
      <c r="Z17" s="60" t="str">
        <f t="shared" ca="1" si="17"/>
        <v/>
      </c>
      <c r="AA17" s="60" t="str">
        <f t="shared" ca="1" si="17"/>
        <v/>
      </c>
    </row>
    <row r="18" spans="1:27" x14ac:dyDescent="0.25">
      <c r="A18" t="str">
        <f t="shared" ca="1" si="3"/>
        <v/>
      </c>
      <c r="B18" t="str">
        <f t="shared" ca="1" si="1"/>
        <v/>
      </c>
      <c r="C18" s="60" t="str">
        <f t="shared" ref="C18:AA18" ca="1" si="18">IFERROR(IF(OR(INDIRECT("'Datos "&amp;Tipo_Cuestionario_Cod&amp;"'!"&amp;C$1&amp;7+$A18-1)="",C$2="",$B18=""),"",
IF(AND(C$1="J",Tipo_Cuestionario_Cod="VF"),C$2&amp;IF(MID(B18,FIND(")",B18)+2,1)="V","FALSO","VERDADERO"),
C$2&amp;INDIRECT("'Datos "&amp;Tipo_Cuestionario_Cod&amp;"'!"&amp;C$1&amp;7+$A18-1))),"")</f>
        <v/>
      </c>
      <c r="D18" s="60" t="str">
        <f t="shared" ca="1" si="18"/>
        <v/>
      </c>
      <c r="E18" s="60" t="str">
        <f t="shared" ca="1" si="18"/>
        <v/>
      </c>
      <c r="F18" s="60" t="str">
        <f t="shared" ca="1" si="18"/>
        <v/>
      </c>
      <c r="G18" s="60" t="str">
        <f t="shared" ca="1" si="18"/>
        <v/>
      </c>
      <c r="H18" s="60" t="str">
        <f t="shared" ca="1" si="18"/>
        <v/>
      </c>
      <c r="I18" s="60" t="str">
        <f t="shared" ca="1" si="18"/>
        <v/>
      </c>
      <c r="J18" s="60" t="str">
        <f t="shared" ca="1" si="18"/>
        <v/>
      </c>
      <c r="K18" s="60" t="str">
        <f t="shared" ca="1" si="18"/>
        <v/>
      </c>
      <c r="L18" s="60" t="str">
        <f t="shared" ca="1" si="18"/>
        <v/>
      </c>
      <c r="M18" s="60" t="str">
        <f t="shared" ca="1" si="18"/>
        <v/>
      </c>
      <c r="N18" s="60" t="str">
        <f t="shared" ca="1" si="18"/>
        <v/>
      </c>
      <c r="O18" s="60" t="str">
        <f t="shared" ca="1" si="18"/>
        <v/>
      </c>
      <c r="P18" s="60" t="str">
        <f t="shared" ca="1" si="18"/>
        <v/>
      </c>
      <c r="Q18" s="60" t="str">
        <f t="shared" ca="1" si="18"/>
        <v/>
      </c>
      <c r="R18" s="60" t="str">
        <f t="shared" ca="1" si="18"/>
        <v/>
      </c>
      <c r="S18" s="60" t="str">
        <f t="shared" ca="1" si="18"/>
        <v/>
      </c>
      <c r="T18" s="60" t="str">
        <f t="shared" ca="1" si="18"/>
        <v/>
      </c>
      <c r="U18" s="60" t="str">
        <f t="shared" ca="1" si="18"/>
        <v/>
      </c>
      <c r="V18" s="60" t="str">
        <f t="shared" ca="1" si="18"/>
        <v/>
      </c>
      <c r="W18" s="60" t="str">
        <f t="shared" ca="1" si="18"/>
        <v/>
      </c>
      <c r="X18" s="60" t="str">
        <f t="shared" ca="1" si="18"/>
        <v/>
      </c>
      <c r="Y18" s="60" t="str">
        <f t="shared" ca="1" si="18"/>
        <v/>
      </c>
      <c r="Z18" s="60" t="str">
        <f t="shared" ca="1" si="18"/>
        <v/>
      </c>
      <c r="AA18" s="60" t="str">
        <f t="shared" ca="1" si="18"/>
        <v/>
      </c>
    </row>
    <row r="19" spans="1:27" x14ac:dyDescent="0.25">
      <c r="A19" t="str">
        <f t="shared" ca="1" si="3"/>
        <v/>
      </c>
      <c r="B19" t="str">
        <f t="shared" ca="1" si="1"/>
        <v/>
      </c>
      <c r="C19" s="60" t="str">
        <f t="shared" ref="C19:AA19" ca="1" si="19">IFERROR(IF(OR(INDIRECT("'Datos "&amp;Tipo_Cuestionario_Cod&amp;"'!"&amp;C$1&amp;7+$A19-1)="",C$2="",$B19=""),"",
IF(AND(C$1="J",Tipo_Cuestionario_Cod="VF"),C$2&amp;IF(MID(B19,FIND(")",B19)+2,1)="V","FALSO","VERDADERO"),
C$2&amp;INDIRECT("'Datos "&amp;Tipo_Cuestionario_Cod&amp;"'!"&amp;C$1&amp;7+$A19-1))),"")</f>
        <v/>
      </c>
      <c r="D19" s="60" t="str">
        <f t="shared" ca="1" si="19"/>
        <v/>
      </c>
      <c r="E19" s="60" t="str">
        <f t="shared" ca="1" si="19"/>
        <v/>
      </c>
      <c r="F19" s="60" t="str">
        <f t="shared" ca="1" si="19"/>
        <v/>
      </c>
      <c r="G19" s="60" t="str">
        <f t="shared" ca="1" si="19"/>
        <v/>
      </c>
      <c r="H19" s="60" t="str">
        <f t="shared" ca="1" si="19"/>
        <v/>
      </c>
      <c r="I19" s="60" t="str">
        <f t="shared" ca="1" si="19"/>
        <v/>
      </c>
      <c r="J19" s="60" t="str">
        <f t="shared" ca="1" si="19"/>
        <v/>
      </c>
      <c r="K19" s="60" t="str">
        <f t="shared" ca="1" si="19"/>
        <v/>
      </c>
      <c r="L19" s="60" t="str">
        <f t="shared" ca="1" si="19"/>
        <v/>
      </c>
      <c r="M19" s="60" t="str">
        <f t="shared" ca="1" si="19"/>
        <v/>
      </c>
      <c r="N19" s="60" t="str">
        <f t="shared" ca="1" si="19"/>
        <v/>
      </c>
      <c r="O19" s="60" t="str">
        <f t="shared" ca="1" si="19"/>
        <v/>
      </c>
      <c r="P19" s="60" t="str">
        <f t="shared" ca="1" si="19"/>
        <v/>
      </c>
      <c r="Q19" s="60" t="str">
        <f t="shared" ca="1" si="19"/>
        <v/>
      </c>
      <c r="R19" s="60" t="str">
        <f t="shared" ca="1" si="19"/>
        <v/>
      </c>
      <c r="S19" s="60" t="str">
        <f t="shared" ca="1" si="19"/>
        <v/>
      </c>
      <c r="T19" s="60" t="str">
        <f t="shared" ca="1" si="19"/>
        <v/>
      </c>
      <c r="U19" s="60" t="str">
        <f t="shared" ca="1" si="19"/>
        <v/>
      </c>
      <c r="V19" s="60" t="str">
        <f t="shared" ca="1" si="19"/>
        <v/>
      </c>
      <c r="W19" s="60" t="str">
        <f t="shared" ca="1" si="19"/>
        <v/>
      </c>
      <c r="X19" s="60" t="str">
        <f t="shared" ca="1" si="19"/>
        <v/>
      </c>
      <c r="Y19" s="60" t="str">
        <f t="shared" ca="1" si="19"/>
        <v/>
      </c>
      <c r="Z19" s="60" t="str">
        <f t="shared" ca="1" si="19"/>
        <v/>
      </c>
      <c r="AA19" s="60" t="str">
        <f t="shared" ca="1" si="19"/>
        <v/>
      </c>
    </row>
    <row r="20" spans="1:27" x14ac:dyDescent="0.25">
      <c r="A20" t="str">
        <f t="shared" ca="1" si="3"/>
        <v/>
      </c>
      <c r="B20" t="str">
        <f t="shared" ca="1" si="1"/>
        <v/>
      </c>
      <c r="C20" s="60" t="str">
        <f t="shared" ref="C20:AA20" ca="1" si="20">IFERROR(IF(OR(INDIRECT("'Datos "&amp;Tipo_Cuestionario_Cod&amp;"'!"&amp;C$1&amp;7+$A20-1)="",C$2="",$B20=""),"",
IF(AND(C$1="J",Tipo_Cuestionario_Cod="VF"),C$2&amp;IF(MID(B20,FIND(")",B20)+2,1)="V","FALSO","VERDADERO"),
C$2&amp;INDIRECT("'Datos "&amp;Tipo_Cuestionario_Cod&amp;"'!"&amp;C$1&amp;7+$A20-1))),"")</f>
        <v/>
      </c>
      <c r="D20" s="60" t="str">
        <f t="shared" ca="1" si="20"/>
        <v/>
      </c>
      <c r="E20" s="60" t="str">
        <f t="shared" ca="1" si="20"/>
        <v/>
      </c>
      <c r="F20" s="60" t="str">
        <f t="shared" ca="1" si="20"/>
        <v/>
      </c>
      <c r="G20" s="60" t="str">
        <f t="shared" ca="1" si="20"/>
        <v/>
      </c>
      <c r="H20" s="60" t="str">
        <f t="shared" ca="1" si="20"/>
        <v/>
      </c>
      <c r="I20" s="60" t="str">
        <f t="shared" ca="1" si="20"/>
        <v/>
      </c>
      <c r="J20" s="60" t="str">
        <f t="shared" ca="1" si="20"/>
        <v/>
      </c>
      <c r="K20" s="60" t="str">
        <f t="shared" ca="1" si="20"/>
        <v/>
      </c>
      <c r="L20" s="60" t="str">
        <f t="shared" ca="1" si="20"/>
        <v/>
      </c>
      <c r="M20" s="60" t="str">
        <f t="shared" ca="1" si="20"/>
        <v/>
      </c>
      <c r="N20" s="60" t="str">
        <f t="shared" ca="1" si="20"/>
        <v/>
      </c>
      <c r="O20" s="60" t="str">
        <f t="shared" ca="1" si="20"/>
        <v/>
      </c>
      <c r="P20" s="60" t="str">
        <f t="shared" ca="1" si="20"/>
        <v/>
      </c>
      <c r="Q20" s="60" t="str">
        <f t="shared" ca="1" si="20"/>
        <v/>
      </c>
      <c r="R20" s="60" t="str">
        <f t="shared" ca="1" si="20"/>
        <v/>
      </c>
      <c r="S20" s="60" t="str">
        <f t="shared" ca="1" si="20"/>
        <v/>
      </c>
      <c r="T20" s="60" t="str">
        <f t="shared" ca="1" si="20"/>
        <v/>
      </c>
      <c r="U20" s="60" t="str">
        <f t="shared" ca="1" si="20"/>
        <v/>
      </c>
      <c r="V20" s="60" t="str">
        <f t="shared" ca="1" si="20"/>
        <v/>
      </c>
      <c r="W20" s="60" t="str">
        <f t="shared" ca="1" si="20"/>
        <v/>
      </c>
      <c r="X20" s="60" t="str">
        <f t="shared" ca="1" si="20"/>
        <v/>
      </c>
      <c r="Y20" s="60" t="str">
        <f t="shared" ca="1" si="20"/>
        <v/>
      </c>
      <c r="Z20" s="60" t="str">
        <f t="shared" ca="1" si="20"/>
        <v/>
      </c>
      <c r="AA20" s="60" t="str">
        <f t="shared" ca="1" si="20"/>
        <v/>
      </c>
    </row>
    <row r="21" spans="1:27" x14ac:dyDescent="0.25">
      <c r="A21" t="str">
        <f t="shared" ca="1" si="3"/>
        <v/>
      </c>
      <c r="B21" t="str">
        <f t="shared" ca="1" si="1"/>
        <v/>
      </c>
      <c r="C21" s="60" t="str">
        <f t="shared" ref="C21:AA21" ca="1" si="21">IFERROR(IF(OR(INDIRECT("'Datos "&amp;Tipo_Cuestionario_Cod&amp;"'!"&amp;C$1&amp;7+$A21-1)="",C$2="",$B21=""),"",
IF(AND(C$1="J",Tipo_Cuestionario_Cod="VF"),C$2&amp;IF(MID(B21,FIND(")",B21)+2,1)="V","FALSO","VERDADERO"),
C$2&amp;INDIRECT("'Datos "&amp;Tipo_Cuestionario_Cod&amp;"'!"&amp;C$1&amp;7+$A21-1))),"")</f>
        <v/>
      </c>
      <c r="D21" s="60" t="str">
        <f t="shared" ca="1" si="21"/>
        <v/>
      </c>
      <c r="E21" s="60" t="str">
        <f t="shared" ca="1" si="21"/>
        <v/>
      </c>
      <c r="F21" s="60" t="str">
        <f t="shared" ca="1" si="21"/>
        <v/>
      </c>
      <c r="G21" s="60" t="str">
        <f t="shared" ca="1" si="21"/>
        <v/>
      </c>
      <c r="H21" s="60" t="str">
        <f t="shared" ca="1" si="21"/>
        <v/>
      </c>
      <c r="I21" s="60" t="str">
        <f t="shared" ca="1" si="21"/>
        <v/>
      </c>
      <c r="J21" s="60" t="str">
        <f t="shared" ca="1" si="21"/>
        <v/>
      </c>
      <c r="K21" s="60" t="str">
        <f t="shared" ca="1" si="21"/>
        <v/>
      </c>
      <c r="L21" s="60" t="str">
        <f t="shared" ca="1" si="21"/>
        <v/>
      </c>
      <c r="M21" s="60" t="str">
        <f t="shared" ca="1" si="21"/>
        <v/>
      </c>
      <c r="N21" s="60" t="str">
        <f t="shared" ca="1" si="21"/>
        <v/>
      </c>
      <c r="O21" s="60" t="str">
        <f t="shared" ca="1" si="21"/>
        <v/>
      </c>
      <c r="P21" s="60" t="str">
        <f t="shared" ca="1" si="21"/>
        <v/>
      </c>
      <c r="Q21" s="60" t="str">
        <f t="shared" ca="1" si="21"/>
        <v/>
      </c>
      <c r="R21" s="60" t="str">
        <f t="shared" ca="1" si="21"/>
        <v/>
      </c>
      <c r="S21" s="60" t="str">
        <f t="shared" ca="1" si="21"/>
        <v/>
      </c>
      <c r="T21" s="60" t="str">
        <f t="shared" ca="1" si="21"/>
        <v/>
      </c>
      <c r="U21" s="60" t="str">
        <f t="shared" ca="1" si="21"/>
        <v/>
      </c>
      <c r="V21" s="60" t="str">
        <f t="shared" ca="1" si="21"/>
        <v/>
      </c>
      <c r="W21" s="60" t="str">
        <f t="shared" ca="1" si="21"/>
        <v/>
      </c>
      <c r="X21" s="60" t="str">
        <f t="shared" ca="1" si="21"/>
        <v/>
      </c>
      <c r="Y21" s="60" t="str">
        <f t="shared" ca="1" si="21"/>
        <v/>
      </c>
      <c r="Z21" s="60" t="str">
        <f t="shared" ca="1" si="21"/>
        <v/>
      </c>
      <c r="AA21" s="60" t="str">
        <f t="shared" ca="1" si="21"/>
        <v/>
      </c>
    </row>
    <row r="22" spans="1:27" x14ac:dyDescent="0.25">
      <c r="A22" t="str">
        <f t="shared" ca="1" si="3"/>
        <v/>
      </c>
      <c r="B22" t="str">
        <f t="shared" ca="1" si="1"/>
        <v/>
      </c>
      <c r="C22" s="60" t="str">
        <f t="shared" ref="C22:AA22" ca="1" si="22">IFERROR(IF(OR(INDIRECT("'Datos "&amp;Tipo_Cuestionario_Cod&amp;"'!"&amp;C$1&amp;7+$A22-1)="",C$2="",$B22=""),"",
IF(AND(C$1="J",Tipo_Cuestionario_Cod="VF"),C$2&amp;IF(MID(B22,FIND(")",B22)+2,1)="V","FALSO","VERDADERO"),
C$2&amp;INDIRECT("'Datos "&amp;Tipo_Cuestionario_Cod&amp;"'!"&amp;C$1&amp;7+$A22-1))),"")</f>
        <v/>
      </c>
      <c r="D22" s="60" t="str">
        <f t="shared" ca="1" si="22"/>
        <v/>
      </c>
      <c r="E22" s="60" t="str">
        <f t="shared" ca="1" si="22"/>
        <v/>
      </c>
      <c r="F22" s="60" t="str">
        <f t="shared" ca="1" si="22"/>
        <v/>
      </c>
      <c r="G22" s="60" t="str">
        <f t="shared" ca="1" si="22"/>
        <v/>
      </c>
      <c r="H22" s="60" t="str">
        <f t="shared" ca="1" si="22"/>
        <v/>
      </c>
      <c r="I22" s="60" t="str">
        <f t="shared" ca="1" si="22"/>
        <v/>
      </c>
      <c r="J22" s="60" t="str">
        <f t="shared" ca="1" si="22"/>
        <v/>
      </c>
      <c r="K22" s="60" t="str">
        <f t="shared" ca="1" si="22"/>
        <v/>
      </c>
      <c r="L22" s="60" t="str">
        <f t="shared" ca="1" si="22"/>
        <v/>
      </c>
      <c r="M22" s="60" t="str">
        <f t="shared" ca="1" si="22"/>
        <v/>
      </c>
      <c r="N22" s="60" t="str">
        <f t="shared" ca="1" si="22"/>
        <v/>
      </c>
      <c r="O22" s="60" t="str">
        <f t="shared" ca="1" si="22"/>
        <v/>
      </c>
      <c r="P22" s="60" t="str">
        <f t="shared" ca="1" si="22"/>
        <v/>
      </c>
      <c r="Q22" s="60" t="str">
        <f t="shared" ca="1" si="22"/>
        <v/>
      </c>
      <c r="R22" s="60" t="str">
        <f t="shared" ca="1" si="22"/>
        <v/>
      </c>
      <c r="S22" s="60" t="str">
        <f t="shared" ca="1" si="22"/>
        <v/>
      </c>
      <c r="T22" s="60" t="str">
        <f t="shared" ca="1" si="22"/>
        <v/>
      </c>
      <c r="U22" s="60" t="str">
        <f t="shared" ca="1" si="22"/>
        <v/>
      </c>
      <c r="V22" s="60" t="str">
        <f t="shared" ca="1" si="22"/>
        <v/>
      </c>
      <c r="W22" s="60" t="str">
        <f t="shared" ca="1" si="22"/>
        <v/>
      </c>
      <c r="X22" s="60" t="str">
        <f t="shared" ca="1" si="22"/>
        <v/>
      </c>
      <c r="Y22" s="60" t="str">
        <f t="shared" ca="1" si="22"/>
        <v/>
      </c>
      <c r="Z22" s="60" t="str">
        <f t="shared" ca="1" si="22"/>
        <v/>
      </c>
      <c r="AA22" s="60" t="str">
        <f t="shared" ca="1" si="22"/>
        <v/>
      </c>
    </row>
    <row r="23" spans="1:27" x14ac:dyDescent="0.25">
      <c r="A23" t="str">
        <f t="shared" ca="1" si="3"/>
        <v/>
      </c>
      <c r="B23" t="str">
        <f t="shared" ca="1" si="1"/>
        <v/>
      </c>
      <c r="C23" s="60" t="str">
        <f t="shared" ref="C23:AA23" ca="1" si="23">IFERROR(IF(OR(INDIRECT("'Datos "&amp;Tipo_Cuestionario_Cod&amp;"'!"&amp;C$1&amp;7+$A23-1)="",C$2="",$B23=""),"",
IF(AND(C$1="J",Tipo_Cuestionario_Cod="VF"),C$2&amp;IF(MID(B23,FIND(")",B23)+2,1)="V","FALSO","VERDADERO"),
C$2&amp;INDIRECT("'Datos "&amp;Tipo_Cuestionario_Cod&amp;"'!"&amp;C$1&amp;7+$A23-1))),"")</f>
        <v/>
      </c>
      <c r="D23" s="60" t="str">
        <f t="shared" ca="1" si="23"/>
        <v/>
      </c>
      <c r="E23" s="60" t="str">
        <f t="shared" ca="1" si="23"/>
        <v/>
      </c>
      <c r="F23" s="60" t="str">
        <f t="shared" ca="1" si="23"/>
        <v/>
      </c>
      <c r="G23" s="60" t="str">
        <f t="shared" ca="1" si="23"/>
        <v/>
      </c>
      <c r="H23" s="60" t="str">
        <f t="shared" ca="1" si="23"/>
        <v/>
      </c>
      <c r="I23" s="60" t="str">
        <f t="shared" ca="1" si="23"/>
        <v/>
      </c>
      <c r="J23" s="60" t="str">
        <f t="shared" ca="1" si="23"/>
        <v/>
      </c>
      <c r="K23" s="60" t="str">
        <f t="shared" ca="1" si="23"/>
        <v/>
      </c>
      <c r="L23" s="60" t="str">
        <f t="shared" ca="1" si="23"/>
        <v/>
      </c>
      <c r="M23" s="60" t="str">
        <f t="shared" ca="1" si="23"/>
        <v/>
      </c>
      <c r="N23" s="60" t="str">
        <f t="shared" ca="1" si="23"/>
        <v/>
      </c>
      <c r="O23" s="60" t="str">
        <f t="shared" ca="1" si="23"/>
        <v/>
      </c>
      <c r="P23" s="60" t="str">
        <f t="shared" ca="1" si="23"/>
        <v/>
      </c>
      <c r="Q23" s="60" t="str">
        <f t="shared" ca="1" si="23"/>
        <v/>
      </c>
      <c r="R23" s="60" t="str">
        <f t="shared" ca="1" si="23"/>
        <v/>
      </c>
      <c r="S23" s="60" t="str">
        <f t="shared" ca="1" si="23"/>
        <v/>
      </c>
      <c r="T23" s="60" t="str">
        <f t="shared" ca="1" si="23"/>
        <v/>
      </c>
      <c r="U23" s="60" t="str">
        <f t="shared" ca="1" si="23"/>
        <v/>
      </c>
      <c r="V23" s="60" t="str">
        <f t="shared" ca="1" si="23"/>
        <v/>
      </c>
      <c r="W23" s="60" t="str">
        <f t="shared" ca="1" si="23"/>
        <v/>
      </c>
      <c r="X23" s="60" t="str">
        <f t="shared" ca="1" si="23"/>
        <v/>
      </c>
      <c r="Y23" s="60" t="str">
        <f t="shared" ca="1" si="23"/>
        <v/>
      </c>
      <c r="Z23" s="60" t="str">
        <f t="shared" ca="1" si="23"/>
        <v/>
      </c>
      <c r="AA23" s="60" t="str">
        <f t="shared" ca="1" si="23"/>
        <v/>
      </c>
    </row>
    <row r="24" spans="1:27" x14ac:dyDescent="0.25">
      <c r="A24" t="str">
        <f t="shared" ca="1" si="3"/>
        <v/>
      </c>
      <c r="B24" t="str">
        <f t="shared" ca="1" si="1"/>
        <v/>
      </c>
      <c r="C24" s="60" t="str">
        <f t="shared" ref="C24:AA24" ca="1" si="24">IFERROR(IF(OR(INDIRECT("'Datos "&amp;Tipo_Cuestionario_Cod&amp;"'!"&amp;C$1&amp;7+$A24-1)="",C$2="",$B24=""),"",
IF(AND(C$1="J",Tipo_Cuestionario_Cod="VF"),C$2&amp;IF(MID(B24,FIND(")",B24)+2,1)="V","FALSO","VERDADERO"),
C$2&amp;INDIRECT("'Datos "&amp;Tipo_Cuestionario_Cod&amp;"'!"&amp;C$1&amp;7+$A24-1))),"")</f>
        <v/>
      </c>
      <c r="D24" s="60" t="str">
        <f t="shared" ca="1" si="24"/>
        <v/>
      </c>
      <c r="E24" s="60" t="str">
        <f t="shared" ca="1" si="24"/>
        <v/>
      </c>
      <c r="F24" s="60" t="str">
        <f t="shared" ca="1" si="24"/>
        <v/>
      </c>
      <c r="G24" s="60" t="str">
        <f t="shared" ca="1" si="24"/>
        <v/>
      </c>
      <c r="H24" s="60" t="str">
        <f t="shared" ca="1" si="24"/>
        <v/>
      </c>
      <c r="I24" s="60" t="str">
        <f t="shared" ca="1" si="24"/>
        <v/>
      </c>
      <c r="J24" s="60" t="str">
        <f t="shared" ca="1" si="24"/>
        <v/>
      </c>
      <c r="K24" s="60" t="str">
        <f t="shared" ca="1" si="24"/>
        <v/>
      </c>
      <c r="L24" s="60" t="str">
        <f t="shared" ca="1" si="24"/>
        <v/>
      </c>
      <c r="M24" s="60" t="str">
        <f t="shared" ca="1" si="24"/>
        <v/>
      </c>
      <c r="N24" s="60" t="str">
        <f t="shared" ca="1" si="24"/>
        <v/>
      </c>
      <c r="O24" s="60" t="str">
        <f t="shared" ca="1" si="24"/>
        <v/>
      </c>
      <c r="P24" s="60" t="str">
        <f t="shared" ca="1" si="24"/>
        <v/>
      </c>
      <c r="Q24" s="60" t="str">
        <f t="shared" ca="1" si="24"/>
        <v/>
      </c>
      <c r="R24" s="60" t="str">
        <f t="shared" ca="1" si="24"/>
        <v/>
      </c>
      <c r="S24" s="60" t="str">
        <f t="shared" ca="1" si="24"/>
        <v/>
      </c>
      <c r="T24" s="60" t="str">
        <f t="shared" ca="1" si="24"/>
        <v/>
      </c>
      <c r="U24" s="60" t="str">
        <f t="shared" ca="1" si="24"/>
        <v/>
      </c>
      <c r="V24" s="60" t="str">
        <f t="shared" ca="1" si="24"/>
        <v/>
      </c>
      <c r="W24" s="60" t="str">
        <f t="shared" ca="1" si="24"/>
        <v/>
      </c>
      <c r="X24" s="60" t="str">
        <f t="shared" ca="1" si="24"/>
        <v/>
      </c>
      <c r="Y24" s="60" t="str">
        <f t="shared" ca="1" si="24"/>
        <v/>
      </c>
      <c r="Z24" s="60" t="str">
        <f t="shared" ca="1" si="24"/>
        <v/>
      </c>
      <c r="AA24" s="60" t="str">
        <f t="shared" ca="1" si="24"/>
        <v/>
      </c>
    </row>
    <row r="25" spans="1:27" x14ac:dyDescent="0.25">
      <c r="A25" t="str">
        <f t="shared" ca="1" si="3"/>
        <v/>
      </c>
      <c r="B25" t="str">
        <f t="shared" ca="1" si="1"/>
        <v/>
      </c>
      <c r="C25" s="60" t="str">
        <f t="shared" ref="C25:AA25" ca="1" si="25">IFERROR(IF(OR(INDIRECT("'Datos "&amp;Tipo_Cuestionario_Cod&amp;"'!"&amp;C$1&amp;7+$A25-1)="",C$2="",$B25=""),"",
IF(AND(C$1="J",Tipo_Cuestionario_Cod="VF"),C$2&amp;IF(MID(B25,FIND(")",B25)+2,1)="V","FALSO","VERDADERO"),
C$2&amp;INDIRECT("'Datos "&amp;Tipo_Cuestionario_Cod&amp;"'!"&amp;C$1&amp;7+$A25-1))),"")</f>
        <v/>
      </c>
      <c r="D25" s="60" t="str">
        <f t="shared" ca="1" si="25"/>
        <v/>
      </c>
      <c r="E25" s="60" t="str">
        <f t="shared" ca="1" si="25"/>
        <v/>
      </c>
      <c r="F25" s="60" t="str">
        <f t="shared" ca="1" si="25"/>
        <v/>
      </c>
      <c r="G25" s="60" t="str">
        <f t="shared" ca="1" si="25"/>
        <v/>
      </c>
      <c r="H25" s="60" t="str">
        <f t="shared" ca="1" si="25"/>
        <v/>
      </c>
      <c r="I25" s="60" t="str">
        <f t="shared" ca="1" si="25"/>
        <v/>
      </c>
      <c r="J25" s="60" t="str">
        <f t="shared" ca="1" si="25"/>
        <v/>
      </c>
      <c r="K25" s="60" t="str">
        <f t="shared" ca="1" si="25"/>
        <v/>
      </c>
      <c r="L25" s="60" t="str">
        <f t="shared" ca="1" si="25"/>
        <v/>
      </c>
      <c r="M25" s="60" t="str">
        <f t="shared" ca="1" si="25"/>
        <v/>
      </c>
      <c r="N25" s="60" t="str">
        <f t="shared" ca="1" si="25"/>
        <v/>
      </c>
      <c r="O25" s="60" t="str">
        <f t="shared" ca="1" si="25"/>
        <v/>
      </c>
      <c r="P25" s="60" t="str">
        <f t="shared" ca="1" si="25"/>
        <v/>
      </c>
      <c r="Q25" s="60" t="str">
        <f t="shared" ca="1" si="25"/>
        <v/>
      </c>
      <c r="R25" s="60" t="str">
        <f t="shared" ca="1" si="25"/>
        <v/>
      </c>
      <c r="S25" s="60" t="str">
        <f t="shared" ca="1" si="25"/>
        <v/>
      </c>
      <c r="T25" s="60" t="str">
        <f t="shared" ca="1" si="25"/>
        <v/>
      </c>
      <c r="U25" s="60" t="str">
        <f t="shared" ca="1" si="25"/>
        <v/>
      </c>
      <c r="V25" s="60" t="str">
        <f t="shared" ca="1" si="25"/>
        <v/>
      </c>
      <c r="W25" s="60" t="str">
        <f t="shared" ca="1" si="25"/>
        <v/>
      </c>
      <c r="X25" s="60" t="str">
        <f t="shared" ca="1" si="25"/>
        <v/>
      </c>
      <c r="Y25" s="60" t="str">
        <f t="shared" ca="1" si="25"/>
        <v/>
      </c>
      <c r="Z25" s="60" t="str">
        <f t="shared" ca="1" si="25"/>
        <v/>
      </c>
      <c r="AA25" s="60" t="str">
        <f t="shared" ca="1" si="25"/>
        <v/>
      </c>
    </row>
    <row r="26" spans="1:27" x14ac:dyDescent="0.25">
      <c r="A26" t="str">
        <f t="shared" ca="1" si="3"/>
        <v/>
      </c>
      <c r="B26" t="str">
        <f t="shared" ca="1" si="1"/>
        <v/>
      </c>
      <c r="C26" s="60" t="str">
        <f t="shared" ref="C26:AA26" ca="1" si="26">IFERROR(IF(OR(INDIRECT("'Datos "&amp;Tipo_Cuestionario_Cod&amp;"'!"&amp;C$1&amp;7+$A26-1)="",C$2="",$B26=""),"",
IF(AND(C$1="J",Tipo_Cuestionario_Cod="VF"),C$2&amp;IF(MID(B26,FIND(")",B26)+2,1)="V","FALSO","VERDADERO"),
C$2&amp;INDIRECT("'Datos "&amp;Tipo_Cuestionario_Cod&amp;"'!"&amp;C$1&amp;7+$A26-1))),"")</f>
        <v/>
      </c>
      <c r="D26" s="60" t="str">
        <f t="shared" ca="1" si="26"/>
        <v/>
      </c>
      <c r="E26" s="60" t="str">
        <f t="shared" ca="1" si="26"/>
        <v/>
      </c>
      <c r="F26" s="60" t="str">
        <f t="shared" ca="1" si="26"/>
        <v/>
      </c>
      <c r="G26" s="60" t="str">
        <f t="shared" ca="1" si="26"/>
        <v/>
      </c>
      <c r="H26" s="60" t="str">
        <f t="shared" ca="1" si="26"/>
        <v/>
      </c>
      <c r="I26" s="60" t="str">
        <f t="shared" ca="1" si="26"/>
        <v/>
      </c>
      <c r="J26" s="60" t="str">
        <f t="shared" ca="1" si="26"/>
        <v/>
      </c>
      <c r="K26" s="60" t="str">
        <f t="shared" ca="1" si="26"/>
        <v/>
      </c>
      <c r="L26" s="60" t="str">
        <f t="shared" ca="1" si="26"/>
        <v/>
      </c>
      <c r="M26" s="60" t="str">
        <f t="shared" ca="1" si="26"/>
        <v/>
      </c>
      <c r="N26" s="60" t="str">
        <f t="shared" ca="1" si="26"/>
        <v/>
      </c>
      <c r="O26" s="60" t="str">
        <f t="shared" ca="1" si="26"/>
        <v/>
      </c>
      <c r="P26" s="60" t="str">
        <f t="shared" ca="1" si="26"/>
        <v/>
      </c>
      <c r="Q26" s="60" t="str">
        <f t="shared" ca="1" si="26"/>
        <v/>
      </c>
      <c r="R26" s="60" t="str">
        <f t="shared" ca="1" si="26"/>
        <v/>
      </c>
      <c r="S26" s="60" t="str">
        <f t="shared" ca="1" si="26"/>
        <v/>
      </c>
      <c r="T26" s="60" t="str">
        <f t="shared" ca="1" si="26"/>
        <v/>
      </c>
      <c r="U26" s="60" t="str">
        <f t="shared" ca="1" si="26"/>
        <v/>
      </c>
      <c r="V26" s="60" t="str">
        <f t="shared" ca="1" si="26"/>
        <v/>
      </c>
      <c r="W26" s="60" t="str">
        <f t="shared" ca="1" si="26"/>
        <v/>
      </c>
      <c r="X26" s="60" t="str">
        <f t="shared" ca="1" si="26"/>
        <v/>
      </c>
      <c r="Y26" s="60" t="str">
        <f t="shared" ca="1" si="26"/>
        <v/>
      </c>
      <c r="Z26" s="60" t="str">
        <f t="shared" ca="1" si="26"/>
        <v/>
      </c>
      <c r="AA26" s="60" t="str">
        <f t="shared" ca="1" si="26"/>
        <v/>
      </c>
    </row>
    <row r="27" spans="1:27" x14ac:dyDescent="0.25">
      <c r="A27" t="str">
        <f t="shared" ca="1" si="3"/>
        <v/>
      </c>
      <c r="B27" t="str">
        <f t="shared" ca="1" si="1"/>
        <v/>
      </c>
      <c r="C27" s="60" t="str">
        <f t="shared" ref="C27:AA27" ca="1" si="27">IFERROR(IF(OR(INDIRECT("'Datos "&amp;Tipo_Cuestionario_Cod&amp;"'!"&amp;C$1&amp;7+$A27-1)="",C$2="",$B27=""),"",
IF(AND(C$1="J",Tipo_Cuestionario_Cod="VF"),C$2&amp;IF(MID(B27,FIND(")",B27)+2,1)="V","FALSO","VERDADERO"),
C$2&amp;INDIRECT("'Datos "&amp;Tipo_Cuestionario_Cod&amp;"'!"&amp;C$1&amp;7+$A27-1))),"")</f>
        <v/>
      </c>
      <c r="D27" s="60" t="str">
        <f t="shared" ca="1" si="27"/>
        <v/>
      </c>
      <c r="E27" s="60" t="str">
        <f t="shared" ca="1" si="27"/>
        <v/>
      </c>
      <c r="F27" s="60" t="str">
        <f t="shared" ca="1" si="27"/>
        <v/>
      </c>
      <c r="G27" s="60" t="str">
        <f t="shared" ca="1" si="27"/>
        <v/>
      </c>
      <c r="H27" s="60" t="str">
        <f t="shared" ca="1" si="27"/>
        <v/>
      </c>
      <c r="I27" s="60" t="str">
        <f t="shared" ca="1" si="27"/>
        <v/>
      </c>
      <c r="J27" s="60" t="str">
        <f t="shared" ca="1" si="27"/>
        <v/>
      </c>
      <c r="K27" s="60" t="str">
        <f t="shared" ca="1" si="27"/>
        <v/>
      </c>
      <c r="L27" s="60" t="str">
        <f t="shared" ca="1" si="27"/>
        <v/>
      </c>
      <c r="M27" s="60" t="str">
        <f t="shared" ca="1" si="27"/>
        <v/>
      </c>
      <c r="N27" s="60" t="str">
        <f t="shared" ca="1" si="27"/>
        <v/>
      </c>
      <c r="O27" s="60" t="str">
        <f t="shared" ca="1" si="27"/>
        <v/>
      </c>
      <c r="P27" s="60" t="str">
        <f t="shared" ca="1" si="27"/>
        <v/>
      </c>
      <c r="Q27" s="60" t="str">
        <f t="shared" ca="1" si="27"/>
        <v/>
      </c>
      <c r="R27" s="60" t="str">
        <f t="shared" ca="1" si="27"/>
        <v/>
      </c>
      <c r="S27" s="60" t="str">
        <f t="shared" ca="1" si="27"/>
        <v/>
      </c>
      <c r="T27" s="60" t="str">
        <f t="shared" ca="1" si="27"/>
        <v/>
      </c>
      <c r="U27" s="60" t="str">
        <f t="shared" ca="1" si="27"/>
        <v/>
      </c>
      <c r="V27" s="60" t="str">
        <f t="shared" ca="1" si="27"/>
        <v/>
      </c>
      <c r="W27" s="60" t="str">
        <f t="shared" ca="1" si="27"/>
        <v/>
      </c>
      <c r="X27" s="60" t="str">
        <f t="shared" ca="1" si="27"/>
        <v/>
      </c>
      <c r="Y27" s="60" t="str">
        <f t="shared" ca="1" si="27"/>
        <v/>
      </c>
      <c r="Z27" s="60" t="str">
        <f t="shared" ca="1" si="27"/>
        <v/>
      </c>
      <c r="AA27" s="60" t="str">
        <f t="shared" ca="1" si="27"/>
        <v/>
      </c>
    </row>
    <row r="28" spans="1:27" x14ac:dyDescent="0.25">
      <c r="A28" t="str">
        <f t="shared" ca="1" si="3"/>
        <v/>
      </c>
      <c r="B28" t="str">
        <f t="shared" ca="1" si="1"/>
        <v/>
      </c>
      <c r="C28" s="60" t="str">
        <f t="shared" ref="C28:AA28" ca="1" si="28">IFERROR(IF(OR(INDIRECT("'Datos "&amp;Tipo_Cuestionario_Cod&amp;"'!"&amp;C$1&amp;7+$A28-1)="",C$2="",$B28=""),"",
IF(AND(C$1="J",Tipo_Cuestionario_Cod="VF"),C$2&amp;IF(MID(B28,FIND(")",B28)+2,1)="V","FALSO","VERDADERO"),
C$2&amp;INDIRECT("'Datos "&amp;Tipo_Cuestionario_Cod&amp;"'!"&amp;C$1&amp;7+$A28-1))),"")</f>
        <v/>
      </c>
      <c r="D28" s="60" t="str">
        <f t="shared" ca="1" si="28"/>
        <v/>
      </c>
      <c r="E28" s="60" t="str">
        <f t="shared" ca="1" si="28"/>
        <v/>
      </c>
      <c r="F28" s="60" t="str">
        <f t="shared" ca="1" si="28"/>
        <v/>
      </c>
      <c r="G28" s="60" t="str">
        <f t="shared" ca="1" si="28"/>
        <v/>
      </c>
      <c r="H28" s="60" t="str">
        <f t="shared" ca="1" si="28"/>
        <v/>
      </c>
      <c r="I28" s="60" t="str">
        <f t="shared" ca="1" si="28"/>
        <v/>
      </c>
      <c r="J28" s="60" t="str">
        <f t="shared" ca="1" si="28"/>
        <v/>
      </c>
      <c r="K28" s="60" t="str">
        <f t="shared" ca="1" si="28"/>
        <v/>
      </c>
      <c r="L28" s="60" t="str">
        <f t="shared" ca="1" si="28"/>
        <v/>
      </c>
      <c r="M28" s="60" t="str">
        <f t="shared" ca="1" si="28"/>
        <v/>
      </c>
      <c r="N28" s="60" t="str">
        <f t="shared" ca="1" si="28"/>
        <v/>
      </c>
      <c r="O28" s="60" t="str">
        <f t="shared" ca="1" si="28"/>
        <v/>
      </c>
      <c r="P28" s="60" t="str">
        <f t="shared" ca="1" si="28"/>
        <v/>
      </c>
      <c r="Q28" s="60" t="str">
        <f t="shared" ca="1" si="28"/>
        <v/>
      </c>
      <c r="R28" s="60" t="str">
        <f t="shared" ca="1" si="28"/>
        <v/>
      </c>
      <c r="S28" s="60" t="str">
        <f t="shared" ca="1" si="28"/>
        <v/>
      </c>
      <c r="T28" s="60" t="str">
        <f t="shared" ca="1" si="28"/>
        <v/>
      </c>
      <c r="U28" s="60" t="str">
        <f t="shared" ca="1" si="28"/>
        <v/>
      </c>
      <c r="V28" s="60" t="str">
        <f t="shared" ca="1" si="28"/>
        <v/>
      </c>
      <c r="W28" s="60" t="str">
        <f t="shared" ca="1" si="28"/>
        <v/>
      </c>
      <c r="X28" s="60" t="str">
        <f t="shared" ca="1" si="28"/>
        <v/>
      </c>
      <c r="Y28" s="60" t="str">
        <f t="shared" ca="1" si="28"/>
        <v/>
      </c>
      <c r="Z28" s="60" t="str">
        <f t="shared" ca="1" si="28"/>
        <v/>
      </c>
      <c r="AA28" s="60" t="str">
        <f t="shared" ca="1" si="28"/>
        <v/>
      </c>
    </row>
    <row r="29" spans="1:27" x14ac:dyDescent="0.25">
      <c r="A29" t="str">
        <f t="shared" ca="1" si="3"/>
        <v/>
      </c>
      <c r="B29" t="str">
        <f t="shared" ca="1" si="1"/>
        <v/>
      </c>
      <c r="C29" s="60" t="str">
        <f t="shared" ref="C29:AA29" ca="1" si="29">IFERROR(IF(OR(INDIRECT("'Datos "&amp;Tipo_Cuestionario_Cod&amp;"'!"&amp;C$1&amp;7+$A29-1)="",C$2="",$B29=""),"",
IF(AND(C$1="J",Tipo_Cuestionario_Cod="VF"),C$2&amp;IF(MID(B29,FIND(")",B29)+2,1)="V","FALSO","VERDADERO"),
C$2&amp;INDIRECT("'Datos "&amp;Tipo_Cuestionario_Cod&amp;"'!"&amp;C$1&amp;7+$A29-1))),"")</f>
        <v/>
      </c>
      <c r="D29" s="60" t="str">
        <f t="shared" ca="1" si="29"/>
        <v/>
      </c>
      <c r="E29" s="60" t="str">
        <f t="shared" ca="1" si="29"/>
        <v/>
      </c>
      <c r="F29" s="60" t="str">
        <f t="shared" ca="1" si="29"/>
        <v/>
      </c>
      <c r="G29" s="60" t="str">
        <f t="shared" ca="1" si="29"/>
        <v/>
      </c>
      <c r="H29" s="60" t="str">
        <f t="shared" ca="1" si="29"/>
        <v/>
      </c>
      <c r="I29" s="60" t="str">
        <f t="shared" ca="1" si="29"/>
        <v/>
      </c>
      <c r="J29" s="60" t="str">
        <f t="shared" ca="1" si="29"/>
        <v/>
      </c>
      <c r="K29" s="60" t="str">
        <f t="shared" ca="1" si="29"/>
        <v/>
      </c>
      <c r="L29" s="60" t="str">
        <f t="shared" ca="1" si="29"/>
        <v/>
      </c>
      <c r="M29" s="60" t="str">
        <f t="shared" ca="1" si="29"/>
        <v/>
      </c>
      <c r="N29" s="60" t="str">
        <f t="shared" ca="1" si="29"/>
        <v/>
      </c>
      <c r="O29" s="60" t="str">
        <f t="shared" ca="1" si="29"/>
        <v/>
      </c>
      <c r="P29" s="60" t="str">
        <f t="shared" ca="1" si="29"/>
        <v/>
      </c>
      <c r="Q29" s="60" t="str">
        <f t="shared" ca="1" si="29"/>
        <v/>
      </c>
      <c r="R29" s="60" t="str">
        <f t="shared" ca="1" si="29"/>
        <v/>
      </c>
      <c r="S29" s="60" t="str">
        <f t="shared" ca="1" si="29"/>
        <v/>
      </c>
      <c r="T29" s="60" t="str">
        <f t="shared" ca="1" si="29"/>
        <v/>
      </c>
      <c r="U29" s="60" t="str">
        <f t="shared" ca="1" si="29"/>
        <v/>
      </c>
      <c r="V29" s="60" t="str">
        <f t="shared" ca="1" si="29"/>
        <v/>
      </c>
      <c r="W29" s="60" t="str">
        <f t="shared" ca="1" si="29"/>
        <v/>
      </c>
      <c r="X29" s="60" t="str">
        <f t="shared" ca="1" si="29"/>
        <v/>
      </c>
      <c r="Y29" s="60" t="str">
        <f t="shared" ca="1" si="29"/>
        <v/>
      </c>
      <c r="Z29" s="60" t="str">
        <f t="shared" ca="1" si="29"/>
        <v/>
      </c>
      <c r="AA29" s="60" t="str">
        <f t="shared" ca="1" si="29"/>
        <v/>
      </c>
    </row>
    <row r="30" spans="1:27" x14ac:dyDescent="0.25">
      <c r="A30" t="str">
        <f t="shared" ca="1" si="3"/>
        <v/>
      </c>
      <c r="B30" t="str">
        <f t="shared" ca="1" si="1"/>
        <v/>
      </c>
      <c r="C30" s="60" t="str">
        <f t="shared" ref="C30:AA30" ca="1" si="30">IFERROR(IF(OR(INDIRECT("'Datos "&amp;Tipo_Cuestionario_Cod&amp;"'!"&amp;C$1&amp;7+$A30-1)="",C$2="",$B30=""),"",
IF(AND(C$1="J",Tipo_Cuestionario_Cod="VF"),C$2&amp;IF(MID(B30,FIND(")",B30)+2,1)="V","FALSO","VERDADERO"),
C$2&amp;INDIRECT("'Datos "&amp;Tipo_Cuestionario_Cod&amp;"'!"&amp;C$1&amp;7+$A30-1))),"")</f>
        <v/>
      </c>
      <c r="D30" s="60" t="str">
        <f t="shared" ca="1" si="30"/>
        <v/>
      </c>
      <c r="E30" s="60" t="str">
        <f t="shared" ca="1" si="30"/>
        <v/>
      </c>
      <c r="F30" s="60" t="str">
        <f t="shared" ca="1" si="30"/>
        <v/>
      </c>
      <c r="G30" s="60" t="str">
        <f t="shared" ca="1" si="30"/>
        <v/>
      </c>
      <c r="H30" s="60" t="str">
        <f t="shared" ca="1" si="30"/>
        <v/>
      </c>
      <c r="I30" s="60" t="str">
        <f t="shared" ca="1" si="30"/>
        <v/>
      </c>
      <c r="J30" s="60" t="str">
        <f t="shared" ca="1" si="30"/>
        <v/>
      </c>
      <c r="K30" s="60" t="str">
        <f t="shared" ca="1" si="30"/>
        <v/>
      </c>
      <c r="L30" s="60" t="str">
        <f t="shared" ca="1" si="30"/>
        <v/>
      </c>
      <c r="M30" s="60" t="str">
        <f t="shared" ca="1" si="30"/>
        <v/>
      </c>
      <c r="N30" s="60" t="str">
        <f t="shared" ca="1" si="30"/>
        <v/>
      </c>
      <c r="O30" s="60" t="str">
        <f t="shared" ca="1" si="30"/>
        <v/>
      </c>
      <c r="P30" s="60" t="str">
        <f t="shared" ca="1" si="30"/>
        <v/>
      </c>
      <c r="Q30" s="60" t="str">
        <f t="shared" ca="1" si="30"/>
        <v/>
      </c>
      <c r="R30" s="60" t="str">
        <f t="shared" ca="1" si="30"/>
        <v/>
      </c>
      <c r="S30" s="60" t="str">
        <f t="shared" ca="1" si="30"/>
        <v/>
      </c>
      <c r="T30" s="60" t="str">
        <f t="shared" ca="1" si="30"/>
        <v/>
      </c>
      <c r="U30" s="60" t="str">
        <f t="shared" ca="1" si="30"/>
        <v/>
      </c>
      <c r="V30" s="60" t="str">
        <f t="shared" ca="1" si="30"/>
        <v/>
      </c>
      <c r="W30" s="60" t="str">
        <f t="shared" ca="1" si="30"/>
        <v/>
      </c>
      <c r="X30" s="60" t="str">
        <f t="shared" ca="1" si="30"/>
        <v/>
      </c>
      <c r="Y30" s="60" t="str">
        <f t="shared" ca="1" si="30"/>
        <v/>
      </c>
      <c r="Z30" s="60" t="str">
        <f t="shared" ca="1" si="30"/>
        <v/>
      </c>
      <c r="AA30" s="60" t="str">
        <f t="shared" ca="1" si="30"/>
        <v/>
      </c>
    </row>
    <row r="31" spans="1:27" x14ac:dyDescent="0.25">
      <c r="A31" t="str">
        <f t="shared" ca="1" si="3"/>
        <v/>
      </c>
      <c r="B31" t="str">
        <f t="shared" ca="1" si="1"/>
        <v/>
      </c>
      <c r="C31" s="60" t="str">
        <f t="shared" ref="C31:AA31" ca="1" si="31">IFERROR(IF(OR(INDIRECT("'Datos "&amp;Tipo_Cuestionario_Cod&amp;"'!"&amp;C$1&amp;7+$A31-1)="",C$2="",$B31=""),"",
IF(AND(C$1="J",Tipo_Cuestionario_Cod="VF"),C$2&amp;IF(MID(B31,FIND(")",B31)+2,1)="V","FALSO","VERDADERO"),
C$2&amp;INDIRECT("'Datos "&amp;Tipo_Cuestionario_Cod&amp;"'!"&amp;C$1&amp;7+$A31-1))),"")</f>
        <v/>
      </c>
      <c r="D31" s="60" t="str">
        <f t="shared" ca="1" si="31"/>
        <v/>
      </c>
      <c r="E31" s="60" t="str">
        <f t="shared" ca="1" si="31"/>
        <v/>
      </c>
      <c r="F31" s="60" t="str">
        <f t="shared" ca="1" si="31"/>
        <v/>
      </c>
      <c r="G31" s="60" t="str">
        <f t="shared" ca="1" si="31"/>
        <v/>
      </c>
      <c r="H31" s="60" t="str">
        <f t="shared" ca="1" si="31"/>
        <v/>
      </c>
      <c r="I31" s="60" t="str">
        <f t="shared" ca="1" si="31"/>
        <v/>
      </c>
      <c r="J31" s="60" t="str">
        <f t="shared" ca="1" si="31"/>
        <v/>
      </c>
      <c r="K31" s="60" t="str">
        <f t="shared" ca="1" si="31"/>
        <v/>
      </c>
      <c r="L31" s="60" t="str">
        <f t="shared" ca="1" si="31"/>
        <v/>
      </c>
      <c r="M31" s="60" t="str">
        <f t="shared" ca="1" si="31"/>
        <v/>
      </c>
      <c r="N31" s="60" t="str">
        <f t="shared" ca="1" si="31"/>
        <v/>
      </c>
      <c r="O31" s="60" t="str">
        <f t="shared" ca="1" si="31"/>
        <v/>
      </c>
      <c r="P31" s="60" t="str">
        <f t="shared" ca="1" si="31"/>
        <v/>
      </c>
      <c r="Q31" s="60" t="str">
        <f t="shared" ca="1" si="31"/>
        <v/>
      </c>
      <c r="R31" s="60" t="str">
        <f t="shared" ca="1" si="31"/>
        <v/>
      </c>
      <c r="S31" s="60" t="str">
        <f t="shared" ca="1" si="31"/>
        <v/>
      </c>
      <c r="T31" s="60" t="str">
        <f t="shared" ca="1" si="31"/>
        <v/>
      </c>
      <c r="U31" s="60" t="str">
        <f t="shared" ca="1" si="31"/>
        <v/>
      </c>
      <c r="V31" s="60" t="str">
        <f t="shared" ca="1" si="31"/>
        <v/>
      </c>
      <c r="W31" s="60" t="str">
        <f t="shared" ca="1" si="31"/>
        <v/>
      </c>
      <c r="X31" s="60" t="str">
        <f t="shared" ca="1" si="31"/>
        <v/>
      </c>
      <c r="Y31" s="60" t="str">
        <f t="shared" ca="1" si="31"/>
        <v/>
      </c>
      <c r="Z31" s="60" t="str">
        <f t="shared" ca="1" si="31"/>
        <v/>
      </c>
      <c r="AA31" s="60" t="str">
        <f t="shared" ca="1" si="31"/>
        <v/>
      </c>
    </row>
    <row r="32" spans="1:27" x14ac:dyDescent="0.25">
      <c r="A32" t="str">
        <f t="shared" ca="1" si="3"/>
        <v/>
      </c>
      <c r="B32" t="str">
        <f t="shared" ca="1" si="1"/>
        <v/>
      </c>
      <c r="C32" s="60" t="str">
        <f t="shared" ref="C32:AA32" ca="1" si="32">IFERROR(IF(OR(INDIRECT("'Datos "&amp;Tipo_Cuestionario_Cod&amp;"'!"&amp;C$1&amp;7+$A32-1)="",C$2="",$B32=""),"",
IF(AND(C$1="J",Tipo_Cuestionario_Cod="VF"),C$2&amp;IF(MID(B32,FIND(")",B32)+2,1)="V","FALSO","VERDADERO"),
C$2&amp;INDIRECT("'Datos "&amp;Tipo_Cuestionario_Cod&amp;"'!"&amp;C$1&amp;7+$A32-1))),"")</f>
        <v/>
      </c>
      <c r="D32" s="60" t="str">
        <f t="shared" ca="1" si="32"/>
        <v/>
      </c>
      <c r="E32" s="60" t="str">
        <f t="shared" ca="1" si="32"/>
        <v/>
      </c>
      <c r="F32" s="60" t="str">
        <f t="shared" ca="1" si="32"/>
        <v/>
      </c>
      <c r="G32" s="60" t="str">
        <f t="shared" ca="1" si="32"/>
        <v/>
      </c>
      <c r="H32" s="60" t="str">
        <f t="shared" ca="1" si="32"/>
        <v/>
      </c>
      <c r="I32" s="60" t="str">
        <f t="shared" ca="1" si="32"/>
        <v/>
      </c>
      <c r="J32" s="60" t="str">
        <f t="shared" ca="1" si="32"/>
        <v/>
      </c>
      <c r="K32" s="60" t="str">
        <f t="shared" ca="1" si="32"/>
        <v/>
      </c>
      <c r="L32" s="60" t="str">
        <f t="shared" ca="1" si="32"/>
        <v/>
      </c>
      <c r="M32" s="60" t="str">
        <f t="shared" ca="1" si="32"/>
        <v/>
      </c>
      <c r="N32" s="60" t="str">
        <f t="shared" ca="1" si="32"/>
        <v/>
      </c>
      <c r="O32" s="60" t="str">
        <f t="shared" ca="1" si="32"/>
        <v/>
      </c>
      <c r="P32" s="60" t="str">
        <f t="shared" ca="1" si="32"/>
        <v/>
      </c>
      <c r="Q32" s="60" t="str">
        <f t="shared" ca="1" si="32"/>
        <v/>
      </c>
      <c r="R32" s="60" t="str">
        <f t="shared" ca="1" si="32"/>
        <v/>
      </c>
      <c r="S32" s="60" t="str">
        <f t="shared" ca="1" si="32"/>
        <v/>
      </c>
      <c r="T32" s="60" t="str">
        <f t="shared" ca="1" si="32"/>
        <v/>
      </c>
      <c r="U32" s="60" t="str">
        <f t="shared" ca="1" si="32"/>
        <v/>
      </c>
      <c r="V32" s="60" t="str">
        <f t="shared" ca="1" si="32"/>
        <v/>
      </c>
      <c r="W32" s="60" t="str">
        <f t="shared" ca="1" si="32"/>
        <v/>
      </c>
      <c r="X32" s="60" t="str">
        <f t="shared" ca="1" si="32"/>
        <v/>
      </c>
      <c r="Y32" s="60" t="str">
        <f t="shared" ca="1" si="32"/>
        <v/>
      </c>
      <c r="Z32" s="60" t="str">
        <f t="shared" ca="1" si="32"/>
        <v/>
      </c>
      <c r="AA32" s="60" t="str">
        <f t="shared" ca="1" si="32"/>
        <v/>
      </c>
    </row>
    <row r="33" spans="1:27" x14ac:dyDescent="0.25">
      <c r="A33" t="str">
        <f t="shared" ca="1" si="3"/>
        <v/>
      </c>
      <c r="B33" t="str">
        <f t="shared" ca="1" si="1"/>
        <v/>
      </c>
      <c r="C33" s="60" t="str">
        <f t="shared" ref="C33:AA33" ca="1" si="33">IFERROR(IF(OR(INDIRECT("'Datos "&amp;Tipo_Cuestionario_Cod&amp;"'!"&amp;C$1&amp;7+$A33-1)="",C$2="",$B33=""),"",
IF(AND(C$1="J",Tipo_Cuestionario_Cod="VF"),C$2&amp;IF(MID(B33,FIND(")",B33)+2,1)="V","FALSO","VERDADERO"),
C$2&amp;INDIRECT("'Datos "&amp;Tipo_Cuestionario_Cod&amp;"'!"&amp;C$1&amp;7+$A33-1))),"")</f>
        <v/>
      </c>
      <c r="D33" s="60" t="str">
        <f t="shared" ca="1" si="33"/>
        <v/>
      </c>
      <c r="E33" s="60" t="str">
        <f t="shared" ca="1" si="33"/>
        <v/>
      </c>
      <c r="F33" s="60" t="str">
        <f t="shared" ca="1" si="33"/>
        <v/>
      </c>
      <c r="G33" s="60" t="str">
        <f t="shared" ca="1" si="33"/>
        <v/>
      </c>
      <c r="H33" s="60" t="str">
        <f t="shared" ca="1" si="33"/>
        <v/>
      </c>
      <c r="I33" s="60" t="str">
        <f t="shared" ca="1" si="33"/>
        <v/>
      </c>
      <c r="J33" s="60" t="str">
        <f t="shared" ca="1" si="33"/>
        <v/>
      </c>
      <c r="K33" s="60" t="str">
        <f t="shared" ca="1" si="33"/>
        <v/>
      </c>
      <c r="L33" s="60" t="str">
        <f t="shared" ca="1" si="33"/>
        <v/>
      </c>
      <c r="M33" s="60" t="str">
        <f t="shared" ca="1" si="33"/>
        <v/>
      </c>
      <c r="N33" s="60" t="str">
        <f t="shared" ca="1" si="33"/>
        <v/>
      </c>
      <c r="O33" s="60" t="str">
        <f t="shared" ca="1" si="33"/>
        <v/>
      </c>
      <c r="P33" s="60" t="str">
        <f t="shared" ca="1" si="33"/>
        <v/>
      </c>
      <c r="Q33" s="60" t="str">
        <f t="shared" ca="1" si="33"/>
        <v/>
      </c>
      <c r="R33" s="60" t="str">
        <f t="shared" ca="1" si="33"/>
        <v/>
      </c>
      <c r="S33" s="60" t="str">
        <f t="shared" ca="1" si="33"/>
        <v/>
      </c>
      <c r="T33" s="60" t="str">
        <f t="shared" ca="1" si="33"/>
        <v/>
      </c>
      <c r="U33" s="60" t="str">
        <f t="shared" ca="1" si="33"/>
        <v/>
      </c>
      <c r="V33" s="60" t="str">
        <f t="shared" ca="1" si="33"/>
        <v/>
      </c>
      <c r="W33" s="60" t="str">
        <f t="shared" ca="1" si="33"/>
        <v/>
      </c>
      <c r="X33" s="60" t="str">
        <f t="shared" ca="1" si="33"/>
        <v/>
      </c>
      <c r="Y33" s="60" t="str">
        <f t="shared" ca="1" si="33"/>
        <v/>
      </c>
      <c r="Z33" s="60" t="str">
        <f t="shared" ca="1" si="33"/>
        <v/>
      </c>
      <c r="AA33" s="60" t="str">
        <f t="shared" ca="1" si="33"/>
        <v/>
      </c>
    </row>
    <row r="34" spans="1:27" x14ac:dyDescent="0.25">
      <c r="A34" t="str">
        <f t="shared" ca="1" si="3"/>
        <v/>
      </c>
      <c r="B34" t="str">
        <f t="shared" ca="1" si="1"/>
        <v/>
      </c>
      <c r="C34" s="60" t="str">
        <f t="shared" ref="C34:AA34" ca="1" si="34">IFERROR(IF(OR(INDIRECT("'Datos "&amp;Tipo_Cuestionario_Cod&amp;"'!"&amp;C$1&amp;7+$A34-1)="",C$2="",$B34=""),"",
IF(AND(C$1="J",Tipo_Cuestionario_Cod="VF"),C$2&amp;IF(MID(B34,FIND(")",B34)+2,1)="V","FALSO","VERDADERO"),
C$2&amp;INDIRECT("'Datos "&amp;Tipo_Cuestionario_Cod&amp;"'!"&amp;C$1&amp;7+$A34-1))),"")</f>
        <v/>
      </c>
      <c r="D34" s="60" t="str">
        <f t="shared" ca="1" si="34"/>
        <v/>
      </c>
      <c r="E34" s="60" t="str">
        <f t="shared" ca="1" si="34"/>
        <v/>
      </c>
      <c r="F34" s="60" t="str">
        <f t="shared" ca="1" si="34"/>
        <v/>
      </c>
      <c r="G34" s="60" t="str">
        <f t="shared" ca="1" si="34"/>
        <v/>
      </c>
      <c r="H34" s="60" t="str">
        <f t="shared" ca="1" si="34"/>
        <v/>
      </c>
      <c r="I34" s="60" t="str">
        <f t="shared" ca="1" si="34"/>
        <v/>
      </c>
      <c r="J34" s="60" t="str">
        <f t="shared" ca="1" si="34"/>
        <v/>
      </c>
      <c r="K34" s="60" t="str">
        <f t="shared" ca="1" si="34"/>
        <v/>
      </c>
      <c r="L34" s="60" t="str">
        <f t="shared" ca="1" si="34"/>
        <v/>
      </c>
      <c r="M34" s="60" t="str">
        <f t="shared" ca="1" si="34"/>
        <v/>
      </c>
      <c r="N34" s="60" t="str">
        <f t="shared" ca="1" si="34"/>
        <v/>
      </c>
      <c r="O34" s="60" t="str">
        <f t="shared" ca="1" si="34"/>
        <v/>
      </c>
      <c r="P34" s="60" t="str">
        <f t="shared" ca="1" si="34"/>
        <v/>
      </c>
      <c r="Q34" s="60" t="str">
        <f t="shared" ca="1" si="34"/>
        <v/>
      </c>
      <c r="R34" s="60" t="str">
        <f t="shared" ca="1" si="34"/>
        <v/>
      </c>
      <c r="S34" s="60" t="str">
        <f t="shared" ca="1" si="34"/>
        <v/>
      </c>
      <c r="T34" s="60" t="str">
        <f t="shared" ca="1" si="34"/>
        <v/>
      </c>
      <c r="U34" s="60" t="str">
        <f t="shared" ca="1" si="34"/>
        <v/>
      </c>
      <c r="V34" s="60" t="str">
        <f t="shared" ca="1" si="34"/>
        <v/>
      </c>
      <c r="W34" s="60" t="str">
        <f t="shared" ca="1" si="34"/>
        <v/>
      </c>
      <c r="X34" s="60" t="str">
        <f t="shared" ca="1" si="34"/>
        <v/>
      </c>
      <c r="Y34" s="60" t="str">
        <f t="shared" ca="1" si="34"/>
        <v/>
      </c>
      <c r="Z34" s="60" t="str">
        <f t="shared" ca="1" si="34"/>
        <v/>
      </c>
      <c r="AA34" s="60" t="str">
        <f t="shared" ca="1" si="34"/>
        <v/>
      </c>
    </row>
    <row r="35" spans="1:27" x14ac:dyDescent="0.25">
      <c r="A35" t="str">
        <f t="shared" ca="1" si="3"/>
        <v/>
      </c>
      <c r="B35" t="str">
        <f t="shared" ref="B35:B66" ca="1" si="35">IF(A35="","",A35&amp;") "&amp;IF(INDIRECT("'Datos "&amp;Tipo_Cuestionario_Cod&amp;"'!"&amp;B$1&amp;7+A35-1)="","",INDIRECT("'Datos "&amp;Tipo_Cuestionario_Cod&amp;"'!"&amp;B$1&amp;7+A35-1)))</f>
        <v/>
      </c>
      <c r="C35" s="60" t="str">
        <f t="shared" ref="C35:AA35" ca="1" si="36">IFERROR(IF(OR(INDIRECT("'Datos "&amp;Tipo_Cuestionario_Cod&amp;"'!"&amp;C$1&amp;7+$A35-1)="",C$2="",$B35=""),"",
IF(AND(C$1="J",Tipo_Cuestionario_Cod="VF"),C$2&amp;IF(MID(B35,FIND(")",B35)+2,1)="V","FALSO","VERDADERO"),
C$2&amp;INDIRECT("'Datos "&amp;Tipo_Cuestionario_Cod&amp;"'!"&amp;C$1&amp;7+$A35-1))),"")</f>
        <v/>
      </c>
      <c r="D35" s="60" t="str">
        <f t="shared" ca="1" si="36"/>
        <v/>
      </c>
      <c r="E35" s="60" t="str">
        <f t="shared" ca="1" si="36"/>
        <v/>
      </c>
      <c r="F35" s="60" t="str">
        <f t="shared" ca="1" si="36"/>
        <v/>
      </c>
      <c r="G35" s="60" t="str">
        <f t="shared" ca="1" si="36"/>
        <v/>
      </c>
      <c r="H35" s="60" t="str">
        <f t="shared" ca="1" si="36"/>
        <v/>
      </c>
      <c r="I35" s="60" t="str">
        <f t="shared" ca="1" si="36"/>
        <v/>
      </c>
      <c r="J35" s="60" t="str">
        <f t="shared" ca="1" si="36"/>
        <v/>
      </c>
      <c r="K35" s="60" t="str">
        <f t="shared" ca="1" si="36"/>
        <v/>
      </c>
      <c r="L35" s="60" t="str">
        <f t="shared" ca="1" si="36"/>
        <v/>
      </c>
      <c r="M35" s="60" t="str">
        <f t="shared" ca="1" si="36"/>
        <v/>
      </c>
      <c r="N35" s="60" t="str">
        <f t="shared" ca="1" si="36"/>
        <v/>
      </c>
      <c r="O35" s="60" t="str">
        <f t="shared" ca="1" si="36"/>
        <v/>
      </c>
      <c r="P35" s="60" t="str">
        <f t="shared" ca="1" si="36"/>
        <v/>
      </c>
      <c r="Q35" s="60" t="str">
        <f t="shared" ca="1" si="36"/>
        <v/>
      </c>
      <c r="R35" s="60" t="str">
        <f t="shared" ca="1" si="36"/>
        <v/>
      </c>
      <c r="S35" s="60" t="str">
        <f t="shared" ca="1" si="36"/>
        <v/>
      </c>
      <c r="T35" s="60" t="str">
        <f t="shared" ca="1" si="36"/>
        <v/>
      </c>
      <c r="U35" s="60" t="str">
        <f t="shared" ca="1" si="36"/>
        <v/>
      </c>
      <c r="V35" s="60" t="str">
        <f t="shared" ca="1" si="36"/>
        <v/>
      </c>
      <c r="W35" s="60" t="str">
        <f t="shared" ca="1" si="36"/>
        <v/>
      </c>
      <c r="X35" s="60" t="str">
        <f t="shared" ca="1" si="36"/>
        <v/>
      </c>
      <c r="Y35" s="60" t="str">
        <f t="shared" ca="1" si="36"/>
        <v/>
      </c>
      <c r="Z35" s="60" t="str">
        <f t="shared" ca="1" si="36"/>
        <v/>
      </c>
      <c r="AA35" s="60" t="str">
        <f t="shared" ca="1" si="36"/>
        <v/>
      </c>
    </row>
    <row r="36" spans="1:27" x14ac:dyDescent="0.25">
      <c r="A36" t="str">
        <f t="shared" ref="A36:A67" ca="1" si="37">IFERROR(IF(A35+1&gt;N_FINAL-INDIRECT("'Datos "&amp;Tipo_Cuestionario_Cod&amp;"'!A7")+1,"",A35+1),"")</f>
        <v/>
      </c>
      <c r="B36" t="str">
        <f t="shared" ca="1" si="35"/>
        <v/>
      </c>
      <c r="C36" s="60" t="str">
        <f t="shared" ref="C36:AA36" ca="1" si="38">IFERROR(IF(OR(INDIRECT("'Datos "&amp;Tipo_Cuestionario_Cod&amp;"'!"&amp;C$1&amp;7+$A36-1)="",C$2="",$B36=""),"",
IF(AND(C$1="J",Tipo_Cuestionario_Cod="VF"),C$2&amp;IF(MID(B36,FIND(")",B36)+2,1)="V","FALSO","VERDADERO"),
C$2&amp;INDIRECT("'Datos "&amp;Tipo_Cuestionario_Cod&amp;"'!"&amp;C$1&amp;7+$A36-1))),"")</f>
        <v/>
      </c>
      <c r="D36" s="60" t="str">
        <f t="shared" ca="1" si="38"/>
        <v/>
      </c>
      <c r="E36" s="60" t="str">
        <f t="shared" ca="1" si="38"/>
        <v/>
      </c>
      <c r="F36" s="60" t="str">
        <f t="shared" ca="1" si="38"/>
        <v/>
      </c>
      <c r="G36" s="60" t="str">
        <f t="shared" ca="1" si="38"/>
        <v/>
      </c>
      <c r="H36" s="60" t="str">
        <f t="shared" ca="1" si="38"/>
        <v/>
      </c>
      <c r="I36" s="60" t="str">
        <f t="shared" ca="1" si="38"/>
        <v/>
      </c>
      <c r="J36" s="60" t="str">
        <f t="shared" ca="1" si="38"/>
        <v/>
      </c>
      <c r="K36" s="60" t="str">
        <f t="shared" ca="1" si="38"/>
        <v/>
      </c>
      <c r="L36" s="60" t="str">
        <f t="shared" ca="1" si="38"/>
        <v/>
      </c>
      <c r="M36" s="60" t="str">
        <f t="shared" ca="1" si="38"/>
        <v/>
      </c>
      <c r="N36" s="60" t="str">
        <f t="shared" ca="1" si="38"/>
        <v/>
      </c>
      <c r="O36" s="60" t="str">
        <f t="shared" ca="1" si="38"/>
        <v/>
      </c>
      <c r="P36" s="60" t="str">
        <f t="shared" ca="1" si="38"/>
        <v/>
      </c>
      <c r="Q36" s="60" t="str">
        <f t="shared" ca="1" si="38"/>
        <v/>
      </c>
      <c r="R36" s="60" t="str">
        <f t="shared" ca="1" si="38"/>
        <v/>
      </c>
      <c r="S36" s="60" t="str">
        <f t="shared" ca="1" si="38"/>
        <v/>
      </c>
      <c r="T36" s="60" t="str">
        <f t="shared" ca="1" si="38"/>
        <v/>
      </c>
      <c r="U36" s="60" t="str">
        <f t="shared" ca="1" si="38"/>
        <v/>
      </c>
      <c r="V36" s="60" t="str">
        <f t="shared" ca="1" si="38"/>
        <v/>
      </c>
      <c r="W36" s="60" t="str">
        <f t="shared" ca="1" si="38"/>
        <v/>
      </c>
      <c r="X36" s="60" t="str">
        <f t="shared" ca="1" si="38"/>
        <v/>
      </c>
      <c r="Y36" s="60" t="str">
        <f t="shared" ca="1" si="38"/>
        <v/>
      </c>
      <c r="Z36" s="60" t="str">
        <f t="shared" ca="1" si="38"/>
        <v/>
      </c>
      <c r="AA36" s="60" t="str">
        <f t="shared" ca="1" si="38"/>
        <v/>
      </c>
    </row>
    <row r="37" spans="1:27" x14ac:dyDescent="0.25">
      <c r="A37" t="str">
        <f t="shared" ca="1" si="37"/>
        <v/>
      </c>
      <c r="B37" t="str">
        <f t="shared" ca="1" si="35"/>
        <v/>
      </c>
      <c r="C37" s="60" t="str">
        <f t="shared" ref="C37:AA37" ca="1" si="39">IFERROR(IF(OR(INDIRECT("'Datos "&amp;Tipo_Cuestionario_Cod&amp;"'!"&amp;C$1&amp;7+$A37-1)="",C$2="",$B37=""),"",
IF(AND(C$1="J",Tipo_Cuestionario_Cod="VF"),C$2&amp;IF(MID(B37,FIND(")",B37)+2,1)="V","FALSO","VERDADERO"),
C$2&amp;INDIRECT("'Datos "&amp;Tipo_Cuestionario_Cod&amp;"'!"&amp;C$1&amp;7+$A37-1))),"")</f>
        <v/>
      </c>
      <c r="D37" s="60" t="str">
        <f t="shared" ca="1" si="39"/>
        <v/>
      </c>
      <c r="E37" s="60" t="str">
        <f t="shared" ca="1" si="39"/>
        <v/>
      </c>
      <c r="F37" s="60" t="str">
        <f t="shared" ca="1" si="39"/>
        <v/>
      </c>
      <c r="G37" s="60" t="str">
        <f t="shared" ca="1" si="39"/>
        <v/>
      </c>
      <c r="H37" s="60" t="str">
        <f t="shared" ca="1" si="39"/>
        <v/>
      </c>
      <c r="I37" s="60" t="str">
        <f t="shared" ca="1" si="39"/>
        <v/>
      </c>
      <c r="J37" s="60" t="str">
        <f t="shared" ca="1" si="39"/>
        <v/>
      </c>
      <c r="K37" s="60" t="str">
        <f t="shared" ca="1" si="39"/>
        <v/>
      </c>
      <c r="L37" s="60" t="str">
        <f t="shared" ca="1" si="39"/>
        <v/>
      </c>
      <c r="M37" s="60" t="str">
        <f t="shared" ca="1" si="39"/>
        <v/>
      </c>
      <c r="N37" s="60" t="str">
        <f t="shared" ca="1" si="39"/>
        <v/>
      </c>
      <c r="O37" s="60" t="str">
        <f t="shared" ca="1" si="39"/>
        <v/>
      </c>
      <c r="P37" s="60" t="str">
        <f t="shared" ca="1" si="39"/>
        <v/>
      </c>
      <c r="Q37" s="60" t="str">
        <f t="shared" ca="1" si="39"/>
        <v/>
      </c>
      <c r="R37" s="60" t="str">
        <f t="shared" ca="1" si="39"/>
        <v/>
      </c>
      <c r="S37" s="60" t="str">
        <f t="shared" ca="1" si="39"/>
        <v/>
      </c>
      <c r="T37" s="60" t="str">
        <f t="shared" ca="1" si="39"/>
        <v/>
      </c>
      <c r="U37" s="60" t="str">
        <f t="shared" ca="1" si="39"/>
        <v/>
      </c>
      <c r="V37" s="60" t="str">
        <f t="shared" ca="1" si="39"/>
        <v/>
      </c>
      <c r="W37" s="60" t="str">
        <f t="shared" ca="1" si="39"/>
        <v/>
      </c>
      <c r="X37" s="60" t="str">
        <f t="shared" ca="1" si="39"/>
        <v/>
      </c>
      <c r="Y37" s="60" t="str">
        <f t="shared" ca="1" si="39"/>
        <v/>
      </c>
      <c r="Z37" s="60" t="str">
        <f t="shared" ca="1" si="39"/>
        <v/>
      </c>
      <c r="AA37" s="60" t="str">
        <f t="shared" ca="1" si="39"/>
        <v/>
      </c>
    </row>
    <row r="38" spans="1:27" x14ac:dyDescent="0.25">
      <c r="A38" t="str">
        <f t="shared" ca="1" si="37"/>
        <v/>
      </c>
      <c r="B38" t="str">
        <f t="shared" ca="1" si="35"/>
        <v/>
      </c>
      <c r="C38" s="60" t="str">
        <f t="shared" ref="C38:AA38" ca="1" si="40">IFERROR(IF(OR(INDIRECT("'Datos "&amp;Tipo_Cuestionario_Cod&amp;"'!"&amp;C$1&amp;7+$A38-1)="",C$2="",$B38=""),"",
IF(AND(C$1="J",Tipo_Cuestionario_Cod="VF"),C$2&amp;IF(MID(B38,FIND(")",B38)+2,1)="V","FALSO","VERDADERO"),
C$2&amp;INDIRECT("'Datos "&amp;Tipo_Cuestionario_Cod&amp;"'!"&amp;C$1&amp;7+$A38-1))),"")</f>
        <v/>
      </c>
      <c r="D38" s="60" t="str">
        <f t="shared" ca="1" si="40"/>
        <v/>
      </c>
      <c r="E38" s="60" t="str">
        <f t="shared" ca="1" si="40"/>
        <v/>
      </c>
      <c r="F38" s="60" t="str">
        <f t="shared" ca="1" si="40"/>
        <v/>
      </c>
      <c r="G38" s="60" t="str">
        <f t="shared" ca="1" si="40"/>
        <v/>
      </c>
      <c r="H38" s="60" t="str">
        <f t="shared" ca="1" si="40"/>
        <v/>
      </c>
      <c r="I38" s="60" t="str">
        <f t="shared" ca="1" si="40"/>
        <v/>
      </c>
      <c r="J38" s="60" t="str">
        <f t="shared" ca="1" si="40"/>
        <v/>
      </c>
      <c r="K38" s="60" t="str">
        <f t="shared" ca="1" si="40"/>
        <v/>
      </c>
      <c r="L38" s="60" t="str">
        <f t="shared" ca="1" si="40"/>
        <v/>
      </c>
      <c r="M38" s="60" t="str">
        <f t="shared" ca="1" si="40"/>
        <v/>
      </c>
      <c r="N38" s="60" t="str">
        <f t="shared" ca="1" si="40"/>
        <v/>
      </c>
      <c r="O38" s="60" t="str">
        <f t="shared" ca="1" si="40"/>
        <v/>
      </c>
      <c r="P38" s="60" t="str">
        <f t="shared" ca="1" si="40"/>
        <v/>
      </c>
      <c r="Q38" s="60" t="str">
        <f t="shared" ca="1" si="40"/>
        <v/>
      </c>
      <c r="R38" s="60" t="str">
        <f t="shared" ca="1" si="40"/>
        <v/>
      </c>
      <c r="S38" s="60" t="str">
        <f t="shared" ca="1" si="40"/>
        <v/>
      </c>
      <c r="T38" s="60" t="str">
        <f t="shared" ca="1" si="40"/>
        <v/>
      </c>
      <c r="U38" s="60" t="str">
        <f t="shared" ca="1" si="40"/>
        <v/>
      </c>
      <c r="V38" s="60" t="str">
        <f t="shared" ca="1" si="40"/>
        <v/>
      </c>
      <c r="W38" s="60" t="str">
        <f t="shared" ca="1" si="40"/>
        <v/>
      </c>
      <c r="X38" s="60" t="str">
        <f t="shared" ca="1" si="40"/>
        <v/>
      </c>
      <c r="Y38" s="60" t="str">
        <f t="shared" ca="1" si="40"/>
        <v/>
      </c>
      <c r="Z38" s="60" t="str">
        <f t="shared" ca="1" si="40"/>
        <v/>
      </c>
      <c r="AA38" s="60" t="str">
        <f t="shared" ca="1" si="40"/>
        <v/>
      </c>
    </row>
    <row r="39" spans="1:27" x14ac:dyDescent="0.25">
      <c r="A39" t="str">
        <f t="shared" ca="1" si="37"/>
        <v/>
      </c>
      <c r="B39" t="str">
        <f t="shared" ca="1" si="35"/>
        <v/>
      </c>
      <c r="C39" s="60" t="str">
        <f t="shared" ref="C39:AA39" ca="1" si="41">IFERROR(IF(OR(INDIRECT("'Datos "&amp;Tipo_Cuestionario_Cod&amp;"'!"&amp;C$1&amp;7+$A39-1)="",C$2="",$B39=""),"",
IF(AND(C$1="J",Tipo_Cuestionario_Cod="VF"),C$2&amp;IF(MID(B39,FIND(")",B39)+2,1)="V","FALSO","VERDADERO"),
C$2&amp;INDIRECT("'Datos "&amp;Tipo_Cuestionario_Cod&amp;"'!"&amp;C$1&amp;7+$A39-1))),"")</f>
        <v/>
      </c>
      <c r="D39" s="60" t="str">
        <f t="shared" ca="1" si="41"/>
        <v/>
      </c>
      <c r="E39" s="60" t="str">
        <f t="shared" ca="1" si="41"/>
        <v/>
      </c>
      <c r="F39" s="60" t="str">
        <f t="shared" ca="1" si="41"/>
        <v/>
      </c>
      <c r="G39" s="60" t="str">
        <f t="shared" ca="1" si="41"/>
        <v/>
      </c>
      <c r="H39" s="60" t="str">
        <f t="shared" ca="1" si="41"/>
        <v/>
      </c>
      <c r="I39" s="60" t="str">
        <f t="shared" ca="1" si="41"/>
        <v/>
      </c>
      <c r="J39" s="60" t="str">
        <f t="shared" ca="1" si="41"/>
        <v/>
      </c>
      <c r="K39" s="60" t="str">
        <f t="shared" ca="1" si="41"/>
        <v/>
      </c>
      <c r="L39" s="60" t="str">
        <f t="shared" ca="1" si="41"/>
        <v/>
      </c>
      <c r="M39" s="60" t="str">
        <f t="shared" ca="1" si="41"/>
        <v/>
      </c>
      <c r="N39" s="60" t="str">
        <f t="shared" ca="1" si="41"/>
        <v/>
      </c>
      <c r="O39" s="60" t="str">
        <f t="shared" ca="1" si="41"/>
        <v/>
      </c>
      <c r="P39" s="60" t="str">
        <f t="shared" ca="1" si="41"/>
        <v/>
      </c>
      <c r="Q39" s="60" t="str">
        <f t="shared" ca="1" si="41"/>
        <v/>
      </c>
      <c r="R39" s="60" t="str">
        <f t="shared" ca="1" si="41"/>
        <v/>
      </c>
      <c r="S39" s="60" t="str">
        <f t="shared" ca="1" si="41"/>
        <v/>
      </c>
      <c r="T39" s="60" t="str">
        <f t="shared" ca="1" si="41"/>
        <v/>
      </c>
      <c r="U39" s="60" t="str">
        <f t="shared" ca="1" si="41"/>
        <v/>
      </c>
      <c r="V39" s="60" t="str">
        <f t="shared" ca="1" si="41"/>
        <v/>
      </c>
      <c r="W39" s="60" t="str">
        <f t="shared" ca="1" si="41"/>
        <v/>
      </c>
      <c r="X39" s="60" t="str">
        <f t="shared" ca="1" si="41"/>
        <v/>
      </c>
      <c r="Y39" s="60" t="str">
        <f t="shared" ca="1" si="41"/>
        <v/>
      </c>
      <c r="Z39" s="60" t="str">
        <f t="shared" ca="1" si="41"/>
        <v/>
      </c>
      <c r="AA39" s="60" t="str">
        <f t="shared" ca="1" si="41"/>
        <v/>
      </c>
    </row>
    <row r="40" spans="1:27" x14ac:dyDescent="0.25">
      <c r="A40" t="str">
        <f t="shared" ca="1" si="37"/>
        <v/>
      </c>
      <c r="B40" t="str">
        <f t="shared" ca="1" si="35"/>
        <v/>
      </c>
      <c r="C40" s="60" t="str">
        <f t="shared" ref="C40:AA40" ca="1" si="42">IFERROR(IF(OR(INDIRECT("'Datos "&amp;Tipo_Cuestionario_Cod&amp;"'!"&amp;C$1&amp;7+$A40-1)="",C$2="",$B40=""),"",
IF(AND(C$1="J",Tipo_Cuestionario_Cod="VF"),C$2&amp;IF(MID(B40,FIND(")",B40)+2,1)="V","FALSO","VERDADERO"),
C$2&amp;INDIRECT("'Datos "&amp;Tipo_Cuestionario_Cod&amp;"'!"&amp;C$1&amp;7+$A40-1))),"")</f>
        <v/>
      </c>
      <c r="D40" s="60" t="str">
        <f t="shared" ca="1" si="42"/>
        <v/>
      </c>
      <c r="E40" s="60" t="str">
        <f t="shared" ca="1" si="42"/>
        <v/>
      </c>
      <c r="F40" s="60" t="str">
        <f t="shared" ca="1" si="42"/>
        <v/>
      </c>
      <c r="G40" s="60" t="str">
        <f t="shared" ca="1" si="42"/>
        <v/>
      </c>
      <c r="H40" s="60" t="str">
        <f t="shared" ca="1" si="42"/>
        <v/>
      </c>
      <c r="I40" s="60" t="str">
        <f t="shared" ca="1" si="42"/>
        <v/>
      </c>
      <c r="J40" s="60" t="str">
        <f t="shared" ca="1" si="42"/>
        <v/>
      </c>
      <c r="K40" s="60" t="str">
        <f t="shared" ca="1" si="42"/>
        <v/>
      </c>
      <c r="L40" s="60" t="str">
        <f t="shared" ca="1" si="42"/>
        <v/>
      </c>
      <c r="M40" s="60" t="str">
        <f t="shared" ca="1" si="42"/>
        <v/>
      </c>
      <c r="N40" s="60" t="str">
        <f t="shared" ca="1" si="42"/>
        <v/>
      </c>
      <c r="O40" s="60" t="str">
        <f t="shared" ca="1" si="42"/>
        <v/>
      </c>
      <c r="P40" s="60" t="str">
        <f t="shared" ca="1" si="42"/>
        <v/>
      </c>
      <c r="Q40" s="60" t="str">
        <f t="shared" ca="1" si="42"/>
        <v/>
      </c>
      <c r="R40" s="60" t="str">
        <f t="shared" ca="1" si="42"/>
        <v/>
      </c>
      <c r="S40" s="60" t="str">
        <f t="shared" ca="1" si="42"/>
        <v/>
      </c>
      <c r="T40" s="60" t="str">
        <f t="shared" ca="1" si="42"/>
        <v/>
      </c>
      <c r="U40" s="60" t="str">
        <f t="shared" ca="1" si="42"/>
        <v/>
      </c>
      <c r="V40" s="60" t="str">
        <f t="shared" ca="1" si="42"/>
        <v/>
      </c>
      <c r="W40" s="60" t="str">
        <f t="shared" ca="1" si="42"/>
        <v/>
      </c>
      <c r="X40" s="60" t="str">
        <f t="shared" ca="1" si="42"/>
        <v/>
      </c>
      <c r="Y40" s="60" t="str">
        <f t="shared" ca="1" si="42"/>
        <v/>
      </c>
      <c r="Z40" s="60" t="str">
        <f t="shared" ca="1" si="42"/>
        <v/>
      </c>
      <c r="AA40" s="60" t="str">
        <f t="shared" ca="1" si="42"/>
        <v/>
      </c>
    </row>
    <row r="41" spans="1:27" x14ac:dyDescent="0.25">
      <c r="A41" t="str">
        <f t="shared" ca="1" si="37"/>
        <v/>
      </c>
      <c r="B41" t="str">
        <f t="shared" ca="1" si="35"/>
        <v/>
      </c>
      <c r="C41" s="60" t="str">
        <f t="shared" ref="C41:AA41" ca="1" si="43">IFERROR(IF(OR(INDIRECT("'Datos "&amp;Tipo_Cuestionario_Cod&amp;"'!"&amp;C$1&amp;7+$A41-1)="",C$2="",$B41=""),"",
IF(AND(C$1="J",Tipo_Cuestionario_Cod="VF"),C$2&amp;IF(MID(B41,FIND(")",B41)+2,1)="V","FALSO","VERDADERO"),
C$2&amp;INDIRECT("'Datos "&amp;Tipo_Cuestionario_Cod&amp;"'!"&amp;C$1&amp;7+$A41-1))),"")</f>
        <v/>
      </c>
      <c r="D41" s="60" t="str">
        <f t="shared" ca="1" si="43"/>
        <v/>
      </c>
      <c r="E41" s="60" t="str">
        <f t="shared" ca="1" si="43"/>
        <v/>
      </c>
      <c r="F41" s="60" t="str">
        <f t="shared" ca="1" si="43"/>
        <v/>
      </c>
      <c r="G41" s="60" t="str">
        <f t="shared" ca="1" si="43"/>
        <v/>
      </c>
      <c r="H41" s="60" t="str">
        <f t="shared" ca="1" si="43"/>
        <v/>
      </c>
      <c r="I41" s="60" t="str">
        <f t="shared" ca="1" si="43"/>
        <v/>
      </c>
      <c r="J41" s="60" t="str">
        <f t="shared" ca="1" si="43"/>
        <v/>
      </c>
      <c r="K41" s="60" t="str">
        <f t="shared" ca="1" si="43"/>
        <v/>
      </c>
      <c r="L41" s="60" t="str">
        <f t="shared" ca="1" si="43"/>
        <v/>
      </c>
      <c r="M41" s="60" t="str">
        <f t="shared" ca="1" si="43"/>
        <v/>
      </c>
      <c r="N41" s="60" t="str">
        <f t="shared" ca="1" si="43"/>
        <v/>
      </c>
      <c r="O41" s="60" t="str">
        <f t="shared" ca="1" si="43"/>
        <v/>
      </c>
      <c r="P41" s="60" t="str">
        <f t="shared" ca="1" si="43"/>
        <v/>
      </c>
      <c r="Q41" s="60" t="str">
        <f t="shared" ca="1" si="43"/>
        <v/>
      </c>
      <c r="R41" s="60" t="str">
        <f t="shared" ca="1" si="43"/>
        <v/>
      </c>
      <c r="S41" s="60" t="str">
        <f t="shared" ca="1" si="43"/>
        <v/>
      </c>
      <c r="T41" s="60" t="str">
        <f t="shared" ca="1" si="43"/>
        <v/>
      </c>
      <c r="U41" s="60" t="str">
        <f t="shared" ca="1" si="43"/>
        <v/>
      </c>
      <c r="V41" s="60" t="str">
        <f t="shared" ca="1" si="43"/>
        <v/>
      </c>
      <c r="W41" s="60" t="str">
        <f t="shared" ca="1" si="43"/>
        <v/>
      </c>
      <c r="X41" s="60" t="str">
        <f t="shared" ca="1" si="43"/>
        <v/>
      </c>
      <c r="Y41" s="60" t="str">
        <f t="shared" ca="1" si="43"/>
        <v/>
      </c>
      <c r="Z41" s="60" t="str">
        <f t="shared" ca="1" si="43"/>
        <v/>
      </c>
      <c r="AA41" s="60" t="str">
        <f t="shared" ca="1" si="43"/>
        <v/>
      </c>
    </row>
    <row r="42" spans="1:27" x14ac:dyDescent="0.25">
      <c r="A42" t="str">
        <f t="shared" ca="1" si="37"/>
        <v/>
      </c>
      <c r="B42" t="str">
        <f t="shared" ca="1" si="35"/>
        <v/>
      </c>
      <c r="C42" s="60" t="str">
        <f t="shared" ref="C42:AA42" ca="1" si="44">IFERROR(IF(OR(INDIRECT("'Datos "&amp;Tipo_Cuestionario_Cod&amp;"'!"&amp;C$1&amp;7+$A42-1)="",C$2="",$B42=""),"",
IF(AND(C$1="J",Tipo_Cuestionario_Cod="VF"),C$2&amp;IF(MID(B42,FIND(")",B42)+2,1)="V","FALSO","VERDADERO"),
C$2&amp;INDIRECT("'Datos "&amp;Tipo_Cuestionario_Cod&amp;"'!"&amp;C$1&amp;7+$A42-1))),"")</f>
        <v/>
      </c>
      <c r="D42" s="60" t="str">
        <f t="shared" ca="1" si="44"/>
        <v/>
      </c>
      <c r="E42" s="60" t="str">
        <f t="shared" ca="1" si="44"/>
        <v/>
      </c>
      <c r="F42" s="60" t="str">
        <f t="shared" ca="1" si="44"/>
        <v/>
      </c>
      <c r="G42" s="60" t="str">
        <f t="shared" ca="1" si="44"/>
        <v/>
      </c>
      <c r="H42" s="60" t="str">
        <f t="shared" ca="1" si="44"/>
        <v/>
      </c>
      <c r="I42" s="60" t="str">
        <f t="shared" ca="1" si="44"/>
        <v/>
      </c>
      <c r="J42" s="60" t="str">
        <f t="shared" ca="1" si="44"/>
        <v/>
      </c>
      <c r="K42" s="60" t="str">
        <f t="shared" ca="1" si="44"/>
        <v/>
      </c>
      <c r="L42" s="60" t="str">
        <f t="shared" ca="1" si="44"/>
        <v/>
      </c>
      <c r="M42" s="60" t="str">
        <f t="shared" ca="1" si="44"/>
        <v/>
      </c>
      <c r="N42" s="60" t="str">
        <f t="shared" ca="1" si="44"/>
        <v/>
      </c>
      <c r="O42" s="60" t="str">
        <f t="shared" ca="1" si="44"/>
        <v/>
      </c>
      <c r="P42" s="60" t="str">
        <f t="shared" ca="1" si="44"/>
        <v/>
      </c>
      <c r="Q42" s="60" t="str">
        <f t="shared" ca="1" si="44"/>
        <v/>
      </c>
      <c r="R42" s="60" t="str">
        <f t="shared" ca="1" si="44"/>
        <v/>
      </c>
      <c r="S42" s="60" t="str">
        <f t="shared" ca="1" si="44"/>
        <v/>
      </c>
      <c r="T42" s="60" t="str">
        <f t="shared" ca="1" si="44"/>
        <v/>
      </c>
      <c r="U42" s="60" t="str">
        <f t="shared" ca="1" si="44"/>
        <v/>
      </c>
      <c r="V42" s="60" t="str">
        <f t="shared" ca="1" si="44"/>
        <v/>
      </c>
      <c r="W42" s="60" t="str">
        <f t="shared" ca="1" si="44"/>
        <v/>
      </c>
      <c r="X42" s="60" t="str">
        <f t="shared" ca="1" si="44"/>
        <v/>
      </c>
      <c r="Y42" s="60" t="str">
        <f t="shared" ca="1" si="44"/>
        <v/>
      </c>
      <c r="Z42" s="60" t="str">
        <f t="shared" ca="1" si="44"/>
        <v/>
      </c>
      <c r="AA42" s="60" t="str">
        <f t="shared" ca="1" si="44"/>
        <v/>
      </c>
    </row>
    <row r="43" spans="1:27" x14ac:dyDescent="0.25">
      <c r="A43" t="str">
        <f t="shared" ca="1" si="37"/>
        <v/>
      </c>
      <c r="B43" t="str">
        <f t="shared" ca="1" si="35"/>
        <v/>
      </c>
      <c r="C43" s="60" t="str">
        <f t="shared" ref="C43:AA43" ca="1" si="45">IFERROR(IF(OR(INDIRECT("'Datos "&amp;Tipo_Cuestionario_Cod&amp;"'!"&amp;C$1&amp;7+$A43-1)="",C$2="",$B43=""),"",
IF(AND(C$1="J",Tipo_Cuestionario_Cod="VF"),C$2&amp;IF(MID(B43,FIND(")",B43)+2,1)="V","FALSO","VERDADERO"),
C$2&amp;INDIRECT("'Datos "&amp;Tipo_Cuestionario_Cod&amp;"'!"&amp;C$1&amp;7+$A43-1))),"")</f>
        <v/>
      </c>
      <c r="D43" s="60" t="str">
        <f t="shared" ca="1" si="45"/>
        <v/>
      </c>
      <c r="E43" s="60" t="str">
        <f t="shared" ca="1" si="45"/>
        <v/>
      </c>
      <c r="F43" s="60" t="str">
        <f t="shared" ca="1" si="45"/>
        <v/>
      </c>
      <c r="G43" s="60" t="str">
        <f t="shared" ca="1" si="45"/>
        <v/>
      </c>
      <c r="H43" s="60" t="str">
        <f t="shared" ca="1" si="45"/>
        <v/>
      </c>
      <c r="I43" s="60" t="str">
        <f t="shared" ca="1" si="45"/>
        <v/>
      </c>
      <c r="J43" s="60" t="str">
        <f t="shared" ca="1" si="45"/>
        <v/>
      </c>
      <c r="K43" s="60" t="str">
        <f t="shared" ca="1" si="45"/>
        <v/>
      </c>
      <c r="L43" s="60" t="str">
        <f t="shared" ca="1" si="45"/>
        <v/>
      </c>
      <c r="M43" s="60" t="str">
        <f t="shared" ca="1" si="45"/>
        <v/>
      </c>
      <c r="N43" s="60" t="str">
        <f t="shared" ca="1" si="45"/>
        <v/>
      </c>
      <c r="O43" s="60" t="str">
        <f t="shared" ca="1" si="45"/>
        <v/>
      </c>
      <c r="P43" s="60" t="str">
        <f t="shared" ca="1" si="45"/>
        <v/>
      </c>
      <c r="Q43" s="60" t="str">
        <f t="shared" ca="1" si="45"/>
        <v/>
      </c>
      <c r="R43" s="60" t="str">
        <f t="shared" ca="1" si="45"/>
        <v/>
      </c>
      <c r="S43" s="60" t="str">
        <f t="shared" ca="1" si="45"/>
        <v/>
      </c>
      <c r="T43" s="60" t="str">
        <f t="shared" ca="1" si="45"/>
        <v/>
      </c>
      <c r="U43" s="60" t="str">
        <f t="shared" ca="1" si="45"/>
        <v/>
      </c>
      <c r="V43" s="60" t="str">
        <f t="shared" ca="1" si="45"/>
        <v/>
      </c>
      <c r="W43" s="60" t="str">
        <f t="shared" ca="1" si="45"/>
        <v/>
      </c>
      <c r="X43" s="60" t="str">
        <f t="shared" ca="1" si="45"/>
        <v/>
      </c>
      <c r="Y43" s="60" t="str">
        <f t="shared" ca="1" si="45"/>
        <v/>
      </c>
      <c r="Z43" s="60" t="str">
        <f t="shared" ca="1" si="45"/>
        <v/>
      </c>
      <c r="AA43" s="60" t="str">
        <f t="shared" ca="1" si="45"/>
        <v/>
      </c>
    </row>
    <row r="44" spans="1:27" x14ac:dyDescent="0.25">
      <c r="A44" t="str">
        <f t="shared" ca="1" si="37"/>
        <v/>
      </c>
      <c r="B44" t="str">
        <f t="shared" ca="1" si="35"/>
        <v/>
      </c>
      <c r="C44" s="60" t="str">
        <f t="shared" ref="C44:AA44" ca="1" si="46">IFERROR(IF(OR(INDIRECT("'Datos "&amp;Tipo_Cuestionario_Cod&amp;"'!"&amp;C$1&amp;7+$A44-1)="",C$2="",$B44=""),"",
IF(AND(C$1="J",Tipo_Cuestionario_Cod="VF"),C$2&amp;IF(MID(B44,FIND(")",B44)+2,1)="V","FALSO","VERDADERO"),
C$2&amp;INDIRECT("'Datos "&amp;Tipo_Cuestionario_Cod&amp;"'!"&amp;C$1&amp;7+$A44-1))),"")</f>
        <v/>
      </c>
      <c r="D44" s="60" t="str">
        <f t="shared" ca="1" si="46"/>
        <v/>
      </c>
      <c r="E44" s="60" t="str">
        <f t="shared" ca="1" si="46"/>
        <v/>
      </c>
      <c r="F44" s="60" t="str">
        <f t="shared" ca="1" si="46"/>
        <v/>
      </c>
      <c r="G44" s="60" t="str">
        <f t="shared" ca="1" si="46"/>
        <v/>
      </c>
      <c r="H44" s="60" t="str">
        <f t="shared" ca="1" si="46"/>
        <v/>
      </c>
      <c r="I44" s="60" t="str">
        <f t="shared" ca="1" si="46"/>
        <v/>
      </c>
      <c r="J44" s="60" t="str">
        <f t="shared" ca="1" si="46"/>
        <v/>
      </c>
      <c r="K44" s="60" t="str">
        <f t="shared" ca="1" si="46"/>
        <v/>
      </c>
      <c r="L44" s="60" t="str">
        <f t="shared" ca="1" si="46"/>
        <v/>
      </c>
      <c r="M44" s="60" t="str">
        <f t="shared" ca="1" si="46"/>
        <v/>
      </c>
      <c r="N44" s="60" t="str">
        <f t="shared" ca="1" si="46"/>
        <v/>
      </c>
      <c r="O44" s="60" t="str">
        <f t="shared" ca="1" si="46"/>
        <v/>
      </c>
      <c r="P44" s="60" t="str">
        <f t="shared" ca="1" si="46"/>
        <v/>
      </c>
      <c r="Q44" s="60" t="str">
        <f t="shared" ca="1" si="46"/>
        <v/>
      </c>
      <c r="R44" s="60" t="str">
        <f t="shared" ca="1" si="46"/>
        <v/>
      </c>
      <c r="S44" s="60" t="str">
        <f t="shared" ca="1" si="46"/>
        <v/>
      </c>
      <c r="T44" s="60" t="str">
        <f t="shared" ca="1" si="46"/>
        <v/>
      </c>
      <c r="U44" s="60" t="str">
        <f t="shared" ca="1" si="46"/>
        <v/>
      </c>
      <c r="V44" s="60" t="str">
        <f t="shared" ca="1" si="46"/>
        <v/>
      </c>
      <c r="W44" s="60" t="str">
        <f t="shared" ca="1" si="46"/>
        <v/>
      </c>
      <c r="X44" s="60" t="str">
        <f t="shared" ca="1" si="46"/>
        <v/>
      </c>
      <c r="Y44" s="60" t="str">
        <f t="shared" ca="1" si="46"/>
        <v/>
      </c>
      <c r="Z44" s="60" t="str">
        <f t="shared" ca="1" si="46"/>
        <v/>
      </c>
      <c r="AA44" s="60" t="str">
        <f t="shared" ca="1" si="46"/>
        <v/>
      </c>
    </row>
    <row r="45" spans="1:27" x14ac:dyDescent="0.25">
      <c r="A45" t="str">
        <f t="shared" ca="1" si="37"/>
        <v/>
      </c>
      <c r="B45" t="str">
        <f t="shared" ca="1" si="35"/>
        <v/>
      </c>
      <c r="C45" s="60" t="str">
        <f t="shared" ref="C45:AA45" ca="1" si="47">IFERROR(IF(OR(INDIRECT("'Datos "&amp;Tipo_Cuestionario_Cod&amp;"'!"&amp;C$1&amp;7+$A45-1)="",C$2="",$B45=""),"",
IF(AND(C$1="J",Tipo_Cuestionario_Cod="VF"),C$2&amp;IF(MID(B45,FIND(")",B45)+2,1)="V","FALSO","VERDADERO"),
C$2&amp;INDIRECT("'Datos "&amp;Tipo_Cuestionario_Cod&amp;"'!"&amp;C$1&amp;7+$A45-1))),"")</f>
        <v/>
      </c>
      <c r="D45" s="60" t="str">
        <f t="shared" ca="1" si="47"/>
        <v/>
      </c>
      <c r="E45" s="60" t="str">
        <f t="shared" ca="1" si="47"/>
        <v/>
      </c>
      <c r="F45" s="60" t="str">
        <f t="shared" ca="1" si="47"/>
        <v/>
      </c>
      <c r="G45" s="60" t="str">
        <f t="shared" ca="1" si="47"/>
        <v/>
      </c>
      <c r="H45" s="60" t="str">
        <f t="shared" ca="1" si="47"/>
        <v/>
      </c>
      <c r="I45" s="60" t="str">
        <f t="shared" ca="1" si="47"/>
        <v/>
      </c>
      <c r="J45" s="60" t="str">
        <f t="shared" ca="1" si="47"/>
        <v/>
      </c>
      <c r="K45" s="60" t="str">
        <f t="shared" ca="1" si="47"/>
        <v/>
      </c>
      <c r="L45" s="60" t="str">
        <f t="shared" ca="1" si="47"/>
        <v/>
      </c>
      <c r="M45" s="60" t="str">
        <f t="shared" ca="1" si="47"/>
        <v/>
      </c>
      <c r="N45" s="60" t="str">
        <f t="shared" ca="1" si="47"/>
        <v/>
      </c>
      <c r="O45" s="60" t="str">
        <f t="shared" ca="1" si="47"/>
        <v/>
      </c>
      <c r="P45" s="60" t="str">
        <f t="shared" ca="1" si="47"/>
        <v/>
      </c>
      <c r="Q45" s="60" t="str">
        <f t="shared" ca="1" si="47"/>
        <v/>
      </c>
      <c r="R45" s="60" t="str">
        <f t="shared" ca="1" si="47"/>
        <v/>
      </c>
      <c r="S45" s="60" t="str">
        <f t="shared" ca="1" si="47"/>
        <v/>
      </c>
      <c r="T45" s="60" t="str">
        <f t="shared" ca="1" si="47"/>
        <v/>
      </c>
      <c r="U45" s="60" t="str">
        <f t="shared" ca="1" si="47"/>
        <v/>
      </c>
      <c r="V45" s="60" t="str">
        <f t="shared" ca="1" si="47"/>
        <v/>
      </c>
      <c r="W45" s="60" t="str">
        <f t="shared" ca="1" si="47"/>
        <v/>
      </c>
      <c r="X45" s="60" t="str">
        <f t="shared" ca="1" si="47"/>
        <v/>
      </c>
      <c r="Y45" s="60" t="str">
        <f t="shared" ca="1" si="47"/>
        <v/>
      </c>
      <c r="Z45" s="60" t="str">
        <f t="shared" ca="1" si="47"/>
        <v/>
      </c>
      <c r="AA45" s="60" t="str">
        <f t="shared" ca="1" si="47"/>
        <v/>
      </c>
    </row>
    <row r="46" spans="1:27" x14ac:dyDescent="0.25">
      <c r="A46" t="str">
        <f t="shared" ca="1" si="37"/>
        <v/>
      </c>
      <c r="B46" t="str">
        <f t="shared" ca="1" si="35"/>
        <v/>
      </c>
      <c r="C46" s="60" t="str">
        <f t="shared" ref="C46:AA46" ca="1" si="48">IFERROR(IF(OR(INDIRECT("'Datos "&amp;Tipo_Cuestionario_Cod&amp;"'!"&amp;C$1&amp;7+$A46-1)="",C$2="",$B46=""),"",
IF(AND(C$1="J",Tipo_Cuestionario_Cod="VF"),C$2&amp;IF(MID(B46,FIND(")",B46)+2,1)="V","FALSO","VERDADERO"),
C$2&amp;INDIRECT("'Datos "&amp;Tipo_Cuestionario_Cod&amp;"'!"&amp;C$1&amp;7+$A46-1))),"")</f>
        <v/>
      </c>
      <c r="D46" s="60" t="str">
        <f t="shared" ca="1" si="48"/>
        <v/>
      </c>
      <c r="E46" s="60" t="str">
        <f t="shared" ca="1" si="48"/>
        <v/>
      </c>
      <c r="F46" s="60" t="str">
        <f t="shared" ca="1" si="48"/>
        <v/>
      </c>
      <c r="G46" s="60" t="str">
        <f t="shared" ca="1" si="48"/>
        <v/>
      </c>
      <c r="H46" s="60" t="str">
        <f t="shared" ca="1" si="48"/>
        <v/>
      </c>
      <c r="I46" s="60" t="str">
        <f t="shared" ca="1" si="48"/>
        <v/>
      </c>
      <c r="J46" s="60" t="str">
        <f t="shared" ca="1" si="48"/>
        <v/>
      </c>
      <c r="K46" s="60" t="str">
        <f t="shared" ca="1" si="48"/>
        <v/>
      </c>
      <c r="L46" s="60" t="str">
        <f t="shared" ca="1" si="48"/>
        <v/>
      </c>
      <c r="M46" s="60" t="str">
        <f t="shared" ca="1" si="48"/>
        <v/>
      </c>
      <c r="N46" s="60" t="str">
        <f t="shared" ca="1" si="48"/>
        <v/>
      </c>
      <c r="O46" s="60" t="str">
        <f t="shared" ca="1" si="48"/>
        <v/>
      </c>
      <c r="P46" s="60" t="str">
        <f t="shared" ca="1" si="48"/>
        <v/>
      </c>
      <c r="Q46" s="60" t="str">
        <f t="shared" ca="1" si="48"/>
        <v/>
      </c>
      <c r="R46" s="60" t="str">
        <f t="shared" ca="1" si="48"/>
        <v/>
      </c>
      <c r="S46" s="60" t="str">
        <f t="shared" ca="1" si="48"/>
        <v/>
      </c>
      <c r="T46" s="60" t="str">
        <f t="shared" ca="1" si="48"/>
        <v/>
      </c>
      <c r="U46" s="60" t="str">
        <f t="shared" ca="1" si="48"/>
        <v/>
      </c>
      <c r="V46" s="60" t="str">
        <f t="shared" ca="1" si="48"/>
        <v/>
      </c>
      <c r="W46" s="60" t="str">
        <f t="shared" ca="1" si="48"/>
        <v/>
      </c>
      <c r="X46" s="60" t="str">
        <f t="shared" ca="1" si="48"/>
        <v/>
      </c>
      <c r="Y46" s="60" t="str">
        <f t="shared" ca="1" si="48"/>
        <v/>
      </c>
      <c r="Z46" s="60" t="str">
        <f t="shared" ca="1" si="48"/>
        <v/>
      </c>
      <c r="AA46" s="60" t="str">
        <f t="shared" ca="1" si="48"/>
        <v/>
      </c>
    </row>
    <row r="47" spans="1:27" x14ac:dyDescent="0.25">
      <c r="A47" t="str">
        <f t="shared" ca="1" si="37"/>
        <v/>
      </c>
      <c r="B47" t="str">
        <f t="shared" ca="1" si="35"/>
        <v/>
      </c>
      <c r="C47" s="60" t="str">
        <f t="shared" ref="C47:AA47" ca="1" si="49">IFERROR(IF(OR(INDIRECT("'Datos "&amp;Tipo_Cuestionario_Cod&amp;"'!"&amp;C$1&amp;7+$A47-1)="",C$2="",$B47=""),"",
IF(AND(C$1="J",Tipo_Cuestionario_Cod="VF"),C$2&amp;IF(MID(B47,FIND(")",B47)+2,1)="V","FALSO","VERDADERO"),
C$2&amp;INDIRECT("'Datos "&amp;Tipo_Cuestionario_Cod&amp;"'!"&amp;C$1&amp;7+$A47-1))),"")</f>
        <v/>
      </c>
      <c r="D47" s="60" t="str">
        <f t="shared" ca="1" si="49"/>
        <v/>
      </c>
      <c r="E47" s="60" t="str">
        <f t="shared" ca="1" si="49"/>
        <v/>
      </c>
      <c r="F47" s="60" t="str">
        <f t="shared" ca="1" si="49"/>
        <v/>
      </c>
      <c r="G47" s="60" t="str">
        <f t="shared" ca="1" si="49"/>
        <v/>
      </c>
      <c r="H47" s="60" t="str">
        <f t="shared" ca="1" si="49"/>
        <v/>
      </c>
      <c r="I47" s="60" t="str">
        <f t="shared" ca="1" si="49"/>
        <v/>
      </c>
      <c r="J47" s="60" t="str">
        <f t="shared" ca="1" si="49"/>
        <v/>
      </c>
      <c r="K47" s="60" t="str">
        <f t="shared" ca="1" si="49"/>
        <v/>
      </c>
      <c r="L47" s="60" t="str">
        <f t="shared" ca="1" si="49"/>
        <v/>
      </c>
      <c r="M47" s="60" t="str">
        <f t="shared" ca="1" si="49"/>
        <v/>
      </c>
      <c r="N47" s="60" t="str">
        <f t="shared" ca="1" si="49"/>
        <v/>
      </c>
      <c r="O47" s="60" t="str">
        <f t="shared" ca="1" si="49"/>
        <v/>
      </c>
      <c r="P47" s="60" t="str">
        <f t="shared" ca="1" si="49"/>
        <v/>
      </c>
      <c r="Q47" s="60" t="str">
        <f t="shared" ca="1" si="49"/>
        <v/>
      </c>
      <c r="R47" s="60" t="str">
        <f t="shared" ca="1" si="49"/>
        <v/>
      </c>
      <c r="S47" s="60" t="str">
        <f t="shared" ca="1" si="49"/>
        <v/>
      </c>
      <c r="T47" s="60" t="str">
        <f t="shared" ca="1" si="49"/>
        <v/>
      </c>
      <c r="U47" s="60" t="str">
        <f t="shared" ca="1" si="49"/>
        <v/>
      </c>
      <c r="V47" s="60" t="str">
        <f t="shared" ca="1" si="49"/>
        <v/>
      </c>
      <c r="W47" s="60" t="str">
        <f t="shared" ca="1" si="49"/>
        <v/>
      </c>
      <c r="X47" s="60" t="str">
        <f t="shared" ca="1" si="49"/>
        <v/>
      </c>
      <c r="Y47" s="60" t="str">
        <f t="shared" ca="1" si="49"/>
        <v/>
      </c>
      <c r="Z47" s="60" t="str">
        <f t="shared" ca="1" si="49"/>
        <v/>
      </c>
      <c r="AA47" s="60" t="str">
        <f t="shared" ca="1" si="49"/>
        <v/>
      </c>
    </row>
    <row r="48" spans="1:27" x14ac:dyDescent="0.25">
      <c r="A48" t="str">
        <f t="shared" ca="1" si="37"/>
        <v/>
      </c>
      <c r="B48" t="str">
        <f t="shared" ca="1" si="35"/>
        <v/>
      </c>
      <c r="C48" s="60" t="str">
        <f t="shared" ref="C48:AA48" ca="1" si="50">IFERROR(IF(OR(INDIRECT("'Datos "&amp;Tipo_Cuestionario_Cod&amp;"'!"&amp;C$1&amp;7+$A48-1)="",C$2="",$B48=""),"",
IF(AND(C$1="J",Tipo_Cuestionario_Cod="VF"),C$2&amp;IF(MID(B48,FIND(")",B48)+2,1)="V","FALSO","VERDADERO"),
C$2&amp;INDIRECT("'Datos "&amp;Tipo_Cuestionario_Cod&amp;"'!"&amp;C$1&amp;7+$A48-1))),"")</f>
        <v/>
      </c>
      <c r="D48" s="60" t="str">
        <f t="shared" ca="1" si="50"/>
        <v/>
      </c>
      <c r="E48" s="60" t="str">
        <f t="shared" ca="1" si="50"/>
        <v/>
      </c>
      <c r="F48" s="60" t="str">
        <f t="shared" ca="1" si="50"/>
        <v/>
      </c>
      <c r="G48" s="60" t="str">
        <f t="shared" ca="1" si="50"/>
        <v/>
      </c>
      <c r="H48" s="60" t="str">
        <f t="shared" ca="1" si="50"/>
        <v/>
      </c>
      <c r="I48" s="60" t="str">
        <f t="shared" ca="1" si="50"/>
        <v/>
      </c>
      <c r="J48" s="60" t="str">
        <f t="shared" ca="1" si="50"/>
        <v/>
      </c>
      <c r="K48" s="60" t="str">
        <f t="shared" ca="1" si="50"/>
        <v/>
      </c>
      <c r="L48" s="60" t="str">
        <f t="shared" ca="1" si="50"/>
        <v/>
      </c>
      <c r="M48" s="60" t="str">
        <f t="shared" ca="1" si="50"/>
        <v/>
      </c>
      <c r="N48" s="60" t="str">
        <f t="shared" ca="1" si="50"/>
        <v/>
      </c>
      <c r="O48" s="60" t="str">
        <f t="shared" ca="1" si="50"/>
        <v/>
      </c>
      <c r="P48" s="60" t="str">
        <f t="shared" ca="1" si="50"/>
        <v/>
      </c>
      <c r="Q48" s="60" t="str">
        <f t="shared" ca="1" si="50"/>
        <v/>
      </c>
      <c r="R48" s="60" t="str">
        <f t="shared" ca="1" si="50"/>
        <v/>
      </c>
      <c r="S48" s="60" t="str">
        <f t="shared" ca="1" si="50"/>
        <v/>
      </c>
      <c r="T48" s="60" t="str">
        <f t="shared" ca="1" si="50"/>
        <v/>
      </c>
      <c r="U48" s="60" t="str">
        <f t="shared" ca="1" si="50"/>
        <v/>
      </c>
      <c r="V48" s="60" t="str">
        <f t="shared" ca="1" si="50"/>
        <v/>
      </c>
      <c r="W48" s="60" t="str">
        <f t="shared" ca="1" si="50"/>
        <v/>
      </c>
      <c r="X48" s="60" t="str">
        <f t="shared" ca="1" si="50"/>
        <v/>
      </c>
      <c r="Y48" s="60" t="str">
        <f t="shared" ca="1" si="50"/>
        <v/>
      </c>
      <c r="Z48" s="60" t="str">
        <f t="shared" ca="1" si="50"/>
        <v/>
      </c>
      <c r="AA48" s="60" t="str">
        <f t="shared" ca="1" si="50"/>
        <v/>
      </c>
    </row>
    <row r="49" spans="1:27" x14ac:dyDescent="0.25">
      <c r="A49" t="str">
        <f t="shared" ca="1" si="37"/>
        <v/>
      </c>
      <c r="B49" t="str">
        <f t="shared" ca="1" si="35"/>
        <v/>
      </c>
      <c r="C49" s="60" t="str">
        <f t="shared" ref="C49:AA49" ca="1" si="51">IFERROR(IF(OR(INDIRECT("'Datos "&amp;Tipo_Cuestionario_Cod&amp;"'!"&amp;C$1&amp;7+$A49-1)="",C$2="",$B49=""),"",
IF(AND(C$1="J",Tipo_Cuestionario_Cod="VF"),C$2&amp;IF(MID(B49,FIND(")",B49)+2,1)="V","FALSO","VERDADERO"),
C$2&amp;INDIRECT("'Datos "&amp;Tipo_Cuestionario_Cod&amp;"'!"&amp;C$1&amp;7+$A49-1))),"")</f>
        <v/>
      </c>
      <c r="D49" s="60" t="str">
        <f t="shared" ca="1" si="51"/>
        <v/>
      </c>
      <c r="E49" s="60" t="str">
        <f t="shared" ca="1" si="51"/>
        <v/>
      </c>
      <c r="F49" s="60" t="str">
        <f t="shared" ca="1" si="51"/>
        <v/>
      </c>
      <c r="G49" s="60" t="str">
        <f t="shared" ca="1" si="51"/>
        <v/>
      </c>
      <c r="H49" s="60" t="str">
        <f t="shared" ca="1" si="51"/>
        <v/>
      </c>
      <c r="I49" s="60" t="str">
        <f t="shared" ca="1" si="51"/>
        <v/>
      </c>
      <c r="J49" s="60" t="str">
        <f t="shared" ca="1" si="51"/>
        <v/>
      </c>
      <c r="K49" s="60" t="str">
        <f t="shared" ca="1" si="51"/>
        <v/>
      </c>
      <c r="L49" s="60" t="str">
        <f t="shared" ca="1" si="51"/>
        <v/>
      </c>
      <c r="M49" s="60" t="str">
        <f t="shared" ca="1" si="51"/>
        <v/>
      </c>
      <c r="N49" s="60" t="str">
        <f t="shared" ca="1" si="51"/>
        <v/>
      </c>
      <c r="O49" s="60" t="str">
        <f t="shared" ca="1" si="51"/>
        <v/>
      </c>
      <c r="P49" s="60" t="str">
        <f t="shared" ca="1" si="51"/>
        <v/>
      </c>
      <c r="Q49" s="60" t="str">
        <f t="shared" ca="1" si="51"/>
        <v/>
      </c>
      <c r="R49" s="60" t="str">
        <f t="shared" ca="1" si="51"/>
        <v/>
      </c>
      <c r="S49" s="60" t="str">
        <f t="shared" ca="1" si="51"/>
        <v/>
      </c>
      <c r="T49" s="60" t="str">
        <f t="shared" ca="1" si="51"/>
        <v/>
      </c>
      <c r="U49" s="60" t="str">
        <f t="shared" ca="1" si="51"/>
        <v/>
      </c>
      <c r="V49" s="60" t="str">
        <f t="shared" ca="1" si="51"/>
        <v/>
      </c>
      <c r="W49" s="60" t="str">
        <f t="shared" ca="1" si="51"/>
        <v/>
      </c>
      <c r="X49" s="60" t="str">
        <f t="shared" ca="1" si="51"/>
        <v/>
      </c>
      <c r="Y49" s="60" t="str">
        <f t="shared" ca="1" si="51"/>
        <v/>
      </c>
      <c r="Z49" s="60" t="str">
        <f t="shared" ca="1" si="51"/>
        <v/>
      </c>
      <c r="AA49" s="60" t="str">
        <f t="shared" ca="1" si="51"/>
        <v/>
      </c>
    </row>
    <row r="50" spans="1:27" x14ac:dyDescent="0.25">
      <c r="A50" t="str">
        <f t="shared" ca="1" si="37"/>
        <v/>
      </c>
      <c r="B50" t="str">
        <f t="shared" ca="1" si="35"/>
        <v/>
      </c>
      <c r="C50" s="60" t="str">
        <f t="shared" ref="C50:AA50" ca="1" si="52">IFERROR(IF(OR(INDIRECT("'Datos "&amp;Tipo_Cuestionario_Cod&amp;"'!"&amp;C$1&amp;7+$A50-1)="",C$2="",$B50=""),"",
IF(AND(C$1="J",Tipo_Cuestionario_Cod="VF"),C$2&amp;IF(MID(B50,FIND(")",B50)+2,1)="V","FALSO","VERDADERO"),
C$2&amp;INDIRECT("'Datos "&amp;Tipo_Cuestionario_Cod&amp;"'!"&amp;C$1&amp;7+$A50-1))),"")</f>
        <v/>
      </c>
      <c r="D50" s="60" t="str">
        <f t="shared" ca="1" si="52"/>
        <v/>
      </c>
      <c r="E50" s="60" t="str">
        <f t="shared" ca="1" si="52"/>
        <v/>
      </c>
      <c r="F50" s="60" t="str">
        <f t="shared" ca="1" si="52"/>
        <v/>
      </c>
      <c r="G50" s="60" t="str">
        <f t="shared" ca="1" si="52"/>
        <v/>
      </c>
      <c r="H50" s="60" t="str">
        <f t="shared" ca="1" si="52"/>
        <v/>
      </c>
      <c r="I50" s="60" t="str">
        <f t="shared" ca="1" si="52"/>
        <v/>
      </c>
      <c r="J50" s="60" t="str">
        <f t="shared" ca="1" si="52"/>
        <v/>
      </c>
      <c r="K50" s="60" t="str">
        <f t="shared" ca="1" si="52"/>
        <v/>
      </c>
      <c r="L50" s="60" t="str">
        <f t="shared" ca="1" si="52"/>
        <v/>
      </c>
      <c r="M50" s="60" t="str">
        <f t="shared" ca="1" si="52"/>
        <v/>
      </c>
      <c r="N50" s="60" t="str">
        <f t="shared" ca="1" si="52"/>
        <v/>
      </c>
      <c r="O50" s="60" t="str">
        <f t="shared" ca="1" si="52"/>
        <v/>
      </c>
      <c r="P50" s="60" t="str">
        <f t="shared" ca="1" si="52"/>
        <v/>
      </c>
      <c r="Q50" s="60" t="str">
        <f t="shared" ca="1" si="52"/>
        <v/>
      </c>
      <c r="R50" s="60" t="str">
        <f t="shared" ca="1" si="52"/>
        <v/>
      </c>
      <c r="S50" s="60" t="str">
        <f t="shared" ca="1" si="52"/>
        <v/>
      </c>
      <c r="T50" s="60" t="str">
        <f t="shared" ca="1" si="52"/>
        <v/>
      </c>
      <c r="U50" s="60" t="str">
        <f t="shared" ca="1" si="52"/>
        <v/>
      </c>
      <c r="V50" s="60" t="str">
        <f t="shared" ca="1" si="52"/>
        <v/>
      </c>
      <c r="W50" s="60" t="str">
        <f t="shared" ca="1" si="52"/>
        <v/>
      </c>
      <c r="X50" s="60" t="str">
        <f t="shared" ca="1" si="52"/>
        <v/>
      </c>
      <c r="Y50" s="60" t="str">
        <f t="shared" ca="1" si="52"/>
        <v/>
      </c>
      <c r="Z50" s="60" t="str">
        <f t="shared" ca="1" si="52"/>
        <v/>
      </c>
      <c r="AA50" s="60" t="str">
        <f t="shared" ca="1" si="52"/>
        <v/>
      </c>
    </row>
    <row r="51" spans="1:27" x14ac:dyDescent="0.25">
      <c r="A51" t="str">
        <f t="shared" ca="1" si="37"/>
        <v/>
      </c>
      <c r="B51" t="str">
        <f t="shared" ca="1" si="35"/>
        <v/>
      </c>
      <c r="C51" s="60" t="str">
        <f t="shared" ref="C51:AA51" ca="1" si="53">IFERROR(IF(OR(INDIRECT("'Datos "&amp;Tipo_Cuestionario_Cod&amp;"'!"&amp;C$1&amp;7+$A51-1)="",C$2="",$B51=""),"",
IF(AND(C$1="J",Tipo_Cuestionario_Cod="VF"),C$2&amp;IF(MID(B51,FIND(")",B51)+2,1)="V","FALSO","VERDADERO"),
C$2&amp;INDIRECT("'Datos "&amp;Tipo_Cuestionario_Cod&amp;"'!"&amp;C$1&amp;7+$A51-1))),"")</f>
        <v/>
      </c>
      <c r="D51" s="60" t="str">
        <f t="shared" ca="1" si="53"/>
        <v/>
      </c>
      <c r="E51" s="60" t="str">
        <f t="shared" ca="1" si="53"/>
        <v/>
      </c>
      <c r="F51" s="60" t="str">
        <f t="shared" ca="1" si="53"/>
        <v/>
      </c>
      <c r="G51" s="60" t="str">
        <f t="shared" ca="1" si="53"/>
        <v/>
      </c>
      <c r="H51" s="60" t="str">
        <f t="shared" ca="1" si="53"/>
        <v/>
      </c>
      <c r="I51" s="60" t="str">
        <f t="shared" ca="1" si="53"/>
        <v/>
      </c>
      <c r="J51" s="60" t="str">
        <f t="shared" ca="1" si="53"/>
        <v/>
      </c>
      <c r="K51" s="60" t="str">
        <f t="shared" ca="1" si="53"/>
        <v/>
      </c>
      <c r="L51" s="60" t="str">
        <f t="shared" ca="1" si="53"/>
        <v/>
      </c>
      <c r="M51" s="60" t="str">
        <f t="shared" ca="1" si="53"/>
        <v/>
      </c>
      <c r="N51" s="60" t="str">
        <f t="shared" ca="1" si="53"/>
        <v/>
      </c>
      <c r="O51" s="60" t="str">
        <f t="shared" ca="1" si="53"/>
        <v/>
      </c>
      <c r="P51" s="60" t="str">
        <f t="shared" ca="1" si="53"/>
        <v/>
      </c>
      <c r="Q51" s="60" t="str">
        <f t="shared" ca="1" si="53"/>
        <v/>
      </c>
      <c r="R51" s="60" t="str">
        <f t="shared" ca="1" si="53"/>
        <v/>
      </c>
      <c r="S51" s="60" t="str">
        <f t="shared" ca="1" si="53"/>
        <v/>
      </c>
      <c r="T51" s="60" t="str">
        <f t="shared" ca="1" si="53"/>
        <v/>
      </c>
      <c r="U51" s="60" t="str">
        <f t="shared" ca="1" si="53"/>
        <v/>
      </c>
      <c r="V51" s="60" t="str">
        <f t="shared" ca="1" si="53"/>
        <v/>
      </c>
      <c r="W51" s="60" t="str">
        <f t="shared" ca="1" si="53"/>
        <v/>
      </c>
      <c r="X51" s="60" t="str">
        <f t="shared" ca="1" si="53"/>
        <v/>
      </c>
      <c r="Y51" s="60" t="str">
        <f t="shared" ca="1" si="53"/>
        <v/>
      </c>
      <c r="Z51" s="60" t="str">
        <f t="shared" ca="1" si="53"/>
        <v/>
      </c>
      <c r="AA51" s="60" t="str">
        <f t="shared" ca="1" si="53"/>
        <v/>
      </c>
    </row>
    <row r="52" spans="1:27" x14ac:dyDescent="0.25">
      <c r="A52" t="str">
        <f t="shared" ca="1" si="37"/>
        <v/>
      </c>
      <c r="B52" t="str">
        <f t="shared" ca="1" si="35"/>
        <v/>
      </c>
      <c r="C52" s="60" t="str">
        <f t="shared" ref="C52:AA52" ca="1" si="54">IFERROR(IF(OR(INDIRECT("'Datos "&amp;Tipo_Cuestionario_Cod&amp;"'!"&amp;C$1&amp;7+$A52-1)="",C$2="",$B52=""),"",
IF(AND(C$1="J",Tipo_Cuestionario_Cod="VF"),C$2&amp;IF(MID(B52,FIND(")",B52)+2,1)="V","FALSO","VERDADERO"),
C$2&amp;INDIRECT("'Datos "&amp;Tipo_Cuestionario_Cod&amp;"'!"&amp;C$1&amp;7+$A52-1))),"")</f>
        <v/>
      </c>
      <c r="D52" s="60" t="str">
        <f t="shared" ca="1" si="54"/>
        <v/>
      </c>
      <c r="E52" s="60" t="str">
        <f t="shared" ca="1" si="54"/>
        <v/>
      </c>
      <c r="F52" s="60" t="str">
        <f t="shared" ca="1" si="54"/>
        <v/>
      </c>
      <c r="G52" s="60" t="str">
        <f t="shared" ca="1" si="54"/>
        <v/>
      </c>
      <c r="H52" s="60" t="str">
        <f t="shared" ca="1" si="54"/>
        <v/>
      </c>
      <c r="I52" s="60" t="str">
        <f t="shared" ca="1" si="54"/>
        <v/>
      </c>
      <c r="J52" s="60" t="str">
        <f t="shared" ca="1" si="54"/>
        <v/>
      </c>
      <c r="K52" s="60" t="str">
        <f t="shared" ca="1" si="54"/>
        <v/>
      </c>
      <c r="L52" s="60" t="str">
        <f t="shared" ca="1" si="54"/>
        <v/>
      </c>
      <c r="M52" s="60" t="str">
        <f t="shared" ca="1" si="54"/>
        <v/>
      </c>
      <c r="N52" s="60" t="str">
        <f t="shared" ca="1" si="54"/>
        <v/>
      </c>
      <c r="O52" s="60" t="str">
        <f t="shared" ca="1" si="54"/>
        <v/>
      </c>
      <c r="P52" s="60" t="str">
        <f t="shared" ca="1" si="54"/>
        <v/>
      </c>
      <c r="Q52" s="60" t="str">
        <f t="shared" ca="1" si="54"/>
        <v/>
      </c>
      <c r="R52" s="60" t="str">
        <f t="shared" ca="1" si="54"/>
        <v/>
      </c>
      <c r="S52" s="60" t="str">
        <f t="shared" ca="1" si="54"/>
        <v/>
      </c>
      <c r="T52" s="60" t="str">
        <f t="shared" ca="1" si="54"/>
        <v/>
      </c>
      <c r="U52" s="60" t="str">
        <f t="shared" ca="1" si="54"/>
        <v/>
      </c>
      <c r="V52" s="60" t="str">
        <f t="shared" ca="1" si="54"/>
        <v/>
      </c>
      <c r="W52" s="60" t="str">
        <f t="shared" ca="1" si="54"/>
        <v/>
      </c>
      <c r="X52" s="60" t="str">
        <f t="shared" ca="1" si="54"/>
        <v/>
      </c>
      <c r="Y52" s="60" t="str">
        <f t="shared" ca="1" si="54"/>
        <v/>
      </c>
      <c r="Z52" s="60" t="str">
        <f t="shared" ca="1" si="54"/>
        <v/>
      </c>
      <c r="AA52" s="60" t="str">
        <f t="shared" ca="1" si="54"/>
        <v/>
      </c>
    </row>
    <row r="53" spans="1:27" x14ac:dyDescent="0.25">
      <c r="A53" t="str">
        <f t="shared" ca="1" si="37"/>
        <v/>
      </c>
      <c r="B53" t="str">
        <f t="shared" ca="1" si="35"/>
        <v/>
      </c>
      <c r="C53" s="60" t="str">
        <f t="shared" ref="C53:AA53" ca="1" si="55">IFERROR(IF(OR(INDIRECT("'Datos "&amp;Tipo_Cuestionario_Cod&amp;"'!"&amp;C$1&amp;7+$A53-1)="",C$2="",$B53=""),"",
IF(AND(C$1="J",Tipo_Cuestionario_Cod="VF"),C$2&amp;IF(MID(B53,FIND(")",B53)+2,1)="V","FALSO","VERDADERO"),
C$2&amp;INDIRECT("'Datos "&amp;Tipo_Cuestionario_Cod&amp;"'!"&amp;C$1&amp;7+$A53-1))),"")</f>
        <v/>
      </c>
      <c r="D53" s="60" t="str">
        <f t="shared" ca="1" si="55"/>
        <v/>
      </c>
      <c r="E53" s="60" t="str">
        <f t="shared" ca="1" si="55"/>
        <v/>
      </c>
      <c r="F53" s="60" t="str">
        <f t="shared" ca="1" si="55"/>
        <v/>
      </c>
      <c r="G53" s="60" t="str">
        <f t="shared" ca="1" si="55"/>
        <v/>
      </c>
      <c r="H53" s="60" t="str">
        <f t="shared" ca="1" si="55"/>
        <v/>
      </c>
      <c r="I53" s="60" t="str">
        <f t="shared" ca="1" si="55"/>
        <v/>
      </c>
      <c r="J53" s="60" t="str">
        <f t="shared" ca="1" si="55"/>
        <v/>
      </c>
      <c r="K53" s="60" t="str">
        <f t="shared" ca="1" si="55"/>
        <v/>
      </c>
      <c r="L53" s="60" t="str">
        <f t="shared" ca="1" si="55"/>
        <v/>
      </c>
      <c r="M53" s="60" t="str">
        <f t="shared" ca="1" si="55"/>
        <v/>
      </c>
      <c r="N53" s="60" t="str">
        <f t="shared" ca="1" si="55"/>
        <v/>
      </c>
      <c r="O53" s="60" t="str">
        <f t="shared" ca="1" si="55"/>
        <v/>
      </c>
      <c r="P53" s="60" t="str">
        <f t="shared" ca="1" si="55"/>
        <v/>
      </c>
      <c r="Q53" s="60" t="str">
        <f t="shared" ca="1" si="55"/>
        <v/>
      </c>
      <c r="R53" s="60" t="str">
        <f t="shared" ca="1" si="55"/>
        <v/>
      </c>
      <c r="S53" s="60" t="str">
        <f t="shared" ca="1" si="55"/>
        <v/>
      </c>
      <c r="T53" s="60" t="str">
        <f t="shared" ca="1" si="55"/>
        <v/>
      </c>
      <c r="U53" s="60" t="str">
        <f t="shared" ca="1" si="55"/>
        <v/>
      </c>
      <c r="V53" s="60" t="str">
        <f t="shared" ca="1" si="55"/>
        <v/>
      </c>
      <c r="W53" s="60" t="str">
        <f t="shared" ca="1" si="55"/>
        <v/>
      </c>
      <c r="X53" s="60" t="str">
        <f t="shared" ca="1" si="55"/>
        <v/>
      </c>
      <c r="Y53" s="60" t="str">
        <f t="shared" ca="1" si="55"/>
        <v/>
      </c>
      <c r="Z53" s="60" t="str">
        <f t="shared" ca="1" si="55"/>
        <v/>
      </c>
      <c r="AA53" s="60" t="str">
        <f t="shared" ca="1" si="55"/>
        <v/>
      </c>
    </row>
    <row r="54" spans="1:27" x14ac:dyDescent="0.25">
      <c r="A54" t="str">
        <f t="shared" ca="1" si="37"/>
        <v/>
      </c>
      <c r="B54" t="str">
        <f t="shared" ca="1" si="35"/>
        <v/>
      </c>
      <c r="C54" s="60" t="str">
        <f t="shared" ref="C54:AA54" ca="1" si="56">IFERROR(IF(OR(INDIRECT("'Datos "&amp;Tipo_Cuestionario_Cod&amp;"'!"&amp;C$1&amp;7+$A54-1)="",C$2="",$B54=""),"",
IF(AND(C$1="J",Tipo_Cuestionario_Cod="VF"),C$2&amp;IF(MID(B54,FIND(")",B54)+2,1)="V","FALSO","VERDADERO"),
C$2&amp;INDIRECT("'Datos "&amp;Tipo_Cuestionario_Cod&amp;"'!"&amp;C$1&amp;7+$A54-1))),"")</f>
        <v/>
      </c>
      <c r="D54" s="60" t="str">
        <f t="shared" ca="1" si="56"/>
        <v/>
      </c>
      <c r="E54" s="60" t="str">
        <f t="shared" ca="1" si="56"/>
        <v/>
      </c>
      <c r="F54" s="60" t="str">
        <f t="shared" ca="1" si="56"/>
        <v/>
      </c>
      <c r="G54" s="60" t="str">
        <f t="shared" ca="1" si="56"/>
        <v/>
      </c>
      <c r="H54" s="60" t="str">
        <f t="shared" ca="1" si="56"/>
        <v/>
      </c>
      <c r="I54" s="60" t="str">
        <f t="shared" ca="1" si="56"/>
        <v/>
      </c>
      <c r="J54" s="60" t="str">
        <f t="shared" ca="1" si="56"/>
        <v/>
      </c>
      <c r="K54" s="60" t="str">
        <f t="shared" ca="1" si="56"/>
        <v/>
      </c>
      <c r="L54" s="60" t="str">
        <f t="shared" ca="1" si="56"/>
        <v/>
      </c>
      <c r="M54" s="60" t="str">
        <f t="shared" ca="1" si="56"/>
        <v/>
      </c>
      <c r="N54" s="60" t="str">
        <f t="shared" ca="1" si="56"/>
        <v/>
      </c>
      <c r="O54" s="60" t="str">
        <f t="shared" ca="1" si="56"/>
        <v/>
      </c>
      <c r="P54" s="60" t="str">
        <f t="shared" ca="1" si="56"/>
        <v/>
      </c>
      <c r="Q54" s="60" t="str">
        <f t="shared" ca="1" si="56"/>
        <v/>
      </c>
      <c r="R54" s="60" t="str">
        <f t="shared" ca="1" si="56"/>
        <v/>
      </c>
      <c r="S54" s="60" t="str">
        <f t="shared" ca="1" si="56"/>
        <v/>
      </c>
      <c r="T54" s="60" t="str">
        <f t="shared" ca="1" si="56"/>
        <v/>
      </c>
      <c r="U54" s="60" t="str">
        <f t="shared" ca="1" si="56"/>
        <v/>
      </c>
      <c r="V54" s="60" t="str">
        <f t="shared" ca="1" si="56"/>
        <v/>
      </c>
      <c r="W54" s="60" t="str">
        <f t="shared" ca="1" si="56"/>
        <v/>
      </c>
      <c r="X54" s="60" t="str">
        <f t="shared" ca="1" si="56"/>
        <v/>
      </c>
      <c r="Y54" s="60" t="str">
        <f t="shared" ca="1" si="56"/>
        <v/>
      </c>
      <c r="Z54" s="60" t="str">
        <f t="shared" ca="1" si="56"/>
        <v/>
      </c>
      <c r="AA54" s="60" t="str">
        <f t="shared" ca="1" si="56"/>
        <v/>
      </c>
    </row>
    <row r="55" spans="1:27" x14ac:dyDescent="0.25">
      <c r="A55" t="str">
        <f t="shared" ca="1" si="37"/>
        <v/>
      </c>
      <c r="B55" t="str">
        <f t="shared" ca="1" si="35"/>
        <v/>
      </c>
      <c r="C55" s="60" t="str">
        <f t="shared" ref="C55:AA55" ca="1" si="57">IFERROR(IF(OR(INDIRECT("'Datos "&amp;Tipo_Cuestionario_Cod&amp;"'!"&amp;C$1&amp;7+$A55-1)="",C$2="",$B55=""),"",
IF(AND(C$1="J",Tipo_Cuestionario_Cod="VF"),C$2&amp;IF(MID(B55,FIND(")",B55)+2,1)="V","FALSO","VERDADERO"),
C$2&amp;INDIRECT("'Datos "&amp;Tipo_Cuestionario_Cod&amp;"'!"&amp;C$1&amp;7+$A55-1))),"")</f>
        <v/>
      </c>
      <c r="D55" s="60" t="str">
        <f t="shared" ca="1" si="57"/>
        <v/>
      </c>
      <c r="E55" s="60" t="str">
        <f t="shared" ca="1" si="57"/>
        <v/>
      </c>
      <c r="F55" s="60" t="str">
        <f t="shared" ca="1" si="57"/>
        <v/>
      </c>
      <c r="G55" s="60" t="str">
        <f t="shared" ca="1" si="57"/>
        <v/>
      </c>
      <c r="H55" s="60" t="str">
        <f t="shared" ca="1" si="57"/>
        <v/>
      </c>
      <c r="I55" s="60" t="str">
        <f t="shared" ca="1" si="57"/>
        <v/>
      </c>
      <c r="J55" s="60" t="str">
        <f t="shared" ca="1" si="57"/>
        <v/>
      </c>
      <c r="K55" s="60" t="str">
        <f t="shared" ca="1" si="57"/>
        <v/>
      </c>
      <c r="L55" s="60" t="str">
        <f t="shared" ca="1" si="57"/>
        <v/>
      </c>
      <c r="M55" s="60" t="str">
        <f t="shared" ca="1" si="57"/>
        <v/>
      </c>
      <c r="N55" s="60" t="str">
        <f t="shared" ca="1" si="57"/>
        <v/>
      </c>
      <c r="O55" s="60" t="str">
        <f t="shared" ca="1" si="57"/>
        <v/>
      </c>
      <c r="P55" s="60" t="str">
        <f t="shared" ca="1" si="57"/>
        <v/>
      </c>
      <c r="Q55" s="60" t="str">
        <f t="shared" ca="1" si="57"/>
        <v/>
      </c>
      <c r="R55" s="60" t="str">
        <f t="shared" ca="1" si="57"/>
        <v/>
      </c>
      <c r="S55" s="60" t="str">
        <f t="shared" ca="1" si="57"/>
        <v/>
      </c>
      <c r="T55" s="60" t="str">
        <f t="shared" ca="1" si="57"/>
        <v/>
      </c>
      <c r="U55" s="60" t="str">
        <f t="shared" ca="1" si="57"/>
        <v/>
      </c>
      <c r="V55" s="60" t="str">
        <f t="shared" ca="1" si="57"/>
        <v/>
      </c>
      <c r="W55" s="60" t="str">
        <f t="shared" ca="1" si="57"/>
        <v/>
      </c>
      <c r="X55" s="60" t="str">
        <f t="shared" ca="1" si="57"/>
        <v/>
      </c>
      <c r="Y55" s="60" t="str">
        <f t="shared" ca="1" si="57"/>
        <v/>
      </c>
      <c r="Z55" s="60" t="str">
        <f t="shared" ca="1" si="57"/>
        <v/>
      </c>
      <c r="AA55" s="60" t="str">
        <f t="shared" ca="1" si="57"/>
        <v/>
      </c>
    </row>
    <row r="56" spans="1:27" x14ac:dyDescent="0.25">
      <c r="A56" t="str">
        <f t="shared" ca="1" si="37"/>
        <v/>
      </c>
      <c r="B56" t="str">
        <f t="shared" ca="1" si="35"/>
        <v/>
      </c>
      <c r="C56" s="60" t="str">
        <f t="shared" ref="C56:AA56" ca="1" si="58">IFERROR(IF(OR(INDIRECT("'Datos "&amp;Tipo_Cuestionario_Cod&amp;"'!"&amp;C$1&amp;7+$A56-1)="",C$2="",$B56=""),"",
IF(AND(C$1="J",Tipo_Cuestionario_Cod="VF"),C$2&amp;IF(MID(B56,FIND(")",B56)+2,1)="V","FALSO","VERDADERO"),
C$2&amp;INDIRECT("'Datos "&amp;Tipo_Cuestionario_Cod&amp;"'!"&amp;C$1&amp;7+$A56-1))),"")</f>
        <v/>
      </c>
      <c r="D56" s="60" t="str">
        <f t="shared" ca="1" si="58"/>
        <v/>
      </c>
      <c r="E56" s="60" t="str">
        <f t="shared" ca="1" si="58"/>
        <v/>
      </c>
      <c r="F56" s="60" t="str">
        <f t="shared" ca="1" si="58"/>
        <v/>
      </c>
      <c r="G56" s="60" t="str">
        <f t="shared" ca="1" si="58"/>
        <v/>
      </c>
      <c r="H56" s="60" t="str">
        <f t="shared" ca="1" si="58"/>
        <v/>
      </c>
      <c r="I56" s="60" t="str">
        <f t="shared" ca="1" si="58"/>
        <v/>
      </c>
      <c r="J56" s="60" t="str">
        <f t="shared" ca="1" si="58"/>
        <v/>
      </c>
      <c r="K56" s="60" t="str">
        <f t="shared" ca="1" si="58"/>
        <v/>
      </c>
      <c r="L56" s="60" t="str">
        <f t="shared" ca="1" si="58"/>
        <v/>
      </c>
      <c r="M56" s="60" t="str">
        <f t="shared" ca="1" si="58"/>
        <v/>
      </c>
      <c r="N56" s="60" t="str">
        <f t="shared" ca="1" si="58"/>
        <v/>
      </c>
      <c r="O56" s="60" t="str">
        <f t="shared" ca="1" si="58"/>
        <v/>
      </c>
      <c r="P56" s="60" t="str">
        <f t="shared" ca="1" si="58"/>
        <v/>
      </c>
      <c r="Q56" s="60" t="str">
        <f t="shared" ca="1" si="58"/>
        <v/>
      </c>
      <c r="R56" s="60" t="str">
        <f t="shared" ca="1" si="58"/>
        <v/>
      </c>
      <c r="S56" s="60" t="str">
        <f t="shared" ca="1" si="58"/>
        <v/>
      </c>
      <c r="T56" s="60" t="str">
        <f t="shared" ca="1" si="58"/>
        <v/>
      </c>
      <c r="U56" s="60" t="str">
        <f t="shared" ca="1" si="58"/>
        <v/>
      </c>
      <c r="V56" s="60" t="str">
        <f t="shared" ca="1" si="58"/>
        <v/>
      </c>
      <c r="W56" s="60" t="str">
        <f t="shared" ca="1" si="58"/>
        <v/>
      </c>
      <c r="X56" s="60" t="str">
        <f t="shared" ca="1" si="58"/>
        <v/>
      </c>
      <c r="Y56" s="60" t="str">
        <f t="shared" ca="1" si="58"/>
        <v/>
      </c>
      <c r="Z56" s="60" t="str">
        <f t="shared" ca="1" si="58"/>
        <v/>
      </c>
      <c r="AA56" s="60" t="str">
        <f t="shared" ca="1" si="58"/>
        <v/>
      </c>
    </row>
    <row r="57" spans="1:27" x14ac:dyDescent="0.25">
      <c r="A57" t="str">
        <f t="shared" ca="1" si="37"/>
        <v/>
      </c>
      <c r="B57" t="str">
        <f t="shared" ca="1" si="35"/>
        <v/>
      </c>
      <c r="C57" s="60" t="str">
        <f t="shared" ref="C57:AA57" ca="1" si="59">IFERROR(IF(OR(INDIRECT("'Datos "&amp;Tipo_Cuestionario_Cod&amp;"'!"&amp;C$1&amp;7+$A57-1)="",C$2="",$B57=""),"",
IF(AND(C$1="J",Tipo_Cuestionario_Cod="VF"),C$2&amp;IF(MID(B57,FIND(")",B57)+2,1)="V","FALSO","VERDADERO"),
C$2&amp;INDIRECT("'Datos "&amp;Tipo_Cuestionario_Cod&amp;"'!"&amp;C$1&amp;7+$A57-1))),"")</f>
        <v/>
      </c>
      <c r="D57" s="60" t="str">
        <f t="shared" ca="1" si="59"/>
        <v/>
      </c>
      <c r="E57" s="60" t="str">
        <f t="shared" ca="1" si="59"/>
        <v/>
      </c>
      <c r="F57" s="60" t="str">
        <f t="shared" ca="1" si="59"/>
        <v/>
      </c>
      <c r="G57" s="60" t="str">
        <f t="shared" ca="1" si="59"/>
        <v/>
      </c>
      <c r="H57" s="60" t="str">
        <f t="shared" ca="1" si="59"/>
        <v/>
      </c>
      <c r="I57" s="60" t="str">
        <f t="shared" ca="1" si="59"/>
        <v/>
      </c>
      <c r="J57" s="60" t="str">
        <f t="shared" ca="1" si="59"/>
        <v/>
      </c>
      <c r="K57" s="60" t="str">
        <f t="shared" ca="1" si="59"/>
        <v/>
      </c>
      <c r="L57" s="60" t="str">
        <f t="shared" ca="1" si="59"/>
        <v/>
      </c>
      <c r="M57" s="60" t="str">
        <f t="shared" ca="1" si="59"/>
        <v/>
      </c>
      <c r="N57" s="60" t="str">
        <f t="shared" ca="1" si="59"/>
        <v/>
      </c>
      <c r="O57" s="60" t="str">
        <f t="shared" ca="1" si="59"/>
        <v/>
      </c>
      <c r="P57" s="60" t="str">
        <f t="shared" ca="1" si="59"/>
        <v/>
      </c>
      <c r="Q57" s="60" t="str">
        <f t="shared" ca="1" si="59"/>
        <v/>
      </c>
      <c r="R57" s="60" t="str">
        <f t="shared" ca="1" si="59"/>
        <v/>
      </c>
      <c r="S57" s="60" t="str">
        <f t="shared" ca="1" si="59"/>
        <v/>
      </c>
      <c r="T57" s="60" t="str">
        <f t="shared" ca="1" si="59"/>
        <v/>
      </c>
      <c r="U57" s="60" t="str">
        <f t="shared" ca="1" si="59"/>
        <v/>
      </c>
      <c r="V57" s="60" t="str">
        <f t="shared" ca="1" si="59"/>
        <v/>
      </c>
      <c r="W57" s="60" t="str">
        <f t="shared" ca="1" si="59"/>
        <v/>
      </c>
      <c r="X57" s="60" t="str">
        <f t="shared" ca="1" si="59"/>
        <v/>
      </c>
      <c r="Y57" s="60" t="str">
        <f t="shared" ca="1" si="59"/>
        <v/>
      </c>
      <c r="Z57" s="60" t="str">
        <f t="shared" ca="1" si="59"/>
        <v/>
      </c>
      <c r="AA57" s="60" t="str">
        <f t="shared" ca="1" si="59"/>
        <v/>
      </c>
    </row>
    <row r="58" spans="1:27" x14ac:dyDescent="0.25">
      <c r="A58" t="str">
        <f t="shared" ca="1" si="37"/>
        <v/>
      </c>
      <c r="B58" t="str">
        <f t="shared" ca="1" si="35"/>
        <v/>
      </c>
      <c r="C58" s="60" t="str">
        <f t="shared" ref="C58:AA58" ca="1" si="60">IFERROR(IF(OR(INDIRECT("'Datos "&amp;Tipo_Cuestionario_Cod&amp;"'!"&amp;C$1&amp;7+$A58-1)="",C$2="",$B58=""),"",
IF(AND(C$1="J",Tipo_Cuestionario_Cod="VF"),C$2&amp;IF(MID(B58,FIND(")",B58)+2,1)="V","FALSO","VERDADERO"),
C$2&amp;INDIRECT("'Datos "&amp;Tipo_Cuestionario_Cod&amp;"'!"&amp;C$1&amp;7+$A58-1))),"")</f>
        <v/>
      </c>
      <c r="D58" s="60" t="str">
        <f t="shared" ca="1" si="60"/>
        <v/>
      </c>
      <c r="E58" s="60" t="str">
        <f t="shared" ca="1" si="60"/>
        <v/>
      </c>
      <c r="F58" s="60" t="str">
        <f t="shared" ca="1" si="60"/>
        <v/>
      </c>
      <c r="G58" s="60" t="str">
        <f t="shared" ca="1" si="60"/>
        <v/>
      </c>
      <c r="H58" s="60" t="str">
        <f t="shared" ca="1" si="60"/>
        <v/>
      </c>
      <c r="I58" s="60" t="str">
        <f t="shared" ca="1" si="60"/>
        <v/>
      </c>
      <c r="J58" s="60" t="str">
        <f t="shared" ca="1" si="60"/>
        <v/>
      </c>
      <c r="K58" s="60" t="str">
        <f t="shared" ca="1" si="60"/>
        <v/>
      </c>
      <c r="L58" s="60" t="str">
        <f t="shared" ca="1" si="60"/>
        <v/>
      </c>
      <c r="M58" s="60" t="str">
        <f t="shared" ca="1" si="60"/>
        <v/>
      </c>
      <c r="N58" s="60" t="str">
        <f t="shared" ca="1" si="60"/>
        <v/>
      </c>
      <c r="O58" s="60" t="str">
        <f t="shared" ca="1" si="60"/>
        <v/>
      </c>
      <c r="P58" s="60" t="str">
        <f t="shared" ca="1" si="60"/>
        <v/>
      </c>
      <c r="Q58" s="60" t="str">
        <f t="shared" ca="1" si="60"/>
        <v/>
      </c>
      <c r="R58" s="60" t="str">
        <f t="shared" ca="1" si="60"/>
        <v/>
      </c>
      <c r="S58" s="60" t="str">
        <f t="shared" ca="1" si="60"/>
        <v/>
      </c>
      <c r="T58" s="60" t="str">
        <f t="shared" ca="1" si="60"/>
        <v/>
      </c>
      <c r="U58" s="60" t="str">
        <f t="shared" ca="1" si="60"/>
        <v/>
      </c>
      <c r="V58" s="60" t="str">
        <f t="shared" ca="1" si="60"/>
        <v/>
      </c>
      <c r="W58" s="60" t="str">
        <f t="shared" ca="1" si="60"/>
        <v/>
      </c>
      <c r="X58" s="60" t="str">
        <f t="shared" ca="1" si="60"/>
        <v/>
      </c>
      <c r="Y58" s="60" t="str">
        <f t="shared" ca="1" si="60"/>
        <v/>
      </c>
      <c r="Z58" s="60" t="str">
        <f t="shared" ca="1" si="60"/>
        <v/>
      </c>
      <c r="AA58" s="60" t="str">
        <f t="shared" ca="1" si="60"/>
        <v/>
      </c>
    </row>
    <row r="59" spans="1:27" x14ac:dyDescent="0.25">
      <c r="A59" t="str">
        <f t="shared" ca="1" si="37"/>
        <v/>
      </c>
      <c r="B59" t="str">
        <f t="shared" ca="1" si="35"/>
        <v/>
      </c>
      <c r="C59" s="60" t="str">
        <f t="shared" ref="C59:AA59" ca="1" si="61">IFERROR(IF(OR(INDIRECT("'Datos "&amp;Tipo_Cuestionario_Cod&amp;"'!"&amp;C$1&amp;7+$A59-1)="",C$2="",$B59=""),"",
IF(AND(C$1="J",Tipo_Cuestionario_Cod="VF"),C$2&amp;IF(MID(B59,FIND(")",B59)+2,1)="V","FALSO","VERDADERO"),
C$2&amp;INDIRECT("'Datos "&amp;Tipo_Cuestionario_Cod&amp;"'!"&amp;C$1&amp;7+$A59-1))),"")</f>
        <v/>
      </c>
      <c r="D59" s="60" t="str">
        <f t="shared" ca="1" si="61"/>
        <v/>
      </c>
      <c r="E59" s="60" t="str">
        <f t="shared" ca="1" si="61"/>
        <v/>
      </c>
      <c r="F59" s="60" t="str">
        <f t="shared" ca="1" si="61"/>
        <v/>
      </c>
      <c r="G59" s="60" t="str">
        <f t="shared" ca="1" si="61"/>
        <v/>
      </c>
      <c r="H59" s="60" t="str">
        <f t="shared" ca="1" si="61"/>
        <v/>
      </c>
      <c r="I59" s="60" t="str">
        <f t="shared" ca="1" si="61"/>
        <v/>
      </c>
      <c r="J59" s="60" t="str">
        <f t="shared" ca="1" si="61"/>
        <v/>
      </c>
      <c r="K59" s="60" t="str">
        <f t="shared" ca="1" si="61"/>
        <v/>
      </c>
      <c r="L59" s="60" t="str">
        <f t="shared" ca="1" si="61"/>
        <v/>
      </c>
      <c r="M59" s="60" t="str">
        <f t="shared" ca="1" si="61"/>
        <v/>
      </c>
      <c r="N59" s="60" t="str">
        <f t="shared" ca="1" si="61"/>
        <v/>
      </c>
      <c r="O59" s="60" t="str">
        <f t="shared" ca="1" si="61"/>
        <v/>
      </c>
      <c r="P59" s="60" t="str">
        <f t="shared" ca="1" si="61"/>
        <v/>
      </c>
      <c r="Q59" s="60" t="str">
        <f t="shared" ca="1" si="61"/>
        <v/>
      </c>
      <c r="R59" s="60" t="str">
        <f t="shared" ca="1" si="61"/>
        <v/>
      </c>
      <c r="S59" s="60" t="str">
        <f t="shared" ca="1" si="61"/>
        <v/>
      </c>
      <c r="T59" s="60" t="str">
        <f t="shared" ca="1" si="61"/>
        <v/>
      </c>
      <c r="U59" s="60" t="str">
        <f t="shared" ca="1" si="61"/>
        <v/>
      </c>
      <c r="V59" s="60" t="str">
        <f t="shared" ca="1" si="61"/>
        <v/>
      </c>
      <c r="W59" s="60" t="str">
        <f t="shared" ca="1" si="61"/>
        <v/>
      </c>
      <c r="X59" s="60" t="str">
        <f t="shared" ca="1" si="61"/>
        <v/>
      </c>
      <c r="Y59" s="60" t="str">
        <f t="shared" ca="1" si="61"/>
        <v/>
      </c>
      <c r="Z59" s="60" t="str">
        <f t="shared" ca="1" si="61"/>
        <v/>
      </c>
      <c r="AA59" s="60" t="str">
        <f t="shared" ca="1" si="61"/>
        <v/>
      </c>
    </row>
    <row r="60" spans="1:27" x14ac:dyDescent="0.25">
      <c r="A60" t="str">
        <f t="shared" ca="1" si="37"/>
        <v/>
      </c>
      <c r="B60" t="str">
        <f t="shared" ca="1" si="35"/>
        <v/>
      </c>
      <c r="C60" s="60" t="str">
        <f t="shared" ref="C60:AA60" ca="1" si="62">IFERROR(IF(OR(INDIRECT("'Datos "&amp;Tipo_Cuestionario_Cod&amp;"'!"&amp;C$1&amp;7+$A60-1)="",C$2="",$B60=""),"",
IF(AND(C$1="J",Tipo_Cuestionario_Cod="VF"),C$2&amp;IF(MID(B60,FIND(")",B60)+2,1)="V","FALSO","VERDADERO"),
C$2&amp;INDIRECT("'Datos "&amp;Tipo_Cuestionario_Cod&amp;"'!"&amp;C$1&amp;7+$A60-1))),"")</f>
        <v/>
      </c>
      <c r="D60" s="60" t="str">
        <f t="shared" ca="1" si="62"/>
        <v/>
      </c>
      <c r="E60" s="60" t="str">
        <f t="shared" ca="1" si="62"/>
        <v/>
      </c>
      <c r="F60" s="60" t="str">
        <f t="shared" ca="1" si="62"/>
        <v/>
      </c>
      <c r="G60" s="60" t="str">
        <f t="shared" ca="1" si="62"/>
        <v/>
      </c>
      <c r="H60" s="60" t="str">
        <f t="shared" ca="1" si="62"/>
        <v/>
      </c>
      <c r="I60" s="60" t="str">
        <f t="shared" ca="1" si="62"/>
        <v/>
      </c>
      <c r="J60" s="60" t="str">
        <f t="shared" ca="1" si="62"/>
        <v/>
      </c>
      <c r="K60" s="60" t="str">
        <f t="shared" ca="1" si="62"/>
        <v/>
      </c>
      <c r="L60" s="60" t="str">
        <f t="shared" ca="1" si="62"/>
        <v/>
      </c>
      <c r="M60" s="60" t="str">
        <f t="shared" ca="1" si="62"/>
        <v/>
      </c>
      <c r="N60" s="60" t="str">
        <f t="shared" ca="1" si="62"/>
        <v/>
      </c>
      <c r="O60" s="60" t="str">
        <f t="shared" ca="1" si="62"/>
        <v/>
      </c>
      <c r="P60" s="60" t="str">
        <f t="shared" ca="1" si="62"/>
        <v/>
      </c>
      <c r="Q60" s="60" t="str">
        <f t="shared" ca="1" si="62"/>
        <v/>
      </c>
      <c r="R60" s="60" t="str">
        <f t="shared" ca="1" si="62"/>
        <v/>
      </c>
      <c r="S60" s="60" t="str">
        <f t="shared" ca="1" si="62"/>
        <v/>
      </c>
      <c r="T60" s="60" t="str">
        <f t="shared" ca="1" si="62"/>
        <v/>
      </c>
      <c r="U60" s="60" t="str">
        <f t="shared" ca="1" si="62"/>
        <v/>
      </c>
      <c r="V60" s="60" t="str">
        <f t="shared" ca="1" si="62"/>
        <v/>
      </c>
      <c r="W60" s="60" t="str">
        <f t="shared" ca="1" si="62"/>
        <v/>
      </c>
      <c r="X60" s="60" t="str">
        <f t="shared" ca="1" si="62"/>
        <v/>
      </c>
      <c r="Y60" s="60" t="str">
        <f t="shared" ca="1" si="62"/>
        <v/>
      </c>
      <c r="Z60" s="60" t="str">
        <f t="shared" ca="1" si="62"/>
        <v/>
      </c>
      <c r="AA60" s="60" t="str">
        <f t="shared" ca="1" si="62"/>
        <v/>
      </c>
    </row>
    <row r="61" spans="1:27" x14ac:dyDescent="0.25">
      <c r="A61" t="str">
        <f t="shared" ca="1" si="37"/>
        <v/>
      </c>
      <c r="B61" t="str">
        <f t="shared" ca="1" si="35"/>
        <v/>
      </c>
      <c r="C61" s="60" t="str">
        <f t="shared" ref="C61:AA61" ca="1" si="63">IFERROR(IF(OR(INDIRECT("'Datos "&amp;Tipo_Cuestionario_Cod&amp;"'!"&amp;C$1&amp;7+$A61-1)="",C$2="",$B61=""),"",
IF(AND(C$1="J",Tipo_Cuestionario_Cod="VF"),C$2&amp;IF(MID(B61,FIND(")",B61)+2,1)="V","FALSO","VERDADERO"),
C$2&amp;INDIRECT("'Datos "&amp;Tipo_Cuestionario_Cod&amp;"'!"&amp;C$1&amp;7+$A61-1))),"")</f>
        <v/>
      </c>
      <c r="D61" s="60" t="str">
        <f t="shared" ca="1" si="63"/>
        <v/>
      </c>
      <c r="E61" s="60" t="str">
        <f t="shared" ca="1" si="63"/>
        <v/>
      </c>
      <c r="F61" s="60" t="str">
        <f t="shared" ca="1" si="63"/>
        <v/>
      </c>
      <c r="G61" s="60" t="str">
        <f t="shared" ca="1" si="63"/>
        <v/>
      </c>
      <c r="H61" s="60" t="str">
        <f t="shared" ca="1" si="63"/>
        <v/>
      </c>
      <c r="I61" s="60" t="str">
        <f t="shared" ca="1" si="63"/>
        <v/>
      </c>
      <c r="J61" s="60" t="str">
        <f t="shared" ca="1" si="63"/>
        <v/>
      </c>
      <c r="K61" s="60" t="str">
        <f t="shared" ca="1" si="63"/>
        <v/>
      </c>
      <c r="L61" s="60" t="str">
        <f t="shared" ca="1" si="63"/>
        <v/>
      </c>
      <c r="M61" s="60" t="str">
        <f t="shared" ca="1" si="63"/>
        <v/>
      </c>
      <c r="N61" s="60" t="str">
        <f t="shared" ca="1" si="63"/>
        <v/>
      </c>
      <c r="O61" s="60" t="str">
        <f t="shared" ca="1" si="63"/>
        <v/>
      </c>
      <c r="P61" s="60" t="str">
        <f t="shared" ca="1" si="63"/>
        <v/>
      </c>
      <c r="Q61" s="60" t="str">
        <f t="shared" ca="1" si="63"/>
        <v/>
      </c>
      <c r="R61" s="60" t="str">
        <f t="shared" ca="1" si="63"/>
        <v/>
      </c>
      <c r="S61" s="60" t="str">
        <f t="shared" ca="1" si="63"/>
        <v/>
      </c>
      <c r="T61" s="60" t="str">
        <f t="shared" ca="1" si="63"/>
        <v/>
      </c>
      <c r="U61" s="60" t="str">
        <f t="shared" ca="1" si="63"/>
        <v/>
      </c>
      <c r="V61" s="60" t="str">
        <f t="shared" ca="1" si="63"/>
        <v/>
      </c>
      <c r="W61" s="60" t="str">
        <f t="shared" ca="1" si="63"/>
        <v/>
      </c>
      <c r="X61" s="60" t="str">
        <f t="shared" ca="1" si="63"/>
        <v/>
      </c>
      <c r="Y61" s="60" t="str">
        <f t="shared" ca="1" si="63"/>
        <v/>
      </c>
      <c r="Z61" s="60" t="str">
        <f t="shared" ca="1" si="63"/>
        <v/>
      </c>
      <c r="AA61" s="60" t="str">
        <f t="shared" ca="1" si="63"/>
        <v/>
      </c>
    </row>
    <row r="62" spans="1:27" x14ac:dyDescent="0.25">
      <c r="A62" t="str">
        <f t="shared" ca="1" si="37"/>
        <v/>
      </c>
      <c r="B62" t="str">
        <f t="shared" ca="1" si="35"/>
        <v/>
      </c>
      <c r="C62" s="60" t="str">
        <f t="shared" ref="C62:AA62" ca="1" si="64">IFERROR(IF(OR(INDIRECT("'Datos "&amp;Tipo_Cuestionario_Cod&amp;"'!"&amp;C$1&amp;7+$A62-1)="",C$2="",$B62=""),"",
IF(AND(C$1="J",Tipo_Cuestionario_Cod="VF"),C$2&amp;IF(MID(B62,FIND(")",B62)+2,1)="V","FALSO","VERDADERO"),
C$2&amp;INDIRECT("'Datos "&amp;Tipo_Cuestionario_Cod&amp;"'!"&amp;C$1&amp;7+$A62-1))),"")</f>
        <v/>
      </c>
      <c r="D62" s="60" t="str">
        <f t="shared" ca="1" si="64"/>
        <v/>
      </c>
      <c r="E62" s="60" t="str">
        <f t="shared" ca="1" si="64"/>
        <v/>
      </c>
      <c r="F62" s="60" t="str">
        <f t="shared" ca="1" si="64"/>
        <v/>
      </c>
      <c r="G62" s="60" t="str">
        <f t="shared" ca="1" si="64"/>
        <v/>
      </c>
      <c r="H62" s="60" t="str">
        <f t="shared" ca="1" si="64"/>
        <v/>
      </c>
      <c r="I62" s="60" t="str">
        <f t="shared" ca="1" si="64"/>
        <v/>
      </c>
      <c r="J62" s="60" t="str">
        <f t="shared" ca="1" si="64"/>
        <v/>
      </c>
      <c r="K62" s="60" t="str">
        <f t="shared" ca="1" si="64"/>
        <v/>
      </c>
      <c r="L62" s="60" t="str">
        <f t="shared" ca="1" si="64"/>
        <v/>
      </c>
      <c r="M62" s="60" t="str">
        <f t="shared" ca="1" si="64"/>
        <v/>
      </c>
      <c r="N62" s="60" t="str">
        <f t="shared" ca="1" si="64"/>
        <v/>
      </c>
      <c r="O62" s="60" t="str">
        <f t="shared" ca="1" si="64"/>
        <v/>
      </c>
      <c r="P62" s="60" t="str">
        <f t="shared" ca="1" si="64"/>
        <v/>
      </c>
      <c r="Q62" s="60" t="str">
        <f t="shared" ca="1" si="64"/>
        <v/>
      </c>
      <c r="R62" s="60" t="str">
        <f t="shared" ca="1" si="64"/>
        <v/>
      </c>
      <c r="S62" s="60" t="str">
        <f t="shared" ca="1" si="64"/>
        <v/>
      </c>
      <c r="T62" s="60" t="str">
        <f t="shared" ca="1" si="64"/>
        <v/>
      </c>
      <c r="U62" s="60" t="str">
        <f t="shared" ca="1" si="64"/>
        <v/>
      </c>
      <c r="V62" s="60" t="str">
        <f t="shared" ca="1" si="64"/>
        <v/>
      </c>
      <c r="W62" s="60" t="str">
        <f t="shared" ca="1" si="64"/>
        <v/>
      </c>
      <c r="X62" s="60" t="str">
        <f t="shared" ca="1" si="64"/>
        <v/>
      </c>
      <c r="Y62" s="60" t="str">
        <f t="shared" ca="1" si="64"/>
        <v/>
      </c>
      <c r="Z62" s="60" t="str">
        <f t="shared" ca="1" si="64"/>
        <v/>
      </c>
      <c r="AA62" s="60" t="str">
        <f t="shared" ca="1" si="64"/>
        <v/>
      </c>
    </row>
    <row r="63" spans="1:27" x14ac:dyDescent="0.25">
      <c r="A63" t="str">
        <f t="shared" ca="1" si="37"/>
        <v/>
      </c>
      <c r="B63" t="str">
        <f t="shared" ca="1" si="35"/>
        <v/>
      </c>
      <c r="C63" s="60" t="str">
        <f t="shared" ref="C63:AA63" ca="1" si="65">IFERROR(IF(OR(INDIRECT("'Datos "&amp;Tipo_Cuestionario_Cod&amp;"'!"&amp;C$1&amp;7+$A63-1)="",C$2="",$B63=""),"",
IF(AND(C$1="J",Tipo_Cuestionario_Cod="VF"),C$2&amp;IF(MID(B63,FIND(")",B63)+2,1)="V","FALSO","VERDADERO"),
C$2&amp;INDIRECT("'Datos "&amp;Tipo_Cuestionario_Cod&amp;"'!"&amp;C$1&amp;7+$A63-1))),"")</f>
        <v/>
      </c>
      <c r="D63" s="60" t="str">
        <f t="shared" ca="1" si="65"/>
        <v/>
      </c>
      <c r="E63" s="60" t="str">
        <f t="shared" ca="1" si="65"/>
        <v/>
      </c>
      <c r="F63" s="60" t="str">
        <f t="shared" ca="1" si="65"/>
        <v/>
      </c>
      <c r="G63" s="60" t="str">
        <f t="shared" ca="1" si="65"/>
        <v/>
      </c>
      <c r="H63" s="60" t="str">
        <f t="shared" ca="1" si="65"/>
        <v/>
      </c>
      <c r="I63" s="60" t="str">
        <f t="shared" ca="1" si="65"/>
        <v/>
      </c>
      <c r="J63" s="60" t="str">
        <f t="shared" ca="1" si="65"/>
        <v/>
      </c>
      <c r="K63" s="60" t="str">
        <f t="shared" ca="1" si="65"/>
        <v/>
      </c>
      <c r="L63" s="60" t="str">
        <f t="shared" ca="1" si="65"/>
        <v/>
      </c>
      <c r="M63" s="60" t="str">
        <f t="shared" ca="1" si="65"/>
        <v/>
      </c>
      <c r="N63" s="60" t="str">
        <f t="shared" ca="1" si="65"/>
        <v/>
      </c>
      <c r="O63" s="60" t="str">
        <f t="shared" ca="1" si="65"/>
        <v/>
      </c>
      <c r="P63" s="60" t="str">
        <f t="shared" ca="1" si="65"/>
        <v/>
      </c>
      <c r="Q63" s="60" t="str">
        <f t="shared" ca="1" si="65"/>
        <v/>
      </c>
      <c r="R63" s="60" t="str">
        <f t="shared" ca="1" si="65"/>
        <v/>
      </c>
      <c r="S63" s="60" t="str">
        <f t="shared" ca="1" si="65"/>
        <v/>
      </c>
      <c r="T63" s="60" t="str">
        <f t="shared" ca="1" si="65"/>
        <v/>
      </c>
      <c r="U63" s="60" t="str">
        <f t="shared" ca="1" si="65"/>
        <v/>
      </c>
      <c r="V63" s="60" t="str">
        <f t="shared" ca="1" si="65"/>
        <v/>
      </c>
      <c r="W63" s="60" t="str">
        <f t="shared" ca="1" si="65"/>
        <v/>
      </c>
      <c r="X63" s="60" t="str">
        <f t="shared" ca="1" si="65"/>
        <v/>
      </c>
      <c r="Y63" s="60" t="str">
        <f t="shared" ca="1" si="65"/>
        <v/>
      </c>
      <c r="Z63" s="60" t="str">
        <f t="shared" ca="1" si="65"/>
        <v/>
      </c>
      <c r="AA63" s="60" t="str">
        <f t="shared" ca="1" si="65"/>
        <v/>
      </c>
    </row>
    <row r="64" spans="1:27" x14ac:dyDescent="0.25">
      <c r="A64" t="str">
        <f t="shared" ca="1" si="37"/>
        <v/>
      </c>
      <c r="B64" t="str">
        <f t="shared" ca="1" si="35"/>
        <v/>
      </c>
      <c r="C64" s="60" t="str">
        <f t="shared" ref="C64:AA64" ca="1" si="66">IFERROR(IF(OR(INDIRECT("'Datos "&amp;Tipo_Cuestionario_Cod&amp;"'!"&amp;C$1&amp;7+$A64-1)="",C$2="",$B64=""),"",
IF(AND(C$1="J",Tipo_Cuestionario_Cod="VF"),C$2&amp;IF(MID(B64,FIND(")",B64)+2,1)="V","FALSO","VERDADERO"),
C$2&amp;INDIRECT("'Datos "&amp;Tipo_Cuestionario_Cod&amp;"'!"&amp;C$1&amp;7+$A64-1))),"")</f>
        <v/>
      </c>
      <c r="D64" s="60" t="str">
        <f t="shared" ca="1" si="66"/>
        <v/>
      </c>
      <c r="E64" s="60" t="str">
        <f t="shared" ca="1" si="66"/>
        <v/>
      </c>
      <c r="F64" s="60" t="str">
        <f t="shared" ca="1" si="66"/>
        <v/>
      </c>
      <c r="G64" s="60" t="str">
        <f t="shared" ca="1" si="66"/>
        <v/>
      </c>
      <c r="H64" s="60" t="str">
        <f t="shared" ca="1" si="66"/>
        <v/>
      </c>
      <c r="I64" s="60" t="str">
        <f t="shared" ca="1" si="66"/>
        <v/>
      </c>
      <c r="J64" s="60" t="str">
        <f t="shared" ca="1" si="66"/>
        <v/>
      </c>
      <c r="K64" s="60" t="str">
        <f t="shared" ca="1" si="66"/>
        <v/>
      </c>
      <c r="L64" s="60" t="str">
        <f t="shared" ca="1" si="66"/>
        <v/>
      </c>
      <c r="M64" s="60" t="str">
        <f t="shared" ca="1" si="66"/>
        <v/>
      </c>
      <c r="N64" s="60" t="str">
        <f t="shared" ca="1" si="66"/>
        <v/>
      </c>
      <c r="O64" s="60" t="str">
        <f t="shared" ca="1" si="66"/>
        <v/>
      </c>
      <c r="P64" s="60" t="str">
        <f t="shared" ca="1" si="66"/>
        <v/>
      </c>
      <c r="Q64" s="60" t="str">
        <f t="shared" ca="1" si="66"/>
        <v/>
      </c>
      <c r="R64" s="60" t="str">
        <f t="shared" ca="1" si="66"/>
        <v/>
      </c>
      <c r="S64" s="60" t="str">
        <f t="shared" ca="1" si="66"/>
        <v/>
      </c>
      <c r="T64" s="60" t="str">
        <f t="shared" ca="1" si="66"/>
        <v/>
      </c>
      <c r="U64" s="60" t="str">
        <f t="shared" ca="1" si="66"/>
        <v/>
      </c>
      <c r="V64" s="60" t="str">
        <f t="shared" ca="1" si="66"/>
        <v/>
      </c>
      <c r="W64" s="60" t="str">
        <f t="shared" ca="1" si="66"/>
        <v/>
      </c>
      <c r="X64" s="60" t="str">
        <f t="shared" ca="1" si="66"/>
        <v/>
      </c>
      <c r="Y64" s="60" t="str">
        <f t="shared" ca="1" si="66"/>
        <v/>
      </c>
      <c r="Z64" s="60" t="str">
        <f t="shared" ca="1" si="66"/>
        <v/>
      </c>
      <c r="AA64" s="60" t="str">
        <f t="shared" ca="1" si="66"/>
        <v/>
      </c>
    </row>
    <row r="65" spans="1:27" x14ac:dyDescent="0.25">
      <c r="A65" t="str">
        <f t="shared" ca="1" si="37"/>
        <v/>
      </c>
      <c r="B65" t="str">
        <f t="shared" ca="1" si="35"/>
        <v/>
      </c>
      <c r="C65" s="60" t="str">
        <f t="shared" ref="C65:AA65" ca="1" si="67">IFERROR(IF(OR(INDIRECT("'Datos "&amp;Tipo_Cuestionario_Cod&amp;"'!"&amp;C$1&amp;7+$A65-1)="",C$2="",$B65=""),"",
IF(AND(C$1="J",Tipo_Cuestionario_Cod="VF"),C$2&amp;IF(MID(B65,FIND(")",B65)+2,1)="V","FALSO","VERDADERO"),
C$2&amp;INDIRECT("'Datos "&amp;Tipo_Cuestionario_Cod&amp;"'!"&amp;C$1&amp;7+$A65-1))),"")</f>
        <v/>
      </c>
      <c r="D65" s="60" t="str">
        <f t="shared" ca="1" si="67"/>
        <v/>
      </c>
      <c r="E65" s="60" t="str">
        <f t="shared" ca="1" si="67"/>
        <v/>
      </c>
      <c r="F65" s="60" t="str">
        <f t="shared" ca="1" si="67"/>
        <v/>
      </c>
      <c r="G65" s="60" t="str">
        <f t="shared" ca="1" si="67"/>
        <v/>
      </c>
      <c r="H65" s="60" t="str">
        <f t="shared" ca="1" si="67"/>
        <v/>
      </c>
      <c r="I65" s="60" t="str">
        <f t="shared" ca="1" si="67"/>
        <v/>
      </c>
      <c r="J65" s="60" t="str">
        <f t="shared" ca="1" si="67"/>
        <v/>
      </c>
      <c r="K65" s="60" t="str">
        <f t="shared" ca="1" si="67"/>
        <v/>
      </c>
      <c r="L65" s="60" t="str">
        <f t="shared" ca="1" si="67"/>
        <v/>
      </c>
      <c r="M65" s="60" t="str">
        <f t="shared" ca="1" si="67"/>
        <v/>
      </c>
      <c r="N65" s="60" t="str">
        <f t="shared" ca="1" si="67"/>
        <v/>
      </c>
      <c r="O65" s="60" t="str">
        <f t="shared" ca="1" si="67"/>
        <v/>
      </c>
      <c r="P65" s="60" t="str">
        <f t="shared" ca="1" si="67"/>
        <v/>
      </c>
      <c r="Q65" s="60" t="str">
        <f t="shared" ca="1" si="67"/>
        <v/>
      </c>
      <c r="R65" s="60" t="str">
        <f t="shared" ca="1" si="67"/>
        <v/>
      </c>
      <c r="S65" s="60" t="str">
        <f t="shared" ca="1" si="67"/>
        <v/>
      </c>
      <c r="T65" s="60" t="str">
        <f t="shared" ca="1" si="67"/>
        <v/>
      </c>
      <c r="U65" s="60" t="str">
        <f t="shared" ca="1" si="67"/>
        <v/>
      </c>
      <c r="V65" s="60" t="str">
        <f t="shared" ca="1" si="67"/>
        <v/>
      </c>
      <c r="W65" s="60" t="str">
        <f t="shared" ca="1" si="67"/>
        <v/>
      </c>
      <c r="X65" s="60" t="str">
        <f t="shared" ca="1" si="67"/>
        <v/>
      </c>
      <c r="Y65" s="60" t="str">
        <f t="shared" ca="1" si="67"/>
        <v/>
      </c>
      <c r="Z65" s="60" t="str">
        <f t="shared" ca="1" si="67"/>
        <v/>
      </c>
      <c r="AA65" s="60" t="str">
        <f t="shared" ca="1" si="67"/>
        <v/>
      </c>
    </row>
    <row r="66" spans="1:27" x14ac:dyDescent="0.25">
      <c r="A66" t="str">
        <f t="shared" ca="1" si="37"/>
        <v/>
      </c>
      <c r="B66" t="str">
        <f t="shared" ca="1" si="35"/>
        <v/>
      </c>
      <c r="C66" s="60" t="str">
        <f t="shared" ref="C66:AA66" ca="1" si="68">IFERROR(IF(OR(INDIRECT("'Datos "&amp;Tipo_Cuestionario_Cod&amp;"'!"&amp;C$1&amp;7+$A66-1)="",C$2="",$B66=""),"",
IF(AND(C$1="J",Tipo_Cuestionario_Cod="VF"),C$2&amp;IF(MID(B66,FIND(")",B66)+2,1)="V","FALSO","VERDADERO"),
C$2&amp;INDIRECT("'Datos "&amp;Tipo_Cuestionario_Cod&amp;"'!"&amp;C$1&amp;7+$A66-1))),"")</f>
        <v/>
      </c>
      <c r="D66" s="60" t="str">
        <f t="shared" ca="1" si="68"/>
        <v/>
      </c>
      <c r="E66" s="60" t="str">
        <f t="shared" ca="1" si="68"/>
        <v/>
      </c>
      <c r="F66" s="60" t="str">
        <f t="shared" ca="1" si="68"/>
        <v/>
      </c>
      <c r="G66" s="60" t="str">
        <f t="shared" ca="1" si="68"/>
        <v/>
      </c>
      <c r="H66" s="60" t="str">
        <f t="shared" ca="1" si="68"/>
        <v/>
      </c>
      <c r="I66" s="60" t="str">
        <f t="shared" ca="1" si="68"/>
        <v/>
      </c>
      <c r="J66" s="60" t="str">
        <f t="shared" ca="1" si="68"/>
        <v/>
      </c>
      <c r="K66" s="60" t="str">
        <f t="shared" ca="1" si="68"/>
        <v/>
      </c>
      <c r="L66" s="60" t="str">
        <f t="shared" ca="1" si="68"/>
        <v/>
      </c>
      <c r="M66" s="60" t="str">
        <f t="shared" ca="1" si="68"/>
        <v/>
      </c>
      <c r="N66" s="60" t="str">
        <f t="shared" ca="1" si="68"/>
        <v/>
      </c>
      <c r="O66" s="60" t="str">
        <f t="shared" ca="1" si="68"/>
        <v/>
      </c>
      <c r="P66" s="60" t="str">
        <f t="shared" ca="1" si="68"/>
        <v/>
      </c>
      <c r="Q66" s="60" t="str">
        <f t="shared" ca="1" si="68"/>
        <v/>
      </c>
      <c r="R66" s="60" t="str">
        <f t="shared" ca="1" si="68"/>
        <v/>
      </c>
      <c r="S66" s="60" t="str">
        <f t="shared" ca="1" si="68"/>
        <v/>
      </c>
      <c r="T66" s="60" t="str">
        <f t="shared" ca="1" si="68"/>
        <v/>
      </c>
      <c r="U66" s="60" t="str">
        <f t="shared" ca="1" si="68"/>
        <v/>
      </c>
      <c r="V66" s="60" t="str">
        <f t="shared" ca="1" si="68"/>
        <v/>
      </c>
      <c r="W66" s="60" t="str">
        <f t="shared" ca="1" si="68"/>
        <v/>
      </c>
      <c r="X66" s="60" t="str">
        <f t="shared" ca="1" si="68"/>
        <v/>
      </c>
      <c r="Y66" s="60" t="str">
        <f t="shared" ca="1" si="68"/>
        <v/>
      </c>
      <c r="Z66" s="60" t="str">
        <f t="shared" ca="1" si="68"/>
        <v/>
      </c>
      <c r="AA66" s="60" t="str">
        <f t="shared" ca="1" si="68"/>
        <v/>
      </c>
    </row>
    <row r="67" spans="1:27" x14ac:dyDescent="0.25">
      <c r="A67" t="str">
        <f t="shared" ca="1" si="37"/>
        <v/>
      </c>
      <c r="B67" t="str">
        <f t="shared" ref="B67:B98" ca="1" si="69">IF(A67="","",A67&amp;") "&amp;IF(INDIRECT("'Datos "&amp;Tipo_Cuestionario_Cod&amp;"'!"&amp;B$1&amp;7+A67-1)="","",INDIRECT("'Datos "&amp;Tipo_Cuestionario_Cod&amp;"'!"&amp;B$1&amp;7+A67-1)))</f>
        <v/>
      </c>
      <c r="C67" s="60" t="str">
        <f t="shared" ref="C67:AA67" ca="1" si="70">IFERROR(IF(OR(INDIRECT("'Datos "&amp;Tipo_Cuestionario_Cod&amp;"'!"&amp;C$1&amp;7+$A67-1)="",C$2="",$B67=""),"",
IF(AND(C$1="J",Tipo_Cuestionario_Cod="VF"),C$2&amp;IF(MID(B67,FIND(")",B67)+2,1)="V","FALSO","VERDADERO"),
C$2&amp;INDIRECT("'Datos "&amp;Tipo_Cuestionario_Cod&amp;"'!"&amp;C$1&amp;7+$A67-1))),"")</f>
        <v/>
      </c>
      <c r="D67" s="60" t="str">
        <f t="shared" ca="1" si="70"/>
        <v/>
      </c>
      <c r="E67" s="60" t="str">
        <f t="shared" ca="1" si="70"/>
        <v/>
      </c>
      <c r="F67" s="60" t="str">
        <f t="shared" ca="1" si="70"/>
        <v/>
      </c>
      <c r="G67" s="60" t="str">
        <f t="shared" ca="1" si="70"/>
        <v/>
      </c>
      <c r="H67" s="60" t="str">
        <f t="shared" ca="1" si="70"/>
        <v/>
      </c>
      <c r="I67" s="60" t="str">
        <f t="shared" ca="1" si="70"/>
        <v/>
      </c>
      <c r="J67" s="60" t="str">
        <f t="shared" ca="1" si="70"/>
        <v/>
      </c>
      <c r="K67" s="60" t="str">
        <f t="shared" ca="1" si="70"/>
        <v/>
      </c>
      <c r="L67" s="60" t="str">
        <f t="shared" ca="1" si="70"/>
        <v/>
      </c>
      <c r="M67" s="60" t="str">
        <f t="shared" ca="1" si="70"/>
        <v/>
      </c>
      <c r="N67" s="60" t="str">
        <f t="shared" ca="1" si="70"/>
        <v/>
      </c>
      <c r="O67" s="60" t="str">
        <f t="shared" ca="1" si="70"/>
        <v/>
      </c>
      <c r="P67" s="60" t="str">
        <f t="shared" ca="1" si="70"/>
        <v/>
      </c>
      <c r="Q67" s="60" t="str">
        <f t="shared" ca="1" si="70"/>
        <v/>
      </c>
      <c r="R67" s="60" t="str">
        <f t="shared" ca="1" si="70"/>
        <v/>
      </c>
      <c r="S67" s="60" t="str">
        <f t="shared" ca="1" si="70"/>
        <v/>
      </c>
      <c r="T67" s="60" t="str">
        <f t="shared" ca="1" si="70"/>
        <v/>
      </c>
      <c r="U67" s="60" t="str">
        <f t="shared" ca="1" si="70"/>
        <v/>
      </c>
      <c r="V67" s="60" t="str">
        <f t="shared" ca="1" si="70"/>
        <v/>
      </c>
      <c r="W67" s="60" t="str">
        <f t="shared" ca="1" si="70"/>
        <v/>
      </c>
      <c r="X67" s="60" t="str">
        <f t="shared" ca="1" si="70"/>
        <v/>
      </c>
      <c r="Y67" s="60" t="str">
        <f t="shared" ca="1" si="70"/>
        <v/>
      </c>
      <c r="Z67" s="60" t="str">
        <f t="shared" ca="1" si="70"/>
        <v/>
      </c>
      <c r="AA67" s="60" t="str">
        <f t="shared" ca="1" si="70"/>
        <v/>
      </c>
    </row>
    <row r="68" spans="1:27" x14ac:dyDescent="0.25">
      <c r="A68" t="str">
        <f t="shared" ref="A68:A99" ca="1" si="71">IFERROR(IF(A67+1&gt;N_FINAL-INDIRECT("'Datos "&amp;Tipo_Cuestionario_Cod&amp;"'!A7")+1,"",A67+1),"")</f>
        <v/>
      </c>
      <c r="B68" t="str">
        <f t="shared" ca="1" si="69"/>
        <v/>
      </c>
      <c r="C68" s="60" t="str">
        <f t="shared" ref="C68:AA68" ca="1" si="72">IFERROR(IF(OR(INDIRECT("'Datos "&amp;Tipo_Cuestionario_Cod&amp;"'!"&amp;C$1&amp;7+$A68-1)="",C$2="",$B68=""),"",
IF(AND(C$1="J",Tipo_Cuestionario_Cod="VF"),C$2&amp;IF(MID(B68,FIND(")",B68)+2,1)="V","FALSO","VERDADERO"),
C$2&amp;INDIRECT("'Datos "&amp;Tipo_Cuestionario_Cod&amp;"'!"&amp;C$1&amp;7+$A68-1))),"")</f>
        <v/>
      </c>
      <c r="D68" s="60" t="str">
        <f t="shared" ca="1" si="72"/>
        <v/>
      </c>
      <c r="E68" s="60" t="str">
        <f t="shared" ca="1" si="72"/>
        <v/>
      </c>
      <c r="F68" s="60" t="str">
        <f t="shared" ca="1" si="72"/>
        <v/>
      </c>
      <c r="G68" s="60" t="str">
        <f t="shared" ca="1" si="72"/>
        <v/>
      </c>
      <c r="H68" s="60" t="str">
        <f t="shared" ca="1" si="72"/>
        <v/>
      </c>
      <c r="I68" s="60" t="str">
        <f t="shared" ca="1" si="72"/>
        <v/>
      </c>
      <c r="J68" s="60" t="str">
        <f t="shared" ca="1" si="72"/>
        <v/>
      </c>
      <c r="K68" s="60" t="str">
        <f t="shared" ca="1" si="72"/>
        <v/>
      </c>
      <c r="L68" s="60" t="str">
        <f t="shared" ca="1" si="72"/>
        <v/>
      </c>
      <c r="M68" s="60" t="str">
        <f t="shared" ca="1" si="72"/>
        <v/>
      </c>
      <c r="N68" s="60" t="str">
        <f t="shared" ca="1" si="72"/>
        <v/>
      </c>
      <c r="O68" s="60" t="str">
        <f t="shared" ca="1" si="72"/>
        <v/>
      </c>
      <c r="P68" s="60" t="str">
        <f t="shared" ca="1" si="72"/>
        <v/>
      </c>
      <c r="Q68" s="60" t="str">
        <f t="shared" ca="1" si="72"/>
        <v/>
      </c>
      <c r="R68" s="60" t="str">
        <f t="shared" ca="1" si="72"/>
        <v/>
      </c>
      <c r="S68" s="60" t="str">
        <f t="shared" ca="1" si="72"/>
        <v/>
      </c>
      <c r="T68" s="60" t="str">
        <f t="shared" ca="1" si="72"/>
        <v/>
      </c>
      <c r="U68" s="60" t="str">
        <f t="shared" ca="1" si="72"/>
        <v/>
      </c>
      <c r="V68" s="60" t="str">
        <f t="shared" ca="1" si="72"/>
        <v/>
      </c>
      <c r="W68" s="60" t="str">
        <f t="shared" ca="1" si="72"/>
        <v/>
      </c>
      <c r="X68" s="60" t="str">
        <f t="shared" ca="1" si="72"/>
        <v/>
      </c>
      <c r="Y68" s="60" t="str">
        <f t="shared" ca="1" si="72"/>
        <v/>
      </c>
      <c r="Z68" s="60" t="str">
        <f t="shared" ca="1" si="72"/>
        <v/>
      </c>
      <c r="AA68" s="60" t="str">
        <f t="shared" ca="1" si="72"/>
        <v/>
      </c>
    </row>
    <row r="69" spans="1:27" x14ac:dyDescent="0.25">
      <c r="A69" t="str">
        <f t="shared" ca="1" si="71"/>
        <v/>
      </c>
      <c r="B69" t="str">
        <f t="shared" ca="1" si="69"/>
        <v/>
      </c>
      <c r="C69" s="60" t="str">
        <f t="shared" ref="C69:AA69" ca="1" si="73">IFERROR(IF(OR(INDIRECT("'Datos "&amp;Tipo_Cuestionario_Cod&amp;"'!"&amp;C$1&amp;7+$A69-1)="",C$2="",$B69=""),"",
IF(AND(C$1="J",Tipo_Cuestionario_Cod="VF"),C$2&amp;IF(MID(B69,FIND(")",B69)+2,1)="V","FALSO","VERDADERO"),
C$2&amp;INDIRECT("'Datos "&amp;Tipo_Cuestionario_Cod&amp;"'!"&amp;C$1&amp;7+$A69-1))),"")</f>
        <v/>
      </c>
      <c r="D69" s="60" t="str">
        <f t="shared" ca="1" si="73"/>
        <v/>
      </c>
      <c r="E69" s="60" t="str">
        <f t="shared" ca="1" si="73"/>
        <v/>
      </c>
      <c r="F69" s="60" t="str">
        <f t="shared" ca="1" si="73"/>
        <v/>
      </c>
      <c r="G69" s="60" t="str">
        <f t="shared" ca="1" si="73"/>
        <v/>
      </c>
      <c r="H69" s="60" t="str">
        <f t="shared" ca="1" si="73"/>
        <v/>
      </c>
      <c r="I69" s="60" t="str">
        <f t="shared" ca="1" si="73"/>
        <v/>
      </c>
      <c r="J69" s="60" t="str">
        <f t="shared" ca="1" si="73"/>
        <v/>
      </c>
      <c r="K69" s="60" t="str">
        <f t="shared" ca="1" si="73"/>
        <v/>
      </c>
      <c r="L69" s="60" t="str">
        <f t="shared" ca="1" si="73"/>
        <v/>
      </c>
      <c r="M69" s="60" t="str">
        <f t="shared" ca="1" si="73"/>
        <v/>
      </c>
      <c r="N69" s="60" t="str">
        <f t="shared" ca="1" si="73"/>
        <v/>
      </c>
      <c r="O69" s="60" t="str">
        <f t="shared" ca="1" si="73"/>
        <v/>
      </c>
      <c r="P69" s="60" t="str">
        <f t="shared" ca="1" si="73"/>
        <v/>
      </c>
      <c r="Q69" s="60" t="str">
        <f t="shared" ca="1" si="73"/>
        <v/>
      </c>
      <c r="R69" s="60" t="str">
        <f t="shared" ca="1" si="73"/>
        <v/>
      </c>
      <c r="S69" s="60" t="str">
        <f t="shared" ca="1" si="73"/>
        <v/>
      </c>
      <c r="T69" s="60" t="str">
        <f t="shared" ca="1" si="73"/>
        <v/>
      </c>
      <c r="U69" s="60" t="str">
        <f t="shared" ca="1" si="73"/>
        <v/>
      </c>
      <c r="V69" s="60" t="str">
        <f t="shared" ca="1" si="73"/>
        <v/>
      </c>
      <c r="W69" s="60" t="str">
        <f t="shared" ca="1" si="73"/>
        <v/>
      </c>
      <c r="X69" s="60" t="str">
        <f t="shared" ca="1" si="73"/>
        <v/>
      </c>
      <c r="Y69" s="60" t="str">
        <f t="shared" ca="1" si="73"/>
        <v/>
      </c>
      <c r="Z69" s="60" t="str">
        <f t="shared" ca="1" si="73"/>
        <v/>
      </c>
      <c r="AA69" s="60" t="str">
        <f t="shared" ca="1" si="73"/>
        <v/>
      </c>
    </row>
    <row r="70" spans="1:27" x14ac:dyDescent="0.25">
      <c r="A70" t="str">
        <f t="shared" ca="1" si="71"/>
        <v/>
      </c>
      <c r="B70" t="str">
        <f t="shared" ca="1" si="69"/>
        <v/>
      </c>
      <c r="C70" s="60" t="str">
        <f t="shared" ref="C70:AA70" ca="1" si="74">IFERROR(IF(OR(INDIRECT("'Datos "&amp;Tipo_Cuestionario_Cod&amp;"'!"&amp;C$1&amp;7+$A70-1)="",C$2="",$B70=""),"",
IF(AND(C$1="J",Tipo_Cuestionario_Cod="VF"),C$2&amp;IF(MID(B70,FIND(")",B70)+2,1)="V","FALSO","VERDADERO"),
C$2&amp;INDIRECT("'Datos "&amp;Tipo_Cuestionario_Cod&amp;"'!"&amp;C$1&amp;7+$A70-1))),"")</f>
        <v/>
      </c>
      <c r="D70" s="60" t="str">
        <f t="shared" ca="1" si="74"/>
        <v/>
      </c>
      <c r="E70" s="60" t="str">
        <f t="shared" ca="1" si="74"/>
        <v/>
      </c>
      <c r="F70" s="60" t="str">
        <f t="shared" ca="1" si="74"/>
        <v/>
      </c>
      <c r="G70" s="60" t="str">
        <f t="shared" ca="1" si="74"/>
        <v/>
      </c>
      <c r="H70" s="60" t="str">
        <f t="shared" ca="1" si="74"/>
        <v/>
      </c>
      <c r="I70" s="60" t="str">
        <f t="shared" ca="1" si="74"/>
        <v/>
      </c>
      <c r="J70" s="60" t="str">
        <f t="shared" ca="1" si="74"/>
        <v/>
      </c>
      <c r="K70" s="60" t="str">
        <f t="shared" ca="1" si="74"/>
        <v/>
      </c>
      <c r="L70" s="60" t="str">
        <f t="shared" ca="1" si="74"/>
        <v/>
      </c>
      <c r="M70" s="60" t="str">
        <f t="shared" ca="1" si="74"/>
        <v/>
      </c>
      <c r="N70" s="60" t="str">
        <f t="shared" ca="1" si="74"/>
        <v/>
      </c>
      <c r="O70" s="60" t="str">
        <f t="shared" ca="1" si="74"/>
        <v/>
      </c>
      <c r="P70" s="60" t="str">
        <f t="shared" ca="1" si="74"/>
        <v/>
      </c>
      <c r="Q70" s="60" t="str">
        <f t="shared" ca="1" si="74"/>
        <v/>
      </c>
      <c r="R70" s="60" t="str">
        <f t="shared" ca="1" si="74"/>
        <v/>
      </c>
      <c r="S70" s="60" t="str">
        <f t="shared" ca="1" si="74"/>
        <v/>
      </c>
      <c r="T70" s="60" t="str">
        <f t="shared" ca="1" si="74"/>
        <v/>
      </c>
      <c r="U70" s="60" t="str">
        <f t="shared" ca="1" si="74"/>
        <v/>
      </c>
      <c r="V70" s="60" t="str">
        <f t="shared" ca="1" si="74"/>
        <v/>
      </c>
      <c r="W70" s="60" t="str">
        <f t="shared" ca="1" si="74"/>
        <v/>
      </c>
      <c r="X70" s="60" t="str">
        <f t="shared" ca="1" si="74"/>
        <v/>
      </c>
      <c r="Y70" s="60" t="str">
        <f t="shared" ca="1" si="74"/>
        <v/>
      </c>
      <c r="Z70" s="60" t="str">
        <f t="shared" ca="1" si="74"/>
        <v/>
      </c>
      <c r="AA70" s="60" t="str">
        <f t="shared" ca="1" si="74"/>
        <v/>
      </c>
    </row>
    <row r="71" spans="1:27" x14ac:dyDescent="0.25">
      <c r="A71" t="str">
        <f t="shared" ca="1" si="71"/>
        <v/>
      </c>
      <c r="B71" t="str">
        <f t="shared" ca="1" si="69"/>
        <v/>
      </c>
      <c r="C71" s="60" t="str">
        <f t="shared" ref="C71:AA71" ca="1" si="75">IFERROR(IF(OR(INDIRECT("'Datos "&amp;Tipo_Cuestionario_Cod&amp;"'!"&amp;C$1&amp;7+$A71-1)="",C$2="",$B71=""),"",
IF(AND(C$1="J",Tipo_Cuestionario_Cod="VF"),C$2&amp;IF(MID(B71,FIND(")",B71)+2,1)="V","FALSO","VERDADERO"),
C$2&amp;INDIRECT("'Datos "&amp;Tipo_Cuestionario_Cod&amp;"'!"&amp;C$1&amp;7+$A71-1))),"")</f>
        <v/>
      </c>
      <c r="D71" s="60" t="str">
        <f t="shared" ca="1" si="75"/>
        <v/>
      </c>
      <c r="E71" s="60" t="str">
        <f t="shared" ca="1" si="75"/>
        <v/>
      </c>
      <c r="F71" s="60" t="str">
        <f t="shared" ca="1" si="75"/>
        <v/>
      </c>
      <c r="G71" s="60" t="str">
        <f t="shared" ca="1" si="75"/>
        <v/>
      </c>
      <c r="H71" s="60" t="str">
        <f t="shared" ca="1" si="75"/>
        <v/>
      </c>
      <c r="I71" s="60" t="str">
        <f t="shared" ca="1" si="75"/>
        <v/>
      </c>
      <c r="J71" s="60" t="str">
        <f t="shared" ca="1" si="75"/>
        <v/>
      </c>
      <c r="K71" s="60" t="str">
        <f t="shared" ca="1" si="75"/>
        <v/>
      </c>
      <c r="L71" s="60" t="str">
        <f t="shared" ca="1" si="75"/>
        <v/>
      </c>
      <c r="M71" s="60" t="str">
        <f t="shared" ca="1" si="75"/>
        <v/>
      </c>
      <c r="N71" s="60" t="str">
        <f t="shared" ca="1" si="75"/>
        <v/>
      </c>
      <c r="O71" s="60" t="str">
        <f t="shared" ca="1" si="75"/>
        <v/>
      </c>
      <c r="P71" s="60" t="str">
        <f t="shared" ca="1" si="75"/>
        <v/>
      </c>
      <c r="Q71" s="60" t="str">
        <f t="shared" ca="1" si="75"/>
        <v/>
      </c>
      <c r="R71" s="60" t="str">
        <f t="shared" ca="1" si="75"/>
        <v/>
      </c>
      <c r="S71" s="60" t="str">
        <f t="shared" ca="1" si="75"/>
        <v/>
      </c>
      <c r="T71" s="60" t="str">
        <f t="shared" ca="1" si="75"/>
        <v/>
      </c>
      <c r="U71" s="60" t="str">
        <f t="shared" ca="1" si="75"/>
        <v/>
      </c>
      <c r="V71" s="60" t="str">
        <f t="shared" ca="1" si="75"/>
        <v/>
      </c>
      <c r="W71" s="60" t="str">
        <f t="shared" ca="1" si="75"/>
        <v/>
      </c>
      <c r="X71" s="60" t="str">
        <f t="shared" ca="1" si="75"/>
        <v/>
      </c>
      <c r="Y71" s="60" t="str">
        <f t="shared" ca="1" si="75"/>
        <v/>
      </c>
      <c r="Z71" s="60" t="str">
        <f t="shared" ca="1" si="75"/>
        <v/>
      </c>
      <c r="AA71" s="60" t="str">
        <f t="shared" ca="1" si="75"/>
        <v/>
      </c>
    </row>
    <row r="72" spans="1:27" x14ac:dyDescent="0.25">
      <c r="A72" t="str">
        <f t="shared" ca="1" si="71"/>
        <v/>
      </c>
      <c r="B72" t="str">
        <f t="shared" ca="1" si="69"/>
        <v/>
      </c>
      <c r="C72" s="60" t="str">
        <f t="shared" ref="C72:AA72" ca="1" si="76">IFERROR(IF(OR(INDIRECT("'Datos "&amp;Tipo_Cuestionario_Cod&amp;"'!"&amp;C$1&amp;7+$A72-1)="",C$2="",$B72=""),"",
IF(AND(C$1="J",Tipo_Cuestionario_Cod="VF"),C$2&amp;IF(MID(B72,FIND(")",B72)+2,1)="V","FALSO","VERDADERO"),
C$2&amp;INDIRECT("'Datos "&amp;Tipo_Cuestionario_Cod&amp;"'!"&amp;C$1&amp;7+$A72-1))),"")</f>
        <v/>
      </c>
      <c r="D72" s="60" t="str">
        <f t="shared" ca="1" si="76"/>
        <v/>
      </c>
      <c r="E72" s="60" t="str">
        <f t="shared" ca="1" si="76"/>
        <v/>
      </c>
      <c r="F72" s="60" t="str">
        <f t="shared" ca="1" si="76"/>
        <v/>
      </c>
      <c r="G72" s="60" t="str">
        <f t="shared" ca="1" si="76"/>
        <v/>
      </c>
      <c r="H72" s="60" t="str">
        <f t="shared" ca="1" si="76"/>
        <v/>
      </c>
      <c r="I72" s="60" t="str">
        <f t="shared" ca="1" si="76"/>
        <v/>
      </c>
      <c r="J72" s="60" t="str">
        <f t="shared" ca="1" si="76"/>
        <v/>
      </c>
      <c r="K72" s="60" t="str">
        <f t="shared" ca="1" si="76"/>
        <v/>
      </c>
      <c r="L72" s="60" t="str">
        <f t="shared" ca="1" si="76"/>
        <v/>
      </c>
      <c r="M72" s="60" t="str">
        <f t="shared" ca="1" si="76"/>
        <v/>
      </c>
      <c r="N72" s="60" t="str">
        <f t="shared" ca="1" si="76"/>
        <v/>
      </c>
      <c r="O72" s="60" t="str">
        <f t="shared" ca="1" si="76"/>
        <v/>
      </c>
      <c r="P72" s="60" t="str">
        <f t="shared" ca="1" si="76"/>
        <v/>
      </c>
      <c r="Q72" s="60" t="str">
        <f t="shared" ca="1" si="76"/>
        <v/>
      </c>
      <c r="R72" s="60" t="str">
        <f t="shared" ca="1" si="76"/>
        <v/>
      </c>
      <c r="S72" s="60" t="str">
        <f t="shared" ca="1" si="76"/>
        <v/>
      </c>
      <c r="T72" s="60" t="str">
        <f t="shared" ca="1" si="76"/>
        <v/>
      </c>
      <c r="U72" s="60" t="str">
        <f t="shared" ca="1" si="76"/>
        <v/>
      </c>
      <c r="V72" s="60" t="str">
        <f t="shared" ca="1" si="76"/>
        <v/>
      </c>
      <c r="W72" s="60" t="str">
        <f t="shared" ca="1" si="76"/>
        <v/>
      </c>
      <c r="X72" s="60" t="str">
        <f t="shared" ca="1" si="76"/>
        <v/>
      </c>
      <c r="Y72" s="60" t="str">
        <f t="shared" ca="1" si="76"/>
        <v/>
      </c>
      <c r="Z72" s="60" t="str">
        <f t="shared" ca="1" si="76"/>
        <v/>
      </c>
      <c r="AA72" s="60" t="str">
        <f t="shared" ca="1" si="76"/>
        <v/>
      </c>
    </row>
    <row r="73" spans="1:27" x14ac:dyDescent="0.25">
      <c r="A73" t="str">
        <f t="shared" ca="1" si="71"/>
        <v/>
      </c>
      <c r="B73" t="str">
        <f t="shared" ca="1" si="69"/>
        <v/>
      </c>
      <c r="C73" s="60" t="str">
        <f t="shared" ref="C73:AA73" ca="1" si="77">IFERROR(IF(OR(INDIRECT("'Datos "&amp;Tipo_Cuestionario_Cod&amp;"'!"&amp;C$1&amp;7+$A73-1)="",C$2="",$B73=""),"",
IF(AND(C$1="J",Tipo_Cuestionario_Cod="VF"),C$2&amp;IF(MID(B73,FIND(")",B73)+2,1)="V","FALSO","VERDADERO"),
C$2&amp;INDIRECT("'Datos "&amp;Tipo_Cuestionario_Cod&amp;"'!"&amp;C$1&amp;7+$A73-1))),"")</f>
        <v/>
      </c>
      <c r="D73" s="60" t="str">
        <f t="shared" ca="1" si="77"/>
        <v/>
      </c>
      <c r="E73" s="60" t="str">
        <f t="shared" ca="1" si="77"/>
        <v/>
      </c>
      <c r="F73" s="60" t="str">
        <f t="shared" ca="1" si="77"/>
        <v/>
      </c>
      <c r="G73" s="60" t="str">
        <f t="shared" ca="1" si="77"/>
        <v/>
      </c>
      <c r="H73" s="60" t="str">
        <f t="shared" ca="1" si="77"/>
        <v/>
      </c>
      <c r="I73" s="60" t="str">
        <f t="shared" ca="1" si="77"/>
        <v/>
      </c>
      <c r="J73" s="60" t="str">
        <f t="shared" ca="1" si="77"/>
        <v/>
      </c>
      <c r="K73" s="60" t="str">
        <f t="shared" ca="1" si="77"/>
        <v/>
      </c>
      <c r="L73" s="60" t="str">
        <f t="shared" ca="1" si="77"/>
        <v/>
      </c>
      <c r="M73" s="60" t="str">
        <f t="shared" ca="1" si="77"/>
        <v/>
      </c>
      <c r="N73" s="60" t="str">
        <f t="shared" ca="1" si="77"/>
        <v/>
      </c>
      <c r="O73" s="60" t="str">
        <f t="shared" ca="1" si="77"/>
        <v/>
      </c>
      <c r="P73" s="60" t="str">
        <f t="shared" ca="1" si="77"/>
        <v/>
      </c>
      <c r="Q73" s="60" t="str">
        <f t="shared" ca="1" si="77"/>
        <v/>
      </c>
      <c r="R73" s="60" t="str">
        <f t="shared" ca="1" si="77"/>
        <v/>
      </c>
      <c r="S73" s="60" t="str">
        <f t="shared" ca="1" si="77"/>
        <v/>
      </c>
      <c r="T73" s="60" t="str">
        <f t="shared" ca="1" si="77"/>
        <v/>
      </c>
      <c r="U73" s="60" t="str">
        <f t="shared" ca="1" si="77"/>
        <v/>
      </c>
      <c r="V73" s="60" t="str">
        <f t="shared" ca="1" si="77"/>
        <v/>
      </c>
      <c r="W73" s="60" t="str">
        <f t="shared" ca="1" si="77"/>
        <v/>
      </c>
      <c r="X73" s="60" t="str">
        <f t="shared" ca="1" si="77"/>
        <v/>
      </c>
      <c r="Y73" s="60" t="str">
        <f t="shared" ca="1" si="77"/>
        <v/>
      </c>
      <c r="Z73" s="60" t="str">
        <f t="shared" ca="1" si="77"/>
        <v/>
      </c>
      <c r="AA73" s="60" t="str">
        <f t="shared" ca="1" si="77"/>
        <v/>
      </c>
    </row>
    <row r="74" spans="1:27" x14ac:dyDescent="0.25">
      <c r="A74" t="str">
        <f t="shared" ca="1" si="71"/>
        <v/>
      </c>
      <c r="B74" t="str">
        <f t="shared" ca="1" si="69"/>
        <v/>
      </c>
      <c r="C74" s="60" t="str">
        <f t="shared" ref="C74:AA74" ca="1" si="78">IFERROR(IF(OR(INDIRECT("'Datos "&amp;Tipo_Cuestionario_Cod&amp;"'!"&amp;C$1&amp;7+$A74-1)="",C$2="",$B74=""),"",
IF(AND(C$1="J",Tipo_Cuestionario_Cod="VF"),C$2&amp;IF(MID(B74,FIND(")",B74)+2,1)="V","FALSO","VERDADERO"),
C$2&amp;INDIRECT("'Datos "&amp;Tipo_Cuestionario_Cod&amp;"'!"&amp;C$1&amp;7+$A74-1))),"")</f>
        <v/>
      </c>
      <c r="D74" s="60" t="str">
        <f t="shared" ca="1" si="78"/>
        <v/>
      </c>
      <c r="E74" s="60" t="str">
        <f t="shared" ca="1" si="78"/>
        <v/>
      </c>
      <c r="F74" s="60" t="str">
        <f t="shared" ca="1" si="78"/>
        <v/>
      </c>
      <c r="G74" s="60" t="str">
        <f t="shared" ca="1" si="78"/>
        <v/>
      </c>
      <c r="H74" s="60" t="str">
        <f t="shared" ca="1" si="78"/>
        <v/>
      </c>
      <c r="I74" s="60" t="str">
        <f t="shared" ca="1" si="78"/>
        <v/>
      </c>
      <c r="J74" s="60" t="str">
        <f t="shared" ca="1" si="78"/>
        <v/>
      </c>
      <c r="K74" s="60" t="str">
        <f t="shared" ca="1" si="78"/>
        <v/>
      </c>
      <c r="L74" s="60" t="str">
        <f t="shared" ca="1" si="78"/>
        <v/>
      </c>
      <c r="M74" s="60" t="str">
        <f t="shared" ca="1" si="78"/>
        <v/>
      </c>
      <c r="N74" s="60" t="str">
        <f t="shared" ca="1" si="78"/>
        <v/>
      </c>
      <c r="O74" s="60" t="str">
        <f t="shared" ca="1" si="78"/>
        <v/>
      </c>
      <c r="P74" s="60" t="str">
        <f t="shared" ca="1" si="78"/>
        <v/>
      </c>
      <c r="Q74" s="60" t="str">
        <f t="shared" ca="1" si="78"/>
        <v/>
      </c>
      <c r="R74" s="60" t="str">
        <f t="shared" ca="1" si="78"/>
        <v/>
      </c>
      <c r="S74" s="60" t="str">
        <f t="shared" ca="1" si="78"/>
        <v/>
      </c>
      <c r="T74" s="60" t="str">
        <f t="shared" ca="1" si="78"/>
        <v/>
      </c>
      <c r="U74" s="60" t="str">
        <f t="shared" ca="1" si="78"/>
        <v/>
      </c>
      <c r="V74" s="60" t="str">
        <f t="shared" ca="1" si="78"/>
        <v/>
      </c>
      <c r="W74" s="60" t="str">
        <f t="shared" ca="1" si="78"/>
        <v/>
      </c>
      <c r="X74" s="60" t="str">
        <f t="shared" ca="1" si="78"/>
        <v/>
      </c>
      <c r="Y74" s="60" t="str">
        <f t="shared" ca="1" si="78"/>
        <v/>
      </c>
      <c r="Z74" s="60" t="str">
        <f t="shared" ca="1" si="78"/>
        <v/>
      </c>
      <c r="AA74" s="60" t="str">
        <f t="shared" ca="1" si="78"/>
        <v/>
      </c>
    </row>
    <row r="75" spans="1:27" x14ac:dyDescent="0.25">
      <c r="A75" t="str">
        <f t="shared" ca="1" si="71"/>
        <v/>
      </c>
      <c r="B75" t="str">
        <f t="shared" ca="1" si="69"/>
        <v/>
      </c>
      <c r="C75" s="60" t="str">
        <f t="shared" ref="C75:AA75" ca="1" si="79">IFERROR(IF(OR(INDIRECT("'Datos "&amp;Tipo_Cuestionario_Cod&amp;"'!"&amp;C$1&amp;7+$A75-1)="",C$2="",$B75=""),"",
IF(AND(C$1="J",Tipo_Cuestionario_Cod="VF"),C$2&amp;IF(MID(B75,FIND(")",B75)+2,1)="V","FALSO","VERDADERO"),
C$2&amp;INDIRECT("'Datos "&amp;Tipo_Cuestionario_Cod&amp;"'!"&amp;C$1&amp;7+$A75-1))),"")</f>
        <v/>
      </c>
      <c r="D75" s="60" t="str">
        <f t="shared" ca="1" si="79"/>
        <v/>
      </c>
      <c r="E75" s="60" t="str">
        <f t="shared" ca="1" si="79"/>
        <v/>
      </c>
      <c r="F75" s="60" t="str">
        <f t="shared" ca="1" si="79"/>
        <v/>
      </c>
      <c r="G75" s="60" t="str">
        <f t="shared" ca="1" si="79"/>
        <v/>
      </c>
      <c r="H75" s="60" t="str">
        <f t="shared" ca="1" si="79"/>
        <v/>
      </c>
      <c r="I75" s="60" t="str">
        <f t="shared" ca="1" si="79"/>
        <v/>
      </c>
      <c r="J75" s="60" t="str">
        <f t="shared" ca="1" si="79"/>
        <v/>
      </c>
      <c r="K75" s="60" t="str">
        <f t="shared" ca="1" si="79"/>
        <v/>
      </c>
      <c r="L75" s="60" t="str">
        <f t="shared" ca="1" si="79"/>
        <v/>
      </c>
      <c r="M75" s="60" t="str">
        <f t="shared" ca="1" si="79"/>
        <v/>
      </c>
      <c r="N75" s="60" t="str">
        <f t="shared" ca="1" si="79"/>
        <v/>
      </c>
      <c r="O75" s="60" t="str">
        <f t="shared" ca="1" si="79"/>
        <v/>
      </c>
      <c r="P75" s="60" t="str">
        <f t="shared" ca="1" si="79"/>
        <v/>
      </c>
      <c r="Q75" s="60" t="str">
        <f t="shared" ca="1" si="79"/>
        <v/>
      </c>
      <c r="R75" s="60" t="str">
        <f t="shared" ca="1" si="79"/>
        <v/>
      </c>
      <c r="S75" s="60" t="str">
        <f t="shared" ca="1" si="79"/>
        <v/>
      </c>
      <c r="T75" s="60" t="str">
        <f t="shared" ca="1" si="79"/>
        <v/>
      </c>
      <c r="U75" s="60" t="str">
        <f t="shared" ca="1" si="79"/>
        <v/>
      </c>
      <c r="V75" s="60" t="str">
        <f t="shared" ca="1" si="79"/>
        <v/>
      </c>
      <c r="W75" s="60" t="str">
        <f t="shared" ca="1" si="79"/>
        <v/>
      </c>
      <c r="X75" s="60" t="str">
        <f t="shared" ca="1" si="79"/>
        <v/>
      </c>
      <c r="Y75" s="60" t="str">
        <f t="shared" ca="1" si="79"/>
        <v/>
      </c>
      <c r="Z75" s="60" t="str">
        <f t="shared" ca="1" si="79"/>
        <v/>
      </c>
      <c r="AA75" s="60" t="str">
        <f t="shared" ca="1" si="79"/>
        <v/>
      </c>
    </row>
    <row r="76" spans="1:27" x14ac:dyDescent="0.25">
      <c r="A76" t="str">
        <f t="shared" ca="1" si="71"/>
        <v/>
      </c>
      <c r="B76" t="str">
        <f t="shared" ca="1" si="69"/>
        <v/>
      </c>
      <c r="C76" s="60" t="str">
        <f t="shared" ref="C76:AA76" ca="1" si="80">IFERROR(IF(OR(INDIRECT("'Datos "&amp;Tipo_Cuestionario_Cod&amp;"'!"&amp;C$1&amp;7+$A76-1)="",C$2="",$B76=""),"",
IF(AND(C$1="J",Tipo_Cuestionario_Cod="VF"),C$2&amp;IF(MID(B76,FIND(")",B76)+2,1)="V","FALSO","VERDADERO"),
C$2&amp;INDIRECT("'Datos "&amp;Tipo_Cuestionario_Cod&amp;"'!"&amp;C$1&amp;7+$A76-1))),"")</f>
        <v/>
      </c>
      <c r="D76" s="60" t="str">
        <f t="shared" ca="1" si="80"/>
        <v/>
      </c>
      <c r="E76" s="60" t="str">
        <f t="shared" ca="1" si="80"/>
        <v/>
      </c>
      <c r="F76" s="60" t="str">
        <f t="shared" ca="1" si="80"/>
        <v/>
      </c>
      <c r="G76" s="60" t="str">
        <f t="shared" ca="1" si="80"/>
        <v/>
      </c>
      <c r="H76" s="60" t="str">
        <f t="shared" ca="1" si="80"/>
        <v/>
      </c>
      <c r="I76" s="60" t="str">
        <f t="shared" ca="1" si="80"/>
        <v/>
      </c>
      <c r="J76" s="60" t="str">
        <f t="shared" ca="1" si="80"/>
        <v/>
      </c>
      <c r="K76" s="60" t="str">
        <f t="shared" ca="1" si="80"/>
        <v/>
      </c>
      <c r="L76" s="60" t="str">
        <f t="shared" ca="1" si="80"/>
        <v/>
      </c>
      <c r="M76" s="60" t="str">
        <f t="shared" ca="1" si="80"/>
        <v/>
      </c>
      <c r="N76" s="60" t="str">
        <f t="shared" ca="1" si="80"/>
        <v/>
      </c>
      <c r="O76" s="60" t="str">
        <f t="shared" ca="1" si="80"/>
        <v/>
      </c>
      <c r="P76" s="60" t="str">
        <f t="shared" ca="1" si="80"/>
        <v/>
      </c>
      <c r="Q76" s="60" t="str">
        <f t="shared" ca="1" si="80"/>
        <v/>
      </c>
      <c r="R76" s="60" t="str">
        <f t="shared" ca="1" si="80"/>
        <v/>
      </c>
      <c r="S76" s="60" t="str">
        <f t="shared" ca="1" si="80"/>
        <v/>
      </c>
      <c r="T76" s="60" t="str">
        <f t="shared" ca="1" si="80"/>
        <v/>
      </c>
      <c r="U76" s="60" t="str">
        <f t="shared" ca="1" si="80"/>
        <v/>
      </c>
      <c r="V76" s="60" t="str">
        <f t="shared" ca="1" si="80"/>
        <v/>
      </c>
      <c r="W76" s="60" t="str">
        <f t="shared" ca="1" si="80"/>
        <v/>
      </c>
      <c r="X76" s="60" t="str">
        <f t="shared" ca="1" si="80"/>
        <v/>
      </c>
      <c r="Y76" s="60" t="str">
        <f t="shared" ca="1" si="80"/>
        <v/>
      </c>
      <c r="Z76" s="60" t="str">
        <f t="shared" ca="1" si="80"/>
        <v/>
      </c>
      <c r="AA76" s="60" t="str">
        <f t="shared" ca="1" si="80"/>
        <v/>
      </c>
    </row>
    <row r="77" spans="1:27" x14ac:dyDescent="0.25">
      <c r="A77" t="str">
        <f t="shared" ca="1" si="71"/>
        <v/>
      </c>
      <c r="B77" t="str">
        <f t="shared" ca="1" si="69"/>
        <v/>
      </c>
      <c r="C77" s="60" t="str">
        <f t="shared" ref="C77:AA77" ca="1" si="81">IFERROR(IF(OR(INDIRECT("'Datos "&amp;Tipo_Cuestionario_Cod&amp;"'!"&amp;C$1&amp;7+$A77-1)="",C$2="",$B77=""),"",
IF(AND(C$1="J",Tipo_Cuestionario_Cod="VF"),C$2&amp;IF(MID(B77,FIND(")",B77)+2,1)="V","FALSO","VERDADERO"),
C$2&amp;INDIRECT("'Datos "&amp;Tipo_Cuestionario_Cod&amp;"'!"&amp;C$1&amp;7+$A77-1))),"")</f>
        <v/>
      </c>
      <c r="D77" s="60" t="str">
        <f t="shared" ca="1" si="81"/>
        <v/>
      </c>
      <c r="E77" s="60" t="str">
        <f t="shared" ca="1" si="81"/>
        <v/>
      </c>
      <c r="F77" s="60" t="str">
        <f t="shared" ca="1" si="81"/>
        <v/>
      </c>
      <c r="G77" s="60" t="str">
        <f t="shared" ca="1" si="81"/>
        <v/>
      </c>
      <c r="H77" s="60" t="str">
        <f t="shared" ca="1" si="81"/>
        <v/>
      </c>
      <c r="I77" s="60" t="str">
        <f t="shared" ca="1" si="81"/>
        <v/>
      </c>
      <c r="J77" s="60" t="str">
        <f t="shared" ca="1" si="81"/>
        <v/>
      </c>
      <c r="K77" s="60" t="str">
        <f t="shared" ca="1" si="81"/>
        <v/>
      </c>
      <c r="L77" s="60" t="str">
        <f t="shared" ca="1" si="81"/>
        <v/>
      </c>
      <c r="M77" s="60" t="str">
        <f t="shared" ca="1" si="81"/>
        <v/>
      </c>
      <c r="N77" s="60" t="str">
        <f t="shared" ca="1" si="81"/>
        <v/>
      </c>
      <c r="O77" s="60" t="str">
        <f t="shared" ca="1" si="81"/>
        <v/>
      </c>
      <c r="P77" s="60" t="str">
        <f t="shared" ca="1" si="81"/>
        <v/>
      </c>
      <c r="Q77" s="60" t="str">
        <f t="shared" ca="1" si="81"/>
        <v/>
      </c>
      <c r="R77" s="60" t="str">
        <f t="shared" ca="1" si="81"/>
        <v/>
      </c>
      <c r="S77" s="60" t="str">
        <f t="shared" ca="1" si="81"/>
        <v/>
      </c>
      <c r="T77" s="60" t="str">
        <f t="shared" ca="1" si="81"/>
        <v/>
      </c>
      <c r="U77" s="60" t="str">
        <f t="shared" ca="1" si="81"/>
        <v/>
      </c>
      <c r="V77" s="60" t="str">
        <f t="shared" ca="1" si="81"/>
        <v/>
      </c>
      <c r="W77" s="60" t="str">
        <f t="shared" ca="1" si="81"/>
        <v/>
      </c>
      <c r="X77" s="60" t="str">
        <f t="shared" ca="1" si="81"/>
        <v/>
      </c>
      <c r="Y77" s="60" t="str">
        <f t="shared" ca="1" si="81"/>
        <v/>
      </c>
      <c r="Z77" s="60" t="str">
        <f t="shared" ca="1" si="81"/>
        <v/>
      </c>
      <c r="AA77" s="60" t="str">
        <f t="shared" ca="1" si="81"/>
        <v/>
      </c>
    </row>
    <row r="78" spans="1:27" x14ac:dyDescent="0.25">
      <c r="A78" t="str">
        <f t="shared" ca="1" si="71"/>
        <v/>
      </c>
      <c r="B78" t="str">
        <f t="shared" ca="1" si="69"/>
        <v/>
      </c>
      <c r="C78" s="60" t="str">
        <f t="shared" ref="C78:AA78" ca="1" si="82">IFERROR(IF(OR(INDIRECT("'Datos "&amp;Tipo_Cuestionario_Cod&amp;"'!"&amp;C$1&amp;7+$A78-1)="",C$2="",$B78=""),"",
IF(AND(C$1="J",Tipo_Cuestionario_Cod="VF"),C$2&amp;IF(MID(B78,FIND(")",B78)+2,1)="V","FALSO","VERDADERO"),
C$2&amp;INDIRECT("'Datos "&amp;Tipo_Cuestionario_Cod&amp;"'!"&amp;C$1&amp;7+$A78-1))),"")</f>
        <v/>
      </c>
      <c r="D78" s="60" t="str">
        <f t="shared" ca="1" si="82"/>
        <v/>
      </c>
      <c r="E78" s="60" t="str">
        <f t="shared" ca="1" si="82"/>
        <v/>
      </c>
      <c r="F78" s="60" t="str">
        <f t="shared" ca="1" si="82"/>
        <v/>
      </c>
      <c r="G78" s="60" t="str">
        <f t="shared" ca="1" si="82"/>
        <v/>
      </c>
      <c r="H78" s="60" t="str">
        <f t="shared" ca="1" si="82"/>
        <v/>
      </c>
      <c r="I78" s="60" t="str">
        <f t="shared" ca="1" si="82"/>
        <v/>
      </c>
      <c r="J78" s="60" t="str">
        <f t="shared" ca="1" si="82"/>
        <v/>
      </c>
      <c r="K78" s="60" t="str">
        <f t="shared" ca="1" si="82"/>
        <v/>
      </c>
      <c r="L78" s="60" t="str">
        <f t="shared" ca="1" si="82"/>
        <v/>
      </c>
      <c r="M78" s="60" t="str">
        <f t="shared" ca="1" si="82"/>
        <v/>
      </c>
      <c r="N78" s="60" t="str">
        <f t="shared" ca="1" si="82"/>
        <v/>
      </c>
      <c r="O78" s="60" t="str">
        <f t="shared" ca="1" si="82"/>
        <v/>
      </c>
      <c r="P78" s="60" t="str">
        <f t="shared" ca="1" si="82"/>
        <v/>
      </c>
      <c r="Q78" s="60" t="str">
        <f t="shared" ca="1" si="82"/>
        <v/>
      </c>
      <c r="R78" s="60" t="str">
        <f t="shared" ca="1" si="82"/>
        <v/>
      </c>
      <c r="S78" s="60" t="str">
        <f t="shared" ca="1" si="82"/>
        <v/>
      </c>
      <c r="T78" s="60" t="str">
        <f t="shared" ca="1" si="82"/>
        <v/>
      </c>
      <c r="U78" s="60" t="str">
        <f t="shared" ca="1" si="82"/>
        <v/>
      </c>
      <c r="V78" s="60" t="str">
        <f t="shared" ca="1" si="82"/>
        <v/>
      </c>
      <c r="W78" s="60" t="str">
        <f t="shared" ca="1" si="82"/>
        <v/>
      </c>
      <c r="X78" s="60" t="str">
        <f t="shared" ca="1" si="82"/>
        <v/>
      </c>
      <c r="Y78" s="60" t="str">
        <f t="shared" ca="1" si="82"/>
        <v/>
      </c>
      <c r="Z78" s="60" t="str">
        <f t="shared" ca="1" si="82"/>
        <v/>
      </c>
      <c r="AA78" s="60" t="str">
        <f t="shared" ca="1" si="82"/>
        <v/>
      </c>
    </row>
    <row r="79" spans="1:27" x14ac:dyDescent="0.25">
      <c r="A79" t="str">
        <f t="shared" ca="1" si="71"/>
        <v/>
      </c>
      <c r="B79" t="str">
        <f t="shared" ca="1" si="69"/>
        <v/>
      </c>
      <c r="C79" s="60" t="str">
        <f t="shared" ref="C79:AA79" ca="1" si="83">IFERROR(IF(OR(INDIRECT("'Datos "&amp;Tipo_Cuestionario_Cod&amp;"'!"&amp;C$1&amp;7+$A79-1)="",C$2="",$B79=""),"",
IF(AND(C$1="J",Tipo_Cuestionario_Cod="VF"),C$2&amp;IF(MID(B79,FIND(")",B79)+2,1)="V","FALSO","VERDADERO"),
C$2&amp;INDIRECT("'Datos "&amp;Tipo_Cuestionario_Cod&amp;"'!"&amp;C$1&amp;7+$A79-1))),"")</f>
        <v/>
      </c>
      <c r="D79" s="60" t="str">
        <f t="shared" ca="1" si="83"/>
        <v/>
      </c>
      <c r="E79" s="60" t="str">
        <f t="shared" ca="1" si="83"/>
        <v/>
      </c>
      <c r="F79" s="60" t="str">
        <f t="shared" ca="1" si="83"/>
        <v/>
      </c>
      <c r="G79" s="60" t="str">
        <f t="shared" ca="1" si="83"/>
        <v/>
      </c>
      <c r="H79" s="60" t="str">
        <f t="shared" ca="1" si="83"/>
        <v/>
      </c>
      <c r="I79" s="60" t="str">
        <f t="shared" ca="1" si="83"/>
        <v/>
      </c>
      <c r="J79" s="60" t="str">
        <f t="shared" ca="1" si="83"/>
        <v/>
      </c>
      <c r="K79" s="60" t="str">
        <f t="shared" ca="1" si="83"/>
        <v/>
      </c>
      <c r="L79" s="60" t="str">
        <f t="shared" ca="1" si="83"/>
        <v/>
      </c>
      <c r="M79" s="60" t="str">
        <f t="shared" ca="1" si="83"/>
        <v/>
      </c>
      <c r="N79" s="60" t="str">
        <f t="shared" ca="1" si="83"/>
        <v/>
      </c>
      <c r="O79" s="60" t="str">
        <f t="shared" ca="1" si="83"/>
        <v/>
      </c>
      <c r="P79" s="60" t="str">
        <f t="shared" ca="1" si="83"/>
        <v/>
      </c>
      <c r="Q79" s="60" t="str">
        <f t="shared" ca="1" si="83"/>
        <v/>
      </c>
      <c r="R79" s="60" t="str">
        <f t="shared" ca="1" si="83"/>
        <v/>
      </c>
      <c r="S79" s="60" t="str">
        <f t="shared" ca="1" si="83"/>
        <v/>
      </c>
      <c r="T79" s="60" t="str">
        <f t="shared" ca="1" si="83"/>
        <v/>
      </c>
      <c r="U79" s="60" t="str">
        <f t="shared" ca="1" si="83"/>
        <v/>
      </c>
      <c r="V79" s="60" t="str">
        <f t="shared" ca="1" si="83"/>
        <v/>
      </c>
      <c r="W79" s="60" t="str">
        <f t="shared" ca="1" si="83"/>
        <v/>
      </c>
      <c r="X79" s="60" t="str">
        <f t="shared" ca="1" si="83"/>
        <v/>
      </c>
      <c r="Y79" s="60" t="str">
        <f t="shared" ca="1" si="83"/>
        <v/>
      </c>
      <c r="Z79" s="60" t="str">
        <f t="shared" ca="1" si="83"/>
        <v/>
      </c>
      <c r="AA79" s="60" t="str">
        <f t="shared" ca="1" si="83"/>
        <v/>
      </c>
    </row>
    <row r="80" spans="1:27" x14ac:dyDescent="0.25">
      <c r="A80" t="str">
        <f t="shared" ca="1" si="71"/>
        <v/>
      </c>
      <c r="B80" t="str">
        <f t="shared" ca="1" si="69"/>
        <v/>
      </c>
      <c r="C80" s="60" t="str">
        <f t="shared" ref="C80:AA80" ca="1" si="84">IFERROR(IF(OR(INDIRECT("'Datos "&amp;Tipo_Cuestionario_Cod&amp;"'!"&amp;C$1&amp;7+$A80-1)="",C$2="",$B80=""),"",
IF(AND(C$1="J",Tipo_Cuestionario_Cod="VF"),C$2&amp;IF(MID(B80,FIND(")",B80)+2,1)="V","FALSO","VERDADERO"),
C$2&amp;INDIRECT("'Datos "&amp;Tipo_Cuestionario_Cod&amp;"'!"&amp;C$1&amp;7+$A80-1))),"")</f>
        <v/>
      </c>
      <c r="D80" s="60" t="str">
        <f t="shared" ca="1" si="84"/>
        <v/>
      </c>
      <c r="E80" s="60" t="str">
        <f t="shared" ca="1" si="84"/>
        <v/>
      </c>
      <c r="F80" s="60" t="str">
        <f t="shared" ca="1" si="84"/>
        <v/>
      </c>
      <c r="G80" s="60" t="str">
        <f t="shared" ca="1" si="84"/>
        <v/>
      </c>
      <c r="H80" s="60" t="str">
        <f t="shared" ca="1" si="84"/>
        <v/>
      </c>
      <c r="I80" s="60" t="str">
        <f t="shared" ca="1" si="84"/>
        <v/>
      </c>
      <c r="J80" s="60" t="str">
        <f t="shared" ca="1" si="84"/>
        <v/>
      </c>
      <c r="K80" s="60" t="str">
        <f t="shared" ca="1" si="84"/>
        <v/>
      </c>
      <c r="L80" s="60" t="str">
        <f t="shared" ca="1" si="84"/>
        <v/>
      </c>
      <c r="M80" s="60" t="str">
        <f t="shared" ca="1" si="84"/>
        <v/>
      </c>
      <c r="N80" s="60" t="str">
        <f t="shared" ca="1" si="84"/>
        <v/>
      </c>
      <c r="O80" s="60" t="str">
        <f t="shared" ca="1" si="84"/>
        <v/>
      </c>
      <c r="P80" s="60" t="str">
        <f t="shared" ca="1" si="84"/>
        <v/>
      </c>
      <c r="Q80" s="60" t="str">
        <f t="shared" ca="1" si="84"/>
        <v/>
      </c>
      <c r="R80" s="60" t="str">
        <f t="shared" ca="1" si="84"/>
        <v/>
      </c>
      <c r="S80" s="60" t="str">
        <f t="shared" ca="1" si="84"/>
        <v/>
      </c>
      <c r="T80" s="60" t="str">
        <f t="shared" ca="1" si="84"/>
        <v/>
      </c>
      <c r="U80" s="60" t="str">
        <f t="shared" ca="1" si="84"/>
        <v/>
      </c>
      <c r="V80" s="60" t="str">
        <f t="shared" ca="1" si="84"/>
        <v/>
      </c>
      <c r="W80" s="60" t="str">
        <f t="shared" ca="1" si="84"/>
        <v/>
      </c>
      <c r="X80" s="60" t="str">
        <f t="shared" ca="1" si="84"/>
        <v/>
      </c>
      <c r="Y80" s="60" t="str">
        <f t="shared" ca="1" si="84"/>
        <v/>
      </c>
      <c r="Z80" s="60" t="str">
        <f t="shared" ca="1" si="84"/>
        <v/>
      </c>
      <c r="AA80" s="60" t="str">
        <f t="shared" ca="1" si="84"/>
        <v/>
      </c>
    </row>
    <row r="81" spans="1:27" x14ac:dyDescent="0.25">
      <c r="A81" t="str">
        <f t="shared" ca="1" si="71"/>
        <v/>
      </c>
      <c r="B81" t="str">
        <f t="shared" ca="1" si="69"/>
        <v/>
      </c>
      <c r="C81" s="60" t="str">
        <f t="shared" ref="C81:AA81" ca="1" si="85">IFERROR(IF(OR(INDIRECT("'Datos "&amp;Tipo_Cuestionario_Cod&amp;"'!"&amp;C$1&amp;7+$A81-1)="",C$2="",$B81=""),"",
IF(AND(C$1="J",Tipo_Cuestionario_Cod="VF"),C$2&amp;IF(MID(B81,FIND(")",B81)+2,1)="V","FALSO","VERDADERO"),
C$2&amp;INDIRECT("'Datos "&amp;Tipo_Cuestionario_Cod&amp;"'!"&amp;C$1&amp;7+$A81-1))),"")</f>
        <v/>
      </c>
      <c r="D81" s="60" t="str">
        <f t="shared" ca="1" si="85"/>
        <v/>
      </c>
      <c r="E81" s="60" t="str">
        <f t="shared" ca="1" si="85"/>
        <v/>
      </c>
      <c r="F81" s="60" t="str">
        <f t="shared" ca="1" si="85"/>
        <v/>
      </c>
      <c r="G81" s="60" t="str">
        <f t="shared" ca="1" si="85"/>
        <v/>
      </c>
      <c r="H81" s="60" t="str">
        <f t="shared" ca="1" si="85"/>
        <v/>
      </c>
      <c r="I81" s="60" t="str">
        <f t="shared" ca="1" si="85"/>
        <v/>
      </c>
      <c r="J81" s="60" t="str">
        <f t="shared" ca="1" si="85"/>
        <v/>
      </c>
      <c r="K81" s="60" t="str">
        <f t="shared" ca="1" si="85"/>
        <v/>
      </c>
      <c r="L81" s="60" t="str">
        <f t="shared" ca="1" si="85"/>
        <v/>
      </c>
      <c r="M81" s="60" t="str">
        <f t="shared" ca="1" si="85"/>
        <v/>
      </c>
      <c r="N81" s="60" t="str">
        <f t="shared" ca="1" si="85"/>
        <v/>
      </c>
      <c r="O81" s="60" t="str">
        <f t="shared" ca="1" si="85"/>
        <v/>
      </c>
      <c r="P81" s="60" t="str">
        <f t="shared" ca="1" si="85"/>
        <v/>
      </c>
      <c r="Q81" s="60" t="str">
        <f t="shared" ca="1" si="85"/>
        <v/>
      </c>
      <c r="R81" s="60" t="str">
        <f t="shared" ca="1" si="85"/>
        <v/>
      </c>
      <c r="S81" s="60" t="str">
        <f t="shared" ca="1" si="85"/>
        <v/>
      </c>
      <c r="T81" s="60" t="str">
        <f t="shared" ca="1" si="85"/>
        <v/>
      </c>
      <c r="U81" s="60" t="str">
        <f t="shared" ca="1" si="85"/>
        <v/>
      </c>
      <c r="V81" s="60" t="str">
        <f t="shared" ca="1" si="85"/>
        <v/>
      </c>
      <c r="W81" s="60" t="str">
        <f t="shared" ca="1" si="85"/>
        <v/>
      </c>
      <c r="X81" s="60" t="str">
        <f t="shared" ca="1" si="85"/>
        <v/>
      </c>
      <c r="Y81" s="60" t="str">
        <f t="shared" ca="1" si="85"/>
        <v/>
      </c>
      <c r="Z81" s="60" t="str">
        <f t="shared" ca="1" si="85"/>
        <v/>
      </c>
      <c r="AA81" s="60" t="str">
        <f t="shared" ca="1" si="85"/>
        <v/>
      </c>
    </row>
    <row r="82" spans="1:27" x14ac:dyDescent="0.25">
      <c r="A82" t="str">
        <f t="shared" ca="1" si="71"/>
        <v/>
      </c>
      <c r="B82" t="str">
        <f t="shared" ca="1" si="69"/>
        <v/>
      </c>
      <c r="C82" s="60" t="str">
        <f t="shared" ref="C82:AA82" ca="1" si="86">IFERROR(IF(OR(INDIRECT("'Datos "&amp;Tipo_Cuestionario_Cod&amp;"'!"&amp;C$1&amp;7+$A82-1)="",C$2="",$B82=""),"",
IF(AND(C$1="J",Tipo_Cuestionario_Cod="VF"),C$2&amp;IF(MID(B82,FIND(")",B82)+2,1)="V","FALSO","VERDADERO"),
C$2&amp;INDIRECT("'Datos "&amp;Tipo_Cuestionario_Cod&amp;"'!"&amp;C$1&amp;7+$A82-1))),"")</f>
        <v/>
      </c>
      <c r="D82" s="60" t="str">
        <f t="shared" ca="1" si="86"/>
        <v/>
      </c>
      <c r="E82" s="60" t="str">
        <f t="shared" ca="1" si="86"/>
        <v/>
      </c>
      <c r="F82" s="60" t="str">
        <f t="shared" ca="1" si="86"/>
        <v/>
      </c>
      <c r="G82" s="60" t="str">
        <f t="shared" ca="1" si="86"/>
        <v/>
      </c>
      <c r="H82" s="60" t="str">
        <f t="shared" ca="1" si="86"/>
        <v/>
      </c>
      <c r="I82" s="60" t="str">
        <f t="shared" ca="1" si="86"/>
        <v/>
      </c>
      <c r="J82" s="60" t="str">
        <f t="shared" ca="1" si="86"/>
        <v/>
      </c>
      <c r="K82" s="60" t="str">
        <f t="shared" ca="1" si="86"/>
        <v/>
      </c>
      <c r="L82" s="60" t="str">
        <f t="shared" ca="1" si="86"/>
        <v/>
      </c>
      <c r="M82" s="60" t="str">
        <f t="shared" ca="1" si="86"/>
        <v/>
      </c>
      <c r="N82" s="60" t="str">
        <f t="shared" ca="1" si="86"/>
        <v/>
      </c>
      <c r="O82" s="60" t="str">
        <f t="shared" ca="1" si="86"/>
        <v/>
      </c>
      <c r="P82" s="60" t="str">
        <f t="shared" ca="1" si="86"/>
        <v/>
      </c>
      <c r="Q82" s="60" t="str">
        <f t="shared" ca="1" si="86"/>
        <v/>
      </c>
      <c r="R82" s="60" t="str">
        <f t="shared" ca="1" si="86"/>
        <v/>
      </c>
      <c r="S82" s="60" t="str">
        <f t="shared" ca="1" si="86"/>
        <v/>
      </c>
      <c r="T82" s="60" t="str">
        <f t="shared" ca="1" si="86"/>
        <v/>
      </c>
      <c r="U82" s="60" t="str">
        <f t="shared" ca="1" si="86"/>
        <v/>
      </c>
      <c r="V82" s="60" t="str">
        <f t="shared" ca="1" si="86"/>
        <v/>
      </c>
      <c r="W82" s="60" t="str">
        <f t="shared" ca="1" si="86"/>
        <v/>
      </c>
      <c r="X82" s="60" t="str">
        <f t="shared" ca="1" si="86"/>
        <v/>
      </c>
      <c r="Y82" s="60" t="str">
        <f t="shared" ca="1" si="86"/>
        <v/>
      </c>
      <c r="Z82" s="60" t="str">
        <f t="shared" ca="1" si="86"/>
        <v/>
      </c>
      <c r="AA82" s="60" t="str">
        <f t="shared" ca="1" si="86"/>
        <v/>
      </c>
    </row>
    <row r="83" spans="1:27" x14ac:dyDescent="0.25">
      <c r="A83" t="str">
        <f t="shared" ca="1" si="71"/>
        <v/>
      </c>
      <c r="B83" t="str">
        <f t="shared" ca="1" si="69"/>
        <v/>
      </c>
      <c r="C83" s="60" t="str">
        <f t="shared" ref="C83:AA83" ca="1" si="87">IFERROR(IF(OR(INDIRECT("'Datos "&amp;Tipo_Cuestionario_Cod&amp;"'!"&amp;C$1&amp;7+$A83-1)="",C$2="",$B83=""),"",
IF(AND(C$1="J",Tipo_Cuestionario_Cod="VF"),C$2&amp;IF(MID(B83,FIND(")",B83)+2,1)="V","FALSO","VERDADERO"),
C$2&amp;INDIRECT("'Datos "&amp;Tipo_Cuestionario_Cod&amp;"'!"&amp;C$1&amp;7+$A83-1))),"")</f>
        <v/>
      </c>
      <c r="D83" s="60" t="str">
        <f t="shared" ca="1" si="87"/>
        <v/>
      </c>
      <c r="E83" s="60" t="str">
        <f t="shared" ca="1" si="87"/>
        <v/>
      </c>
      <c r="F83" s="60" t="str">
        <f t="shared" ca="1" si="87"/>
        <v/>
      </c>
      <c r="G83" s="60" t="str">
        <f t="shared" ca="1" si="87"/>
        <v/>
      </c>
      <c r="H83" s="60" t="str">
        <f t="shared" ca="1" si="87"/>
        <v/>
      </c>
      <c r="I83" s="60" t="str">
        <f t="shared" ca="1" si="87"/>
        <v/>
      </c>
      <c r="J83" s="60" t="str">
        <f t="shared" ca="1" si="87"/>
        <v/>
      </c>
      <c r="K83" s="60" t="str">
        <f t="shared" ca="1" si="87"/>
        <v/>
      </c>
      <c r="L83" s="60" t="str">
        <f t="shared" ca="1" si="87"/>
        <v/>
      </c>
      <c r="M83" s="60" t="str">
        <f t="shared" ca="1" si="87"/>
        <v/>
      </c>
      <c r="N83" s="60" t="str">
        <f t="shared" ca="1" si="87"/>
        <v/>
      </c>
      <c r="O83" s="60" t="str">
        <f t="shared" ca="1" si="87"/>
        <v/>
      </c>
      <c r="P83" s="60" t="str">
        <f t="shared" ca="1" si="87"/>
        <v/>
      </c>
      <c r="Q83" s="60" t="str">
        <f t="shared" ca="1" si="87"/>
        <v/>
      </c>
      <c r="R83" s="60" t="str">
        <f t="shared" ca="1" si="87"/>
        <v/>
      </c>
      <c r="S83" s="60" t="str">
        <f t="shared" ca="1" si="87"/>
        <v/>
      </c>
      <c r="T83" s="60" t="str">
        <f t="shared" ca="1" si="87"/>
        <v/>
      </c>
      <c r="U83" s="60" t="str">
        <f t="shared" ca="1" si="87"/>
        <v/>
      </c>
      <c r="V83" s="60" t="str">
        <f t="shared" ca="1" si="87"/>
        <v/>
      </c>
      <c r="W83" s="60" t="str">
        <f t="shared" ca="1" si="87"/>
        <v/>
      </c>
      <c r="X83" s="60" t="str">
        <f t="shared" ca="1" si="87"/>
        <v/>
      </c>
      <c r="Y83" s="60" t="str">
        <f t="shared" ca="1" si="87"/>
        <v/>
      </c>
      <c r="Z83" s="60" t="str">
        <f t="shared" ca="1" si="87"/>
        <v/>
      </c>
      <c r="AA83" s="60" t="str">
        <f t="shared" ca="1" si="87"/>
        <v/>
      </c>
    </row>
    <row r="84" spans="1:27" x14ac:dyDescent="0.25">
      <c r="A84" t="str">
        <f t="shared" ca="1" si="71"/>
        <v/>
      </c>
      <c r="B84" t="str">
        <f t="shared" ca="1" si="69"/>
        <v/>
      </c>
      <c r="C84" s="60" t="str">
        <f t="shared" ref="C84:AA84" ca="1" si="88">IFERROR(IF(OR(INDIRECT("'Datos "&amp;Tipo_Cuestionario_Cod&amp;"'!"&amp;C$1&amp;7+$A84-1)="",C$2="",$B84=""),"",
IF(AND(C$1="J",Tipo_Cuestionario_Cod="VF"),C$2&amp;IF(MID(B84,FIND(")",B84)+2,1)="V","FALSO","VERDADERO"),
C$2&amp;INDIRECT("'Datos "&amp;Tipo_Cuestionario_Cod&amp;"'!"&amp;C$1&amp;7+$A84-1))),"")</f>
        <v/>
      </c>
      <c r="D84" s="60" t="str">
        <f t="shared" ca="1" si="88"/>
        <v/>
      </c>
      <c r="E84" s="60" t="str">
        <f t="shared" ca="1" si="88"/>
        <v/>
      </c>
      <c r="F84" s="60" t="str">
        <f t="shared" ca="1" si="88"/>
        <v/>
      </c>
      <c r="G84" s="60" t="str">
        <f t="shared" ca="1" si="88"/>
        <v/>
      </c>
      <c r="H84" s="60" t="str">
        <f t="shared" ca="1" si="88"/>
        <v/>
      </c>
      <c r="I84" s="60" t="str">
        <f t="shared" ca="1" si="88"/>
        <v/>
      </c>
      <c r="J84" s="60" t="str">
        <f t="shared" ca="1" si="88"/>
        <v/>
      </c>
      <c r="K84" s="60" t="str">
        <f t="shared" ca="1" si="88"/>
        <v/>
      </c>
      <c r="L84" s="60" t="str">
        <f t="shared" ca="1" si="88"/>
        <v/>
      </c>
      <c r="M84" s="60" t="str">
        <f t="shared" ca="1" si="88"/>
        <v/>
      </c>
      <c r="N84" s="60" t="str">
        <f t="shared" ca="1" si="88"/>
        <v/>
      </c>
      <c r="O84" s="60" t="str">
        <f t="shared" ca="1" si="88"/>
        <v/>
      </c>
      <c r="P84" s="60" t="str">
        <f t="shared" ca="1" si="88"/>
        <v/>
      </c>
      <c r="Q84" s="60" t="str">
        <f t="shared" ca="1" si="88"/>
        <v/>
      </c>
      <c r="R84" s="60" t="str">
        <f t="shared" ca="1" si="88"/>
        <v/>
      </c>
      <c r="S84" s="60" t="str">
        <f t="shared" ca="1" si="88"/>
        <v/>
      </c>
      <c r="T84" s="60" t="str">
        <f t="shared" ca="1" si="88"/>
        <v/>
      </c>
      <c r="U84" s="60" t="str">
        <f t="shared" ca="1" si="88"/>
        <v/>
      </c>
      <c r="V84" s="60" t="str">
        <f t="shared" ca="1" si="88"/>
        <v/>
      </c>
      <c r="W84" s="60" t="str">
        <f t="shared" ca="1" si="88"/>
        <v/>
      </c>
      <c r="X84" s="60" t="str">
        <f t="shared" ca="1" si="88"/>
        <v/>
      </c>
      <c r="Y84" s="60" t="str">
        <f t="shared" ca="1" si="88"/>
        <v/>
      </c>
      <c r="Z84" s="60" t="str">
        <f t="shared" ca="1" si="88"/>
        <v/>
      </c>
      <c r="AA84" s="60" t="str">
        <f t="shared" ca="1" si="88"/>
        <v/>
      </c>
    </row>
    <row r="85" spans="1:27" x14ac:dyDescent="0.25">
      <c r="A85" t="str">
        <f t="shared" ca="1" si="71"/>
        <v/>
      </c>
      <c r="B85" t="str">
        <f t="shared" ca="1" si="69"/>
        <v/>
      </c>
      <c r="C85" s="60" t="str">
        <f t="shared" ref="C85:AA85" ca="1" si="89">IFERROR(IF(OR(INDIRECT("'Datos "&amp;Tipo_Cuestionario_Cod&amp;"'!"&amp;C$1&amp;7+$A85-1)="",C$2="",$B85=""),"",
IF(AND(C$1="J",Tipo_Cuestionario_Cod="VF"),C$2&amp;IF(MID(B85,FIND(")",B85)+2,1)="V","FALSO","VERDADERO"),
C$2&amp;INDIRECT("'Datos "&amp;Tipo_Cuestionario_Cod&amp;"'!"&amp;C$1&amp;7+$A85-1))),"")</f>
        <v/>
      </c>
      <c r="D85" s="60" t="str">
        <f t="shared" ca="1" si="89"/>
        <v/>
      </c>
      <c r="E85" s="60" t="str">
        <f t="shared" ca="1" si="89"/>
        <v/>
      </c>
      <c r="F85" s="60" t="str">
        <f t="shared" ca="1" si="89"/>
        <v/>
      </c>
      <c r="G85" s="60" t="str">
        <f t="shared" ca="1" si="89"/>
        <v/>
      </c>
      <c r="H85" s="60" t="str">
        <f t="shared" ca="1" si="89"/>
        <v/>
      </c>
      <c r="I85" s="60" t="str">
        <f t="shared" ca="1" si="89"/>
        <v/>
      </c>
      <c r="J85" s="60" t="str">
        <f t="shared" ca="1" si="89"/>
        <v/>
      </c>
      <c r="K85" s="60" t="str">
        <f t="shared" ca="1" si="89"/>
        <v/>
      </c>
      <c r="L85" s="60" t="str">
        <f t="shared" ca="1" si="89"/>
        <v/>
      </c>
      <c r="M85" s="60" t="str">
        <f t="shared" ca="1" si="89"/>
        <v/>
      </c>
      <c r="N85" s="60" t="str">
        <f t="shared" ca="1" si="89"/>
        <v/>
      </c>
      <c r="O85" s="60" t="str">
        <f t="shared" ca="1" si="89"/>
        <v/>
      </c>
      <c r="P85" s="60" t="str">
        <f t="shared" ca="1" si="89"/>
        <v/>
      </c>
      <c r="Q85" s="60" t="str">
        <f t="shared" ca="1" si="89"/>
        <v/>
      </c>
      <c r="R85" s="60" t="str">
        <f t="shared" ca="1" si="89"/>
        <v/>
      </c>
      <c r="S85" s="60" t="str">
        <f t="shared" ca="1" si="89"/>
        <v/>
      </c>
      <c r="T85" s="60" t="str">
        <f t="shared" ca="1" si="89"/>
        <v/>
      </c>
      <c r="U85" s="60" t="str">
        <f t="shared" ca="1" si="89"/>
        <v/>
      </c>
      <c r="V85" s="60" t="str">
        <f t="shared" ca="1" si="89"/>
        <v/>
      </c>
      <c r="W85" s="60" t="str">
        <f t="shared" ca="1" si="89"/>
        <v/>
      </c>
      <c r="X85" s="60" t="str">
        <f t="shared" ca="1" si="89"/>
        <v/>
      </c>
      <c r="Y85" s="60" t="str">
        <f t="shared" ca="1" si="89"/>
        <v/>
      </c>
      <c r="Z85" s="60" t="str">
        <f t="shared" ca="1" si="89"/>
        <v/>
      </c>
      <c r="AA85" s="60" t="str">
        <f t="shared" ca="1" si="89"/>
        <v/>
      </c>
    </row>
    <row r="86" spans="1:27" x14ac:dyDescent="0.25">
      <c r="A86" t="str">
        <f t="shared" ca="1" si="71"/>
        <v/>
      </c>
      <c r="B86" t="str">
        <f t="shared" ca="1" si="69"/>
        <v/>
      </c>
      <c r="C86" s="60" t="str">
        <f t="shared" ref="C86:AA86" ca="1" si="90">IFERROR(IF(OR(INDIRECT("'Datos "&amp;Tipo_Cuestionario_Cod&amp;"'!"&amp;C$1&amp;7+$A86-1)="",C$2="",$B86=""),"",
IF(AND(C$1="J",Tipo_Cuestionario_Cod="VF"),C$2&amp;IF(MID(B86,FIND(")",B86)+2,1)="V","FALSO","VERDADERO"),
C$2&amp;INDIRECT("'Datos "&amp;Tipo_Cuestionario_Cod&amp;"'!"&amp;C$1&amp;7+$A86-1))),"")</f>
        <v/>
      </c>
      <c r="D86" s="60" t="str">
        <f t="shared" ca="1" si="90"/>
        <v/>
      </c>
      <c r="E86" s="60" t="str">
        <f t="shared" ca="1" si="90"/>
        <v/>
      </c>
      <c r="F86" s="60" t="str">
        <f t="shared" ca="1" si="90"/>
        <v/>
      </c>
      <c r="G86" s="60" t="str">
        <f t="shared" ca="1" si="90"/>
        <v/>
      </c>
      <c r="H86" s="60" t="str">
        <f t="shared" ca="1" si="90"/>
        <v/>
      </c>
      <c r="I86" s="60" t="str">
        <f t="shared" ca="1" si="90"/>
        <v/>
      </c>
      <c r="J86" s="60" t="str">
        <f t="shared" ca="1" si="90"/>
        <v/>
      </c>
      <c r="K86" s="60" t="str">
        <f t="shared" ca="1" si="90"/>
        <v/>
      </c>
      <c r="L86" s="60" t="str">
        <f t="shared" ca="1" si="90"/>
        <v/>
      </c>
      <c r="M86" s="60" t="str">
        <f t="shared" ca="1" si="90"/>
        <v/>
      </c>
      <c r="N86" s="60" t="str">
        <f t="shared" ca="1" si="90"/>
        <v/>
      </c>
      <c r="O86" s="60" t="str">
        <f t="shared" ca="1" si="90"/>
        <v/>
      </c>
      <c r="P86" s="60" t="str">
        <f t="shared" ca="1" si="90"/>
        <v/>
      </c>
      <c r="Q86" s="60" t="str">
        <f t="shared" ca="1" si="90"/>
        <v/>
      </c>
      <c r="R86" s="60" t="str">
        <f t="shared" ca="1" si="90"/>
        <v/>
      </c>
      <c r="S86" s="60" t="str">
        <f t="shared" ca="1" si="90"/>
        <v/>
      </c>
      <c r="T86" s="60" t="str">
        <f t="shared" ca="1" si="90"/>
        <v/>
      </c>
      <c r="U86" s="60" t="str">
        <f t="shared" ca="1" si="90"/>
        <v/>
      </c>
      <c r="V86" s="60" t="str">
        <f t="shared" ca="1" si="90"/>
        <v/>
      </c>
      <c r="W86" s="60" t="str">
        <f t="shared" ca="1" si="90"/>
        <v/>
      </c>
      <c r="X86" s="60" t="str">
        <f t="shared" ca="1" si="90"/>
        <v/>
      </c>
      <c r="Y86" s="60" t="str">
        <f t="shared" ca="1" si="90"/>
        <v/>
      </c>
      <c r="Z86" s="60" t="str">
        <f t="shared" ca="1" si="90"/>
        <v/>
      </c>
      <c r="AA86" s="60" t="str">
        <f t="shared" ca="1" si="90"/>
        <v/>
      </c>
    </row>
    <row r="87" spans="1:27" x14ac:dyDescent="0.25">
      <c r="A87" t="str">
        <f t="shared" ca="1" si="71"/>
        <v/>
      </c>
      <c r="B87" t="str">
        <f t="shared" ca="1" si="69"/>
        <v/>
      </c>
      <c r="C87" s="60" t="str">
        <f t="shared" ref="C87:AA87" ca="1" si="91">IFERROR(IF(OR(INDIRECT("'Datos "&amp;Tipo_Cuestionario_Cod&amp;"'!"&amp;C$1&amp;7+$A87-1)="",C$2="",$B87=""),"",
IF(AND(C$1="J",Tipo_Cuestionario_Cod="VF"),C$2&amp;IF(MID(B87,FIND(")",B87)+2,1)="V","FALSO","VERDADERO"),
C$2&amp;INDIRECT("'Datos "&amp;Tipo_Cuestionario_Cod&amp;"'!"&amp;C$1&amp;7+$A87-1))),"")</f>
        <v/>
      </c>
      <c r="D87" s="60" t="str">
        <f t="shared" ca="1" si="91"/>
        <v/>
      </c>
      <c r="E87" s="60" t="str">
        <f t="shared" ca="1" si="91"/>
        <v/>
      </c>
      <c r="F87" s="60" t="str">
        <f t="shared" ca="1" si="91"/>
        <v/>
      </c>
      <c r="G87" s="60" t="str">
        <f t="shared" ca="1" si="91"/>
        <v/>
      </c>
      <c r="H87" s="60" t="str">
        <f t="shared" ca="1" si="91"/>
        <v/>
      </c>
      <c r="I87" s="60" t="str">
        <f t="shared" ca="1" si="91"/>
        <v/>
      </c>
      <c r="J87" s="60" t="str">
        <f t="shared" ca="1" si="91"/>
        <v/>
      </c>
      <c r="K87" s="60" t="str">
        <f t="shared" ca="1" si="91"/>
        <v/>
      </c>
      <c r="L87" s="60" t="str">
        <f t="shared" ca="1" si="91"/>
        <v/>
      </c>
      <c r="M87" s="60" t="str">
        <f t="shared" ca="1" si="91"/>
        <v/>
      </c>
      <c r="N87" s="60" t="str">
        <f t="shared" ca="1" si="91"/>
        <v/>
      </c>
      <c r="O87" s="60" t="str">
        <f t="shared" ca="1" si="91"/>
        <v/>
      </c>
      <c r="P87" s="60" t="str">
        <f t="shared" ca="1" si="91"/>
        <v/>
      </c>
      <c r="Q87" s="60" t="str">
        <f t="shared" ca="1" si="91"/>
        <v/>
      </c>
      <c r="R87" s="60" t="str">
        <f t="shared" ca="1" si="91"/>
        <v/>
      </c>
      <c r="S87" s="60" t="str">
        <f t="shared" ca="1" si="91"/>
        <v/>
      </c>
      <c r="T87" s="60" t="str">
        <f t="shared" ca="1" si="91"/>
        <v/>
      </c>
      <c r="U87" s="60" t="str">
        <f t="shared" ca="1" si="91"/>
        <v/>
      </c>
      <c r="V87" s="60" t="str">
        <f t="shared" ca="1" si="91"/>
        <v/>
      </c>
      <c r="W87" s="60" t="str">
        <f t="shared" ca="1" si="91"/>
        <v/>
      </c>
      <c r="X87" s="60" t="str">
        <f t="shared" ca="1" si="91"/>
        <v/>
      </c>
      <c r="Y87" s="60" t="str">
        <f t="shared" ca="1" si="91"/>
        <v/>
      </c>
      <c r="Z87" s="60" t="str">
        <f t="shared" ca="1" si="91"/>
        <v/>
      </c>
      <c r="AA87" s="60" t="str">
        <f t="shared" ca="1" si="91"/>
        <v/>
      </c>
    </row>
    <row r="88" spans="1:27" x14ac:dyDescent="0.25">
      <c r="A88" t="str">
        <f t="shared" ca="1" si="71"/>
        <v/>
      </c>
      <c r="B88" t="str">
        <f t="shared" ca="1" si="69"/>
        <v/>
      </c>
      <c r="C88" s="60" t="str">
        <f t="shared" ref="C88:AA88" ca="1" si="92">IFERROR(IF(OR(INDIRECT("'Datos "&amp;Tipo_Cuestionario_Cod&amp;"'!"&amp;C$1&amp;7+$A88-1)="",C$2="",$B88=""),"",
IF(AND(C$1="J",Tipo_Cuestionario_Cod="VF"),C$2&amp;IF(MID(B88,FIND(")",B88)+2,1)="V","FALSO","VERDADERO"),
C$2&amp;INDIRECT("'Datos "&amp;Tipo_Cuestionario_Cod&amp;"'!"&amp;C$1&amp;7+$A88-1))),"")</f>
        <v/>
      </c>
      <c r="D88" s="60" t="str">
        <f t="shared" ca="1" si="92"/>
        <v/>
      </c>
      <c r="E88" s="60" t="str">
        <f t="shared" ca="1" si="92"/>
        <v/>
      </c>
      <c r="F88" s="60" t="str">
        <f t="shared" ca="1" si="92"/>
        <v/>
      </c>
      <c r="G88" s="60" t="str">
        <f t="shared" ca="1" si="92"/>
        <v/>
      </c>
      <c r="H88" s="60" t="str">
        <f t="shared" ca="1" si="92"/>
        <v/>
      </c>
      <c r="I88" s="60" t="str">
        <f t="shared" ca="1" si="92"/>
        <v/>
      </c>
      <c r="J88" s="60" t="str">
        <f t="shared" ca="1" si="92"/>
        <v/>
      </c>
      <c r="K88" s="60" t="str">
        <f t="shared" ca="1" si="92"/>
        <v/>
      </c>
      <c r="L88" s="60" t="str">
        <f t="shared" ca="1" si="92"/>
        <v/>
      </c>
      <c r="M88" s="60" t="str">
        <f t="shared" ca="1" si="92"/>
        <v/>
      </c>
      <c r="N88" s="60" t="str">
        <f t="shared" ca="1" si="92"/>
        <v/>
      </c>
      <c r="O88" s="60" t="str">
        <f t="shared" ca="1" si="92"/>
        <v/>
      </c>
      <c r="P88" s="60" t="str">
        <f t="shared" ca="1" si="92"/>
        <v/>
      </c>
      <c r="Q88" s="60" t="str">
        <f t="shared" ca="1" si="92"/>
        <v/>
      </c>
      <c r="R88" s="60" t="str">
        <f t="shared" ca="1" si="92"/>
        <v/>
      </c>
      <c r="S88" s="60" t="str">
        <f t="shared" ca="1" si="92"/>
        <v/>
      </c>
      <c r="T88" s="60" t="str">
        <f t="shared" ca="1" si="92"/>
        <v/>
      </c>
      <c r="U88" s="60" t="str">
        <f t="shared" ca="1" si="92"/>
        <v/>
      </c>
      <c r="V88" s="60" t="str">
        <f t="shared" ca="1" si="92"/>
        <v/>
      </c>
      <c r="W88" s="60" t="str">
        <f t="shared" ca="1" si="92"/>
        <v/>
      </c>
      <c r="X88" s="60" t="str">
        <f t="shared" ca="1" si="92"/>
        <v/>
      </c>
      <c r="Y88" s="60" t="str">
        <f t="shared" ca="1" si="92"/>
        <v/>
      </c>
      <c r="Z88" s="60" t="str">
        <f t="shared" ca="1" si="92"/>
        <v/>
      </c>
      <c r="AA88" s="60" t="str">
        <f t="shared" ca="1" si="92"/>
        <v/>
      </c>
    </row>
    <row r="89" spans="1:27" x14ac:dyDescent="0.25">
      <c r="A89" t="str">
        <f t="shared" ca="1" si="71"/>
        <v/>
      </c>
      <c r="B89" t="str">
        <f t="shared" ca="1" si="69"/>
        <v/>
      </c>
      <c r="C89" s="60" t="str">
        <f t="shared" ref="C89:AA89" ca="1" si="93">IFERROR(IF(OR(INDIRECT("'Datos "&amp;Tipo_Cuestionario_Cod&amp;"'!"&amp;C$1&amp;7+$A89-1)="",C$2="",$B89=""),"",
IF(AND(C$1="J",Tipo_Cuestionario_Cod="VF"),C$2&amp;IF(MID(B89,FIND(")",B89)+2,1)="V","FALSO","VERDADERO"),
C$2&amp;INDIRECT("'Datos "&amp;Tipo_Cuestionario_Cod&amp;"'!"&amp;C$1&amp;7+$A89-1))),"")</f>
        <v/>
      </c>
      <c r="D89" s="60" t="str">
        <f t="shared" ca="1" si="93"/>
        <v/>
      </c>
      <c r="E89" s="60" t="str">
        <f t="shared" ca="1" si="93"/>
        <v/>
      </c>
      <c r="F89" s="60" t="str">
        <f t="shared" ca="1" si="93"/>
        <v/>
      </c>
      <c r="G89" s="60" t="str">
        <f t="shared" ca="1" si="93"/>
        <v/>
      </c>
      <c r="H89" s="60" t="str">
        <f t="shared" ca="1" si="93"/>
        <v/>
      </c>
      <c r="I89" s="60" t="str">
        <f t="shared" ca="1" si="93"/>
        <v/>
      </c>
      <c r="J89" s="60" t="str">
        <f t="shared" ca="1" si="93"/>
        <v/>
      </c>
      <c r="K89" s="60" t="str">
        <f t="shared" ca="1" si="93"/>
        <v/>
      </c>
      <c r="L89" s="60" t="str">
        <f t="shared" ca="1" si="93"/>
        <v/>
      </c>
      <c r="M89" s="60" t="str">
        <f t="shared" ca="1" si="93"/>
        <v/>
      </c>
      <c r="N89" s="60" t="str">
        <f t="shared" ca="1" si="93"/>
        <v/>
      </c>
      <c r="O89" s="60" t="str">
        <f t="shared" ca="1" si="93"/>
        <v/>
      </c>
      <c r="P89" s="60" t="str">
        <f t="shared" ca="1" si="93"/>
        <v/>
      </c>
      <c r="Q89" s="60" t="str">
        <f t="shared" ca="1" si="93"/>
        <v/>
      </c>
      <c r="R89" s="60" t="str">
        <f t="shared" ca="1" si="93"/>
        <v/>
      </c>
      <c r="S89" s="60" t="str">
        <f t="shared" ca="1" si="93"/>
        <v/>
      </c>
      <c r="T89" s="60" t="str">
        <f t="shared" ca="1" si="93"/>
        <v/>
      </c>
      <c r="U89" s="60" t="str">
        <f t="shared" ca="1" si="93"/>
        <v/>
      </c>
      <c r="V89" s="60" t="str">
        <f t="shared" ca="1" si="93"/>
        <v/>
      </c>
      <c r="W89" s="60" t="str">
        <f t="shared" ca="1" si="93"/>
        <v/>
      </c>
      <c r="X89" s="60" t="str">
        <f t="shared" ca="1" si="93"/>
        <v/>
      </c>
      <c r="Y89" s="60" t="str">
        <f t="shared" ca="1" si="93"/>
        <v/>
      </c>
      <c r="Z89" s="60" t="str">
        <f t="shared" ca="1" si="93"/>
        <v/>
      </c>
      <c r="AA89" s="60" t="str">
        <f t="shared" ca="1" si="93"/>
        <v/>
      </c>
    </row>
    <row r="90" spans="1:27" x14ac:dyDescent="0.25">
      <c r="A90" t="str">
        <f t="shared" ca="1" si="71"/>
        <v/>
      </c>
      <c r="B90" t="str">
        <f t="shared" ca="1" si="69"/>
        <v/>
      </c>
      <c r="C90" s="60" t="str">
        <f t="shared" ref="C90:AA90" ca="1" si="94">IFERROR(IF(OR(INDIRECT("'Datos "&amp;Tipo_Cuestionario_Cod&amp;"'!"&amp;C$1&amp;7+$A90-1)="",C$2="",$B90=""),"",
IF(AND(C$1="J",Tipo_Cuestionario_Cod="VF"),C$2&amp;IF(MID(B90,FIND(")",B90)+2,1)="V","FALSO","VERDADERO"),
C$2&amp;INDIRECT("'Datos "&amp;Tipo_Cuestionario_Cod&amp;"'!"&amp;C$1&amp;7+$A90-1))),"")</f>
        <v/>
      </c>
      <c r="D90" s="60" t="str">
        <f t="shared" ca="1" si="94"/>
        <v/>
      </c>
      <c r="E90" s="60" t="str">
        <f t="shared" ca="1" si="94"/>
        <v/>
      </c>
      <c r="F90" s="60" t="str">
        <f t="shared" ca="1" si="94"/>
        <v/>
      </c>
      <c r="G90" s="60" t="str">
        <f t="shared" ca="1" si="94"/>
        <v/>
      </c>
      <c r="H90" s="60" t="str">
        <f t="shared" ca="1" si="94"/>
        <v/>
      </c>
      <c r="I90" s="60" t="str">
        <f t="shared" ca="1" si="94"/>
        <v/>
      </c>
      <c r="J90" s="60" t="str">
        <f t="shared" ca="1" si="94"/>
        <v/>
      </c>
      <c r="K90" s="60" t="str">
        <f t="shared" ca="1" si="94"/>
        <v/>
      </c>
      <c r="L90" s="60" t="str">
        <f t="shared" ca="1" si="94"/>
        <v/>
      </c>
      <c r="M90" s="60" t="str">
        <f t="shared" ca="1" si="94"/>
        <v/>
      </c>
      <c r="N90" s="60" t="str">
        <f t="shared" ca="1" si="94"/>
        <v/>
      </c>
      <c r="O90" s="60" t="str">
        <f t="shared" ca="1" si="94"/>
        <v/>
      </c>
      <c r="P90" s="60" t="str">
        <f t="shared" ca="1" si="94"/>
        <v/>
      </c>
      <c r="Q90" s="60" t="str">
        <f t="shared" ca="1" si="94"/>
        <v/>
      </c>
      <c r="R90" s="60" t="str">
        <f t="shared" ca="1" si="94"/>
        <v/>
      </c>
      <c r="S90" s="60" t="str">
        <f t="shared" ca="1" si="94"/>
        <v/>
      </c>
      <c r="T90" s="60" t="str">
        <f t="shared" ca="1" si="94"/>
        <v/>
      </c>
      <c r="U90" s="60" t="str">
        <f t="shared" ca="1" si="94"/>
        <v/>
      </c>
      <c r="V90" s="60" t="str">
        <f t="shared" ca="1" si="94"/>
        <v/>
      </c>
      <c r="W90" s="60" t="str">
        <f t="shared" ca="1" si="94"/>
        <v/>
      </c>
      <c r="X90" s="60" t="str">
        <f t="shared" ca="1" si="94"/>
        <v/>
      </c>
      <c r="Y90" s="60" t="str">
        <f t="shared" ca="1" si="94"/>
        <v/>
      </c>
      <c r="Z90" s="60" t="str">
        <f t="shared" ca="1" si="94"/>
        <v/>
      </c>
      <c r="AA90" s="60" t="str">
        <f t="shared" ca="1" si="94"/>
        <v/>
      </c>
    </row>
    <row r="91" spans="1:27" x14ac:dyDescent="0.25">
      <c r="A91" t="str">
        <f t="shared" ca="1" si="71"/>
        <v/>
      </c>
      <c r="B91" t="str">
        <f t="shared" ca="1" si="69"/>
        <v/>
      </c>
      <c r="C91" s="60" t="str">
        <f t="shared" ref="C91:AA91" ca="1" si="95">IFERROR(IF(OR(INDIRECT("'Datos "&amp;Tipo_Cuestionario_Cod&amp;"'!"&amp;C$1&amp;7+$A91-1)="",C$2="",$B91=""),"",
IF(AND(C$1="J",Tipo_Cuestionario_Cod="VF"),C$2&amp;IF(MID(B91,FIND(")",B91)+2,1)="V","FALSO","VERDADERO"),
C$2&amp;INDIRECT("'Datos "&amp;Tipo_Cuestionario_Cod&amp;"'!"&amp;C$1&amp;7+$A91-1))),"")</f>
        <v/>
      </c>
      <c r="D91" s="60" t="str">
        <f t="shared" ca="1" si="95"/>
        <v/>
      </c>
      <c r="E91" s="60" t="str">
        <f t="shared" ca="1" si="95"/>
        <v/>
      </c>
      <c r="F91" s="60" t="str">
        <f t="shared" ca="1" si="95"/>
        <v/>
      </c>
      <c r="G91" s="60" t="str">
        <f t="shared" ca="1" si="95"/>
        <v/>
      </c>
      <c r="H91" s="60" t="str">
        <f t="shared" ca="1" si="95"/>
        <v/>
      </c>
      <c r="I91" s="60" t="str">
        <f t="shared" ca="1" si="95"/>
        <v/>
      </c>
      <c r="J91" s="60" t="str">
        <f t="shared" ca="1" si="95"/>
        <v/>
      </c>
      <c r="K91" s="60" t="str">
        <f t="shared" ca="1" si="95"/>
        <v/>
      </c>
      <c r="L91" s="60" t="str">
        <f t="shared" ca="1" si="95"/>
        <v/>
      </c>
      <c r="M91" s="60" t="str">
        <f t="shared" ca="1" si="95"/>
        <v/>
      </c>
      <c r="N91" s="60" t="str">
        <f t="shared" ca="1" si="95"/>
        <v/>
      </c>
      <c r="O91" s="60" t="str">
        <f t="shared" ca="1" si="95"/>
        <v/>
      </c>
      <c r="P91" s="60" t="str">
        <f t="shared" ca="1" si="95"/>
        <v/>
      </c>
      <c r="Q91" s="60" t="str">
        <f t="shared" ca="1" si="95"/>
        <v/>
      </c>
      <c r="R91" s="60" t="str">
        <f t="shared" ca="1" si="95"/>
        <v/>
      </c>
      <c r="S91" s="60" t="str">
        <f t="shared" ca="1" si="95"/>
        <v/>
      </c>
      <c r="T91" s="60" t="str">
        <f t="shared" ca="1" si="95"/>
        <v/>
      </c>
      <c r="U91" s="60" t="str">
        <f t="shared" ca="1" si="95"/>
        <v/>
      </c>
      <c r="V91" s="60" t="str">
        <f t="shared" ca="1" si="95"/>
        <v/>
      </c>
      <c r="W91" s="60" t="str">
        <f t="shared" ca="1" si="95"/>
        <v/>
      </c>
      <c r="X91" s="60" t="str">
        <f t="shared" ca="1" si="95"/>
        <v/>
      </c>
      <c r="Y91" s="60" t="str">
        <f t="shared" ca="1" si="95"/>
        <v/>
      </c>
      <c r="Z91" s="60" t="str">
        <f t="shared" ca="1" si="95"/>
        <v/>
      </c>
      <c r="AA91" s="60" t="str">
        <f t="shared" ca="1" si="95"/>
        <v/>
      </c>
    </row>
    <row r="92" spans="1:27" x14ac:dyDescent="0.25">
      <c r="A92" t="str">
        <f t="shared" ca="1" si="71"/>
        <v/>
      </c>
      <c r="B92" t="str">
        <f t="shared" ca="1" si="69"/>
        <v/>
      </c>
      <c r="C92" s="60" t="str">
        <f t="shared" ref="C92:AA92" ca="1" si="96">IFERROR(IF(OR(INDIRECT("'Datos "&amp;Tipo_Cuestionario_Cod&amp;"'!"&amp;C$1&amp;7+$A92-1)="",C$2="",$B92=""),"",
IF(AND(C$1="J",Tipo_Cuestionario_Cod="VF"),C$2&amp;IF(MID(B92,FIND(")",B92)+2,1)="V","FALSO","VERDADERO"),
C$2&amp;INDIRECT("'Datos "&amp;Tipo_Cuestionario_Cod&amp;"'!"&amp;C$1&amp;7+$A92-1))),"")</f>
        <v/>
      </c>
      <c r="D92" s="60" t="str">
        <f t="shared" ca="1" si="96"/>
        <v/>
      </c>
      <c r="E92" s="60" t="str">
        <f t="shared" ca="1" si="96"/>
        <v/>
      </c>
      <c r="F92" s="60" t="str">
        <f t="shared" ca="1" si="96"/>
        <v/>
      </c>
      <c r="G92" s="60" t="str">
        <f t="shared" ca="1" si="96"/>
        <v/>
      </c>
      <c r="H92" s="60" t="str">
        <f t="shared" ca="1" si="96"/>
        <v/>
      </c>
      <c r="I92" s="60" t="str">
        <f t="shared" ca="1" si="96"/>
        <v/>
      </c>
      <c r="J92" s="60" t="str">
        <f t="shared" ca="1" si="96"/>
        <v/>
      </c>
      <c r="K92" s="60" t="str">
        <f t="shared" ca="1" si="96"/>
        <v/>
      </c>
      <c r="L92" s="60" t="str">
        <f t="shared" ca="1" si="96"/>
        <v/>
      </c>
      <c r="M92" s="60" t="str">
        <f t="shared" ca="1" si="96"/>
        <v/>
      </c>
      <c r="N92" s="60" t="str">
        <f t="shared" ca="1" si="96"/>
        <v/>
      </c>
      <c r="O92" s="60" t="str">
        <f t="shared" ca="1" si="96"/>
        <v/>
      </c>
      <c r="P92" s="60" t="str">
        <f t="shared" ca="1" si="96"/>
        <v/>
      </c>
      <c r="Q92" s="60" t="str">
        <f t="shared" ca="1" si="96"/>
        <v/>
      </c>
      <c r="R92" s="60" t="str">
        <f t="shared" ca="1" si="96"/>
        <v/>
      </c>
      <c r="S92" s="60" t="str">
        <f t="shared" ca="1" si="96"/>
        <v/>
      </c>
      <c r="T92" s="60" t="str">
        <f t="shared" ca="1" si="96"/>
        <v/>
      </c>
      <c r="U92" s="60" t="str">
        <f t="shared" ca="1" si="96"/>
        <v/>
      </c>
      <c r="V92" s="60" t="str">
        <f t="shared" ca="1" si="96"/>
        <v/>
      </c>
      <c r="W92" s="60" t="str">
        <f t="shared" ca="1" si="96"/>
        <v/>
      </c>
      <c r="X92" s="60" t="str">
        <f t="shared" ca="1" si="96"/>
        <v/>
      </c>
      <c r="Y92" s="60" t="str">
        <f t="shared" ca="1" si="96"/>
        <v/>
      </c>
      <c r="Z92" s="60" t="str">
        <f t="shared" ca="1" si="96"/>
        <v/>
      </c>
      <c r="AA92" s="60" t="str">
        <f t="shared" ca="1" si="96"/>
        <v/>
      </c>
    </row>
    <row r="93" spans="1:27" x14ac:dyDescent="0.25">
      <c r="A93" t="str">
        <f t="shared" ca="1" si="71"/>
        <v/>
      </c>
      <c r="B93" t="str">
        <f t="shared" ca="1" si="69"/>
        <v/>
      </c>
      <c r="C93" s="60" t="str">
        <f t="shared" ref="C93:AA93" ca="1" si="97">IFERROR(IF(OR(INDIRECT("'Datos "&amp;Tipo_Cuestionario_Cod&amp;"'!"&amp;C$1&amp;7+$A93-1)="",C$2="",$B93=""),"",
IF(AND(C$1="J",Tipo_Cuestionario_Cod="VF"),C$2&amp;IF(MID(B93,FIND(")",B93)+2,1)="V","FALSO","VERDADERO"),
C$2&amp;INDIRECT("'Datos "&amp;Tipo_Cuestionario_Cod&amp;"'!"&amp;C$1&amp;7+$A93-1))),"")</f>
        <v/>
      </c>
      <c r="D93" s="60" t="str">
        <f t="shared" ca="1" si="97"/>
        <v/>
      </c>
      <c r="E93" s="60" t="str">
        <f t="shared" ca="1" si="97"/>
        <v/>
      </c>
      <c r="F93" s="60" t="str">
        <f t="shared" ca="1" si="97"/>
        <v/>
      </c>
      <c r="G93" s="60" t="str">
        <f t="shared" ca="1" si="97"/>
        <v/>
      </c>
      <c r="H93" s="60" t="str">
        <f t="shared" ca="1" si="97"/>
        <v/>
      </c>
      <c r="I93" s="60" t="str">
        <f t="shared" ca="1" si="97"/>
        <v/>
      </c>
      <c r="J93" s="60" t="str">
        <f t="shared" ca="1" si="97"/>
        <v/>
      </c>
      <c r="K93" s="60" t="str">
        <f t="shared" ca="1" si="97"/>
        <v/>
      </c>
      <c r="L93" s="60" t="str">
        <f t="shared" ca="1" si="97"/>
        <v/>
      </c>
      <c r="M93" s="60" t="str">
        <f t="shared" ca="1" si="97"/>
        <v/>
      </c>
      <c r="N93" s="60" t="str">
        <f t="shared" ca="1" si="97"/>
        <v/>
      </c>
      <c r="O93" s="60" t="str">
        <f t="shared" ca="1" si="97"/>
        <v/>
      </c>
      <c r="P93" s="60" t="str">
        <f t="shared" ca="1" si="97"/>
        <v/>
      </c>
      <c r="Q93" s="60" t="str">
        <f t="shared" ca="1" si="97"/>
        <v/>
      </c>
      <c r="R93" s="60" t="str">
        <f t="shared" ca="1" si="97"/>
        <v/>
      </c>
      <c r="S93" s="60" t="str">
        <f t="shared" ca="1" si="97"/>
        <v/>
      </c>
      <c r="T93" s="60" t="str">
        <f t="shared" ca="1" si="97"/>
        <v/>
      </c>
      <c r="U93" s="60" t="str">
        <f t="shared" ca="1" si="97"/>
        <v/>
      </c>
      <c r="V93" s="60" t="str">
        <f t="shared" ca="1" si="97"/>
        <v/>
      </c>
      <c r="W93" s="60" t="str">
        <f t="shared" ca="1" si="97"/>
        <v/>
      </c>
      <c r="X93" s="60" t="str">
        <f t="shared" ca="1" si="97"/>
        <v/>
      </c>
      <c r="Y93" s="60" t="str">
        <f t="shared" ca="1" si="97"/>
        <v/>
      </c>
      <c r="Z93" s="60" t="str">
        <f t="shared" ca="1" si="97"/>
        <v/>
      </c>
      <c r="AA93" s="60" t="str">
        <f t="shared" ca="1" si="97"/>
        <v/>
      </c>
    </row>
    <row r="94" spans="1:27" x14ac:dyDescent="0.25">
      <c r="A94" t="str">
        <f t="shared" ca="1" si="71"/>
        <v/>
      </c>
      <c r="B94" t="str">
        <f t="shared" ca="1" si="69"/>
        <v/>
      </c>
      <c r="C94" s="60" t="str">
        <f t="shared" ref="C94:AA94" ca="1" si="98">IFERROR(IF(OR(INDIRECT("'Datos "&amp;Tipo_Cuestionario_Cod&amp;"'!"&amp;C$1&amp;7+$A94-1)="",C$2="",$B94=""),"",
IF(AND(C$1="J",Tipo_Cuestionario_Cod="VF"),C$2&amp;IF(MID(B94,FIND(")",B94)+2,1)="V","FALSO","VERDADERO"),
C$2&amp;INDIRECT("'Datos "&amp;Tipo_Cuestionario_Cod&amp;"'!"&amp;C$1&amp;7+$A94-1))),"")</f>
        <v/>
      </c>
      <c r="D94" s="60" t="str">
        <f t="shared" ca="1" si="98"/>
        <v/>
      </c>
      <c r="E94" s="60" t="str">
        <f t="shared" ca="1" si="98"/>
        <v/>
      </c>
      <c r="F94" s="60" t="str">
        <f t="shared" ca="1" si="98"/>
        <v/>
      </c>
      <c r="G94" s="60" t="str">
        <f t="shared" ca="1" si="98"/>
        <v/>
      </c>
      <c r="H94" s="60" t="str">
        <f t="shared" ca="1" si="98"/>
        <v/>
      </c>
      <c r="I94" s="60" t="str">
        <f t="shared" ca="1" si="98"/>
        <v/>
      </c>
      <c r="J94" s="60" t="str">
        <f t="shared" ca="1" si="98"/>
        <v/>
      </c>
      <c r="K94" s="60" t="str">
        <f t="shared" ca="1" si="98"/>
        <v/>
      </c>
      <c r="L94" s="60" t="str">
        <f t="shared" ca="1" si="98"/>
        <v/>
      </c>
      <c r="M94" s="60" t="str">
        <f t="shared" ca="1" si="98"/>
        <v/>
      </c>
      <c r="N94" s="60" t="str">
        <f t="shared" ca="1" si="98"/>
        <v/>
      </c>
      <c r="O94" s="60" t="str">
        <f t="shared" ca="1" si="98"/>
        <v/>
      </c>
      <c r="P94" s="60" t="str">
        <f t="shared" ca="1" si="98"/>
        <v/>
      </c>
      <c r="Q94" s="60" t="str">
        <f t="shared" ca="1" si="98"/>
        <v/>
      </c>
      <c r="R94" s="60" t="str">
        <f t="shared" ca="1" si="98"/>
        <v/>
      </c>
      <c r="S94" s="60" t="str">
        <f t="shared" ca="1" si="98"/>
        <v/>
      </c>
      <c r="T94" s="60" t="str">
        <f t="shared" ca="1" si="98"/>
        <v/>
      </c>
      <c r="U94" s="60" t="str">
        <f t="shared" ca="1" si="98"/>
        <v/>
      </c>
      <c r="V94" s="60" t="str">
        <f t="shared" ca="1" si="98"/>
        <v/>
      </c>
      <c r="W94" s="60" t="str">
        <f t="shared" ca="1" si="98"/>
        <v/>
      </c>
      <c r="X94" s="60" t="str">
        <f t="shared" ca="1" si="98"/>
        <v/>
      </c>
      <c r="Y94" s="60" t="str">
        <f t="shared" ca="1" si="98"/>
        <v/>
      </c>
      <c r="Z94" s="60" t="str">
        <f t="shared" ca="1" si="98"/>
        <v/>
      </c>
      <c r="AA94" s="60" t="str">
        <f t="shared" ca="1" si="98"/>
        <v/>
      </c>
    </row>
    <row r="95" spans="1:27" x14ac:dyDescent="0.25">
      <c r="A95" t="str">
        <f t="shared" ca="1" si="71"/>
        <v/>
      </c>
      <c r="B95" t="str">
        <f t="shared" ca="1" si="69"/>
        <v/>
      </c>
      <c r="C95" s="60" t="str">
        <f t="shared" ref="C95:AA95" ca="1" si="99">IFERROR(IF(OR(INDIRECT("'Datos "&amp;Tipo_Cuestionario_Cod&amp;"'!"&amp;C$1&amp;7+$A95-1)="",C$2="",$B95=""),"",
IF(AND(C$1="J",Tipo_Cuestionario_Cod="VF"),C$2&amp;IF(MID(B95,FIND(")",B95)+2,1)="V","FALSO","VERDADERO"),
C$2&amp;INDIRECT("'Datos "&amp;Tipo_Cuestionario_Cod&amp;"'!"&amp;C$1&amp;7+$A95-1))),"")</f>
        <v/>
      </c>
      <c r="D95" s="60" t="str">
        <f t="shared" ca="1" si="99"/>
        <v/>
      </c>
      <c r="E95" s="60" t="str">
        <f t="shared" ca="1" si="99"/>
        <v/>
      </c>
      <c r="F95" s="60" t="str">
        <f t="shared" ca="1" si="99"/>
        <v/>
      </c>
      <c r="G95" s="60" t="str">
        <f t="shared" ca="1" si="99"/>
        <v/>
      </c>
      <c r="H95" s="60" t="str">
        <f t="shared" ca="1" si="99"/>
        <v/>
      </c>
      <c r="I95" s="60" t="str">
        <f t="shared" ca="1" si="99"/>
        <v/>
      </c>
      <c r="J95" s="60" t="str">
        <f t="shared" ca="1" si="99"/>
        <v/>
      </c>
      <c r="K95" s="60" t="str">
        <f t="shared" ca="1" si="99"/>
        <v/>
      </c>
      <c r="L95" s="60" t="str">
        <f t="shared" ca="1" si="99"/>
        <v/>
      </c>
      <c r="M95" s="60" t="str">
        <f t="shared" ca="1" si="99"/>
        <v/>
      </c>
      <c r="N95" s="60" t="str">
        <f t="shared" ca="1" si="99"/>
        <v/>
      </c>
      <c r="O95" s="60" t="str">
        <f t="shared" ca="1" si="99"/>
        <v/>
      </c>
      <c r="P95" s="60" t="str">
        <f t="shared" ca="1" si="99"/>
        <v/>
      </c>
      <c r="Q95" s="60" t="str">
        <f t="shared" ca="1" si="99"/>
        <v/>
      </c>
      <c r="R95" s="60" t="str">
        <f t="shared" ca="1" si="99"/>
        <v/>
      </c>
      <c r="S95" s="60" t="str">
        <f t="shared" ca="1" si="99"/>
        <v/>
      </c>
      <c r="T95" s="60" t="str">
        <f t="shared" ca="1" si="99"/>
        <v/>
      </c>
      <c r="U95" s="60" t="str">
        <f t="shared" ca="1" si="99"/>
        <v/>
      </c>
      <c r="V95" s="60" t="str">
        <f t="shared" ca="1" si="99"/>
        <v/>
      </c>
      <c r="W95" s="60" t="str">
        <f t="shared" ca="1" si="99"/>
        <v/>
      </c>
      <c r="X95" s="60" t="str">
        <f t="shared" ca="1" si="99"/>
        <v/>
      </c>
      <c r="Y95" s="60" t="str">
        <f t="shared" ca="1" si="99"/>
        <v/>
      </c>
      <c r="Z95" s="60" t="str">
        <f t="shared" ca="1" si="99"/>
        <v/>
      </c>
      <c r="AA95" s="60" t="str">
        <f t="shared" ca="1" si="99"/>
        <v/>
      </c>
    </row>
    <row r="96" spans="1:27" x14ac:dyDescent="0.25">
      <c r="A96" t="str">
        <f t="shared" ca="1" si="71"/>
        <v/>
      </c>
      <c r="B96" t="str">
        <f t="shared" ca="1" si="69"/>
        <v/>
      </c>
      <c r="C96" s="60" t="str">
        <f t="shared" ref="C96:AA96" ca="1" si="100">IFERROR(IF(OR(INDIRECT("'Datos "&amp;Tipo_Cuestionario_Cod&amp;"'!"&amp;C$1&amp;7+$A96-1)="",C$2="",$B96=""),"",
IF(AND(C$1="J",Tipo_Cuestionario_Cod="VF"),C$2&amp;IF(MID(B96,FIND(")",B96)+2,1)="V","FALSO","VERDADERO"),
C$2&amp;INDIRECT("'Datos "&amp;Tipo_Cuestionario_Cod&amp;"'!"&amp;C$1&amp;7+$A96-1))),"")</f>
        <v/>
      </c>
      <c r="D96" s="60" t="str">
        <f t="shared" ca="1" si="100"/>
        <v/>
      </c>
      <c r="E96" s="60" t="str">
        <f t="shared" ca="1" si="100"/>
        <v/>
      </c>
      <c r="F96" s="60" t="str">
        <f t="shared" ca="1" si="100"/>
        <v/>
      </c>
      <c r="G96" s="60" t="str">
        <f t="shared" ca="1" si="100"/>
        <v/>
      </c>
      <c r="H96" s="60" t="str">
        <f t="shared" ca="1" si="100"/>
        <v/>
      </c>
      <c r="I96" s="60" t="str">
        <f t="shared" ca="1" si="100"/>
        <v/>
      </c>
      <c r="J96" s="60" t="str">
        <f t="shared" ca="1" si="100"/>
        <v/>
      </c>
      <c r="K96" s="60" t="str">
        <f t="shared" ca="1" si="100"/>
        <v/>
      </c>
      <c r="L96" s="60" t="str">
        <f t="shared" ca="1" si="100"/>
        <v/>
      </c>
      <c r="M96" s="60" t="str">
        <f t="shared" ca="1" si="100"/>
        <v/>
      </c>
      <c r="N96" s="60" t="str">
        <f t="shared" ca="1" si="100"/>
        <v/>
      </c>
      <c r="O96" s="60" t="str">
        <f t="shared" ca="1" si="100"/>
        <v/>
      </c>
      <c r="P96" s="60" t="str">
        <f t="shared" ca="1" si="100"/>
        <v/>
      </c>
      <c r="Q96" s="60" t="str">
        <f t="shared" ca="1" si="100"/>
        <v/>
      </c>
      <c r="R96" s="60" t="str">
        <f t="shared" ca="1" si="100"/>
        <v/>
      </c>
      <c r="S96" s="60" t="str">
        <f t="shared" ca="1" si="100"/>
        <v/>
      </c>
      <c r="T96" s="60" t="str">
        <f t="shared" ca="1" si="100"/>
        <v/>
      </c>
      <c r="U96" s="60" t="str">
        <f t="shared" ca="1" si="100"/>
        <v/>
      </c>
      <c r="V96" s="60" t="str">
        <f t="shared" ca="1" si="100"/>
        <v/>
      </c>
      <c r="W96" s="60" t="str">
        <f t="shared" ca="1" si="100"/>
        <v/>
      </c>
      <c r="X96" s="60" t="str">
        <f t="shared" ca="1" si="100"/>
        <v/>
      </c>
      <c r="Y96" s="60" t="str">
        <f t="shared" ca="1" si="100"/>
        <v/>
      </c>
      <c r="Z96" s="60" t="str">
        <f t="shared" ca="1" si="100"/>
        <v/>
      </c>
      <c r="AA96" s="60" t="str">
        <f t="shared" ca="1" si="100"/>
        <v/>
      </c>
    </row>
    <row r="97" spans="1:27" x14ac:dyDescent="0.25">
      <c r="A97" t="str">
        <f t="shared" ca="1" si="71"/>
        <v/>
      </c>
      <c r="B97" t="str">
        <f t="shared" ca="1" si="69"/>
        <v/>
      </c>
      <c r="C97" s="60" t="str">
        <f t="shared" ref="C97:AA97" ca="1" si="101">IFERROR(IF(OR(INDIRECT("'Datos "&amp;Tipo_Cuestionario_Cod&amp;"'!"&amp;C$1&amp;7+$A97-1)="",C$2="",$B97=""),"",
IF(AND(C$1="J",Tipo_Cuestionario_Cod="VF"),C$2&amp;IF(MID(B97,FIND(")",B97)+2,1)="V","FALSO","VERDADERO"),
C$2&amp;INDIRECT("'Datos "&amp;Tipo_Cuestionario_Cod&amp;"'!"&amp;C$1&amp;7+$A97-1))),"")</f>
        <v/>
      </c>
      <c r="D97" s="60" t="str">
        <f t="shared" ca="1" si="101"/>
        <v/>
      </c>
      <c r="E97" s="60" t="str">
        <f t="shared" ca="1" si="101"/>
        <v/>
      </c>
      <c r="F97" s="60" t="str">
        <f t="shared" ca="1" si="101"/>
        <v/>
      </c>
      <c r="G97" s="60" t="str">
        <f t="shared" ca="1" si="101"/>
        <v/>
      </c>
      <c r="H97" s="60" t="str">
        <f t="shared" ca="1" si="101"/>
        <v/>
      </c>
      <c r="I97" s="60" t="str">
        <f t="shared" ca="1" si="101"/>
        <v/>
      </c>
      <c r="J97" s="60" t="str">
        <f t="shared" ca="1" si="101"/>
        <v/>
      </c>
      <c r="K97" s="60" t="str">
        <f t="shared" ca="1" si="101"/>
        <v/>
      </c>
      <c r="L97" s="60" t="str">
        <f t="shared" ca="1" si="101"/>
        <v/>
      </c>
      <c r="M97" s="60" t="str">
        <f t="shared" ca="1" si="101"/>
        <v/>
      </c>
      <c r="N97" s="60" t="str">
        <f t="shared" ca="1" si="101"/>
        <v/>
      </c>
      <c r="O97" s="60" t="str">
        <f t="shared" ca="1" si="101"/>
        <v/>
      </c>
      <c r="P97" s="60" t="str">
        <f t="shared" ca="1" si="101"/>
        <v/>
      </c>
      <c r="Q97" s="60" t="str">
        <f t="shared" ca="1" si="101"/>
        <v/>
      </c>
      <c r="R97" s="60" t="str">
        <f t="shared" ca="1" si="101"/>
        <v/>
      </c>
      <c r="S97" s="60" t="str">
        <f t="shared" ca="1" si="101"/>
        <v/>
      </c>
      <c r="T97" s="60" t="str">
        <f t="shared" ca="1" si="101"/>
        <v/>
      </c>
      <c r="U97" s="60" t="str">
        <f t="shared" ca="1" si="101"/>
        <v/>
      </c>
      <c r="V97" s="60" t="str">
        <f t="shared" ca="1" si="101"/>
        <v/>
      </c>
      <c r="W97" s="60" t="str">
        <f t="shared" ca="1" si="101"/>
        <v/>
      </c>
      <c r="X97" s="60" t="str">
        <f t="shared" ca="1" si="101"/>
        <v/>
      </c>
      <c r="Y97" s="60" t="str">
        <f t="shared" ca="1" si="101"/>
        <v/>
      </c>
      <c r="Z97" s="60" t="str">
        <f t="shared" ca="1" si="101"/>
        <v/>
      </c>
      <c r="AA97" s="60" t="str">
        <f t="shared" ca="1" si="101"/>
        <v/>
      </c>
    </row>
    <row r="98" spans="1:27" x14ac:dyDescent="0.25">
      <c r="A98" t="str">
        <f t="shared" ca="1" si="71"/>
        <v/>
      </c>
      <c r="B98" t="str">
        <f t="shared" ca="1" si="69"/>
        <v/>
      </c>
      <c r="C98" s="60" t="str">
        <f t="shared" ref="C98:AA98" ca="1" si="102">IFERROR(IF(OR(INDIRECT("'Datos "&amp;Tipo_Cuestionario_Cod&amp;"'!"&amp;C$1&amp;7+$A98-1)="",C$2="",$B98=""),"",
IF(AND(C$1="J",Tipo_Cuestionario_Cod="VF"),C$2&amp;IF(MID(B98,FIND(")",B98)+2,1)="V","FALSO","VERDADERO"),
C$2&amp;INDIRECT("'Datos "&amp;Tipo_Cuestionario_Cod&amp;"'!"&amp;C$1&amp;7+$A98-1))),"")</f>
        <v/>
      </c>
      <c r="D98" s="60" t="str">
        <f t="shared" ca="1" si="102"/>
        <v/>
      </c>
      <c r="E98" s="60" t="str">
        <f t="shared" ca="1" si="102"/>
        <v/>
      </c>
      <c r="F98" s="60" t="str">
        <f t="shared" ca="1" si="102"/>
        <v/>
      </c>
      <c r="G98" s="60" t="str">
        <f t="shared" ca="1" si="102"/>
        <v/>
      </c>
      <c r="H98" s="60" t="str">
        <f t="shared" ca="1" si="102"/>
        <v/>
      </c>
      <c r="I98" s="60" t="str">
        <f t="shared" ca="1" si="102"/>
        <v/>
      </c>
      <c r="J98" s="60" t="str">
        <f t="shared" ca="1" si="102"/>
        <v/>
      </c>
      <c r="K98" s="60" t="str">
        <f t="shared" ca="1" si="102"/>
        <v/>
      </c>
      <c r="L98" s="60" t="str">
        <f t="shared" ca="1" si="102"/>
        <v/>
      </c>
      <c r="M98" s="60" t="str">
        <f t="shared" ca="1" si="102"/>
        <v/>
      </c>
      <c r="N98" s="60" t="str">
        <f t="shared" ca="1" si="102"/>
        <v/>
      </c>
      <c r="O98" s="60" t="str">
        <f t="shared" ca="1" si="102"/>
        <v/>
      </c>
      <c r="P98" s="60" t="str">
        <f t="shared" ca="1" si="102"/>
        <v/>
      </c>
      <c r="Q98" s="60" t="str">
        <f t="shared" ca="1" si="102"/>
        <v/>
      </c>
      <c r="R98" s="60" t="str">
        <f t="shared" ca="1" si="102"/>
        <v/>
      </c>
      <c r="S98" s="60" t="str">
        <f t="shared" ca="1" si="102"/>
        <v/>
      </c>
      <c r="T98" s="60" t="str">
        <f t="shared" ca="1" si="102"/>
        <v/>
      </c>
      <c r="U98" s="60" t="str">
        <f t="shared" ca="1" si="102"/>
        <v/>
      </c>
      <c r="V98" s="60" t="str">
        <f t="shared" ca="1" si="102"/>
        <v/>
      </c>
      <c r="W98" s="60" t="str">
        <f t="shared" ca="1" si="102"/>
        <v/>
      </c>
      <c r="X98" s="60" t="str">
        <f t="shared" ca="1" si="102"/>
        <v/>
      </c>
      <c r="Y98" s="60" t="str">
        <f t="shared" ca="1" si="102"/>
        <v/>
      </c>
      <c r="Z98" s="60" t="str">
        <f t="shared" ca="1" si="102"/>
        <v/>
      </c>
      <c r="AA98" s="60" t="str">
        <f t="shared" ca="1" si="102"/>
        <v/>
      </c>
    </row>
    <row r="99" spans="1:27" x14ac:dyDescent="0.25">
      <c r="A99" t="str">
        <f t="shared" ca="1" si="71"/>
        <v/>
      </c>
      <c r="B99" t="str">
        <f t="shared" ref="B99:B130" ca="1" si="103">IF(A99="","",A99&amp;") "&amp;IF(INDIRECT("'Datos "&amp;Tipo_Cuestionario_Cod&amp;"'!"&amp;B$1&amp;7+A99-1)="","",INDIRECT("'Datos "&amp;Tipo_Cuestionario_Cod&amp;"'!"&amp;B$1&amp;7+A99-1)))</f>
        <v/>
      </c>
      <c r="C99" s="60" t="str">
        <f t="shared" ref="C99:AA99" ca="1" si="104">IFERROR(IF(OR(INDIRECT("'Datos "&amp;Tipo_Cuestionario_Cod&amp;"'!"&amp;C$1&amp;7+$A99-1)="",C$2="",$B99=""),"",
IF(AND(C$1="J",Tipo_Cuestionario_Cod="VF"),C$2&amp;IF(MID(B99,FIND(")",B99)+2,1)="V","FALSO","VERDADERO"),
C$2&amp;INDIRECT("'Datos "&amp;Tipo_Cuestionario_Cod&amp;"'!"&amp;C$1&amp;7+$A99-1))),"")</f>
        <v/>
      </c>
      <c r="D99" s="60" t="str">
        <f t="shared" ca="1" si="104"/>
        <v/>
      </c>
      <c r="E99" s="60" t="str">
        <f t="shared" ca="1" si="104"/>
        <v/>
      </c>
      <c r="F99" s="60" t="str">
        <f t="shared" ca="1" si="104"/>
        <v/>
      </c>
      <c r="G99" s="60" t="str">
        <f t="shared" ca="1" si="104"/>
        <v/>
      </c>
      <c r="H99" s="60" t="str">
        <f t="shared" ca="1" si="104"/>
        <v/>
      </c>
      <c r="I99" s="60" t="str">
        <f t="shared" ca="1" si="104"/>
        <v/>
      </c>
      <c r="J99" s="60" t="str">
        <f t="shared" ca="1" si="104"/>
        <v/>
      </c>
      <c r="K99" s="60" t="str">
        <f t="shared" ca="1" si="104"/>
        <v/>
      </c>
      <c r="L99" s="60" t="str">
        <f t="shared" ca="1" si="104"/>
        <v/>
      </c>
      <c r="M99" s="60" t="str">
        <f t="shared" ca="1" si="104"/>
        <v/>
      </c>
      <c r="N99" s="60" t="str">
        <f t="shared" ca="1" si="104"/>
        <v/>
      </c>
      <c r="O99" s="60" t="str">
        <f t="shared" ca="1" si="104"/>
        <v/>
      </c>
      <c r="P99" s="60" t="str">
        <f t="shared" ca="1" si="104"/>
        <v/>
      </c>
      <c r="Q99" s="60" t="str">
        <f t="shared" ca="1" si="104"/>
        <v/>
      </c>
      <c r="R99" s="60" t="str">
        <f t="shared" ca="1" si="104"/>
        <v/>
      </c>
      <c r="S99" s="60" t="str">
        <f t="shared" ca="1" si="104"/>
        <v/>
      </c>
      <c r="T99" s="60" t="str">
        <f t="shared" ca="1" si="104"/>
        <v/>
      </c>
      <c r="U99" s="60" t="str">
        <f t="shared" ca="1" si="104"/>
        <v/>
      </c>
      <c r="V99" s="60" t="str">
        <f t="shared" ca="1" si="104"/>
        <v/>
      </c>
      <c r="W99" s="60" t="str">
        <f t="shared" ca="1" si="104"/>
        <v/>
      </c>
      <c r="X99" s="60" t="str">
        <f t="shared" ca="1" si="104"/>
        <v/>
      </c>
      <c r="Y99" s="60" t="str">
        <f t="shared" ca="1" si="104"/>
        <v/>
      </c>
      <c r="Z99" s="60" t="str">
        <f t="shared" ca="1" si="104"/>
        <v/>
      </c>
      <c r="AA99" s="60" t="str">
        <f t="shared" ca="1" si="104"/>
        <v/>
      </c>
    </row>
    <row r="100" spans="1:27" x14ac:dyDescent="0.25">
      <c r="A100" t="str">
        <f t="shared" ref="A100:A131" ca="1" si="105">IFERROR(IF(A99+1&gt;N_FINAL-INDIRECT("'Datos "&amp;Tipo_Cuestionario_Cod&amp;"'!A7")+1,"",A99+1),"")</f>
        <v/>
      </c>
      <c r="B100" t="str">
        <f t="shared" ca="1" si="103"/>
        <v/>
      </c>
      <c r="C100" s="60" t="str">
        <f t="shared" ref="C100:AA100" ca="1" si="106">IFERROR(IF(OR(INDIRECT("'Datos "&amp;Tipo_Cuestionario_Cod&amp;"'!"&amp;C$1&amp;7+$A100-1)="",C$2="",$B100=""),"",
IF(AND(C$1="J",Tipo_Cuestionario_Cod="VF"),C$2&amp;IF(MID(B100,FIND(")",B100)+2,1)="V","FALSO","VERDADERO"),
C$2&amp;INDIRECT("'Datos "&amp;Tipo_Cuestionario_Cod&amp;"'!"&amp;C$1&amp;7+$A100-1))),"")</f>
        <v/>
      </c>
      <c r="D100" s="60" t="str">
        <f t="shared" ca="1" si="106"/>
        <v/>
      </c>
      <c r="E100" s="60" t="str">
        <f t="shared" ca="1" si="106"/>
        <v/>
      </c>
      <c r="F100" s="60" t="str">
        <f t="shared" ca="1" si="106"/>
        <v/>
      </c>
      <c r="G100" s="60" t="str">
        <f t="shared" ca="1" si="106"/>
        <v/>
      </c>
      <c r="H100" s="60" t="str">
        <f t="shared" ca="1" si="106"/>
        <v/>
      </c>
      <c r="I100" s="60" t="str">
        <f t="shared" ca="1" si="106"/>
        <v/>
      </c>
      <c r="J100" s="60" t="str">
        <f t="shared" ca="1" si="106"/>
        <v/>
      </c>
      <c r="K100" s="60" t="str">
        <f t="shared" ca="1" si="106"/>
        <v/>
      </c>
      <c r="L100" s="60" t="str">
        <f t="shared" ca="1" si="106"/>
        <v/>
      </c>
      <c r="M100" s="60" t="str">
        <f t="shared" ca="1" si="106"/>
        <v/>
      </c>
      <c r="N100" s="60" t="str">
        <f t="shared" ca="1" si="106"/>
        <v/>
      </c>
      <c r="O100" s="60" t="str">
        <f t="shared" ca="1" si="106"/>
        <v/>
      </c>
      <c r="P100" s="60" t="str">
        <f t="shared" ca="1" si="106"/>
        <v/>
      </c>
      <c r="Q100" s="60" t="str">
        <f t="shared" ca="1" si="106"/>
        <v/>
      </c>
      <c r="R100" s="60" t="str">
        <f t="shared" ca="1" si="106"/>
        <v/>
      </c>
      <c r="S100" s="60" t="str">
        <f t="shared" ca="1" si="106"/>
        <v/>
      </c>
      <c r="T100" s="60" t="str">
        <f t="shared" ca="1" si="106"/>
        <v/>
      </c>
      <c r="U100" s="60" t="str">
        <f t="shared" ca="1" si="106"/>
        <v/>
      </c>
      <c r="V100" s="60" t="str">
        <f t="shared" ca="1" si="106"/>
        <v/>
      </c>
      <c r="W100" s="60" t="str">
        <f t="shared" ca="1" si="106"/>
        <v/>
      </c>
      <c r="X100" s="60" t="str">
        <f t="shared" ca="1" si="106"/>
        <v/>
      </c>
      <c r="Y100" s="60" t="str">
        <f t="shared" ca="1" si="106"/>
        <v/>
      </c>
      <c r="Z100" s="60" t="str">
        <f t="shared" ca="1" si="106"/>
        <v/>
      </c>
      <c r="AA100" s="60" t="str">
        <f t="shared" ca="1" si="106"/>
        <v/>
      </c>
    </row>
    <row r="101" spans="1:27" x14ac:dyDescent="0.25">
      <c r="A101" t="str">
        <f t="shared" ca="1" si="105"/>
        <v/>
      </c>
      <c r="B101" t="str">
        <f t="shared" ca="1" si="103"/>
        <v/>
      </c>
      <c r="C101" s="60" t="str">
        <f t="shared" ref="C101:AA101" ca="1" si="107">IFERROR(IF(OR(INDIRECT("'Datos "&amp;Tipo_Cuestionario_Cod&amp;"'!"&amp;C$1&amp;7+$A101-1)="",C$2="",$B101=""),"",
IF(AND(C$1="J",Tipo_Cuestionario_Cod="VF"),C$2&amp;IF(MID(B101,FIND(")",B101)+2,1)="V","FALSO","VERDADERO"),
C$2&amp;INDIRECT("'Datos "&amp;Tipo_Cuestionario_Cod&amp;"'!"&amp;C$1&amp;7+$A101-1))),"")</f>
        <v/>
      </c>
      <c r="D101" s="60" t="str">
        <f t="shared" ca="1" si="107"/>
        <v/>
      </c>
      <c r="E101" s="60" t="str">
        <f t="shared" ca="1" si="107"/>
        <v/>
      </c>
      <c r="F101" s="60" t="str">
        <f t="shared" ca="1" si="107"/>
        <v/>
      </c>
      <c r="G101" s="60" t="str">
        <f t="shared" ca="1" si="107"/>
        <v/>
      </c>
      <c r="H101" s="60" t="str">
        <f t="shared" ca="1" si="107"/>
        <v/>
      </c>
      <c r="I101" s="60" t="str">
        <f t="shared" ca="1" si="107"/>
        <v/>
      </c>
      <c r="J101" s="60" t="str">
        <f t="shared" ca="1" si="107"/>
        <v/>
      </c>
      <c r="K101" s="60" t="str">
        <f t="shared" ca="1" si="107"/>
        <v/>
      </c>
      <c r="L101" s="60" t="str">
        <f t="shared" ca="1" si="107"/>
        <v/>
      </c>
      <c r="M101" s="60" t="str">
        <f t="shared" ca="1" si="107"/>
        <v/>
      </c>
      <c r="N101" s="60" t="str">
        <f t="shared" ca="1" si="107"/>
        <v/>
      </c>
      <c r="O101" s="60" t="str">
        <f t="shared" ca="1" si="107"/>
        <v/>
      </c>
      <c r="P101" s="60" t="str">
        <f t="shared" ca="1" si="107"/>
        <v/>
      </c>
      <c r="Q101" s="60" t="str">
        <f t="shared" ca="1" si="107"/>
        <v/>
      </c>
      <c r="R101" s="60" t="str">
        <f t="shared" ca="1" si="107"/>
        <v/>
      </c>
      <c r="S101" s="60" t="str">
        <f t="shared" ca="1" si="107"/>
        <v/>
      </c>
      <c r="T101" s="60" t="str">
        <f t="shared" ca="1" si="107"/>
        <v/>
      </c>
      <c r="U101" s="60" t="str">
        <f t="shared" ca="1" si="107"/>
        <v/>
      </c>
      <c r="V101" s="60" t="str">
        <f t="shared" ca="1" si="107"/>
        <v/>
      </c>
      <c r="W101" s="60" t="str">
        <f t="shared" ca="1" si="107"/>
        <v/>
      </c>
      <c r="X101" s="60" t="str">
        <f t="shared" ca="1" si="107"/>
        <v/>
      </c>
      <c r="Y101" s="60" t="str">
        <f t="shared" ca="1" si="107"/>
        <v/>
      </c>
      <c r="Z101" s="60" t="str">
        <f t="shared" ca="1" si="107"/>
        <v/>
      </c>
      <c r="AA101" s="60" t="str">
        <f t="shared" ca="1" si="107"/>
        <v/>
      </c>
    </row>
    <row r="102" spans="1:27" x14ac:dyDescent="0.25">
      <c r="A102" t="str">
        <f t="shared" ca="1" si="105"/>
        <v/>
      </c>
      <c r="B102" t="str">
        <f t="shared" ca="1" si="103"/>
        <v/>
      </c>
      <c r="C102" s="60" t="str">
        <f t="shared" ref="C102:AA102" ca="1" si="108">IFERROR(IF(OR(INDIRECT("'Datos "&amp;Tipo_Cuestionario_Cod&amp;"'!"&amp;C$1&amp;7+$A102-1)="",C$2="",$B102=""),"",
IF(AND(C$1="J",Tipo_Cuestionario_Cod="VF"),C$2&amp;IF(MID(B102,FIND(")",B102)+2,1)="V","FALSO","VERDADERO"),
C$2&amp;INDIRECT("'Datos "&amp;Tipo_Cuestionario_Cod&amp;"'!"&amp;C$1&amp;7+$A102-1))),"")</f>
        <v/>
      </c>
      <c r="D102" s="60" t="str">
        <f t="shared" ca="1" si="108"/>
        <v/>
      </c>
      <c r="E102" s="60" t="str">
        <f t="shared" ca="1" si="108"/>
        <v/>
      </c>
      <c r="F102" s="60" t="str">
        <f t="shared" ca="1" si="108"/>
        <v/>
      </c>
      <c r="G102" s="60" t="str">
        <f t="shared" ca="1" si="108"/>
        <v/>
      </c>
      <c r="H102" s="60" t="str">
        <f t="shared" ca="1" si="108"/>
        <v/>
      </c>
      <c r="I102" s="60" t="str">
        <f t="shared" ca="1" si="108"/>
        <v/>
      </c>
      <c r="J102" s="60" t="str">
        <f t="shared" ca="1" si="108"/>
        <v/>
      </c>
      <c r="K102" s="60" t="str">
        <f t="shared" ca="1" si="108"/>
        <v/>
      </c>
      <c r="L102" s="60" t="str">
        <f t="shared" ca="1" si="108"/>
        <v/>
      </c>
      <c r="M102" s="60" t="str">
        <f t="shared" ca="1" si="108"/>
        <v/>
      </c>
      <c r="N102" s="60" t="str">
        <f t="shared" ca="1" si="108"/>
        <v/>
      </c>
      <c r="O102" s="60" t="str">
        <f t="shared" ca="1" si="108"/>
        <v/>
      </c>
      <c r="P102" s="60" t="str">
        <f t="shared" ca="1" si="108"/>
        <v/>
      </c>
      <c r="Q102" s="60" t="str">
        <f t="shared" ca="1" si="108"/>
        <v/>
      </c>
      <c r="R102" s="60" t="str">
        <f t="shared" ca="1" si="108"/>
        <v/>
      </c>
      <c r="S102" s="60" t="str">
        <f t="shared" ca="1" si="108"/>
        <v/>
      </c>
      <c r="T102" s="60" t="str">
        <f t="shared" ca="1" si="108"/>
        <v/>
      </c>
      <c r="U102" s="60" t="str">
        <f t="shared" ca="1" si="108"/>
        <v/>
      </c>
      <c r="V102" s="60" t="str">
        <f t="shared" ca="1" si="108"/>
        <v/>
      </c>
      <c r="W102" s="60" t="str">
        <f t="shared" ca="1" si="108"/>
        <v/>
      </c>
      <c r="X102" s="60" t="str">
        <f t="shared" ca="1" si="108"/>
        <v/>
      </c>
      <c r="Y102" s="60" t="str">
        <f t="shared" ca="1" si="108"/>
        <v/>
      </c>
      <c r="Z102" s="60" t="str">
        <f t="shared" ca="1" si="108"/>
        <v/>
      </c>
      <c r="AA102" s="60" t="str">
        <f t="shared" ca="1" si="108"/>
        <v/>
      </c>
    </row>
    <row r="103" spans="1:27" x14ac:dyDescent="0.25">
      <c r="A103" t="str">
        <f t="shared" ca="1" si="105"/>
        <v/>
      </c>
      <c r="B103" t="str">
        <f t="shared" ca="1" si="103"/>
        <v/>
      </c>
      <c r="C103" s="60" t="str">
        <f t="shared" ref="C103:AA103" ca="1" si="109">IFERROR(IF(OR(INDIRECT("'Datos "&amp;Tipo_Cuestionario_Cod&amp;"'!"&amp;C$1&amp;7+$A103-1)="",C$2="",$B103=""),"",
IF(AND(C$1="J",Tipo_Cuestionario_Cod="VF"),C$2&amp;IF(MID(B103,FIND(")",B103)+2,1)="V","FALSO","VERDADERO"),
C$2&amp;INDIRECT("'Datos "&amp;Tipo_Cuestionario_Cod&amp;"'!"&amp;C$1&amp;7+$A103-1))),"")</f>
        <v/>
      </c>
      <c r="D103" s="60" t="str">
        <f t="shared" ca="1" si="109"/>
        <v/>
      </c>
      <c r="E103" s="60" t="str">
        <f t="shared" ca="1" si="109"/>
        <v/>
      </c>
      <c r="F103" s="60" t="str">
        <f t="shared" ca="1" si="109"/>
        <v/>
      </c>
      <c r="G103" s="60" t="str">
        <f t="shared" ca="1" si="109"/>
        <v/>
      </c>
      <c r="H103" s="60" t="str">
        <f t="shared" ca="1" si="109"/>
        <v/>
      </c>
      <c r="I103" s="60" t="str">
        <f t="shared" ca="1" si="109"/>
        <v/>
      </c>
      <c r="J103" s="60" t="str">
        <f t="shared" ca="1" si="109"/>
        <v/>
      </c>
      <c r="K103" s="60" t="str">
        <f t="shared" ca="1" si="109"/>
        <v/>
      </c>
      <c r="L103" s="60" t="str">
        <f t="shared" ca="1" si="109"/>
        <v/>
      </c>
      <c r="M103" s="60" t="str">
        <f t="shared" ca="1" si="109"/>
        <v/>
      </c>
      <c r="N103" s="60" t="str">
        <f t="shared" ca="1" si="109"/>
        <v/>
      </c>
      <c r="O103" s="60" t="str">
        <f t="shared" ca="1" si="109"/>
        <v/>
      </c>
      <c r="P103" s="60" t="str">
        <f t="shared" ca="1" si="109"/>
        <v/>
      </c>
      <c r="Q103" s="60" t="str">
        <f t="shared" ca="1" si="109"/>
        <v/>
      </c>
      <c r="R103" s="60" t="str">
        <f t="shared" ca="1" si="109"/>
        <v/>
      </c>
      <c r="S103" s="60" t="str">
        <f t="shared" ca="1" si="109"/>
        <v/>
      </c>
      <c r="T103" s="60" t="str">
        <f t="shared" ca="1" si="109"/>
        <v/>
      </c>
      <c r="U103" s="60" t="str">
        <f t="shared" ca="1" si="109"/>
        <v/>
      </c>
      <c r="V103" s="60" t="str">
        <f t="shared" ca="1" si="109"/>
        <v/>
      </c>
      <c r="W103" s="60" t="str">
        <f t="shared" ca="1" si="109"/>
        <v/>
      </c>
      <c r="X103" s="60" t="str">
        <f t="shared" ca="1" si="109"/>
        <v/>
      </c>
      <c r="Y103" s="60" t="str">
        <f t="shared" ca="1" si="109"/>
        <v/>
      </c>
      <c r="Z103" s="60" t="str">
        <f t="shared" ca="1" si="109"/>
        <v/>
      </c>
      <c r="AA103" s="60" t="str">
        <f t="shared" ca="1" si="109"/>
        <v/>
      </c>
    </row>
    <row r="104" spans="1:27" x14ac:dyDescent="0.25">
      <c r="A104" t="str">
        <f t="shared" ca="1" si="105"/>
        <v/>
      </c>
      <c r="B104" t="str">
        <f t="shared" ca="1" si="103"/>
        <v/>
      </c>
      <c r="C104" s="60" t="str">
        <f t="shared" ref="C104:AA104" ca="1" si="110">IFERROR(IF(OR(INDIRECT("'Datos "&amp;Tipo_Cuestionario_Cod&amp;"'!"&amp;C$1&amp;7+$A104-1)="",C$2="",$B104=""),"",
IF(AND(C$1="J",Tipo_Cuestionario_Cod="VF"),C$2&amp;IF(MID(B104,FIND(")",B104)+2,1)="V","FALSO","VERDADERO"),
C$2&amp;INDIRECT("'Datos "&amp;Tipo_Cuestionario_Cod&amp;"'!"&amp;C$1&amp;7+$A104-1))),"")</f>
        <v/>
      </c>
      <c r="D104" s="60" t="str">
        <f t="shared" ca="1" si="110"/>
        <v/>
      </c>
      <c r="E104" s="60" t="str">
        <f t="shared" ca="1" si="110"/>
        <v/>
      </c>
      <c r="F104" s="60" t="str">
        <f t="shared" ca="1" si="110"/>
        <v/>
      </c>
      <c r="G104" s="60" t="str">
        <f t="shared" ca="1" si="110"/>
        <v/>
      </c>
      <c r="H104" s="60" t="str">
        <f t="shared" ca="1" si="110"/>
        <v/>
      </c>
      <c r="I104" s="60" t="str">
        <f t="shared" ca="1" si="110"/>
        <v/>
      </c>
      <c r="J104" s="60" t="str">
        <f t="shared" ca="1" si="110"/>
        <v/>
      </c>
      <c r="K104" s="60" t="str">
        <f t="shared" ca="1" si="110"/>
        <v/>
      </c>
      <c r="L104" s="60" t="str">
        <f t="shared" ca="1" si="110"/>
        <v/>
      </c>
      <c r="M104" s="60" t="str">
        <f t="shared" ca="1" si="110"/>
        <v/>
      </c>
      <c r="N104" s="60" t="str">
        <f t="shared" ca="1" si="110"/>
        <v/>
      </c>
      <c r="O104" s="60" t="str">
        <f t="shared" ca="1" si="110"/>
        <v/>
      </c>
      <c r="P104" s="60" t="str">
        <f t="shared" ca="1" si="110"/>
        <v/>
      </c>
      <c r="Q104" s="60" t="str">
        <f t="shared" ca="1" si="110"/>
        <v/>
      </c>
      <c r="R104" s="60" t="str">
        <f t="shared" ca="1" si="110"/>
        <v/>
      </c>
      <c r="S104" s="60" t="str">
        <f t="shared" ca="1" si="110"/>
        <v/>
      </c>
      <c r="T104" s="60" t="str">
        <f t="shared" ca="1" si="110"/>
        <v/>
      </c>
      <c r="U104" s="60" t="str">
        <f t="shared" ca="1" si="110"/>
        <v/>
      </c>
      <c r="V104" s="60" t="str">
        <f t="shared" ca="1" si="110"/>
        <v/>
      </c>
      <c r="W104" s="60" t="str">
        <f t="shared" ca="1" si="110"/>
        <v/>
      </c>
      <c r="X104" s="60" t="str">
        <f t="shared" ca="1" si="110"/>
        <v/>
      </c>
      <c r="Y104" s="60" t="str">
        <f t="shared" ca="1" si="110"/>
        <v/>
      </c>
      <c r="Z104" s="60" t="str">
        <f t="shared" ca="1" si="110"/>
        <v/>
      </c>
      <c r="AA104" s="60" t="str">
        <f t="shared" ca="1" si="110"/>
        <v/>
      </c>
    </row>
    <row r="105" spans="1:27" x14ac:dyDescent="0.25">
      <c r="A105" t="str">
        <f t="shared" ca="1" si="105"/>
        <v/>
      </c>
      <c r="B105" t="str">
        <f t="shared" ca="1" si="103"/>
        <v/>
      </c>
      <c r="C105" s="60" t="str">
        <f t="shared" ref="C105:AA105" ca="1" si="111">IFERROR(IF(OR(INDIRECT("'Datos "&amp;Tipo_Cuestionario_Cod&amp;"'!"&amp;C$1&amp;7+$A105-1)="",C$2="",$B105=""),"",
IF(AND(C$1="J",Tipo_Cuestionario_Cod="VF"),C$2&amp;IF(MID(B105,FIND(")",B105)+2,1)="V","FALSO","VERDADERO"),
C$2&amp;INDIRECT("'Datos "&amp;Tipo_Cuestionario_Cod&amp;"'!"&amp;C$1&amp;7+$A105-1))),"")</f>
        <v/>
      </c>
      <c r="D105" s="60" t="str">
        <f t="shared" ca="1" si="111"/>
        <v/>
      </c>
      <c r="E105" s="60" t="str">
        <f t="shared" ca="1" si="111"/>
        <v/>
      </c>
      <c r="F105" s="60" t="str">
        <f t="shared" ca="1" si="111"/>
        <v/>
      </c>
      <c r="G105" s="60" t="str">
        <f t="shared" ca="1" si="111"/>
        <v/>
      </c>
      <c r="H105" s="60" t="str">
        <f t="shared" ca="1" si="111"/>
        <v/>
      </c>
      <c r="I105" s="60" t="str">
        <f t="shared" ca="1" si="111"/>
        <v/>
      </c>
      <c r="J105" s="60" t="str">
        <f t="shared" ca="1" si="111"/>
        <v/>
      </c>
      <c r="K105" s="60" t="str">
        <f t="shared" ca="1" si="111"/>
        <v/>
      </c>
      <c r="L105" s="60" t="str">
        <f t="shared" ca="1" si="111"/>
        <v/>
      </c>
      <c r="M105" s="60" t="str">
        <f t="shared" ca="1" si="111"/>
        <v/>
      </c>
      <c r="N105" s="60" t="str">
        <f t="shared" ca="1" si="111"/>
        <v/>
      </c>
      <c r="O105" s="60" t="str">
        <f t="shared" ca="1" si="111"/>
        <v/>
      </c>
      <c r="P105" s="60" t="str">
        <f t="shared" ca="1" si="111"/>
        <v/>
      </c>
      <c r="Q105" s="60" t="str">
        <f t="shared" ca="1" si="111"/>
        <v/>
      </c>
      <c r="R105" s="60" t="str">
        <f t="shared" ca="1" si="111"/>
        <v/>
      </c>
      <c r="S105" s="60" t="str">
        <f t="shared" ca="1" si="111"/>
        <v/>
      </c>
      <c r="T105" s="60" t="str">
        <f t="shared" ca="1" si="111"/>
        <v/>
      </c>
      <c r="U105" s="60" t="str">
        <f t="shared" ca="1" si="111"/>
        <v/>
      </c>
      <c r="V105" s="60" t="str">
        <f t="shared" ca="1" si="111"/>
        <v/>
      </c>
      <c r="W105" s="60" t="str">
        <f t="shared" ca="1" si="111"/>
        <v/>
      </c>
      <c r="X105" s="60" t="str">
        <f t="shared" ca="1" si="111"/>
        <v/>
      </c>
      <c r="Y105" s="60" t="str">
        <f t="shared" ca="1" si="111"/>
        <v/>
      </c>
      <c r="Z105" s="60" t="str">
        <f t="shared" ca="1" si="111"/>
        <v/>
      </c>
      <c r="AA105" s="60" t="str">
        <f t="shared" ca="1" si="111"/>
        <v/>
      </c>
    </row>
    <row r="106" spans="1:27" x14ac:dyDescent="0.25">
      <c r="A106" t="str">
        <f t="shared" ca="1" si="105"/>
        <v/>
      </c>
      <c r="B106" t="str">
        <f t="shared" ca="1" si="103"/>
        <v/>
      </c>
      <c r="C106" s="60" t="str">
        <f t="shared" ref="C106:AA106" ca="1" si="112">IFERROR(IF(OR(INDIRECT("'Datos "&amp;Tipo_Cuestionario_Cod&amp;"'!"&amp;C$1&amp;7+$A106-1)="",C$2="",$B106=""),"",
IF(AND(C$1="J",Tipo_Cuestionario_Cod="VF"),C$2&amp;IF(MID(B106,FIND(")",B106)+2,1)="V","FALSO","VERDADERO"),
C$2&amp;INDIRECT("'Datos "&amp;Tipo_Cuestionario_Cod&amp;"'!"&amp;C$1&amp;7+$A106-1))),"")</f>
        <v/>
      </c>
      <c r="D106" s="60" t="str">
        <f t="shared" ca="1" si="112"/>
        <v/>
      </c>
      <c r="E106" s="60" t="str">
        <f t="shared" ca="1" si="112"/>
        <v/>
      </c>
      <c r="F106" s="60" t="str">
        <f t="shared" ca="1" si="112"/>
        <v/>
      </c>
      <c r="G106" s="60" t="str">
        <f t="shared" ca="1" si="112"/>
        <v/>
      </c>
      <c r="H106" s="60" t="str">
        <f t="shared" ca="1" si="112"/>
        <v/>
      </c>
      <c r="I106" s="60" t="str">
        <f t="shared" ca="1" si="112"/>
        <v/>
      </c>
      <c r="J106" s="60" t="str">
        <f t="shared" ca="1" si="112"/>
        <v/>
      </c>
      <c r="K106" s="60" t="str">
        <f t="shared" ca="1" si="112"/>
        <v/>
      </c>
      <c r="L106" s="60" t="str">
        <f t="shared" ca="1" si="112"/>
        <v/>
      </c>
      <c r="M106" s="60" t="str">
        <f t="shared" ca="1" si="112"/>
        <v/>
      </c>
      <c r="N106" s="60" t="str">
        <f t="shared" ca="1" si="112"/>
        <v/>
      </c>
      <c r="O106" s="60" t="str">
        <f t="shared" ca="1" si="112"/>
        <v/>
      </c>
      <c r="P106" s="60" t="str">
        <f t="shared" ca="1" si="112"/>
        <v/>
      </c>
      <c r="Q106" s="60" t="str">
        <f t="shared" ca="1" si="112"/>
        <v/>
      </c>
      <c r="R106" s="60" t="str">
        <f t="shared" ca="1" si="112"/>
        <v/>
      </c>
      <c r="S106" s="60" t="str">
        <f t="shared" ca="1" si="112"/>
        <v/>
      </c>
      <c r="T106" s="60" t="str">
        <f t="shared" ca="1" si="112"/>
        <v/>
      </c>
      <c r="U106" s="60" t="str">
        <f t="shared" ca="1" si="112"/>
        <v/>
      </c>
      <c r="V106" s="60" t="str">
        <f t="shared" ca="1" si="112"/>
        <v/>
      </c>
      <c r="W106" s="60" t="str">
        <f t="shared" ca="1" si="112"/>
        <v/>
      </c>
      <c r="X106" s="60" t="str">
        <f t="shared" ca="1" si="112"/>
        <v/>
      </c>
      <c r="Y106" s="60" t="str">
        <f t="shared" ca="1" si="112"/>
        <v/>
      </c>
      <c r="Z106" s="60" t="str">
        <f t="shared" ca="1" si="112"/>
        <v/>
      </c>
      <c r="AA106" s="60" t="str">
        <f t="shared" ca="1" si="112"/>
        <v/>
      </c>
    </row>
    <row r="107" spans="1:27" x14ac:dyDescent="0.25">
      <c r="A107" t="str">
        <f t="shared" ca="1" si="105"/>
        <v/>
      </c>
      <c r="B107" t="str">
        <f t="shared" ca="1" si="103"/>
        <v/>
      </c>
      <c r="C107" s="60" t="str">
        <f t="shared" ref="C107:AA107" ca="1" si="113">IFERROR(IF(OR(INDIRECT("'Datos "&amp;Tipo_Cuestionario_Cod&amp;"'!"&amp;C$1&amp;7+$A107-1)="",C$2="",$B107=""),"",
IF(AND(C$1="J",Tipo_Cuestionario_Cod="VF"),C$2&amp;IF(MID(B107,FIND(")",B107)+2,1)="V","FALSO","VERDADERO"),
C$2&amp;INDIRECT("'Datos "&amp;Tipo_Cuestionario_Cod&amp;"'!"&amp;C$1&amp;7+$A107-1))),"")</f>
        <v/>
      </c>
      <c r="D107" s="60" t="str">
        <f t="shared" ca="1" si="113"/>
        <v/>
      </c>
      <c r="E107" s="60" t="str">
        <f t="shared" ca="1" si="113"/>
        <v/>
      </c>
      <c r="F107" s="60" t="str">
        <f t="shared" ca="1" si="113"/>
        <v/>
      </c>
      <c r="G107" s="60" t="str">
        <f t="shared" ca="1" si="113"/>
        <v/>
      </c>
      <c r="H107" s="60" t="str">
        <f t="shared" ca="1" si="113"/>
        <v/>
      </c>
      <c r="I107" s="60" t="str">
        <f t="shared" ca="1" si="113"/>
        <v/>
      </c>
      <c r="J107" s="60" t="str">
        <f t="shared" ca="1" si="113"/>
        <v/>
      </c>
      <c r="K107" s="60" t="str">
        <f t="shared" ca="1" si="113"/>
        <v/>
      </c>
      <c r="L107" s="60" t="str">
        <f t="shared" ca="1" si="113"/>
        <v/>
      </c>
      <c r="M107" s="60" t="str">
        <f t="shared" ca="1" si="113"/>
        <v/>
      </c>
      <c r="N107" s="60" t="str">
        <f t="shared" ca="1" si="113"/>
        <v/>
      </c>
      <c r="O107" s="60" t="str">
        <f t="shared" ca="1" si="113"/>
        <v/>
      </c>
      <c r="P107" s="60" t="str">
        <f t="shared" ca="1" si="113"/>
        <v/>
      </c>
      <c r="Q107" s="60" t="str">
        <f t="shared" ca="1" si="113"/>
        <v/>
      </c>
      <c r="R107" s="60" t="str">
        <f t="shared" ca="1" si="113"/>
        <v/>
      </c>
      <c r="S107" s="60" t="str">
        <f t="shared" ca="1" si="113"/>
        <v/>
      </c>
      <c r="T107" s="60" t="str">
        <f t="shared" ca="1" si="113"/>
        <v/>
      </c>
      <c r="U107" s="60" t="str">
        <f t="shared" ca="1" si="113"/>
        <v/>
      </c>
      <c r="V107" s="60" t="str">
        <f t="shared" ca="1" si="113"/>
        <v/>
      </c>
      <c r="W107" s="60" t="str">
        <f t="shared" ca="1" si="113"/>
        <v/>
      </c>
      <c r="X107" s="60" t="str">
        <f t="shared" ca="1" si="113"/>
        <v/>
      </c>
      <c r="Y107" s="60" t="str">
        <f t="shared" ca="1" si="113"/>
        <v/>
      </c>
      <c r="Z107" s="60" t="str">
        <f t="shared" ca="1" si="113"/>
        <v/>
      </c>
      <c r="AA107" s="60" t="str">
        <f t="shared" ca="1" si="113"/>
        <v/>
      </c>
    </row>
    <row r="108" spans="1:27" x14ac:dyDescent="0.25">
      <c r="A108" t="str">
        <f t="shared" ca="1" si="105"/>
        <v/>
      </c>
      <c r="B108" t="str">
        <f t="shared" ca="1" si="103"/>
        <v/>
      </c>
      <c r="C108" s="60" t="str">
        <f t="shared" ref="C108:AA108" ca="1" si="114">IFERROR(IF(OR(INDIRECT("'Datos "&amp;Tipo_Cuestionario_Cod&amp;"'!"&amp;C$1&amp;7+$A108-1)="",C$2="",$B108=""),"",
IF(AND(C$1="J",Tipo_Cuestionario_Cod="VF"),C$2&amp;IF(MID(B108,FIND(")",B108)+2,1)="V","FALSO","VERDADERO"),
C$2&amp;INDIRECT("'Datos "&amp;Tipo_Cuestionario_Cod&amp;"'!"&amp;C$1&amp;7+$A108-1))),"")</f>
        <v/>
      </c>
      <c r="D108" s="60" t="str">
        <f t="shared" ca="1" si="114"/>
        <v/>
      </c>
      <c r="E108" s="60" t="str">
        <f t="shared" ca="1" si="114"/>
        <v/>
      </c>
      <c r="F108" s="60" t="str">
        <f t="shared" ca="1" si="114"/>
        <v/>
      </c>
      <c r="G108" s="60" t="str">
        <f t="shared" ca="1" si="114"/>
        <v/>
      </c>
      <c r="H108" s="60" t="str">
        <f t="shared" ca="1" si="114"/>
        <v/>
      </c>
      <c r="I108" s="60" t="str">
        <f t="shared" ca="1" si="114"/>
        <v/>
      </c>
      <c r="J108" s="60" t="str">
        <f t="shared" ca="1" si="114"/>
        <v/>
      </c>
      <c r="K108" s="60" t="str">
        <f t="shared" ca="1" si="114"/>
        <v/>
      </c>
      <c r="L108" s="60" t="str">
        <f t="shared" ca="1" si="114"/>
        <v/>
      </c>
      <c r="M108" s="60" t="str">
        <f t="shared" ca="1" si="114"/>
        <v/>
      </c>
      <c r="N108" s="60" t="str">
        <f t="shared" ca="1" si="114"/>
        <v/>
      </c>
      <c r="O108" s="60" t="str">
        <f t="shared" ca="1" si="114"/>
        <v/>
      </c>
      <c r="P108" s="60" t="str">
        <f t="shared" ca="1" si="114"/>
        <v/>
      </c>
      <c r="Q108" s="60" t="str">
        <f t="shared" ca="1" si="114"/>
        <v/>
      </c>
      <c r="R108" s="60" t="str">
        <f t="shared" ca="1" si="114"/>
        <v/>
      </c>
      <c r="S108" s="60" t="str">
        <f t="shared" ca="1" si="114"/>
        <v/>
      </c>
      <c r="T108" s="60" t="str">
        <f t="shared" ca="1" si="114"/>
        <v/>
      </c>
      <c r="U108" s="60" t="str">
        <f t="shared" ca="1" si="114"/>
        <v/>
      </c>
      <c r="V108" s="60" t="str">
        <f t="shared" ca="1" si="114"/>
        <v/>
      </c>
      <c r="W108" s="60" t="str">
        <f t="shared" ca="1" si="114"/>
        <v/>
      </c>
      <c r="X108" s="60" t="str">
        <f t="shared" ca="1" si="114"/>
        <v/>
      </c>
      <c r="Y108" s="60" t="str">
        <f t="shared" ca="1" si="114"/>
        <v/>
      </c>
      <c r="Z108" s="60" t="str">
        <f t="shared" ca="1" si="114"/>
        <v/>
      </c>
      <c r="AA108" s="60" t="str">
        <f t="shared" ca="1" si="114"/>
        <v/>
      </c>
    </row>
    <row r="109" spans="1:27" x14ac:dyDescent="0.25">
      <c r="A109" t="str">
        <f t="shared" ca="1" si="105"/>
        <v/>
      </c>
      <c r="B109" t="str">
        <f t="shared" ca="1" si="103"/>
        <v/>
      </c>
      <c r="C109" s="60" t="str">
        <f t="shared" ref="C109:AA109" ca="1" si="115">IFERROR(IF(OR(INDIRECT("'Datos "&amp;Tipo_Cuestionario_Cod&amp;"'!"&amp;C$1&amp;7+$A109-1)="",C$2="",$B109=""),"",
IF(AND(C$1="J",Tipo_Cuestionario_Cod="VF"),C$2&amp;IF(MID(B109,FIND(")",B109)+2,1)="V","FALSO","VERDADERO"),
C$2&amp;INDIRECT("'Datos "&amp;Tipo_Cuestionario_Cod&amp;"'!"&amp;C$1&amp;7+$A109-1))),"")</f>
        <v/>
      </c>
      <c r="D109" s="60" t="str">
        <f t="shared" ca="1" si="115"/>
        <v/>
      </c>
      <c r="E109" s="60" t="str">
        <f t="shared" ca="1" si="115"/>
        <v/>
      </c>
      <c r="F109" s="60" t="str">
        <f t="shared" ca="1" si="115"/>
        <v/>
      </c>
      <c r="G109" s="60" t="str">
        <f t="shared" ca="1" si="115"/>
        <v/>
      </c>
      <c r="H109" s="60" t="str">
        <f t="shared" ca="1" si="115"/>
        <v/>
      </c>
      <c r="I109" s="60" t="str">
        <f t="shared" ca="1" si="115"/>
        <v/>
      </c>
      <c r="J109" s="60" t="str">
        <f t="shared" ca="1" si="115"/>
        <v/>
      </c>
      <c r="K109" s="60" t="str">
        <f t="shared" ca="1" si="115"/>
        <v/>
      </c>
      <c r="L109" s="60" t="str">
        <f t="shared" ca="1" si="115"/>
        <v/>
      </c>
      <c r="M109" s="60" t="str">
        <f t="shared" ca="1" si="115"/>
        <v/>
      </c>
      <c r="N109" s="60" t="str">
        <f t="shared" ca="1" si="115"/>
        <v/>
      </c>
      <c r="O109" s="60" t="str">
        <f t="shared" ca="1" si="115"/>
        <v/>
      </c>
      <c r="P109" s="60" t="str">
        <f t="shared" ca="1" si="115"/>
        <v/>
      </c>
      <c r="Q109" s="60" t="str">
        <f t="shared" ca="1" si="115"/>
        <v/>
      </c>
      <c r="R109" s="60" t="str">
        <f t="shared" ca="1" si="115"/>
        <v/>
      </c>
      <c r="S109" s="60" t="str">
        <f t="shared" ca="1" si="115"/>
        <v/>
      </c>
      <c r="T109" s="60" t="str">
        <f t="shared" ca="1" si="115"/>
        <v/>
      </c>
      <c r="U109" s="60" t="str">
        <f t="shared" ca="1" si="115"/>
        <v/>
      </c>
      <c r="V109" s="60" t="str">
        <f t="shared" ca="1" si="115"/>
        <v/>
      </c>
      <c r="W109" s="60" t="str">
        <f t="shared" ca="1" si="115"/>
        <v/>
      </c>
      <c r="X109" s="60" t="str">
        <f t="shared" ca="1" si="115"/>
        <v/>
      </c>
      <c r="Y109" s="60" t="str">
        <f t="shared" ca="1" si="115"/>
        <v/>
      </c>
      <c r="Z109" s="60" t="str">
        <f t="shared" ca="1" si="115"/>
        <v/>
      </c>
      <c r="AA109" s="60" t="str">
        <f t="shared" ca="1" si="115"/>
        <v/>
      </c>
    </row>
    <row r="110" spans="1:27" x14ac:dyDescent="0.25">
      <c r="A110" t="str">
        <f t="shared" ca="1" si="105"/>
        <v/>
      </c>
      <c r="B110" t="str">
        <f t="shared" ca="1" si="103"/>
        <v/>
      </c>
      <c r="C110" s="60" t="str">
        <f t="shared" ref="C110:AA110" ca="1" si="116">IFERROR(IF(OR(INDIRECT("'Datos "&amp;Tipo_Cuestionario_Cod&amp;"'!"&amp;C$1&amp;7+$A110-1)="",C$2="",$B110=""),"",
IF(AND(C$1="J",Tipo_Cuestionario_Cod="VF"),C$2&amp;IF(MID(B110,FIND(")",B110)+2,1)="V","FALSO","VERDADERO"),
C$2&amp;INDIRECT("'Datos "&amp;Tipo_Cuestionario_Cod&amp;"'!"&amp;C$1&amp;7+$A110-1))),"")</f>
        <v/>
      </c>
      <c r="D110" s="60" t="str">
        <f t="shared" ca="1" si="116"/>
        <v/>
      </c>
      <c r="E110" s="60" t="str">
        <f t="shared" ca="1" si="116"/>
        <v/>
      </c>
      <c r="F110" s="60" t="str">
        <f t="shared" ca="1" si="116"/>
        <v/>
      </c>
      <c r="G110" s="60" t="str">
        <f t="shared" ca="1" si="116"/>
        <v/>
      </c>
      <c r="H110" s="60" t="str">
        <f t="shared" ca="1" si="116"/>
        <v/>
      </c>
      <c r="I110" s="60" t="str">
        <f t="shared" ca="1" si="116"/>
        <v/>
      </c>
      <c r="J110" s="60" t="str">
        <f t="shared" ca="1" si="116"/>
        <v/>
      </c>
      <c r="K110" s="60" t="str">
        <f t="shared" ca="1" si="116"/>
        <v/>
      </c>
      <c r="L110" s="60" t="str">
        <f t="shared" ca="1" si="116"/>
        <v/>
      </c>
      <c r="M110" s="60" t="str">
        <f t="shared" ca="1" si="116"/>
        <v/>
      </c>
      <c r="N110" s="60" t="str">
        <f t="shared" ca="1" si="116"/>
        <v/>
      </c>
      <c r="O110" s="60" t="str">
        <f t="shared" ca="1" si="116"/>
        <v/>
      </c>
      <c r="P110" s="60" t="str">
        <f t="shared" ca="1" si="116"/>
        <v/>
      </c>
      <c r="Q110" s="60" t="str">
        <f t="shared" ca="1" si="116"/>
        <v/>
      </c>
      <c r="R110" s="60" t="str">
        <f t="shared" ca="1" si="116"/>
        <v/>
      </c>
      <c r="S110" s="60" t="str">
        <f t="shared" ca="1" si="116"/>
        <v/>
      </c>
      <c r="T110" s="60" t="str">
        <f t="shared" ca="1" si="116"/>
        <v/>
      </c>
      <c r="U110" s="60" t="str">
        <f t="shared" ca="1" si="116"/>
        <v/>
      </c>
      <c r="V110" s="60" t="str">
        <f t="shared" ca="1" si="116"/>
        <v/>
      </c>
      <c r="W110" s="60" t="str">
        <f t="shared" ca="1" si="116"/>
        <v/>
      </c>
      <c r="X110" s="60" t="str">
        <f t="shared" ca="1" si="116"/>
        <v/>
      </c>
      <c r="Y110" s="60" t="str">
        <f t="shared" ca="1" si="116"/>
        <v/>
      </c>
      <c r="Z110" s="60" t="str">
        <f t="shared" ca="1" si="116"/>
        <v/>
      </c>
      <c r="AA110" s="60" t="str">
        <f t="shared" ca="1" si="116"/>
        <v/>
      </c>
    </row>
    <row r="111" spans="1:27" x14ac:dyDescent="0.25">
      <c r="A111" t="str">
        <f t="shared" ca="1" si="105"/>
        <v/>
      </c>
      <c r="B111" t="str">
        <f t="shared" ca="1" si="103"/>
        <v/>
      </c>
      <c r="C111" s="60" t="str">
        <f t="shared" ref="C111:AA111" ca="1" si="117">IFERROR(IF(OR(INDIRECT("'Datos "&amp;Tipo_Cuestionario_Cod&amp;"'!"&amp;C$1&amp;7+$A111-1)="",C$2="",$B111=""),"",
IF(AND(C$1="J",Tipo_Cuestionario_Cod="VF"),C$2&amp;IF(MID(B111,FIND(")",B111)+2,1)="V","FALSO","VERDADERO"),
C$2&amp;INDIRECT("'Datos "&amp;Tipo_Cuestionario_Cod&amp;"'!"&amp;C$1&amp;7+$A111-1))),"")</f>
        <v/>
      </c>
      <c r="D111" s="60" t="str">
        <f t="shared" ca="1" si="117"/>
        <v/>
      </c>
      <c r="E111" s="60" t="str">
        <f t="shared" ca="1" si="117"/>
        <v/>
      </c>
      <c r="F111" s="60" t="str">
        <f t="shared" ca="1" si="117"/>
        <v/>
      </c>
      <c r="G111" s="60" t="str">
        <f t="shared" ca="1" si="117"/>
        <v/>
      </c>
      <c r="H111" s="60" t="str">
        <f t="shared" ca="1" si="117"/>
        <v/>
      </c>
      <c r="I111" s="60" t="str">
        <f t="shared" ca="1" si="117"/>
        <v/>
      </c>
      <c r="J111" s="60" t="str">
        <f t="shared" ca="1" si="117"/>
        <v/>
      </c>
      <c r="K111" s="60" t="str">
        <f t="shared" ca="1" si="117"/>
        <v/>
      </c>
      <c r="L111" s="60" t="str">
        <f t="shared" ca="1" si="117"/>
        <v/>
      </c>
      <c r="M111" s="60" t="str">
        <f t="shared" ca="1" si="117"/>
        <v/>
      </c>
      <c r="N111" s="60" t="str">
        <f t="shared" ca="1" si="117"/>
        <v/>
      </c>
      <c r="O111" s="60" t="str">
        <f t="shared" ca="1" si="117"/>
        <v/>
      </c>
      <c r="P111" s="60" t="str">
        <f t="shared" ca="1" si="117"/>
        <v/>
      </c>
      <c r="Q111" s="60" t="str">
        <f t="shared" ca="1" si="117"/>
        <v/>
      </c>
      <c r="R111" s="60" t="str">
        <f t="shared" ca="1" si="117"/>
        <v/>
      </c>
      <c r="S111" s="60" t="str">
        <f t="shared" ca="1" si="117"/>
        <v/>
      </c>
      <c r="T111" s="60" t="str">
        <f t="shared" ca="1" si="117"/>
        <v/>
      </c>
      <c r="U111" s="60" t="str">
        <f t="shared" ca="1" si="117"/>
        <v/>
      </c>
      <c r="V111" s="60" t="str">
        <f t="shared" ca="1" si="117"/>
        <v/>
      </c>
      <c r="W111" s="60" t="str">
        <f t="shared" ca="1" si="117"/>
        <v/>
      </c>
      <c r="X111" s="60" t="str">
        <f t="shared" ca="1" si="117"/>
        <v/>
      </c>
      <c r="Y111" s="60" t="str">
        <f t="shared" ca="1" si="117"/>
        <v/>
      </c>
      <c r="Z111" s="60" t="str">
        <f t="shared" ca="1" si="117"/>
        <v/>
      </c>
      <c r="AA111" s="60" t="str">
        <f t="shared" ca="1" si="117"/>
        <v/>
      </c>
    </row>
    <row r="112" spans="1:27" x14ac:dyDescent="0.25">
      <c r="A112" t="str">
        <f t="shared" ca="1" si="105"/>
        <v/>
      </c>
      <c r="B112" t="str">
        <f t="shared" ca="1" si="103"/>
        <v/>
      </c>
      <c r="C112" s="60" t="str">
        <f t="shared" ref="C112:AA112" ca="1" si="118">IFERROR(IF(OR(INDIRECT("'Datos "&amp;Tipo_Cuestionario_Cod&amp;"'!"&amp;C$1&amp;7+$A112-1)="",C$2="",$B112=""),"",
IF(AND(C$1="J",Tipo_Cuestionario_Cod="VF"),C$2&amp;IF(MID(B112,FIND(")",B112)+2,1)="V","FALSO","VERDADERO"),
C$2&amp;INDIRECT("'Datos "&amp;Tipo_Cuestionario_Cod&amp;"'!"&amp;C$1&amp;7+$A112-1))),"")</f>
        <v/>
      </c>
      <c r="D112" s="60" t="str">
        <f t="shared" ca="1" si="118"/>
        <v/>
      </c>
      <c r="E112" s="60" t="str">
        <f t="shared" ca="1" si="118"/>
        <v/>
      </c>
      <c r="F112" s="60" t="str">
        <f t="shared" ca="1" si="118"/>
        <v/>
      </c>
      <c r="G112" s="60" t="str">
        <f t="shared" ca="1" si="118"/>
        <v/>
      </c>
      <c r="H112" s="60" t="str">
        <f t="shared" ca="1" si="118"/>
        <v/>
      </c>
      <c r="I112" s="60" t="str">
        <f t="shared" ca="1" si="118"/>
        <v/>
      </c>
      <c r="J112" s="60" t="str">
        <f t="shared" ca="1" si="118"/>
        <v/>
      </c>
      <c r="K112" s="60" t="str">
        <f t="shared" ca="1" si="118"/>
        <v/>
      </c>
      <c r="L112" s="60" t="str">
        <f t="shared" ca="1" si="118"/>
        <v/>
      </c>
      <c r="M112" s="60" t="str">
        <f t="shared" ca="1" si="118"/>
        <v/>
      </c>
      <c r="N112" s="60" t="str">
        <f t="shared" ca="1" si="118"/>
        <v/>
      </c>
      <c r="O112" s="60" t="str">
        <f t="shared" ca="1" si="118"/>
        <v/>
      </c>
      <c r="P112" s="60" t="str">
        <f t="shared" ca="1" si="118"/>
        <v/>
      </c>
      <c r="Q112" s="60" t="str">
        <f t="shared" ca="1" si="118"/>
        <v/>
      </c>
      <c r="R112" s="60" t="str">
        <f t="shared" ca="1" si="118"/>
        <v/>
      </c>
      <c r="S112" s="60" t="str">
        <f t="shared" ca="1" si="118"/>
        <v/>
      </c>
      <c r="T112" s="60" t="str">
        <f t="shared" ca="1" si="118"/>
        <v/>
      </c>
      <c r="U112" s="60" t="str">
        <f t="shared" ca="1" si="118"/>
        <v/>
      </c>
      <c r="V112" s="60" t="str">
        <f t="shared" ca="1" si="118"/>
        <v/>
      </c>
      <c r="W112" s="60" t="str">
        <f t="shared" ca="1" si="118"/>
        <v/>
      </c>
      <c r="X112" s="60" t="str">
        <f t="shared" ca="1" si="118"/>
        <v/>
      </c>
      <c r="Y112" s="60" t="str">
        <f t="shared" ca="1" si="118"/>
        <v/>
      </c>
      <c r="Z112" s="60" t="str">
        <f t="shared" ca="1" si="118"/>
        <v/>
      </c>
      <c r="AA112" s="60" t="str">
        <f t="shared" ca="1" si="118"/>
        <v/>
      </c>
    </row>
    <row r="113" spans="1:27" x14ac:dyDescent="0.25">
      <c r="A113" t="str">
        <f t="shared" ca="1" si="105"/>
        <v/>
      </c>
      <c r="B113" t="str">
        <f t="shared" ca="1" si="103"/>
        <v/>
      </c>
      <c r="C113" s="60" t="str">
        <f t="shared" ref="C113:AA113" ca="1" si="119">IFERROR(IF(OR(INDIRECT("'Datos "&amp;Tipo_Cuestionario_Cod&amp;"'!"&amp;C$1&amp;7+$A113-1)="",C$2="",$B113=""),"",
IF(AND(C$1="J",Tipo_Cuestionario_Cod="VF"),C$2&amp;IF(MID(B113,FIND(")",B113)+2,1)="V","FALSO","VERDADERO"),
C$2&amp;INDIRECT("'Datos "&amp;Tipo_Cuestionario_Cod&amp;"'!"&amp;C$1&amp;7+$A113-1))),"")</f>
        <v/>
      </c>
      <c r="D113" s="60" t="str">
        <f t="shared" ca="1" si="119"/>
        <v/>
      </c>
      <c r="E113" s="60" t="str">
        <f t="shared" ca="1" si="119"/>
        <v/>
      </c>
      <c r="F113" s="60" t="str">
        <f t="shared" ca="1" si="119"/>
        <v/>
      </c>
      <c r="G113" s="60" t="str">
        <f t="shared" ca="1" si="119"/>
        <v/>
      </c>
      <c r="H113" s="60" t="str">
        <f t="shared" ca="1" si="119"/>
        <v/>
      </c>
      <c r="I113" s="60" t="str">
        <f t="shared" ca="1" si="119"/>
        <v/>
      </c>
      <c r="J113" s="60" t="str">
        <f t="shared" ca="1" si="119"/>
        <v/>
      </c>
      <c r="K113" s="60" t="str">
        <f t="shared" ca="1" si="119"/>
        <v/>
      </c>
      <c r="L113" s="60" t="str">
        <f t="shared" ca="1" si="119"/>
        <v/>
      </c>
      <c r="M113" s="60" t="str">
        <f t="shared" ca="1" si="119"/>
        <v/>
      </c>
      <c r="N113" s="60" t="str">
        <f t="shared" ca="1" si="119"/>
        <v/>
      </c>
      <c r="O113" s="60" t="str">
        <f t="shared" ca="1" si="119"/>
        <v/>
      </c>
      <c r="P113" s="60" t="str">
        <f t="shared" ca="1" si="119"/>
        <v/>
      </c>
      <c r="Q113" s="60" t="str">
        <f t="shared" ca="1" si="119"/>
        <v/>
      </c>
      <c r="R113" s="60" t="str">
        <f t="shared" ca="1" si="119"/>
        <v/>
      </c>
      <c r="S113" s="60" t="str">
        <f t="shared" ca="1" si="119"/>
        <v/>
      </c>
      <c r="T113" s="60" t="str">
        <f t="shared" ca="1" si="119"/>
        <v/>
      </c>
      <c r="U113" s="60" t="str">
        <f t="shared" ca="1" si="119"/>
        <v/>
      </c>
      <c r="V113" s="60" t="str">
        <f t="shared" ca="1" si="119"/>
        <v/>
      </c>
      <c r="W113" s="60" t="str">
        <f t="shared" ca="1" si="119"/>
        <v/>
      </c>
      <c r="X113" s="60" t="str">
        <f t="shared" ca="1" si="119"/>
        <v/>
      </c>
      <c r="Y113" s="60" t="str">
        <f t="shared" ca="1" si="119"/>
        <v/>
      </c>
      <c r="Z113" s="60" t="str">
        <f t="shared" ca="1" si="119"/>
        <v/>
      </c>
      <c r="AA113" s="60" t="str">
        <f t="shared" ca="1" si="119"/>
        <v/>
      </c>
    </row>
    <row r="114" spans="1:27" x14ac:dyDescent="0.25">
      <c r="A114" t="str">
        <f t="shared" ca="1" si="105"/>
        <v/>
      </c>
      <c r="B114" t="str">
        <f t="shared" ca="1" si="103"/>
        <v/>
      </c>
      <c r="C114" s="60" t="str">
        <f t="shared" ref="C114:AA114" ca="1" si="120">IFERROR(IF(OR(INDIRECT("'Datos "&amp;Tipo_Cuestionario_Cod&amp;"'!"&amp;C$1&amp;7+$A114-1)="",C$2="",$B114=""),"",
IF(AND(C$1="J",Tipo_Cuestionario_Cod="VF"),C$2&amp;IF(MID(B114,FIND(")",B114)+2,1)="V","FALSO","VERDADERO"),
C$2&amp;INDIRECT("'Datos "&amp;Tipo_Cuestionario_Cod&amp;"'!"&amp;C$1&amp;7+$A114-1))),"")</f>
        <v/>
      </c>
      <c r="D114" s="60" t="str">
        <f t="shared" ca="1" si="120"/>
        <v/>
      </c>
      <c r="E114" s="60" t="str">
        <f t="shared" ca="1" si="120"/>
        <v/>
      </c>
      <c r="F114" s="60" t="str">
        <f t="shared" ca="1" si="120"/>
        <v/>
      </c>
      <c r="G114" s="60" t="str">
        <f t="shared" ca="1" si="120"/>
        <v/>
      </c>
      <c r="H114" s="60" t="str">
        <f t="shared" ca="1" si="120"/>
        <v/>
      </c>
      <c r="I114" s="60" t="str">
        <f t="shared" ca="1" si="120"/>
        <v/>
      </c>
      <c r="J114" s="60" t="str">
        <f t="shared" ca="1" si="120"/>
        <v/>
      </c>
      <c r="K114" s="60" t="str">
        <f t="shared" ca="1" si="120"/>
        <v/>
      </c>
      <c r="L114" s="60" t="str">
        <f t="shared" ca="1" si="120"/>
        <v/>
      </c>
      <c r="M114" s="60" t="str">
        <f t="shared" ca="1" si="120"/>
        <v/>
      </c>
      <c r="N114" s="60" t="str">
        <f t="shared" ca="1" si="120"/>
        <v/>
      </c>
      <c r="O114" s="60" t="str">
        <f t="shared" ca="1" si="120"/>
        <v/>
      </c>
      <c r="P114" s="60" t="str">
        <f t="shared" ca="1" si="120"/>
        <v/>
      </c>
      <c r="Q114" s="60" t="str">
        <f t="shared" ca="1" si="120"/>
        <v/>
      </c>
      <c r="R114" s="60" t="str">
        <f t="shared" ca="1" si="120"/>
        <v/>
      </c>
      <c r="S114" s="60" t="str">
        <f t="shared" ca="1" si="120"/>
        <v/>
      </c>
      <c r="T114" s="60" t="str">
        <f t="shared" ca="1" si="120"/>
        <v/>
      </c>
      <c r="U114" s="60" t="str">
        <f t="shared" ca="1" si="120"/>
        <v/>
      </c>
      <c r="V114" s="60" t="str">
        <f t="shared" ca="1" si="120"/>
        <v/>
      </c>
      <c r="W114" s="60" t="str">
        <f t="shared" ca="1" si="120"/>
        <v/>
      </c>
      <c r="X114" s="60" t="str">
        <f t="shared" ca="1" si="120"/>
        <v/>
      </c>
      <c r="Y114" s="60" t="str">
        <f t="shared" ca="1" si="120"/>
        <v/>
      </c>
      <c r="Z114" s="60" t="str">
        <f t="shared" ca="1" si="120"/>
        <v/>
      </c>
      <c r="AA114" s="60" t="str">
        <f t="shared" ca="1" si="120"/>
        <v/>
      </c>
    </row>
    <row r="115" spans="1:27" x14ac:dyDescent="0.25">
      <c r="A115" t="str">
        <f t="shared" ca="1" si="105"/>
        <v/>
      </c>
      <c r="B115" t="str">
        <f t="shared" ca="1" si="103"/>
        <v/>
      </c>
      <c r="C115" s="60" t="str">
        <f t="shared" ref="C115:AA115" ca="1" si="121">IFERROR(IF(OR(INDIRECT("'Datos "&amp;Tipo_Cuestionario_Cod&amp;"'!"&amp;C$1&amp;7+$A115-1)="",C$2="",$B115=""),"",
IF(AND(C$1="J",Tipo_Cuestionario_Cod="VF"),C$2&amp;IF(MID(B115,FIND(")",B115)+2,1)="V","FALSO","VERDADERO"),
C$2&amp;INDIRECT("'Datos "&amp;Tipo_Cuestionario_Cod&amp;"'!"&amp;C$1&amp;7+$A115-1))),"")</f>
        <v/>
      </c>
      <c r="D115" s="60" t="str">
        <f t="shared" ca="1" si="121"/>
        <v/>
      </c>
      <c r="E115" s="60" t="str">
        <f t="shared" ca="1" si="121"/>
        <v/>
      </c>
      <c r="F115" s="60" t="str">
        <f t="shared" ca="1" si="121"/>
        <v/>
      </c>
      <c r="G115" s="60" t="str">
        <f t="shared" ca="1" si="121"/>
        <v/>
      </c>
      <c r="H115" s="60" t="str">
        <f t="shared" ca="1" si="121"/>
        <v/>
      </c>
      <c r="I115" s="60" t="str">
        <f t="shared" ca="1" si="121"/>
        <v/>
      </c>
      <c r="J115" s="60" t="str">
        <f t="shared" ca="1" si="121"/>
        <v/>
      </c>
      <c r="K115" s="60" t="str">
        <f t="shared" ca="1" si="121"/>
        <v/>
      </c>
      <c r="L115" s="60" t="str">
        <f t="shared" ca="1" si="121"/>
        <v/>
      </c>
      <c r="M115" s="60" t="str">
        <f t="shared" ca="1" si="121"/>
        <v/>
      </c>
      <c r="N115" s="60" t="str">
        <f t="shared" ca="1" si="121"/>
        <v/>
      </c>
      <c r="O115" s="60" t="str">
        <f t="shared" ca="1" si="121"/>
        <v/>
      </c>
      <c r="P115" s="60" t="str">
        <f t="shared" ca="1" si="121"/>
        <v/>
      </c>
      <c r="Q115" s="60" t="str">
        <f t="shared" ca="1" si="121"/>
        <v/>
      </c>
      <c r="R115" s="60" t="str">
        <f t="shared" ca="1" si="121"/>
        <v/>
      </c>
      <c r="S115" s="60" t="str">
        <f t="shared" ca="1" si="121"/>
        <v/>
      </c>
      <c r="T115" s="60" t="str">
        <f t="shared" ca="1" si="121"/>
        <v/>
      </c>
      <c r="U115" s="60" t="str">
        <f t="shared" ca="1" si="121"/>
        <v/>
      </c>
      <c r="V115" s="60" t="str">
        <f t="shared" ca="1" si="121"/>
        <v/>
      </c>
      <c r="W115" s="60" t="str">
        <f t="shared" ca="1" si="121"/>
        <v/>
      </c>
      <c r="X115" s="60" t="str">
        <f t="shared" ca="1" si="121"/>
        <v/>
      </c>
      <c r="Y115" s="60" t="str">
        <f t="shared" ca="1" si="121"/>
        <v/>
      </c>
      <c r="Z115" s="60" t="str">
        <f t="shared" ca="1" si="121"/>
        <v/>
      </c>
      <c r="AA115" s="60" t="str">
        <f t="shared" ca="1" si="121"/>
        <v/>
      </c>
    </row>
    <row r="116" spans="1:27" x14ac:dyDescent="0.25">
      <c r="A116" t="str">
        <f t="shared" ca="1" si="105"/>
        <v/>
      </c>
      <c r="B116" t="str">
        <f t="shared" ca="1" si="103"/>
        <v/>
      </c>
      <c r="C116" s="60" t="str">
        <f t="shared" ref="C116:AA116" ca="1" si="122">IFERROR(IF(OR(INDIRECT("'Datos "&amp;Tipo_Cuestionario_Cod&amp;"'!"&amp;C$1&amp;7+$A116-1)="",C$2="",$B116=""),"",
IF(AND(C$1="J",Tipo_Cuestionario_Cod="VF"),C$2&amp;IF(MID(B116,FIND(")",B116)+2,1)="V","FALSO","VERDADERO"),
C$2&amp;INDIRECT("'Datos "&amp;Tipo_Cuestionario_Cod&amp;"'!"&amp;C$1&amp;7+$A116-1))),"")</f>
        <v/>
      </c>
      <c r="D116" s="60" t="str">
        <f t="shared" ca="1" si="122"/>
        <v/>
      </c>
      <c r="E116" s="60" t="str">
        <f t="shared" ca="1" si="122"/>
        <v/>
      </c>
      <c r="F116" s="60" t="str">
        <f t="shared" ca="1" si="122"/>
        <v/>
      </c>
      <c r="G116" s="60" t="str">
        <f t="shared" ca="1" si="122"/>
        <v/>
      </c>
      <c r="H116" s="60" t="str">
        <f t="shared" ca="1" si="122"/>
        <v/>
      </c>
      <c r="I116" s="60" t="str">
        <f t="shared" ca="1" si="122"/>
        <v/>
      </c>
      <c r="J116" s="60" t="str">
        <f t="shared" ca="1" si="122"/>
        <v/>
      </c>
      <c r="K116" s="60" t="str">
        <f t="shared" ca="1" si="122"/>
        <v/>
      </c>
      <c r="L116" s="60" t="str">
        <f t="shared" ca="1" si="122"/>
        <v/>
      </c>
      <c r="M116" s="60" t="str">
        <f t="shared" ca="1" si="122"/>
        <v/>
      </c>
      <c r="N116" s="60" t="str">
        <f t="shared" ca="1" si="122"/>
        <v/>
      </c>
      <c r="O116" s="60" t="str">
        <f t="shared" ca="1" si="122"/>
        <v/>
      </c>
      <c r="P116" s="60" t="str">
        <f t="shared" ca="1" si="122"/>
        <v/>
      </c>
      <c r="Q116" s="60" t="str">
        <f t="shared" ca="1" si="122"/>
        <v/>
      </c>
      <c r="R116" s="60" t="str">
        <f t="shared" ca="1" si="122"/>
        <v/>
      </c>
      <c r="S116" s="60" t="str">
        <f t="shared" ca="1" si="122"/>
        <v/>
      </c>
      <c r="T116" s="60" t="str">
        <f t="shared" ca="1" si="122"/>
        <v/>
      </c>
      <c r="U116" s="60" t="str">
        <f t="shared" ca="1" si="122"/>
        <v/>
      </c>
      <c r="V116" s="60" t="str">
        <f t="shared" ca="1" si="122"/>
        <v/>
      </c>
      <c r="W116" s="60" t="str">
        <f t="shared" ca="1" si="122"/>
        <v/>
      </c>
      <c r="X116" s="60" t="str">
        <f t="shared" ca="1" si="122"/>
        <v/>
      </c>
      <c r="Y116" s="60" t="str">
        <f t="shared" ca="1" si="122"/>
        <v/>
      </c>
      <c r="Z116" s="60" t="str">
        <f t="shared" ca="1" si="122"/>
        <v/>
      </c>
      <c r="AA116" s="60" t="str">
        <f t="shared" ca="1" si="122"/>
        <v/>
      </c>
    </row>
    <row r="117" spans="1:27" x14ac:dyDescent="0.25">
      <c r="A117" t="str">
        <f t="shared" ca="1" si="105"/>
        <v/>
      </c>
      <c r="B117" t="str">
        <f t="shared" ca="1" si="103"/>
        <v/>
      </c>
      <c r="C117" s="60" t="str">
        <f t="shared" ref="C117:AA117" ca="1" si="123">IFERROR(IF(OR(INDIRECT("'Datos "&amp;Tipo_Cuestionario_Cod&amp;"'!"&amp;C$1&amp;7+$A117-1)="",C$2="",$B117=""),"",
IF(AND(C$1="J",Tipo_Cuestionario_Cod="VF"),C$2&amp;IF(MID(B117,FIND(")",B117)+2,1)="V","FALSO","VERDADERO"),
C$2&amp;INDIRECT("'Datos "&amp;Tipo_Cuestionario_Cod&amp;"'!"&amp;C$1&amp;7+$A117-1))),"")</f>
        <v/>
      </c>
      <c r="D117" s="60" t="str">
        <f t="shared" ca="1" si="123"/>
        <v/>
      </c>
      <c r="E117" s="60" t="str">
        <f t="shared" ca="1" si="123"/>
        <v/>
      </c>
      <c r="F117" s="60" t="str">
        <f t="shared" ca="1" si="123"/>
        <v/>
      </c>
      <c r="G117" s="60" t="str">
        <f t="shared" ca="1" si="123"/>
        <v/>
      </c>
      <c r="H117" s="60" t="str">
        <f t="shared" ca="1" si="123"/>
        <v/>
      </c>
      <c r="I117" s="60" t="str">
        <f t="shared" ca="1" si="123"/>
        <v/>
      </c>
      <c r="J117" s="60" t="str">
        <f t="shared" ca="1" si="123"/>
        <v/>
      </c>
      <c r="K117" s="60" t="str">
        <f t="shared" ca="1" si="123"/>
        <v/>
      </c>
      <c r="L117" s="60" t="str">
        <f t="shared" ca="1" si="123"/>
        <v/>
      </c>
      <c r="M117" s="60" t="str">
        <f t="shared" ca="1" si="123"/>
        <v/>
      </c>
      <c r="N117" s="60" t="str">
        <f t="shared" ca="1" si="123"/>
        <v/>
      </c>
      <c r="O117" s="60" t="str">
        <f t="shared" ca="1" si="123"/>
        <v/>
      </c>
      <c r="P117" s="60" t="str">
        <f t="shared" ca="1" si="123"/>
        <v/>
      </c>
      <c r="Q117" s="60" t="str">
        <f t="shared" ca="1" si="123"/>
        <v/>
      </c>
      <c r="R117" s="60" t="str">
        <f t="shared" ca="1" si="123"/>
        <v/>
      </c>
      <c r="S117" s="60" t="str">
        <f t="shared" ca="1" si="123"/>
        <v/>
      </c>
      <c r="T117" s="60" t="str">
        <f t="shared" ca="1" si="123"/>
        <v/>
      </c>
      <c r="U117" s="60" t="str">
        <f t="shared" ca="1" si="123"/>
        <v/>
      </c>
      <c r="V117" s="60" t="str">
        <f t="shared" ca="1" si="123"/>
        <v/>
      </c>
      <c r="W117" s="60" t="str">
        <f t="shared" ca="1" si="123"/>
        <v/>
      </c>
      <c r="X117" s="60" t="str">
        <f t="shared" ca="1" si="123"/>
        <v/>
      </c>
      <c r="Y117" s="60" t="str">
        <f t="shared" ca="1" si="123"/>
        <v/>
      </c>
      <c r="Z117" s="60" t="str">
        <f t="shared" ca="1" si="123"/>
        <v/>
      </c>
      <c r="AA117" s="60" t="str">
        <f t="shared" ca="1" si="123"/>
        <v/>
      </c>
    </row>
    <row r="118" spans="1:27" x14ac:dyDescent="0.25">
      <c r="A118" t="str">
        <f t="shared" ca="1" si="105"/>
        <v/>
      </c>
      <c r="B118" t="str">
        <f t="shared" ca="1" si="103"/>
        <v/>
      </c>
      <c r="C118" s="60" t="str">
        <f t="shared" ref="C118:AA118" ca="1" si="124">IFERROR(IF(OR(INDIRECT("'Datos "&amp;Tipo_Cuestionario_Cod&amp;"'!"&amp;C$1&amp;7+$A118-1)="",C$2="",$B118=""),"",
IF(AND(C$1="J",Tipo_Cuestionario_Cod="VF"),C$2&amp;IF(MID(B118,FIND(")",B118)+2,1)="V","FALSO","VERDADERO"),
C$2&amp;INDIRECT("'Datos "&amp;Tipo_Cuestionario_Cod&amp;"'!"&amp;C$1&amp;7+$A118-1))),"")</f>
        <v/>
      </c>
      <c r="D118" s="60" t="str">
        <f t="shared" ca="1" si="124"/>
        <v/>
      </c>
      <c r="E118" s="60" t="str">
        <f t="shared" ca="1" si="124"/>
        <v/>
      </c>
      <c r="F118" s="60" t="str">
        <f t="shared" ca="1" si="124"/>
        <v/>
      </c>
      <c r="G118" s="60" t="str">
        <f t="shared" ca="1" si="124"/>
        <v/>
      </c>
      <c r="H118" s="60" t="str">
        <f t="shared" ca="1" si="124"/>
        <v/>
      </c>
      <c r="I118" s="60" t="str">
        <f t="shared" ca="1" si="124"/>
        <v/>
      </c>
      <c r="J118" s="60" t="str">
        <f t="shared" ca="1" si="124"/>
        <v/>
      </c>
      <c r="K118" s="60" t="str">
        <f t="shared" ca="1" si="124"/>
        <v/>
      </c>
      <c r="L118" s="60" t="str">
        <f t="shared" ca="1" si="124"/>
        <v/>
      </c>
      <c r="M118" s="60" t="str">
        <f t="shared" ca="1" si="124"/>
        <v/>
      </c>
      <c r="N118" s="60" t="str">
        <f t="shared" ca="1" si="124"/>
        <v/>
      </c>
      <c r="O118" s="60" t="str">
        <f t="shared" ca="1" si="124"/>
        <v/>
      </c>
      <c r="P118" s="60" t="str">
        <f t="shared" ca="1" si="124"/>
        <v/>
      </c>
      <c r="Q118" s="60" t="str">
        <f t="shared" ca="1" si="124"/>
        <v/>
      </c>
      <c r="R118" s="60" t="str">
        <f t="shared" ca="1" si="124"/>
        <v/>
      </c>
      <c r="S118" s="60" t="str">
        <f t="shared" ca="1" si="124"/>
        <v/>
      </c>
      <c r="T118" s="60" t="str">
        <f t="shared" ca="1" si="124"/>
        <v/>
      </c>
      <c r="U118" s="60" t="str">
        <f t="shared" ca="1" si="124"/>
        <v/>
      </c>
      <c r="V118" s="60" t="str">
        <f t="shared" ca="1" si="124"/>
        <v/>
      </c>
      <c r="W118" s="60" t="str">
        <f t="shared" ca="1" si="124"/>
        <v/>
      </c>
      <c r="X118" s="60" t="str">
        <f t="shared" ca="1" si="124"/>
        <v/>
      </c>
      <c r="Y118" s="60" t="str">
        <f t="shared" ca="1" si="124"/>
        <v/>
      </c>
      <c r="Z118" s="60" t="str">
        <f t="shared" ca="1" si="124"/>
        <v/>
      </c>
      <c r="AA118" s="60" t="str">
        <f t="shared" ca="1" si="124"/>
        <v/>
      </c>
    </row>
    <row r="119" spans="1:27" x14ac:dyDescent="0.25">
      <c r="A119" t="str">
        <f t="shared" ca="1" si="105"/>
        <v/>
      </c>
      <c r="B119" t="str">
        <f t="shared" ca="1" si="103"/>
        <v/>
      </c>
      <c r="C119" s="60" t="str">
        <f t="shared" ref="C119:AA119" ca="1" si="125">IFERROR(IF(OR(INDIRECT("'Datos "&amp;Tipo_Cuestionario_Cod&amp;"'!"&amp;C$1&amp;7+$A119-1)="",C$2="",$B119=""),"",
IF(AND(C$1="J",Tipo_Cuestionario_Cod="VF"),C$2&amp;IF(MID(B119,FIND(")",B119)+2,1)="V","FALSO","VERDADERO"),
C$2&amp;INDIRECT("'Datos "&amp;Tipo_Cuestionario_Cod&amp;"'!"&amp;C$1&amp;7+$A119-1))),"")</f>
        <v/>
      </c>
      <c r="D119" s="60" t="str">
        <f t="shared" ca="1" si="125"/>
        <v/>
      </c>
      <c r="E119" s="60" t="str">
        <f t="shared" ca="1" si="125"/>
        <v/>
      </c>
      <c r="F119" s="60" t="str">
        <f t="shared" ca="1" si="125"/>
        <v/>
      </c>
      <c r="G119" s="60" t="str">
        <f t="shared" ca="1" si="125"/>
        <v/>
      </c>
      <c r="H119" s="60" t="str">
        <f t="shared" ca="1" si="125"/>
        <v/>
      </c>
      <c r="I119" s="60" t="str">
        <f t="shared" ca="1" si="125"/>
        <v/>
      </c>
      <c r="J119" s="60" t="str">
        <f t="shared" ca="1" si="125"/>
        <v/>
      </c>
      <c r="K119" s="60" t="str">
        <f t="shared" ca="1" si="125"/>
        <v/>
      </c>
      <c r="L119" s="60" t="str">
        <f t="shared" ca="1" si="125"/>
        <v/>
      </c>
      <c r="M119" s="60" t="str">
        <f t="shared" ca="1" si="125"/>
        <v/>
      </c>
      <c r="N119" s="60" t="str">
        <f t="shared" ca="1" si="125"/>
        <v/>
      </c>
      <c r="O119" s="60" t="str">
        <f t="shared" ca="1" si="125"/>
        <v/>
      </c>
      <c r="P119" s="60" t="str">
        <f t="shared" ca="1" si="125"/>
        <v/>
      </c>
      <c r="Q119" s="60" t="str">
        <f t="shared" ca="1" si="125"/>
        <v/>
      </c>
      <c r="R119" s="60" t="str">
        <f t="shared" ca="1" si="125"/>
        <v/>
      </c>
      <c r="S119" s="60" t="str">
        <f t="shared" ca="1" si="125"/>
        <v/>
      </c>
      <c r="T119" s="60" t="str">
        <f t="shared" ca="1" si="125"/>
        <v/>
      </c>
      <c r="U119" s="60" t="str">
        <f t="shared" ca="1" si="125"/>
        <v/>
      </c>
      <c r="V119" s="60" t="str">
        <f t="shared" ca="1" si="125"/>
        <v/>
      </c>
      <c r="W119" s="60" t="str">
        <f t="shared" ca="1" si="125"/>
        <v/>
      </c>
      <c r="X119" s="60" t="str">
        <f t="shared" ca="1" si="125"/>
        <v/>
      </c>
      <c r="Y119" s="60" t="str">
        <f t="shared" ca="1" si="125"/>
        <v/>
      </c>
      <c r="Z119" s="60" t="str">
        <f t="shared" ca="1" si="125"/>
        <v/>
      </c>
      <c r="AA119" s="60" t="str">
        <f t="shared" ca="1" si="125"/>
        <v/>
      </c>
    </row>
    <row r="120" spans="1:27" x14ac:dyDescent="0.25">
      <c r="A120" t="str">
        <f t="shared" ca="1" si="105"/>
        <v/>
      </c>
      <c r="B120" t="str">
        <f t="shared" ca="1" si="103"/>
        <v/>
      </c>
      <c r="C120" s="60" t="str">
        <f t="shared" ref="C120:AA120" ca="1" si="126">IFERROR(IF(OR(INDIRECT("'Datos "&amp;Tipo_Cuestionario_Cod&amp;"'!"&amp;C$1&amp;7+$A120-1)="",C$2="",$B120=""),"",
IF(AND(C$1="J",Tipo_Cuestionario_Cod="VF"),C$2&amp;IF(MID(B120,FIND(")",B120)+2,1)="V","FALSO","VERDADERO"),
C$2&amp;INDIRECT("'Datos "&amp;Tipo_Cuestionario_Cod&amp;"'!"&amp;C$1&amp;7+$A120-1))),"")</f>
        <v/>
      </c>
      <c r="D120" s="60" t="str">
        <f t="shared" ca="1" si="126"/>
        <v/>
      </c>
      <c r="E120" s="60" t="str">
        <f t="shared" ca="1" si="126"/>
        <v/>
      </c>
      <c r="F120" s="60" t="str">
        <f t="shared" ca="1" si="126"/>
        <v/>
      </c>
      <c r="G120" s="60" t="str">
        <f t="shared" ca="1" si="126"/>
        <v/>
      </c>
      <c r="H120" s="60" t="str">
        <f t="shared" ca="1" si="126"/>
        <v/>
      </c>
      <c r="I120" s="60" t="str">
        <f t="shared" ca="1" si="126"/>
        <v/>
      </c>
      <c r="J120" s="60" t="str">
        <f t="shared" ca="1" si="126"/>
        <v/>
      </c>
      <c r="K120" s="60" t="str">
        <f t="shared" ca="1" si="126"/>
        <v/>
      </c>
      <c r="L120" s="60" t="str">
        <f t="shared" ca="1" si="126"/>
        <v/>
      </c>
      <c r="M120" s="60" t="str">
        <f t="shared" ca="1" si="126"/>
        <v/>
      </c>
      <c r="N120" s="60" t="str">
        <f t="shared" ca="1" si="126"/>
        <v/>
      </c>
      <c r="O120" s="60" t="str">
        <f t="shared" ca="1" si="126"/>
        <v/>
      </c>
      <c r="P120" s="60" t="str">
        <f t="shared" ca="1" si="126"/>
        <v/>
      </c>
      <c r="Q120" s="60" t="str">
        <f t="shared" ca="1" si="126"/>
        <v/>
      </c>
      <c r="R120" s="60" t="str">
        <f t="shared" ca="1" si="126"/>
        <v/>
      </c>
      <c r="S120" s="60" t="str">
        <f t="shared" ca="1" si="126"/>
        <v/>
      </c>
      <c r="T120" s="60" t="str">
        <f t="shared" ca="1" si="126"/>
        <v/>
      </c>
      <c r="U120" s="60" t="str">
        <f t="shared" ca="1" si="126"/>
        <v/>
      </c>
      <c r="V120" s="60" t="str">
        <f t="shared" ca="1" si="126"/>
        <v/>
      </c>
      <c r="W120" s="60" t="str">
        <f t="shared" ca="1" si="126"/>
        <v/>
      </c>
      <c r="X120" s="60" t="str">
        <f t="shared" ca="1" si="126"/>
        <v/>
      </c>
      <c r="Y120" s="60" t="str">
        <f t="shared" ca="1" si="126"/>
        <v/>
      </c>
      <c r="Z120" s="60" t="str">
        <f t="shared" ca="1" si="126"/>
        <v/>
      </c>
      <c r="AA120" s="60" t="str">
        <f t="shared" ca="1" si="126"/>
        <v/>
      </c>
    </row>
    <row r="121" spans="1:27" x14ac:dyDescent="0.25">
      <c r="A121" t="str">
        <f t="shared" ca="1" si="105"/>
        <v/>
      </c>
      <c r="B121" t="str">
        <f t="shared" ca="1" si="103"/>
        <v/>
      </c>
      <c r="C121" s="60" t="str">
        <f t="shared" ref="C121:AA121" ca="1" si="127">IFERROR(IF(OR(INDIRECT("'Datos "&amp;Tipo_Cuestionario_Cod&amp;"'!"&amp;C$1&amp;7+$A121-1)="",C$2="",$B121=""),"",
IF(AND(C$1="J",Tipo_Cuestionario_Cod="VF"),C$2&amp;IF(MID(B121,FIND(")",B121)+2,1)="V","FALSO","VERDADERO"),
C$2&amp;INDIRECT("'Datos "&amp;Tipo_Cuestionario_Cod&amp;"'!"&amp;C$1&amp;7+$A121-1))),"")</f>
        <v/>
      </c>
      <c r="D121" s="60" t="str">
        <f t="shared" ca="1" si="127"/>
        <v/>
      </c>
      <c r="E121" s="60" t="str">
        <f t="shared" ca="1" si="127"/>
        <v/>
      </c>
      <c r="F121" s="60" t="str">
        <f t="shared" ca="1" si="127"/>
        <v/>
      </c>
      <c r="G121" s="60" t="str">
        <f t="shared" ca="1" si="127"/>
        <v/>
      </c>
      <c r="H121" s="60" t="str">
        <f t="shared" ca="1" si="127"/>
        <v/>
      </c>
      <c r="I121" s="60" t="str">
        <f t="shared" ca="1" si="127"/>
        <v/>
      </c>
      <c r="J121" s="60" t="str">
        <f t="shared" ca="1" si="127"/>
        <v/>
      </c>
      <c r="K121" s="60" t="str">
        <f t="shared" ca="1" si="127"/>
        <v/>
      </c>
      <c r="L121" s="60" t="str">
        <f t="shared" ca="1" si="127"/>
        <v/>
      </c>
      <c r="M121" s="60" t="str">
        <f t="shared" ca="1" si="127"/>
        <v/>
      </c>
      <c r="N121" s="60" t="str">
        <f t="shared" ca="1" si="127"/>
        <v/>
      </c>
      <c r="O121" s="60" t="str">
        <f t="shared" ca="1" si="127"/>
        <v/>
      </c>
      <c r="P121" s="60" t="str">
        <f t="shared" ca="1" si="127"/>
        <v/>
      </c>
      <c r="Q121" s="60" t="str">
        <f t="shared" ca="1" si="127"/>
        <v/>
      </c>
      <c r="R121" s="60" t="str">
        <f t="shared" ca="1" si="127"/>
        <v/>
      </c>
      <c r="S121" s="60" t="str">
        <f t="shared" ca="1" si="127"/>
        <v/>
      </c>
      <c r="T121" s="60" t="str">
        <f t="shared" ca="1" si="127"/>
        <v/>
      </c>
      <c r="U121" s="60" t="str">
        <f t="shared" ca="1" si="127"/>
        <v/>
      </c>
      <c r="V121" s="60" t="str">
        <f t="shared" ca="1" si="127"/>
        <v/>
      </c>
      <c r="W121" s="60" t="str">
        <f t="shared" ca="1" si="127"/>
        <v/>
      </c>
      <c r="X121" s="60" t="str">
        <f t="shared" ca="1" si="127"/>
        <v/>
      </c>
      <c r="Y121" s="60" t="str">
        <f t="shared" ca="1" si="127"/>
        <v/>
      </c>
      <c r="Z121" s="60" t="str">
        <f t="shared" ca="1" si="127"/>
        <v/>
      </c>
      <c r="AA121" s="60" t="str">
        <f t="shared" ca="1" si="127"/>
        <v/>
      </c>
    </row>
    <row r="122" spans="1:27" x14ac:dyDescent="0.25">
      <c r="A122" t="str">
        <f t="shared" ca="1" si="105"/>
        <v/>
      </c>
      <c r="B122" t="str">
        <f t="shared" ca="1" si="103"/>
        <v/>
      </c>
      <c r="C122" s="60" t="str">
        <f t="shared" ref="C122:AA122" ca="1" si="128">IFERROR(IF(OR(INDIRECT("'Datos "&amp;Tipo_Cuestionario_Cod&amp;"'!"&amp;C$1&amp;7+$A122-1)="",C$2="",$B122=""),"",
IF(AND(C$1="J",Tipo_Cuestionario_Cod="VF"),C$2&amp;IF(MID(B122,FIND(")",B122)+2,1)="V","FALSO","VERDADERO"),
C$2&amp;INDIRECT("'Datos "&amp;Tipo_Cuestionario_Cod&amp;"'!"&amp;C$1&amp;7+$A122-1))),"")</f>
        <v/>
      </c>
      <c r="D122" s="60" t="str">
        <f t="shared" ca="1" si="128"/>
        <v/>
      </c>
      <c r="E122" s="60" t="str">
        <f t="shared" ca="1" si="128"/>
        <v/>
      </c>
      <c r="F122" s="60" t="str">
        <f t="shared" ca="1" si="128"/>
        <v/>
      </c>
      <c r="G122" s="60" t="str">
        <f t="shared" ca="1" si="128"/>
        <v/>
      </c>
      <c r="H122" s="60" t="str">
        <f t="shared" ca="1" si="128"/>
        <v/>
      </c>
      <c r="I122" s="60" t="str">
        <f t="shared" ca="1" si="128"/>
        <v/>
      </c>
      <c r="J122" s="60" t="str">
        <f t="shared" ca="1" si="128"/>
        <v/>
      </c>
      <c r="K122" s="60" t="str">
        <f t="shared" ca="1" si="128"/>
        <v/>
      </c>
      <c r="L122" s="60" t="str">
        <f t="shared" ca="1" si="128"/>
        <v/>
      </c>
      <c r="M122" s="60" t="str">
        <f t="shared" ca="1" si="128"/>
        <v/>
      </c>
      <c r="N122" s="60" t="str">
        <f t="shared" ca="1" si="128"/>
        <v/>
      </c>
      <c r="O122" s="60" t="str">
        <f t="shared" ca="1" si="128"/>
        <v/>
      </c>
      <c r="P122" s="60" t="str">
        <f t="shared" ca="1" si="128"/>
        <v/>
      </c>
      <c r="Q122" s="60" t="str">
        <f t="shared" ca="1" si="128"/>
        <v/>
      </c>
      <c r="R122" s="60" t="str">
        <f t="shared" ca="1" si="128"/>
        <v/>
      </c>
      <c r="S122" s="60" t="str">
        <f t="shared" ca="1" si="128"/>
        <v/>
      </c>
      <c r="T122" s="60" t="str">
        <f t="shared" ca="1" si="128"/>
        <v/>
      </c>
      <c r="U122" s="60" t="str">
        <f t="shared" ca="1" si="128"/>
        <v/>
      </c>
      <c r="V122" s="60" t="str">
        <f t="shared" ca="1" si="128"/>
        <v/>
      </c>
      <c r="W122" s="60" t="str">
        <f t="shared" ca="1" si="128"/>
        <v/>
      </c>
      <c r="X122" s="60" t="str">
        <f t="shared" ca="1" si="128"/>
        <v/>
      </c>
      <c r="Y122" s="60" t="str">
        <f t="shared" ca="1" si="128"/>
        <v/>
      </c>
      <c r="Z122" s="60" t="str">
        <f t="shared" ca="1" si="128"/>
        <v/>
      </c>
      <c r="AA122" s="60" t="str">
        <f t="shared" ca="1" si="128"/>
        <v/>
      </c>
    </row>
    <row r="123" spans="1:27" x14ac:dyDescent="0.25">
      <c r="A123" t="str">
        <f t="shared" ca="1" si="105"/>
        <v/>
      </c>
      <c r="B123" t="str">
        <f t="shared" ca="1" si="103"/>
        <v/>
      </c>
      <c r="C123" s="60" t="str">
        <f t="shared" ref="C123:AA123" ca="1" si="129">IFERROR(IF(OR(INDIRECT("'Datos "&amp;Tipo_Cuestionario_Cod&amp;"'!"&amp;C$1&amp;7+$A123-1)="",C$2="",$B123=""),"",
IF(AND(C$1="J",Tipo_Cuestionario_Cod="VF"),C$2&amp;IF(MID(B123,FIND(")",B123)+2,1)="V","FALSO","VERDADERO"),
C$2&amp;INDIRECT("'Datos "&amp;Tipo_Cuestionario_Cod&amp;"'!"&amp;C$1&amp;7+$A123-1))),"")</f>
        <v/>
      </c>
      <c r="D123" s="60" t="str">
        <f t="shared" ca="1" si="129"/>
        <v/>
      </c>
      <c r="E123" s="60" t="str">
        <f t="shared" ca="1" si="129"/>
        <v/>
      </c>
      <c r="F123" s="60" t="str">
        <f t="shared" ca="1" si="129"/>
        <v/>
      </c>
      <c r="G123" s="60" t="str">
        <f t="shared" ca="1" si="129"/>
        <v/>
      </c>
      <c r="H123" s="60" t="str">
        <f t="shared" ca="1" si="129"/>
        <v/>
      </c>
      <c r="I123" s="60" t="str">
        <f t="shared" ca="1" si="129"/>
        <v/>
      </c>
      <c r="J123" s="60" t="str">
        <f t="shared" ca="1" si="129"/>
        <v/>
      </c>
      <c r="K123" s="60" t="str">
        <f t="shared" ca="1" si="129"/>
        <v/>
      </c>
      <c r="L123" s="60" t="str">
        <f t="shared" ca="1" si="129"/>
        <v/>
      </c>
      <c r="M123" s="60" t="str">
        <f t="shared" ca="1" si="129"/>
        <v/>
      </c>
      <c r="N123" s="60" t="str">
        <f t="shared" ca="1" si="129"/>
        <v/>
      </c>
      <c r="O123" s="60" t="str">
        <f t="shared" ca="1" si="129"/>
        <v/>
      </c>
      <c r="P123" s="60" t="str">
        <f t="shared" ca="1" si="129"/>
        <v/>
      </c>
      <c r="Q123" s="60" t="str">
        <f t="shared" ca="1" si="129"/>
        <v/>
      </c>
      <c r="R123" s="60" t="str">
        <f t="shared" ca="1" si="129"/>
        <v/>
      </c>
      <c r="S123" s="60" t="str">
        <f t="shared" ca="1" si="129"/>
        <v/>
      </c>
      <c r="T123" s="60" t="str">
        <f t="shared" ca="1" si="129"/>
        <v/>
      </c>
      <c r="U123" s="60" t="str">
        <f t="shared" ca="1" si="129"/>
        <v/>
      </c>
      <c r="V123" s="60" t="str">
        <f t="shared" ca="1" si="129"/>
        <v/>
      </c>
      <c r="W123" s="60" t="str">
        <f t="shared" ca="1" si="129"/>
        <v/>
      </c>
      <c r="X123" s="60" t="str">
        <f t="shared" ca="1" si="129"/>
        <v/>
      </c>
      <c r="Y123" s="60" t="str">
        <f t="shared" ca="1" si="129"/>
        <v/>
      </c>
      <c r="Z123" s="60" t="str">
        <f t="shared" ca="1" si="129"/>
        <v/>
      </c>
      <c r="AA123" s="60" t="str">
        <f t="shared" ca="1" si="129"/>
        <v/>
      </c>
    </row>
    <row r="124" spans="1:27" x14ac:dyDescent="0.25">
      <c r="A124" t="str">
        <f t="shared" ca="1" si="105"/>
        <v/>
      </c>
      <c r="B124" t="str">
        <f t="shared" ca="1" si="103"/>
        <v/>
      </c>
      <c r="C124" s="60" t="str">
        <f t="shared" ref="C124:AA124" ca="1" si="130">IFERROR(IF(OR(INDIRECT("'Datos "&amp;Tipo_Cuestionario_Cod&amp;"'!"&amp;C$1&amp;7+$A124-1)="",C$2="",$B124=""),"",
IF(AND(C$1="J",Tipo_Cuestionario_Cod="VF"),C$2&amp;IF(MID(B124,FIND(")",B124)+2,1)="V","FALSO","VERDADERO"),
C$2&amp;INDIRECT("'Datos "&amp;Tipo_Cuestionario_Cod&amp;"'!"&amp;C$1&amp;7+$A124-1))),"")</f>
        <v/>
      </c>
      <c r="D124" s="60" t="str">
        <f t="shared" ca="1" si="130"/>
        <v/>
      </c>
      <c r="E124" s="60" t="str">
        <f t="shared" ca="1" si="130"/>
        <v/>
      </c>
      <c r="F124" s="60" t="str">
        <f t="shared" ca="1" si="130"/>
        <v/>
      </c>
      <c r="G124" s="60" t="str">
        <f t="shared" ca="1" si="130"/>
        <v/>
      </c>
      <c r="H124" s="60" t="str">
        <f t="shared" ca="1" si="130"/>
        <v/>
      </c>
      <c r="I124" s="60" t="str">
        <f t="shared" ca="1" si="130"/>
        <v/>
      </c>
      <c r="J124" s="60" t="str">
        <f t="shared" ca="1" si="130"/>
        <v/>
      </c>
      <c r="K124" s="60" t="str">
        <f t="shared" ca="1" si="130"/>
        <v/>
      </c>
      <c r="L124" s="60" t="str">
        <f t="shared" ca="1" si="130"/>
        <v/>
      </c>
      <c r="M124" s="60" t="str">
        <f t="shared" ca="1" si="130"/>
        <v/>
      </c>
      <c r="N124" s="60" t="str">
        <f t="shared" ca="1" si="130"/>
        <v/>
      </c>
      <c r="O124" s="60" t="str">
        <f t="shared" ca="1" si="130"/>
        <v/>
      </c>
      <c r="P124" s="60" t="str">
        <f t="shared" ca="1" si="130"/>
        <v/>
      </c>
      <c r="Q124" s="60" t="str">
        <f t="shared" ca="1" si="130"/>
        <v/>
      </c>
      <c r="R124" s="60" t="str">
        <f t="shared" ca="1" si="130"/>
        <v/>
      </c>
      <c r="S124" s="60" t="str">
        <f t="shared" ca="1" si="130"/>
        <v/>
      </c>
      <c r="T124" s="60" t="str">
        <f t="shared" ca="1" si="130"/>
        <v/>
      </c>
      <c r="U124" s="60" t="str">
        <f t="shared" ca="1" si="130"/>
        <v/>
      </c>
      <c r="V124" s="60" t="str">
        <f t="shared" ca="1" si="130"/>
        <v/>
      </c>
      <c r="W124" s="60" t="str">
        <f t="shared" ca="1" si="130"/>
        <v/>
      </c>
      <c r="X124" s="60" t="str">
        <f t="shared" ca="1" si="130"/>
        <v/>
      </c>
      <c r="Y124" s="60" t="str">
        <f t="shared" ca="1" si="130"/>
        <v/>
      </c>
      <c r="Z124" s="60" t="str">
        <f t="shared" ca="1" si="130"/>
        <v/>
      </c>
      <c r="AA124" s="60" t="str">
        <f t="shared" ca="1" si="130"/>
        <v/>
      </c>
    </row>
    <row r="125" spans="1:27" x14ac:dyDescent="0.25">
      <c r="A125" t="str">
        <f t="shared" ca="1" si="105"/>
        <v/>
      </c>
      <c r="B125" t="str">
        <f t="shared" ca="1" si="103"/>
        <v/>
      </c>
      <c r="C125" s="60" t="str">
        <f t="shared" ref="C125:AA125" ca="1" si="131">IFERROR(IF(OR(INDIRECT("'Datos "&amp;Tipo_Cuestionario_Cod&amp;"'!"&amp;C$1&amp;7+$A125-1)="",C$2="",$B125=""),"",
IF(AND(C$1="J",Tipo_Cuestionario_Cod="VF"),C$2&amp;IF(MID(B125,FIND(")",B125)+2,1)="V","FALSO","VERDADERO"),
C$2&amp;INDIRECT("'Datos "&amp;Tipo_Cuestionario_Cod&amp;"'!"&amp;C$1&amp;7+$A125-1))),"")</f>
        <v/>
      </c>
      <c r="D125" s="60" t="str">
        <f t="shared" ca="1" si="131"/>
        <v/>
      </c>
      <c r="E125" s="60" t="str">
        <f t="shared" ca="1" si="131"/>
        <v/>
      </c>
      <c r="F125" s="60" t="str">
        <f t="shared" ca="1" si="131"/>
        <v/>
      </c>
      <c r="G125" s="60" t="str">
        <f t="shared" ca="1" si="131"/>
        <v/>
      </c>
      <c r="H125" s="60" t="str">
        <f t="shared" ca="1" si="131"/>
        <v/>
      </c>
      <c r="I125" s="60" t="str">
        <f t="shared" ca="1" si="131"/>
        <v/>
      </c>
      <c r="J125" s="60" t="str">
        <f t="shared" ca="1" si="131"/>
        <v/>
      </c>
      <c r="K125" s="60" t="str">
        <f t="shared" ca="1" si="131"/>
        <v/>
      </c>
      <c r="L125" s="60" t="str">
        <f t="shared" ca="1" si="131"/>
        <v/>
      </c>
      <c r="M125" s="60" t="str">
        <f t="shared" ca="1" si="131"/>
        <v/>
      </c>
      <c r="N125" s="60" t="str">
        <f t="shared" ca="1" si="131"/>
        <v/>
      </c>
      <c r="O125" s="60" t="str">
        <f t="shared" ca="1" si="131"/>
        <v/>
      </c>
      <c r="P125" s="60" t="str">
        <f t="shared" ca="1" si="131"/>
        <v/>
      </c>
      <c r="Q125" s="60" t="str">
        <f t="shared" ca="1" si="131"/>
        <v/>
      </c>
      <c r="R125" s="60" t="str">
        <f t="shared" ca="1" si="131"/>
        <v/>
      </c>
      <c r="S125" s="60" t="str">
        <f t="shared" ca="1" si="131"/>
        <v/>
      </c>
      <c r="T125" s="60" t="str">
        <f t="shared" ca="1" si="131"/>
        <v/>
      </c>
      <c r="U125" s="60" t="str">
        <f t="shared" ca="1" si="131"/>
        <v/>
      </c>
      <c r="V125" s="60" t="str">
        <f t="shared" ca="1" si="131"/>
        <v/>
      </c>
      <c r="W125" s="60" t="str">
        <f t="shared" ca="1" si="131"/>
        <v/>
      </c>
      <c r="X125" s="60" t="str">
        <f t="shared" ca="1" si="131"/>
        <v/>
      </c>
      <c r="Y125" s="60" t="str">
        <f t="shared" ca="1" si="131"/>
        <v/>
      </c>
      <c r="Z125" s="60" t="str">
        <f t="shared" ca="1" si="131"/>
        <v/>
      </c>
      <c r="AA125" s="60" t="str">
        <f t="shared" ca="1" si="131"/>
        <v/>
      </c>
    </row>
    <row r="126" spans="1:27" x14ac:dyDescent="0.25">
      <c r="A126" t="str">
        <f t="shared" ca="1" si="105"/>
        <v/>
      </c>
      <c r="B126" t="str">
        <f t="shared" ca="1" si="103"/>
        <v/>
      </c>
      <c r="C126" s="60" t="str">
        <f t="shared" ref="C126:AA126" ca="1" si="132">IFERROR(IF(OR(INDIRECT("'Datos "&amp;Tipo_Cuestionario_Cod&amp;"'!"&amp;C$1&amp;7+$A126-1)="",C$2="",$B126=""),"",
IF(AND(C$1="J",Tipo_Cuestionario_Cod="VF"),C$2&amp;IF(MID(B126,FIND(")",B126)+2,1)="V","FALSO","VERDADERO"),
C$2&amp;INDIRECT("'Datos "&amp;Tipo_Cuestionario_Cod&amp;"'!"&amp;C$1&amp;7+$A126-1))),"")</f>
        <v/>
      </c>
      <c r="D126" s="60" t="str">
        <f t="shared" ca="1" si="132"/>
        <v/>
      </c>
      <c r="E126" s="60" t="str">
        <f t="shared" ca="1" si="132"/>
        <v/>
      </c>
      <c r="F126" s="60" t="str">
        <f t="shared" ca="1" si="132"/>
        <v/>
      </c>
      <c r="G126" s="60" t="str">
        <f t="shared" ca="1" si="132"/>
        <v/>
      </c>
      <c r="H126" s="60" t="str">
        <f t="shared" ca="1" si="132"/>
        <v/>
      </c>
      <c r="I126" s="60" t="str">
        <f t="shared" ca="1" si="132"/>
        <v/>
      </c>
      <c r="J126" s="60" t="str">
        <f t="shared" ca="1" si="132"/>
        <v/>
      </c>
      <c r="K126" s="60" t="str">
        <f t="shared" ca="1" si="132"/>
        <v/>
      </c>
      <c r="L126" s="60" t="str">
        <f t="shared" ca="1" si="132"/>
        <v/>
      </c>
      <c r="M126" s="60" t="str">
        <f t="shared" ca="1" si="132"/>
        <v/>
      </c>
      <c r="N126" s="60" t="str">
        <f t="shared" ca="1" si="132"/>
        <v/>
      </c>
      <c r="O126" s="60" t="str">
        <f t="shared" ca="1" si="132"/>
        <v/>
      </c>
      <c r="P126" s="60" t="str">
        <f t="shared" ca="1" si="132"/>
        <v/>
      </c>
      <c r="Q126" s="60" t="str">
        <f t="shared" ca="1" si="132"/>
        <v/>
      </c>
      <c r="R126" s="60" t="str">
        <f t="shared" ca="1" si="132"/>
        <v/>
      </c>
      <c r="S126" s="60" t="str">
        <f t="shared" ca="1" si="132"/>
        <v/>
      </c>
      <c r="T126" s="60" t="str">
        <f t="shared" ca="1" si="132"/>
        <v/>
      </c>
      <c r="U126" s="60" t="str">
        <f t="shared" ca="1" si="132"/>
        <v/>
      </c>
      <c r="V126" s="60" t="str">
        <f t="shared" ca="1" si="132"/>
        <v/>
      </c>
      <c r="W126" s="60" t="str">
        <f t="shared" ca="1" si="132"/>
        <v/>
      </c>
      <c r="X126" s="60" t="str">
        <f t="shared" ca="1" si="132"/>
        <v/>
      </c>
      <c r="Y126" s="60" t="str">
        <f t="shared" ca="1" si="132"/>
        <v/>
      </c>
      <c r="Z126" s="60" t="str">
        <f t="shared" ca="1" si="132"/>
        <v/>
      </c>
      <c r="AA126" s="60" t="str">
        <f t="shared" ca="1" si="132"/>
        <v/>
      </c>
    </row>
    <row r="127" spans="1:27" x14ac:dyDescent="0.25">
      <c r="A127" t="str">
        <f t="shared" ca="1" si="105"/>
        <v/>
      </c>
      <c r="B127" t="str">
        <f t="shared" ca="1" si="103"/>
        <v/>
      </c>
      <c r="C127" s="60" t="str">
        <f t="shared" ref="C127:AA127" ca="1" si="133">IFERROR(IF(OR(INDIRECT("'Datos "&amp;Tipo_Cuestionario_Cod&amp;"'!"&amp;C$1&amp;7+$A127-1)="",C$2="",$B127=""),"",
IF(AND(C$1="J",Tipo_Cuestionario_Cod="VF"),C$2&amp;IF(MID(B127,FIND(")",B127)+2,1)="V","FALSO","VERDADERO"),
C$2&amp;INDIRECT("'Datos "&amp;Tipo_Cuestionario_Cod&amp;"'!"&amp;C$1&amp;7+$A127-1))),"")</f>
        <v/>
      </c>
      <c r="D127" s="60" t="str">
        <f t="shared" ca="1" si="133"/>
        <v/>
      </c>
      <c r="E127" s="60" t="str">
        <f t="shared" ca="1" si="133"/>
        <v/>
      </c>
      <c r="F127" s="60" t="str">
        <f t="shared" ca="1" si="133"/>
        <v/>
      </c>
      <c r="G127" s="60" t="str">
        <f t="shared" ca="1" si="133"/>
        <v/>
      </c>
      <c r="H127" s="60" t="str">
        <f t="shared" ca="1" si="133"/>
        <v/>
      </c>
      <c r="I127" s="60" t="str">
        <f t="shared" ca="1" si="133"/>
        <v/>
      </c>
      <c r="J127" s="60" t="str">
        <f t="shared" ca="1" si="133"/>
        <v/>
      </c>
      <c r="K127" s="60" t="str">
        <f t="shared" ca="1" si="133"/>
        <v/>
      </c>
      <c r="L127" s="60" t="str">
        <f t="shared" ca="1" si="133"/>
        <v/>
      </c>
      <c r="M127" s="60" t="str">
        <f t="shared" ca="1" si="133"/>
        <v/>
      </c>
      <c r="N127" s="60" t="str">
        <f t="shared" ca="1" si="133"/>
        <v/>
      </c>
      <c r="O127" s="60" t="str">
        <f t="shared" ca="1" si="133"/>
        <v/>
      </c>
      <c r="P127" s="60" t="str">
        <f t="shared" ca="1" si="133"/>
        <v/>
      </c>
      <c r="Q127" s="60" t="str">
        <f t="shared" ca="1" si="133"/>
        <v/>
      </c>
      <c r="R127" s="60" t="str">
        <f t="shared" ca="1" si="133"/>
        <v/>
      </c>
      <c r="S127" s="60" t="str">
        <f t="shared" ca="1" si="133"/>
        <v/>
      </c>
      <c r="T127" s="60" t="str">
        <f t="shared" ca="1" si="133"/>
        <v/>
      </c>
      <c r="U127" s="60" t="str">
        <f t="shared" ca="1" si="133"/>
        <v/>
      </c>
      <c r="V127" s="60" t="str">
        <f t="shared" ca="1" si="133"/>
        <v/>
      </c>
      <c r="W127" s="60" t="str">
        <f t="shared" ca="1" si="133"/>
        <v/>
      </c>
      <c r="X127" s="60" t="str">
        <f t="shared" ca="1" si="133"/>
        <v/>
      </c>
      <c r="Y127" s="60" t="str">
        <f t="shared" ca="1" si="133"/>
        <v/>
      </c>
      <c r="Z127" s="60" t="str">
        <f t="shared" ca="1" si="133"/>
        <v/>
      </c>
      <c r="AA127" s="60" t="str">
        <f t="shared" ca="1" si="133"/>
        <v/>
      </c>
    </row>
    <row r="128" spans="1:27" x14ac:dyDescent="0.25">
      <c r="A128" t="str">
        <f t="shared" ca="1" si="105"/>
        <v/>
      </c>
      <c r="B128" t="str">
        <f t="shared" ca="1" si="103"/>
        <v/>
      </c>
      <c r="C128" s="60" t="str">
        <f t="shared" ref="C128:AA128" ca="1" si="134">IFERROR(IF(OR(INDIRECT("'Datos "&amp;Tipo_Cuestionario_Cod&amp;"'!"&amp;C$1&amp;7+$A128-1)="",C$2="",$B128=""),"",
IF(AND(C$1="J",Tipo_Cuestionario_Cod="VF"),C$2&amp;IF(MID(B128,FIND(")",B128)+2,1)="V","FALSO","VERDADERO"),
C$2&amp;INDIRECT("'Datos "&amp;Tipo_Cuestionario_Cod&amp;"'!"&amp;C$1&amp;7+$A128-1))),"")</f>
        <v/>
      </c>
      <c r="D128" s="60" t="str">
        <f t="shared" ca="1" si="134"/>
        <v/>
      </c>
      <c r="E128" s="60" t="str">
        <f t="shared" ca="1" si="134"/>
        <v/>
      </c>
      <c r="F128" s="60" t="str">
        <f t="shared" ca="1" si="134"/>
        <v/>
      </c>
      <c r="G128" s="60" t="str">
        <f t="shared" ca="1" si="134"/>
        <v/>
      </c>
      <c r="H128" s="60" t="str">
        <f t="shared" ca="1" si="134"/>
        <v/>
      </c>
      <c r="I128" s="60" t="str">
        <f t="shared" ca="1" si="134"/>
        <v/>
      </c>
      <c r="J128" s="60" t="str">
        <f t="shared" ca="1" si="134"/>
        <v/>
      </c>
      <c r="K128" s="60" t="str">
        <f t="shared" ca="1" si="134"/>
        <v/>
      </c>
      <c r="L128" s="60" t="str">
        <f t="shared" ca="1" si="134"/>
        <v/>
      </c>
      <c r="M128" s="60" t="str">
        <f t="shared" ca="1" si="134"/>
        <v/>
      </c>
      <c r="N128" s="60" t="str">
        <f t="shared" ca="1" si="134"/>
        <v/>
      </c>
      <c r="O128" s="60" t="str">
        <f t="shared" ca="1" si="134"/>
        <v/>
      </c>
      <c r="P128" s="60" t="str">
        <f t="shared" ca="1" si="134"/>
        <v/>
      </c>
      <c r="Q128" s="60" t="str">
        <f t="shared" ca="1" si="134"/>
        <v/>
      </c>
      <c r="R128" s="60" t="str">
        <f t="shared" ca="1" si="134"/>
        <v/>
      </c>
      <c r="S128" s="60" t="str">
        <f t="shared" ca="1" si="134"/>
        <v/>
      </c>
      <c r="T128" s="60" t="str">
        <f t="shared" ca="1" si="134"/>
        <v/>
      </c>
      <c r="U128" s="60" t="str">
        <f t="shared" ca="1" si="134"/>
        <v/>
      </c>
      <c r="V128" s="60" t="str">
        <f t="shared" ca="1" si="134"/>
        <v/>
      </c>
      <c r="W128" s="60" t="str">
        <f t="shared" ca="1" si="134"/>
        <v/>
      </c>
      <c r="X128" s="60" t="str">
        <f t="shared" ca="1" si="134"/>
        <v/>
      </c>
      <c r="Y128" s="60" t="str">
        <f t="shared" ca="1" si="134"/>
        <v/>
      </c>
      <c r="Z128" s="60" t="str">
        <f t="shared" ca="1" si="134"/>
        <v/>
      </c>
      <c r="AA128" s="60" t="str">
        <f t="shared" ca="1" si="134"/>
        <v/>
      </c>
    </row>
    <row r="129" spans="1:27" x14ac:dyDescent="0.25">
      <c r="A129" t="str">
        <f t="shared" ca="1" si="105"/>
        <v/>
      </c>
      <c r="B129" t="str">
        <f t="shared" ca="1" si="103"/>
        <v/>
      </c>
      <c r="C129" s="60" t="str">
        <f t="shared" ref="C129:AA129" ca="1" si="135">IFERROR(IF(OR(INDIRECT("'Datos "&amp;Tipo_Cuestionario_Cod&amp;"'!"&amp;C$1&amp;7+$A129-1)="",C$2="",$B129=""),"",
IF(AND(C$1="J",Tipo_Cuestionario_Cod="VF"),C$2&amp;IF(MID(B129,FIND(")",B129)+2,1)="V","FALSO","VERDADERO"),
C$2&amp;INDIRECT("'Datos "&amp;Tipo_Cuestionario_Cod&amp;"'!"&amp;C$1&amp;7+$A129-1))),"")</f>
        <v/>
      </c>
      <c r="D129" s="60" t="str">
        <f t="shared" ca="1" si="135"/>
        <v/>
      </c>
      <c r="E129" s="60" t="str">
        <f t="shared" ca="1" si="135"/>
        <v/>
      </c>
      <c r="F129" s="60" t="str">
        <f t="shared" ca="1" si="135"/>
        <v/>
      </c>
      <c r="G129" s="60" t="str">
        <f t="shared" ca="1" si="135"/>
        <v/>
      </c>
      <c r="H129" s="60" t="str">
        <f t="shared" ca="1" si="135"/>
        <v/>
      </c>
      <c r="I129" s="60" t="str">
        <f t="shared" ca="1" si="135"/>
        <v/>
      </c>
      <c r="J129" s="60" t="str">
        <f t="shared" ca="1" si="135"/>
        <v/>
      </c>
      <c r="K129" s="60" t="str">
        <f t="shared" ca="1" si="135"/>
        <v/>
      </c>
      <c r="L129" s="60" t="str">
        <f t="shared" ca="1" si="135"/>
        <v/>
      </c>
      <c r="M129" s="60" t="str">
        <f t="shared" ca="1" si="135"/>
        <v/>
      </c>
      <c r="N129" s="60" t="str">
        <f t="shared" ca="1" si="135"/>
        <v/>
      </c>
      <c r="O129" s="60" t="str">
        <f t="shared" ca="1" si="135"/>
        <v/>
      </c>
      <c r="P129" s="60" t="str">
        <f t="shared" ca="1" si="135"/>
        <v/>
      </c>
      <c r="Q129" s="60" t="str">
        <f t="shared" ca="1" si="135"/>
        <v/>
      </c>
      <c r="R129" s="60" t="str">
        <f t="shared" ca="1" si="135"/>
        <v/>
      </c>
      <c r="S129" s="60" t="str">
        <f t="shared" ca="1" si="135"/>
        <v/>
      </c>
      <c r="T129" s="60" t="str">
        <f t="shared" ca="1" si="135"/>
        <v/>
      </c>
      <c r="U129" s="60" t="str">
        <f t="shared" ca="1" si="135"/>
        <v/>
      </c>
      <c r="V129" s="60" t="str">
        <f t="shared" ca="1" si="135"/>
        <v/>
      </c>
      <c r="W129" s="60" t="str">
        <f t="shared" ca="1" si="135"/>
        <v/>
      </c>
      <c r="X129" s="60" t="str">
        <f t="shared" ca="1" si="135"/>
        <v/>
      </c>
      <c r="Y129" s="60" t="str">
        <f t="shared" ca="1" si="135"/>
        <v/>
      </c>
      <c r="Z129" s="60" t="str">
        <f t="shared" ca="1" si="135"/>
        <v/>
      </c>
      <c r="AA129" s="60" t="str">
        <f t="shared" ca="1" si="135"/>
        <v/>
      </c>
    </row>
    <row r="130" spans="1:27" x14ac:dyDescent="0.25">
      <c r="A130" t="str">
        <f t="shared" ca="1" si="105"/>
        <v/>
      </c>
      <c r="B130" t="str">
        <f t="shared" ca="1" si="103"/>
        <v/>
      </c>
      <c r="C130" s="60" t="str">
        <f t="shared" ref="C130:AA130" ca="1" si="136">IFERROR(IF(OR(INDIRECT("'Datos "&amp;Tipo_Cuestionario_Cod&amp;"'!"&amp;C$1&amp;7+$A130-1)="",C$2="",$B130=""),"",
IF(AND(C$1="J",Tipo_Cuestionario_Cod="VF"),C$2&amp;IF(MID(B130,FIND(")",B130)+2,1)="V","FALSO","VERDADERO"),
C$2&amp;INDIRECT("'Datos "&amp;Tipo_Cuestionario_Cod&amp;"'!"&amp;C$1&amp;7+$A130-1))),"")</f>
        <v/>
      </c>
      <c r="D130" s="60" t="str">
        <f t="shared" ca="1" si="136"/>
        <v/>
      </c>
      <c r="E130" s="60" t="str">
        <f t="shared" ca="1" si="136"/>
        <v/>
      </c>
      <c r="F130" s="60" t="str">
        <f t="shared" ca="1" si="136"/>
        <v/>
      </c>
      <c r="G130" s="60" t="str">
        <f t="shared" ca="1" si="136"/>
        <v/>
      </c>
      <c r="H130" s="60" t="str">
        <f t="shared" ca="1" si="136"/>
        <v/>
      </c>
      <c r="I130" s="60" t="str">
        <f t="shared" ca="1" si="136"/>
        <v/>
      </c>
      <c r="J130" s="60" t="str">
        <f t="shared" ca="1" si="136"/>
        <v/>
      </c>
      <c r="K130" s="60" t="str">
        <f t="shared" ca="1" si="136"/>
        <v/>
      </c>
      <c r="L130" s="60" t="str">
        <f t="shared" ca="1" si="136"/>
        <v/>
      </c>
      <c r="M130" s="60" t="str">
        <f t="shared" ca="1" si="136"/>
        <v/>
      </c>
      <c r="N130" s="60" t="str">
        <f t="shared" ca="1" si="136"/>
        <v/>
      </c>
      <c r="O130" s="60" t="str">
        <f t="shared" ca="1" si="136"/>
        <v/>
      </c>
      <c r="P130" s="60" t="str">
        <f t="shared" ca="1" si="136"/>
        <v/>
      </c>
      <c r="Q130" s="60" t="str">
        <f t="shared" ca="1" si="136"/>
        <v/>
      </c>
      <c r="R130" s="60" t="str">
        <f t="shared" ca="1" si="136"/>
        <v/>
      </c>
      <c r="S130" s="60" t="str">
        <f t="shared" ca="1" si="136"/>
        <v/>
      </c>
      <c r="T130" s="60" t="str">
        <f t="shared" ca="1" si="136"/>
        <v/>
      </c>
      <c r="U130" s="60" t="str">
        <f t="shared" ca="1" si="136"/>
        <v/>
      </c>
      <c r="V130" s="60" t="str">
        <f t="shared" ca="1" si="136"/>
        <v/>
      </c>
      <c r="W130" s="60" t="str">
        <f t="shared" ca="1" si="136"/>
        <v/>
      </c>
      <c r="X130" s="60" t="str">
        <f t="shared" ca="1" si="136"/>
        <v/>
      </c>
      <c r="Y130" s="60" t="str">
        <f t="shared" ca="1" si="136"/>
        <v/>
      </c>
      <c r="Z130" s="60" t="str">
        <f t="shared" ca="1" si="136"/>
        <v/>
      </c>
      <c r="AA130" s="60" t="str">
        <f t="shared" ca="1" si="136"/>
        <v/>
      </c>
    </row>
    <row r="131" spans="1:27" x14ac:dyDescent="0.25">
      <c r="A131" t="str">
        <f t="shared" ca="1" si="105"/>
        <v/>
      </c>
      <c r="B131" t="str">
        <f t="shared" ref="B131:B152" ca="1" si="137">IF(A131="","",A131&amp;") "&amp;IF(INDIRECT("'Datos "&amp;Tipo_Cuestionario_Cod&amp;"'!"&amp;B$1&amp;7+A131-1)="","",INDIRECT("'Datos "&amp;Tipo_Cuestionario_Cod&amp;"'!"&amp;B$1&amp;7+A131-1)))</f>
        <v/>
      </c>
      <c r="C131" s="60" t="str">
        <f t="shared" ref="C131:AA131" ca="1" si="138">IFERROR(IF(OR(INDIRECT("'Datos "&amp;Tipo_Cuestionario_Cod&amp;"'!"&amp;C$1&amp;7+$A131-1)="",C$2="",$B131=""),"",
IF(AND(C$1="J",Tipo_Cuestionario_Cod="VF"),C$2&amp;IF(MID(B131,FIND(")",B131)+2,1)="V","FALSO","VERDADERO"),
C$2&amp;INDIRECT("'Datos "&amp;Tipo_Cuestionario_Cod&amp;"'!"&amp;C$1&amp;7+$A131-1))),"")</f>
        <v/>
      </c>
      <c r="D131" s="60" t="str">
        <f t="shared" ca="1" si="138"/>
        <v/>
      </c>
      <c r="E131" s="60" t="str">
        <f t="shared" ca="1" si="138"/>
        <v/>
      </c>
      <c r="F131" s="60" t="str">
        <f t="shared" ca="1" si="138"/>
        <v/>
      </c>
      <c r="G131" s="60" t="str">
        <f t="shared" ca="1" si="138"/>
        <v/>
      </c>
      <c r="H131" s="60" t="str">
        <f t="shared" ca="1" si="138"/>
        <v/>
      </c>
      <c r="I131" s="60" t="str">
        <f t="shared" ca="1" si="138"/>
        <v/>
      </c>
      <c r="J131" s="60" t="str">
        <f t="shared" ca="1" si="138"/>
        <v/>
      </c>
      <c r="K131" s="60" t="str">
        <f t="shared" ca="1" si="138"/>
        <v/>
      </c>
      <c r="L131" s="60" t="str">
        <f t="shared" ca="1" si="138"/>
        <v/>
      </c>
      <c r="M131" s="60" t="str">
        <f t="shared" ca="1" si="138"/>
        <v/>
      </c>
      <c r="N131" s="60" t="str">
        <f t="shared" ca="1" si="138"/>
        <v/>
      </c>
      <c r="O131" s="60" t="str">
        <f t="shared" ca="1" si="138"/>
        <v/>
      </c>
      <c r="P131" s="60" t="str">
        <f t="shared" ca="1" si="138"/>
        <v/>
      </c>
      <c r="Q131" s="60" t="str">
        <f t="shared" ca="1" si="138"/>
        <v/>
      </c>
      <c r="R131" s="60" t="str">
        <f t="shared" ca="1" si="138"/>
        <v/>
      </c>
      <c r="S131" s="60" t="str">
        <f t="shared" ca="1" si="138"/>
        <v/>
      </c>
      <c r="T131" s="60" t="str">
        <f t="shared" ca="1" si="138"/>
        <v/>
      </c>
      <c r="U131" s="60" t="str">
        <f t="shared" ca="1" si="138"/>
        <v/>
      </c>
      <c r="V131" s="60" t="str">
        <f t="shared" ca="1" si="138"/>
        <v/>
      </c>
      <c r="W131" s="60" t="str">
        <f t="shared" ca="1" si="138"/>
        <v/>
      </c>
      <c r="X131" s="60" t="str">
        <f t="shared" ca="1" si="138"/>
        <v/>
      </c>
      <c r="Y131" s="60" t="str">
        <f t="shared" ca="1" si="138"/>
        <v/>
      </c>
      <c r="Z131" s="60" t="str">
        <f t="shared" ca="1" si="138"/>
        <v/>
      </c>
      <c r="AA131" s="60" t="str">
        <f t="shared" ca="1" si="138"/>
        <v/>
      </c>
    </row>
    <row r="132" spans="1:27" x14ac:dyDescent="0.25">
      <c r="A132" t="str">
        <f t="shared" ref="A132:A152" ca="1" si="139">IFERROR(IF(A131+1&gt;N_FINAL-INDIRECT("'Datos "&amp;Tipo_Cuestionario_Cod&amp;"'!A7")+1,"",A131+1),"")</f>
        <v/>
      </c>
      <c r="B132" t="str">
        <f t="shared" ca="1" si="137"/>
        <v/>
      </c>
      <c r="C132" s="60" t="str">
        <f t="shared" ref="C132:AA132" ca="1" si="140">IFERROR(IF(OR(INDIRECT("'Datos "&amp;Tipo_Cuestionario_Cod&amp;"'!"&amp;C$1&amp;7+$A132-1)="",C$2="",$B132=""),"",
IF(AND(C$1="J",Tipo_Cuestionario_Cod="VF"),C$2&amp;IF(MID(B132,FIND(")",B132)+2,1)="V","FALSO","VERDADERO"),
C$2&amp;INDIRECT("'Datos "&amp;Tipo_Cuestionario_Cod&amp;"'!"&amp;C$1&amp;7+$A132-1))),"")</f>
        <v/>
      </c>
      <c r="D132" s="60" t="str">
        <f t="shared" ca="1" si="140"/>
        <v/>
      </c>
      <c r="E132" s="60" t="str">
        <f t="shared" ca="1" si="140"/>
        <v/>
      </c>
      <c r="F132" s="60" t="str">
        <f t="shared" ca="1" si="140"/>
        <v/>
      </c>
      <c r="G132" s="60" t="str">
        <f t="shared" ca="1" si="140"/>
        <v/>
      </c>
      <c r="H132" s="60" t="str">
        <f t="shared" ca="1" si="140"/>
        <v/>
      </c>
      <c r="I132" s="60" t="str">
        <f t="shared" ca="1" si="140"/>
        <v/>
      </c>
      <c r="J132" s="60" t="str">
        <f t="shared" ca="1" si="140"/>
        <v/>
      </c>
      <c r="K132" s="60" t="str">
        <f t="shared" ca="1" si="140"/>
        <v/>
      </c>
      <c r="L132" s="60" t="str">
        <f t="shared" ca="1" si="140"/>
        <v/>
      </c>
      <c r="M132" s="60" t="str">
        <f t="shared" ca="1" si="140"/>
        <v/>
      </c>
      <c r="N132" s="60" t="str">
        <f t="shared" ca="1" si="140"/>
        <v/>
      </c>
      <c r="O132" s="60" t="str">
        <f t="shared" ca="1" si="140"/>
        <v/>
      </c>
      <c r="P132" s="60" t="str">
        <f t="shared" ca="1" si="140"/>
        <v/>
      </c>
      <c r="Q132" s="60" t="str">
        <f t="shared" ca="1" si="140"/>
        <v/>
      </c>
      <c r="R132" s="60" t="str">
        <f t="shared" ca="1" si="140"/>
        <v/>
      </c>
      <c r="S132" s="60" t="str">
        <f t="shared" ca="1" si="140"/>
        <v/>
      </c>
      <c r="T132" s="60" t="str">
        <f t="shared" ca="1" si="140"/>
        <v/>
      </c>
      <c r="U132" s="60" t="str">
        <f t="shared" ca="1" si="140"/>
        <v/>
      </c>
      <c r="V132" s="60" t="str">
        <f t="shared" ca="1" si="140"/>
        <v/>
      </c>
      <c r="W132" s="60" t="str">
        <f t="shared" ca="1" si="140"/>
        <v/>
      </c>
      <c r="X132" s="60" t="str">
        <f t="shared" ca="1" si="140"/>
        <v/>
      </c>
      <c r="Y132" s="60" t="str">
        <f t="shared" ca="1" si="140"/>
        <v/>
      </c>
      <c r="Z132" s="60" t="str">
        <f t="shared" ca="1" si="140"/>
        <v/>
      </c>
      <c r="AA132" s="60" t="str">
        <f t="shared" ca="1" si="140"/>
        <v/>
      </c>
    </row>
    <row r="133" spans="1:27" x14ac:dyDescent="0.25">
      <c r="A133" t="str">
        <f t="shared" ca="1" si="139"/>
        <v/>
      </c>
      <c r="B133" t="str">
        <f t="shared" ca="1" si="137"/>
        <v/>
      </c>
      <c r="C133" s="60" t="str">
        <f t="shared" ref="C133:AA133" ca="1" si="141">IFERROR(IF(OR(INDIRECT("'Datos "&amp;Tipo_Cuestionario_Cod&amp;"'!"&amp;C$1&amp;7+$A133-1)="",C$2="",$B133=""),"",
IF(AND(C$1="J",Tipo_Cuestionario_Cod="VF"),C$2&amp;IF(MID(B133,FIND(")",B133)+2,1)="V","FALSO","VERDADERO"),
C$2&amp;INDIRECT("'Datos "&amp;Tipo_Cuestionario_Cod&amp;"'!"&amp;C$1&amp;7+$A133-1))),"")</f>
        <v/>
      </c>
      <c r="D133" s="60" t="str">
        <f t="shared" ca="1" si="141"/>
        <v/>
      </c>
      <c r="E133" s="60" t="str">
        <f t="shared" ca="1" si="141"/>
        <v/>
      </c>
      <c r="F133" s="60" t="str">
        <f t="shared" ca="1" si="141"/>
        <v/>
      </c>
      <c r="G133" s="60" t="str">
        <f t="shared" ca="1" si="141"/>
        <v/>
      </c>
      <c r="H133" s="60" t="str">
        <f t="shared" ca="1" si="141"/>
        <v/>
      </c>
      <c r="I133" s="60" t="str">
        <f t="shared" ca="1" si="141"/>
        <v/>
      </c>
      <c r="J133" s="60" t="str">
        <f t="shared" ca="1" si="141"/>
        <v/>
      </c>
      <c r="K133" s="60" t="str">
        <f t="shared" ca="1" si="141"/>
        <v/>
      </c>
      <c r="L133" s="60" t="str">
        <f t="shared" ca="1" si="141"/>
        <v/>
      </c>
      <c r="M133" s="60" t="str">
        <f t="shared" ca="1" si="141"/>
        <v/>
      </c>
      <c r="N133" s="60" t="str">
        <f t="shared" ca="1" si="141"/>
        <v/>
      </c>
      <c r="O133" s="60" t="str">
        <f t="shared" ca="1" si="141"/>
        <v/>
      </c>
      <c r="P133" s="60" t="str">
        <f t="shared" ca="1" si="141"/>
        <v/>
      </c>
      <c r="Q133" s="60" t="str">
        <f t="shared" ca="1" si="141"/>
        <v/>
      </c>
      <c r="R133" s="60" t="str">
        <f t="shared" ca="1" si="141"/>
        <v/>
      </c>
      <c r="S133" s="60" t="str">
        <f t="shared" ca="1" si="141"/>
        <v/>
      </c>
      <c r="T133" s="60" t="str">
        <f t="shared" ca="1" si="141"/>
        <v/>
      </c>
      <c r="U133" s="60" t="str">
        <f t="shared" ca="1" si="141"/>
        <v/>
      </c>
      <c r="V133" s="60" t="str">
        <f t="shared" ca="1" si="141"/>
        <v/>
      </c>
      <c r="W133" s="60" t="str">
        <f t="shared" ca="1" si="141"/>
        <v/>
      </c>
      <c r="X133" s="60" t="str">
        <f t="shared" ca="1" si="141"/>
        <v/>
      </c>
      <c r="Y133" s="60" t="str">
        <f t="shared" ca="1" si="141"/>
        <v/>
      </c>
      <c r="Z133" s="60" t="str">
        <f t="shared" ca="1" si="141"/>
        <v/>
      </c>
      <c r="AA133" s="60" t="str">
        <f t="shared" ca="1" si="141"/>
        <v/>
      </c>
    </row>
    <row r="134" spans="1:27" x14ac:dyDescent="0.25">
      <c r="A134" t="str">
        <f t="shared" ca="1" si="139"/>
        <v/>
      </c>
      <c r="B134" t="str">
        <f t="shared" ca="1" si="137"/>
        <v/>
      </c>
      <c r="C134" s="60" t="str">
        <f t="shared" ref="C134:AA134" ca="1" si="142">IFERROR(IF(OR(INDIRECT("'Datos "&amp;Tipo_Cuestionario_Cod&amp;"'!"&amp;C$1&amp;7+$A134-1)="",C$2="",$B134=""),"",
IF(AND(C$1="J",Tipo_Cuestionario_Cod="VF"),C$2&amp;IF(MID(B134,FIND(")",B134)+2,1)="V","FALSO","VERDADERO"),
C$2&amp;INDIRECT("'Datos "&amp;Tipo_Cuestionario_Cod&amp;"'!"&amp;C$1&amp;7+$A134-1))),"")</f>
        <v/>
      </c>
      <c r="D134" s="60" t="str">
        <f t="shared" ca="1" si="142"/>
        <v/>
      </c>
      <c r="E134" s="60" t="str">
        <f t="shared" ca="1" si="142"/>
        <v/>
      </c>
      <c r="F134" s="60" t="str">
        <f t="shared" ca="1" si="142"/>
        <v/>
      </c>
      <c r="G134" s="60" t="str">
        <f t="shared" ca="1" si="142"/>
        <v/>
      </c>
      <c r="H134" s="60" t="str">
        <f t="shared" ca="1" si="142"/>
        <v/>
      </c>
      <c r="I134" s="60" t="str">
        <f t="shared" ca="1" si="142"/>
        <v/>
      </c>
      <c r="J134" s="60" t="str">
        <f t="shared" ca="1" si="142"/>
        <v/>
      </c>
      <c r="K134" s="60" t="str">
        <f t="shared" ca="1" si="142"/>
        <v/>
      </c>
      <c r="L134" s="60" t="str">
        <f t="shared" ca="1" si="142"/>
        <v/>
      </c>
      <c r="M134" s="60" t="str">
        <f t="shared" ca="1" si="142"/>
        <v/>
      </c>
      <c r="N134" s="60" t="str">
        <f t="shared" ca="1" si="142"/>
        <v/>
      </c>
      <c r="O134" s="60" t="str">
        <f t="shared" ca="1" si="142"/>
        <v/>
      </c>
      <c r="P134" s="60" t="str">
        <f t="shared" ca="1" si="142"/>
        <v/>
      </c>
      <c r="Q134" s="60" t="str">
        <f t="shared" ca="1" si="142"/>
        <v/>
      </c>
      <c r="R134" s="60" t="str">
        <f t="shared" ca="1" si="142"/>
        <v/>
      </c>
      <c r="S134" s="60" t="str">
        <f t="shared" ca="1" si="142"/>
        <v/>
      </c>
      <c r="T134" s="60" t="str">
        <f t="shared" ca="1" si="142"/>
        <v/>
      </c>
      <c r="U134" s="60" t="str">
        <f t="shared" ca="1" si="142"/>
        <v/>
      </c>
      <c r="V134" s="60" t="str">
        <f t="shared" ca="1" si="142"/>
        <v/>
      </c>
      <c r="W134" s="60" t="str">
        <f t="shared" ca="1" si="142"/>
        <v/>
      </c>
      <c r="X134" s="60" t="str">
        <f t="shared" ca="1" si="142"/>
        <v/>
      </c>
      <c r="Y134" s="60" t="str">
        <f t="shared" ca="1" si="142"/>
        <v/>
      </c>
      <c r="Z134" s="60" t="str">
        <f t="shared" ca="1" si="142"/>
        <v/>
      </c>
      <c r="AA134" s="60" t="str">
        <f t="shared" ca="1" si="142"/>
        <v/>
      </c>
    </row>
    <row r="135" spans="1:27" x14ac:dyDescent="0.25">
      <c r="A135" t="str">
        <f t="shared" ca="1" si="139"/>
        <v/>
      </c>
      <c r="B135" t="str">
        <f t="shared" ca="1" si="137"/>
        <v/>
      </c>
      <c r="C135" s="60" t="str">
        <f t="shared" ref="C135:AA135" ca="1" si="143">IFERROR(IF(OR(INDIRECT("'Datos "&amp;Tipo_Cuestionario_Cod&amp;"'!"&amp;C$1&amp;7+$A135-1)="",C$2="",$B135=""),"",
IF(AND(C$1="J",Tipo_Cuestionario_Cod="VF"),C$2&amp;IF(MID(B135,FIND(")",B135)+2,1)="V","FALSO","VERDADERO"),
C$2&amp;INDIRECT("'Datos "&amp;Tipo_Cuestionario_Cod&amp;"'!"&amp;C$1&amp;7+$A135-1))),"")</f>
        <v/>
      </c>
      <c r="D135" s="60" t="str">
        <f t="shared" ca="1" si="143"/>
        <v/>
      </c>
      <c r="E135" s="60" t="str">
        <f t="shared" ca="1" si="143"/>
        <v/>
      </c>
      <c r="F135" s="60" t="str">
        <f t="shared" ca="1" si="143"/>
        <v/>
      </c>
      <c r="G135" s="60" t="str">
        <f t="shared" ca="1" si="143"/>
        <v/>
      </c>
      <c r="H135" s="60" t="str">
        <f t="shared" ca="1" si="143"/>
        <v/>
      </c>
      <c r="I135" s="60" t="str">
        <f t="shared" ca="1" si="143"/>
        <v/>
      </c>
      <c r="J135" s="60" t="str">
        <f t="shared" ca="1" si="143"/>
        <v/>
      </c>
      <c r="K135" s="60" t="str">
        <f t="shared" ca="1" si="143"/>
        <v/>
      </c>
      <c r="L135" s="60" t="str">
        <f t="shared" ca="1" si="143"/>
        <v/>
      </c>
      <c r="M135" s="60" t="str">
        <f t="shared" ca="1" si="143"/>
        <v/>
      </c>
      <c r="N135" s="60" t="str">
        <f t="shared" ca="1" si="143"/>
        <v/>
      </c>
      <c r="O135" s="60" t="str">
        <f t="shared" ca="1" si="143"/>
        <v/>
      </c>
      <c r="P135" s="60" t="str">
        <f t="shared" ca="1" si="143"/>
        <v/>
      </c>
      <c r="Q135" s="60" t="str">
        <f t="shared" ca="1" si="143"/>
        <v/>
      </c>
      <c r="R135" s="60" t="str">
        <f t="shared" ca="1" si="143"/>
        <v/>
      </c>
      <c r="S135" s="60" t="str">
        <f t="shared" ca="1" si="143"/>
        <v/>
      </c>
      <c r="T135" s="60" t="str">
        <f t="shared" ca="1" si="143"/>
        <v/>
      </c>
      <c r="U135" s="60" t="str">
        <f t="shared" ca="1" si="143"/>
        <v/>
      </c>
      <c r="V135" s="60" t="str">
        <f t="shared" ca="1" si="143"/>
        <v/>
      </c>
      <c r="W135" s="60" t="str">
        <f t="shared" ca="1" si="143"/>
        <v/>
      </c>
      <c r="X135" s="60" t="str">
        <f t="shared" ca="1" si="143"/>
        <v/>
      </c>
      <c r="Y135" s="60" t="str">
        <f t="shared" ca="1" si="143"/>
        <v/>
      </c>
      <c r="Z135" s="60" t="str">
        <f t="shared" ca="1" si="143"/>
        <v/>
      </c>
      <c r="AA135" s="60" t="str">
        <f t="shared" ca="1" si="143"/>
        <v/>
      </c>
    </row>
    <row r="136" spans="1:27" x14ac:dyDescent="0.25">
      <c r="A136" t="str">
        <f t="shared" ca="1" si="139"/>
        <v/>
      </c>
      <c r="B136" t="str">
        <f t="shared" ca="1" si="137"/>
        <v/>
      </c>
      <c r="C136" s="60" t="str">
        <f t="shared" ref="C136:AA136" ca="1" si="144">IFERROR(IF(OR(INDIRECT("'Datos "&amp;Tipo_Cuestionario_Cod&amp;"'!"&amp;C$1&amp;7+$A136-1)="",C$2="",$B136=""),"",
IF(AND(C$1="J",Tipo_Cuestionario_Cod="VF"),C$2&amp;IF(MID(B136,FIND(")",B136)+2,1)="V","FALSO","VERDADERO"),
C$2&amp;INDIRECT("'Datos "&amp;Tipo_Cuestionario_Cod&amp;"'!"&amp;C$1&amp;7+$A136-1))),"")</f>
        <v/>
      </c>
      <c r="D136" s="60" t="str">
        <f t="shared" ca="1" si="144"/>
        <v/>
      </c>
      <c r="E136" s="60" t="str">
        <f t="shared" ca="1" si="144"/>
        <v/>
      </c>
      <c r="F136" s="60" t="str">
        <f t="shared" ca="1" si="144"/>
        <v/>
      </c>
      <c r="G136" s="60" t="str">
        <f t="shared" ca="1" si="144"/>
        <v/>
      </c>
      <c r="H136" s="60" t="str">
        <f t="shared" ca="1" si="144"/>
        <v/>
      </c>
      <c r="I136" s="60" t="str">
        <f t="shared" ca="1" si="144"/>
        <v/>
      </c>
      <c r="J136" s="60" t="str">
        <f t="shared" ca="1" si="144"/>
        <v/>
      </c>
      <c r="K136" s="60" t="str">
        <f t="shared" ca="1" si="144"/>
        <v/>
      </c>
      <c r="L136" s="60" t="str">
        <f t="shared" ca="1" si="144"/>
        <v/>
      </c>
      <c r="M136" s="60" t="str">
        <f t="shared" ca="1" si="144"/>
        <v/>
      </c>
      <c r="N136" s="60" t="str">
        <f t="shared" ca="1" si="144"/>
        <v/>
      </c>
      <c r="O136" s="60" t="str">
        <f t="shared" ca="1" si="144"/>
        <v/>
      </c>
      <c r="P136" s="60" t="str">
        <f t="shared" ca="1" si="144"/>
        <v/>
      </c>
      <c r="Q136" s="60" t="str">
        <f t="shared" ca="1" si="144"/>
        <v/>
      </c>
      <c r="R136" s="60" t="str">
        <f t="shared" ca="1" si="144"/>
        <v/>
      </c>
      <c r="S136" s="60" t="str">
        <f t="shared" ca="1" si="144"/>
        <v/>
      </c>
      <c r="T136" s="60" t="str">
        <f t="shared" ca="1" si="144"/>
        <v/>
      </c>
      <c r="U136" s="60" t="str">
        <f t="shared" ca="1" si="144"/>
        <v/>
      </c>
      <c r="V136" s="60" t="str">
        <f t="shared" ca="1" si="144"/>
        <v/>
      </c>
      <c r="W136" s="60" t="str">
        <f t="shared" ca="1" si="144"/>
        <v/>
      </c>
      <c r="X136" s="60" t="str">
        <f t="shared" ca="1" si="144"/>
        <v/>
      </c>
      <c r="Y136" s="60" t="str">
        <f t="shared" ca="1" si="144"/>
        <v/>
      </c>
      <c r="Z136" s="60" t="str">
        <f t="shared" ca="1" si="144"/>
        <v/>
      </c>
      <c r="AA136" s="60" t="str">
        <f t="shared" ca="1" si="144"/>
        <v/>
      </c>
    </row>
    <row r="137" spans="1:27" x14ac:dyDescent="0.25">
      <c r="A137" t="str">
        <f t="shared" ca="1" si="139"/>
        <v/>
      </c>
      <c r="B137" t="str">
        <f t="shared" ca="1" si="137"/>
        <v/>
      </c>
      <c r="C137" s="60" t="str">
        <f t="shared" ref="C137:AA137" ca="1" si="145">IFERROR(IF(OR(INDIRECT("'Datos "&amp;Tipo_Cuestionario_Cod&amp;"'!"&amp;C$1&amp;7+$A137-1)="",C$2="",$B137=""),"",
IF(AND(C$1="J",Tipo_Cuestionario_Cod="VF"),C$2&amp;IF(MID(B137,FIND(")",B137)+2,1)="V","FALSO","VERDADERO"),
C$2&amp;INDIRECT("'Datos "&amp;Tipo_Cuestionario_Cod&amp;"'!"&amp;C$1&amp;7+$A137-1))),"")</f>
        <v/>
      </c>
      <c r="D137" s="60" t="str">
        <f t="shared" ca="1" si="145"/>
        <v/>
      </c>
      <c r="E137" s="60" t="str">
        <f t="shared" ca="1" si="145"/>
        <v/>
      </c>
      <c r="F137" s="60" t="str">
        <f t="shared" ca="1" si="145"/>
        <v/>
      </c>
      <c r="G137" s="60" t="str">
        <f t="shared" ca="1" si="145"/>
        <v/>
      </c>
      <c r="H137" s="60" t="str">
        <f t="shared" ca="1" si="145"/>
        <v/>
      </c>
      <c r="I137" s="60" t="str">
        <f t="shared" ca="1" si="145"/>
        <v/>
      </c>
      <c r="J137" s="60" t="str">
        <f t="shared" ca="1" si="145"/>
        <v/>
      </c>
      <c r="K137" s="60" t="str">
        <f t="shared" ca="1" si="145"/>
        <v/>
      </c>
      <c r="L137" s="60" t="str">
        <f t="shared" ca="1" si="145"/>
        <v/>
      </c>
      <c r="M137" s="60" t="str">
        <f t="shared" ca="1" si="145"/>
        <v/>
      </c>
      <c r="N137" s="60" t="str">
        <f t="shared" ca="1" si="145"/>
        <v/>
      </c>
      <c r="O137" s="60" t="str">
        <f t="shared" ca="1" si="145"/>
        <v/>
      </c>
      <c r="P137" s="60" t="str">
        <f t="shared" ca="1" si="145"/>
        <v/>
      </c>
      <c r="Q137" s="60" t="str">
        <f t="shared" ca="1" si="145"/>
        <v/>
      </c>
      <c r="R137" s="60" t="str">
        <f t="shared" ca="1" si="145"/>
        <v/>
      </c>
      <c r="S137" s="60" t="str">
        <f t="shared" ca="1" si="145"/>
        <v/>
      </c>
      <c r="T137" s="60" t="str">
        <f t="shared" ca="1" si="145"/>
        <v/>
      </c>
      <c r="U137" s="60" t="str">
        <f t="shared" ca="1" si="145"/>
        <v/>
      </c>
      <c r="V137" s="60" t="str">
        <f t="shared" ca="1" si="145"/>
        <v/>
      </c>
      <c r="W137" s="60" t="str">
        <f t="shared" ca="1" si="145"/>
        <v/>
      </c>
      <c r="X137" s="60" t="str">
        <f t="shared" ca="1" si="145"/>
        <v/>
      </c>
      <c r="Y137" s="60" t="str">
        <f t="shared" ca="1" si="145"/>
        <v/>
      </c>
      <c r="Z137" s="60" t="str">
        <f t="shared" ca="1" si="145"/>
        <v/>
      </c>
      <c r="AA137" s="60" t="str">
        <f t="shared" ca="1" si="145"/>
        <v/>
      </c>
    </row>
    <row r="138" spans="1:27" x14ac:dyDescent="0.25">
      <c r="A138" t="str">
        <f t="shared" ca="1" si="139"/>
        <v/>
      </c>
      <c r="B138" t="str">
        <f t="shared" ca="1" si="137"/>
        <v/>
      </c>
      <c r="C138" s="60" t="str">
        <f t="shared" ref="C138:AA138" ca="1" si="146">IFERROR(IF(OR(INDIRECT("'Datos "&amp;Tipo_Cuestionario_Cod&amp;"'!"&amp;C$1&amp;7+$A138-1)="",C$2="",$B138=""),"",
IF(AND(C$1="J",Tipo_Cuestionario_Cod="VF"),C$2&amp;IF(MID(B138,FIND(")",B138)+2,1)="V","FALSO","VERDADERO"),
C$2&amp;INDIRECT("'Datos "&amp;Tipo_Cuestionario_Cod&amp;"'!"&amp;C$1&amp;7+$A138-1))),"")</f>
        <v/>
      </c>
      <c r="D138" s="60" t="str">
        <f t="shared" ca="1" si="146"/>
        <v/>
      </c>
      <c r="E138" s="60" t="str">
        <f t="shared" ca="1" si="146"/>
        <v/>
      </c>
      <c r="F138" s="60" t="str">
        <f t="shared" ca="1" si="146"/>
        <v/>
      </c>
      <c r="G138" s="60" t="str">
        <f t="shared" ca="1" si="146"/>
        <v/>
      </c>
      <c r="H138" s="60" t="str">
        <f t="shared" ca="1" si="146"/>
        <v/>
      </c>
      <c r="I138" s="60" t="str">
        <f t="shared" ca="1" si="146"/>
        <v/>
      </c>
      <c r="J138" s="60" t="str">
        <f t="shared" ca="1" si="146"/>
        <v/>
      </c>
      <c r="K138" s="60" t="str">
        <f t="shared" ca="1" si="146"/>
        <v/>
      </c>
      <c r="L138" s="60" t="str">
        <f t="shared" ca="1" si="146"/>
        <v/>
      </c>
      <c r="M138" s="60" t="str">
        <f t="shared" ca="1" si="146"/>
        <v/>
      </c>
      <c r="N138" s="60" t="str">
        <f t="shared" ca="1" si="146"/>
        <v/>
      </c>
      <c r="O138" s="60" t="str">
        <f t="shared" ca="1" si="146"/>
        <v/>
      </c>
      <c r="P138" s="60" t="str">
        <f t="shared" ca="1" si="146"/>
        <v/>
      </c>
      <c r="Q138" s="60" t="str">
        <f t="shared" ca="1" si="146"/>
        <v/>
      </c>
      <c r="R138" s="60" t="str">
        <f t="shared" ca="1" si="146"/>
        <v/>
      </c>
      <c r="S138" s="60" t="str">
        <f t="shared" ca="1" si="146"/>
        <v/>
      </c>
      <c r="T138" s="60" t="str">
        <f t="shared" ca="1" si="146"/>
        <v/>
      </c>
      <c r="U138" s="60" t="str">
        <f t="shared" ca="1" si="146"/>
        <v/>
      </c>
      <c r="V138" s="60" t="str">
        <f t="shared" ca="1" si="146"/>
        <v/>
      </c>
      <c r="W138" s="60" t="str">
        <f t="shared" ca="1" si="146"/>
        <v/>
      </c>
      <c r="X138" s="60" t="str">
        <f t="shared" ca="1" si="146"/>
        <v/>
      </c>
      <c r="Y138" s="60" t="str">
        <f t="shared" ca="1" si="146"/>
        <v/>
      </c>
      <c r="Z138" s="60" t="str">
        <f t="shared" ca="1" si="146"/>
        <v/>
      </c>
      <c r="AA138" s="60" t="str">
        <f t="shared" ca="1" si="146"/>
        <v/>
      </c>
    </row>
    <row r="139" spans="1:27" x14ac:dyDescent="0.25">
      <c r="A139" t="str">
        <f t="shared" ca="1" si="139"/>
        <v/>
      </c>
      <c r="B139" t="str">
        <f t="shared" ca="1" si="137"/>
        <v/>
      </c>
      <c r="C139" s="60" t="str">
        <f t="shared" ref="C139:AA139" ca="1" si="147">IFERROR(IF(OR(INDIRECT("'Datos "&amp;Tipo_Cuestionario_Cod&amp;"'!"&amp;C$1&amp;7+$A139-1)="",C$2="",$B139=""),"",
IF(AND(C$1="J",Tipo_Cuestionario_Cod="VF"),C$2&amp;IF(MID(B139,FIND(")",B139)+2,1)="V","FALSO","VERDADERO"),
C$2&amp;INDIRECT("'Datos "&amp;Tipo_Cuestionario_Cod&amp;"'!"&amp;C$1&amp;7+$A139-1))),"")</f>
        <v/>
      </c>
      <c r="D139" s="60" t="str">
        <f t="shared" ca="1" si="147"/>
        <v/>
      </c>
      <c r="E139" s="60" t="str">
        <f t="shared" ca="1" si="147"/>
        <v/>
      </c>
      <c r="F139" s="60" t="str">
        <f t="shared" ca="1" si="147"/>
        <v/>
      </c>
      <c r="G139" s="60" t="str">
        <f t="shared" ca="1" si="147"/>
        <v/>
      </c>
      <c r="H139" s="60" t="str">
        <f t="shared" ca="1" si="147"/>
        <v/>
      </c>
      <c r="I139" s="60" t="str">
        <f t="shared" ca="1" si="147"/>
        <v/>
      </c>
      <c r="J139" s="60" t="str">
        <f t="shared" ca="1" si="147"/>
        <v/>
      </c>
      <c r="K139" s="60" t="str">
        <f t="shared" ca="1" si="147"/>
        <v/>
      </c>
      <c r="L139" s="60" t="str">
        <f t="shared" ca="1" si="147"/>
        <v/>
      </c>
      <c r="M139" s="60" t="str">
        <f t="shared" ca="1" si="147"/>
        <v/>
      </c>
      <c r="N139" s="60" t="str">
        <f t="shared" ca="1" si="147"/>
        <v/>
      </c>
      <c r="O139" s="60" t="str">
        <f t="shared" ca="1" si="147"/>
        <v/>
      </c>
      <c r="P139" s="60" t="str">
        <f t="shared" ca="1" si="147"/>
        <v/>
      </c>
      <c r="Q139" s="60" t="str">
        <f t="shared" ca="1" si="147"/>
        <v/>
      </c>
      <c r="R139" s="60" t="str">
        <f t="shared" ca="1" si="147"/>
        <v/>
      </c>
      <c r="S139" s="60" t="str">
        <f t="shared" ca="1" si="147"/>
        <v/>
      </c>
      <c r="T139" s="60" t="str">
        <f t="shared" ca="1" si="147"/>
        <v/>
      </c>
      <c r="U139" s="60" t="str">
        <f t="shared" ca="1" si="147"/>
        <v/>
      </c>
      <c r="V139" s="60" t="str">
        <f t="shared" ca="1" si="147"/>
        <v/>
      </c>
      <c r="W139" s="60" t="str">
        <f t="shared" ca="1" si="147"/>
        <v/>
      </c>
      <c r="X139" s="60" t="str">
        <f t="shared" ca="1" si="147"/>
        <v/>
      </c>
      <c r="Y139" s="60" t="str">
        <f t="shared" ca="1" si="147"/>
        <v/>
      </c>
      <c r="Z139" s="60" t="str">
        <f t="shared" ca="1" si="147"/>
        <v/>
      </c>
      <c r="AA139" s="60" t="str">
        <f t="shared" ca="1" si="147"/>
        <v/>
      </c>
    </row>
    <row r="140" spans="1:27" x14ac:dyDescent="0.25">
      <c r="A140" t="str">
        <f t="shared" ca="1" si="139"/>
        <v/>
      </c>
      <c r="B140" t="str">
        <f t="shared" ca="1" si="137"/>
        <v/>
      </c>
      <c r="C140" s="60" t="str">
        <f t="shared" ref="C140:AA140" ca="1" si="148">IFERROR(IF(OR(INDIRECT("'Datos "&amp;Tipo_Cuestionario_Cod&amp;"'!"&amp;C$1&amp;7+$A140-1)="",C$2="",$B140=""),"",
IF(AND(C$1="J",Tipo_Cuestionario_Cod="VF"),C$2&amp;IF(MID(B140,FIND(")",B140)+2,1)="V","FALSO","VERDADERO"),
C$2&amp;INDIRECT("'Datos "&amp;Tipo_Cuestionario_Cod&amp;"'!"&amp;C$1&amp;7+$A140-1))),"")</f>
        <v/>
      </c>
      <c r="D140" s="60" t="str">
        <f t="shared" ca="1" si="148"/>
        <v/>
      </c>
      <c r="E140" s="60" t="str">
        <f t="shared" ca="1" si="148"/>
        <v/>
      </c>
      <c r="F140" s="60" t="str">
        <f t="shared" ca="1" si="148"/>
        <v/>
      </c>
      <c r="G140" s="60" t="str">
        <f t="shared" ca="1" si="148"/>
        <v/>
      </c>
      <c r="H140" s="60" t="str">
        <f t="shared" ca="1" si="148"/>
        <v/>
      </c>
      <c r="I140" s="60" t="str">
        <f t="shared" ca="1" si="148"/>
        <v/>
      </c>
      <c r="J140" s="60" t="str">
        <f t="shared" ca="1" si="148"/>
        <v/>
      </c>
      <c r="K140" s="60" t="str">
        <f t="shared" ca="1" si="148"/>
        <v/>
      </c>
      <c r="L140" s="60" t="str">
        <f t="shared" ca="1" si="148"/>
        <v/>
      </c>
      <c r="M140" s="60" t="str">
        <f t="shared" ca="1" si="148"/>
        <v/>
      </c>
      <c r="N140" s="60" t="str">
        <f t="shared" ca="1" si="148"/>
        <v/>
      </c>
      <c r="O140" s="60" t="str">
        <f t="shared" ca="1" si="148"/>
        <v/>
      </c>
      <c r="P140" s="60" t="str">
        <f t="shared" ca="1" si="148"/>
        <v/>
      </c>
      <c r="Q140" s="60" t="str">
        <f t="shared" ca="1" si="148"/>
        <v/>
      </c>
      <c r="R140" s="60" t="str">
        <f t="shared" ca="1" si="148"/>
        <v/>
      </c>
      <c r="S140" s="60" t="str">
        <f t="shared" ca="1" si="148"/>
        <v/>
      </c>
      <c r="T140" s="60" t="str">
        <f t="shared" ca="1" si="148"/>
        <v/>
      </c>
      <c r="U140" s="60" t="str">
        <f t="shared" ca="1" si="148"/>
        <v/>
      </c>
      <c r="V140" s="60" t="str">
        <f t="shared" ca="1" si="148"/>
        <v/>
      </c>
      <c r="W140" s="60" t="str">
        <f t="shared" ca="1" si="148"/>
        <v/>
      </c>
      <c r="X140" s="60" t="str">
        <f t="shared" ca="1" si="148"/>
        <v/>
      </c>
      <c r="Y140" s="60" t="str">
        <f t="shared" ca="1" si="148"/>
        <v/>
      </c>
      <c r="Z140" s="60" t="str">
        <f t="shared" ca="1" si="148"/>
        <v/>
      </c>
      <c r="AA140" s="60" t="str">
        <f t="shared" ca="1" si="148"/>
        <v/>
      </c>
    </row>
    <row r="141" spans="1:27" x14ac:dyDescent="0.25">
      <c r="A141" t="str">
        <f t="shared" ca="1" si="139"/>
        <v/>
      </c>
      <c r="B141" t="str">
        <f t="shared" ca="1" si="137"/>
        <v/>
      </c>
      <c r="C141" s="60" t="str">
        <f t="shared" ref="C141:AA141" ca="1" si="149">IFERROR(IF(OR(INDIRECT("'Datos "&amp;Tipo_Cuestionario_Cod&amp;"'!"&amp;C$1&amp;7+$A141-1)="",C$2="",$B141=""),"",
IF(AND(C$1="J",Tipo_Cuestionario_Cod="VF"),C$2&amp;IF(MID(B141,FIND(")",B141)+2,1)="V","FALSO","VERDADERO"),
C$2&amp;INDIRECT("'Datos "&amp;Tipo_Cuestionario_Cod&amp;"'!"&amp;C$1&amp;7+$A141-1))),"")</f>
        <v/>
      </c>
      <c r="D141" s="60" t="str">
        <f t="shared" ca="1" si="149"/>
        <v/>
      </c>
      <c r="E141" s="60" t="str">
        <f t="shared" ca="1" si="149"/>
        <v/>
      </c>
      <c r="F141" s="60" t="str">
        <f t="shared" ca="1" si="149"/>
        <v/>
      </c>
      <c r="G141" s="60" t="str">
        <f t="shared" ca="1" si="149"/>
        <v/>
      </c>
      <c r="H141" s="60" t="str">
        <f t="shared" ca="1" si="149"/>
        <v/>
      </c>
      <c r="I141" s="60" t="str">
        <f t="shared" ca="1" si="149"/>
        <v/>
      </c>
      <c r="J141" s="60" t="str">
        <f t="shared" ca="1" si="149"/>
        <v/>
      </c>
      <c r="K141" s="60" t="str">
        <f t="shared" ca="1" si="149"/>
        <v/>
      </c>
      <c r="L141" s="60" t="str">
        <f t="shared" ca="1" si="149"/>
        <v/>
      </c>
      <c r="M141" s="60" t="str">
        <f t="shared" ca="1" si="149"/>
        <v/>
      </c>
      <c r="N141" s="60" t="str">
        <f t="shared" ca="1" si="149"/>
        <v/>
      </c>
      <c r="O141" s="60" t="str">
        <f t="shared" ca="1" si="149"/>
        <v/>
      </c>
      <c r="P141" s="60" t="str">
        <f t="shared" ca="1" si="149"/>
        <v/>
      </c>
      <c r="Q141" s="60" t="str">
        <f t="shared" ca="1" si="149"/>
        <v/>
      </c>
      <c r="R141" s="60" t="str">
        <f t="shared" ca="1" si="149"/>
        <v/>
      </c>
      <c r="S141" s="60" t="str">
        <f t="shared" ca="1" si="149"/>
        <v/>
      </c>
      <c r="T141" s="60" t="str">
        <f t="shared" ca="1" si="149"/>
        <v/>
      </c>
      <c r="U141" s="60" t="str">
        <f t="shared" ca="1" si="149"/>
        <v/>
      </c>
      <c r="V141" s="60" t="str">
        <f t="shared" ca="1" si="149"/>
        <v/>
      </c>
      <c r="W141" s="60" t="str">
        <f t="shared" ca="1" si="149"/>
        <v/>
      </c>
      <c r="X141" s="60" t="str">
        <f t="shared" ca="1" si="149"/>
        <v/>
      </c>
      <c r="Y141" s="60" t="str">
        <f t="shared" ca="1" si="149"/>
        <v/>
      </c>
      <c r="Z141" s="60" t="str">
        <f t="shared" ca="1" si="149"/>
        <v/>
      </c>
      <c r="AA141" s="60" t="str">
        <f t="shared" ca="1" si="149"/>
        <v/>
      </c>
    </row>
    <row r="142" spans="1:27" x14ac:dyDescent="0.25">
      <c r="A142" t="str">
        <f t="shared" ca="1" si="139"/>
        <v/>
      </c>
      <c r="B142" t="str">
        <f t="shared" ca="1" si="137"/>
        <v/>
      </c>
      <c r="C142" s="60" t="str">
        <f t="shared" ref="C142:AA142" ca="1" si="150">IFERROR(IF(OR(INDIRECT("'Datos "&amp;Tipo_Cuestionario_Cod&amp;"'!"&amp;C$1&amp;7+$A142-1)="",C$2="",$B142=""),"",
IF(AND(C$1="J",Tipo_Cuestionario_Cod="VF"),C$2&amp;IF(MID(B142,FIND(")",B142)+2,1)="V","FALSO","VERDADERO"),
C$2&amp;INDIRECT("'Datos "&amp;Tipo_Cuestionario_Cod&amp;"'!"&amp;C$1&amp;7+$A142-1))),"")</f>
        <v/>
      </c>
      <c r="D142" s="60" t="str">
        <f t="shared" ca="1" si="150"/>
        <v/>
      </c>
      <c r="E142" s="60" t="str">
        <f t="shared" ca="1" si="150"/>
        <v/>
      </c>
      <c r="F142" s="60" t="str">
        <f t="shared" ca="1" si="150"/>
        <v/>
      </c>
      <c r="G142" s="60" t="str">
        <f t="shared" ca="1" si="150"/>
        <v/>
      </c>
      <c r="H142" s="60" t="str">
        <f t="shared" ca="1" si="150"/>
        <v/>
      </c>
      <c r="I142" s="60" t="str">
        <f t="shared" ca="1" si="150"/>
        <v/>
      </c>
      <c r="J142" s="60" t="str">
        <f t="shared" ca="1" si="150"/>
        <v/>
      </c>
      <c r="K142" s="60" t="str">
        <f t="shared" ca="1" si="150"/>
        <v/>
      </c>
      <c r="L142" s="60" t="str">
        <f t="shared" ca="1" si="150"/>
        <v/>
      </c>
      <c r="M142" s="60" t="str">
        <f t="shared" ca="1" si="150"/>
        <v/>
      </c>
      <c r="N142" s="60" t="str">
        <f t="shared" ca="1" si="150"/>
        <v/>
      </c>
      <c r="O142" s="60" t="str">
        <f t="shared" ca="1" si="150"/>
        <v/>
      </c>
      <c r="P142" s="60" t="str">
        <f t="shared" ca="1" si="150"/>
        <v/>
      </c>
      <c r="Q142" s="60" t="str">
        <f t="shared" ca="1" si="150"/>
        <v/>
      </c>
      <c r="R142" s="60" t="str">
        <f t="shared" ca="1" si="150"/>
        <v/>
      </c>
      <c r="S142" s="60" t="str">
        <f t="shared" ca="1" si="150"/>
        <v/>
      </c>
      <c r="T142" s="60" t="str">
        <f t="shared" ca="1" si="150"/>
        <v/>
      </c>
      <c r="U142" s="60" t="str">
        <f t="shared" ca="1" si="150"/>
        <v/>
      </c>
      <c r="V142" s="60" t="str">
        <f t="shared" ca="1" si="150"/>
        <v/>
      </c>
      <c r="W142" s="60" t="str">
        <f t="shared" ca="1" si="150"/>
        <v/>
      </c>
      <c r="X142" s="60" t="str">
        <f t="shared" ca="1" si="150"/>
        <v/>
      </c>
      <c r="Y142" s="60" t="str">
        <f t="shared" ca="1" si="150"/>
        <v/>
      </c>
      <c r="Z142" s="60" t="str">
        <f t="shared" ca="1" si="150"/>
        <v/>
      </c>
      <c r="AA142" s="60" t="str">
        <f t="shared" ca="1" si="150"/>
        <v/>
      </c>
    </row>
    <row r="143" spans="1:27" x14ac:dyDescent="0.25">
      <c r="A143" t="str">
        <f t="shared" ca="1" si="139"/>
        <v/>
      </c>
      <c r="B143" t="str">
        <f t="shared" ca="1" si="137"/>
        <v/>
      </c>
      <c r="C143" s="60" t="str">
        <f t="shared" ref="C143:AA143" ca="1" si="151">IFERROR(IF(OR(INDIRECT("'Datos "&amp;Tipo_Cuestionario_Cod&amp;"'!"&amp;C$1&amp;7+$A143-1)="",C$2="",$B143=""),"",
IF(AND(C$1="J",Tipo_Cuestionario_Cod="VF"),C$2&amp;IF(MID(B143,FIND(")",B143)+2,1)="V","FALSO","VERDADERO"),
C$2&amp;INDIRECT("'Datos "&amp;Tipo_Cuestionario_Cod&amp;"'!"&amp;C$1&amp;7+$A143-1))),"")</f>
        <v/>
      </c>
      <c r="D143" s="60" t="str">
        <f t="shared" ca="1" si="151"/>
        <v/>
      </c>
      <c r="E143" s="60" t="str">
        <f t="shared" ca="1" si="151"/>
        <v/>
      </c>
      <c r="F143" s="60" t="str">
        <f t="shared" ca="1" si="151"/>
        <v/>
      </c>
      <c r="G143" s="60" t="str">
        <f t="shared" ca="1" si="151"/>
        <v/>
      </c>
      <c r="H143" s="60" t="str">
        <f t="shared" ca="1" si="151"/>
        <v/>
      </c>
      <c r="I143" s="60" t="str">
        <f t="shared" ca="1" si="151"/>
        <v/>
      </c>
      <c r="J143" s="60" t="str">
        <f t="shared" ca="1" si="151"/>
        <v/>
      </c>
      <c r="K143" s="60" t="str">
        <f t="shared" ca="1" si="151"/>
        <v/>
      </c>
      <c r="L143" s="60" t="str">
        <f t="shared" ca="1" si="151"/>
        <v/>
      </c>
      <c r="M143" s="60" t="str">
        <f t="shared" ca="1" si="151"/>
        <v/>
      </c>
      <c r="N143" s="60" t="str">
        <f t="shared" ca="1" si="151"/>
        <v/>
      </c>
      <c r="O143" s="60" t="str">
        <f t="shared" ca="1" si="151"/>
        <v/>
      </c>
      <c r="P143" s="60" t="str">
        <f t="shared" ca="1" si="151"/>
        <v/>
      </c>
      <c r="Q143" s="60" t="str">
        <f t="shared" ca="1" si="151"/>
        <v/>
      </c>
      <c r="R143" s="60" t="str">
        <f t="shared" ca="1" si="151"/>
        <v/>
      </c>
      <c r="S143" s="60" t="str">
        <f t="shared" ca="1" si="151"/>
        <v/>
      </c>
      <c r="T143" s="60" t="str">
        <f t="shared" ca="1" si="151"/>
        <v/>
      </c>
      <c r="U143" s="60" t="str">
        <f t="shared" ca="1" si="151"/>
        <v/>
      </c>
      <c r="V143" s="60" t="str">
        <f t="shared" ca="1" si="151"/>
        <v/>
      </c>
      <c r="W143" s="60" t="str">
        <f t="shared" ca="1" si="151"/>
        <v/>
      </c>
      <c r="X143" s="60" t="str">
        <f t="shared" ca="1" si="151"/>
        <v/>
      </c>
      <c r="Y143" s="60" t="str">
        <f t="shared" ca="1" si="151"/>
        <v/>
      </c>
      <c r="Z143" s="60" t="str">
        <f t="shared" ca="1" si="151"/>
        <v/>
      </c>
      <c r="AA143" s="60" t="str">
        <f t="shared" ca="1" si="151"/>
        <v/>
      </c>
    </row>
    <row r="144" spans="1:27" x14ac:dyDescent="0.25">
      <c r="A144" t="str">
        <f t="shared" ca="1" si="139"/>
        <v/>
      </c>
      <c r="B144" t="str">
        <f t="shared" ca="1" si="137"/>
        <v/>
      </c>
      <c r="C144" s="60" t="str">
        <f t="shared" ref="C144:AA144" ca="1" si="152">IFERROR(IF(OR(INDIRECT("'Datos "&amp;Tipo_Cuestionario_Cod&amp;"'!"&amp;C$1&amp;7+$A144-1)="",C$2="",$B144=""),"",
IF(AND(C$1="J",Tipo_Cuestionario_Cod="VF"),C$2&amp;IF(MID(B144,FIND(")",B144)+2,1)="V","FALSO","VERDADERO"),
C$2&amp;INDIRECT("'Datos "&amp;Tipo_Cuestionario_Cod&amp;"'!"&amp;C$1&amp;7+$A144-1))),"")</f>
        <v/>
      </c>
      <c r="D144" s="60" t="str">
        <f t="shared" ca="1" si="152"/>
        <v/>
      </c>
      <c r="E144" s="60" t="str">
        <f t="shared" ca="1" si="152"/>
        <v/>
      </c>
      <c r="F144" s="60" t="str">
        <f t="shared" ca="1" si="152"/>
        <v/>
      </c>
      <c r="G144" s="60" t="str">
        <f t="shared" ca="1" si="152"/>
        <v/>
      </c>
      <c r="H144" s="60" t="str">
        <f t="shared" ca="1" si="152"/>
        <v/>
      </c>
      <c r="I144" s="60" t="str">
        <f t="shared" ca="1" si="152"/>
        <v/>
      </c>
      <c r="J144" s="60" t="str">
        <f t="shared" ca="1" si="152"/>
        <v/>
      </c>
      <c r="K144" s="60" t="str">
        <f t="shared" ca="1" si="152"/>
        <v/>
      </c>
      <c r="L144" s="60" t="str">
        <f t="shared" ca="1" si="152"/>
        <v/>
      </c>
      <c r="M144" s="60" t="str">
        <f t="shared" ca="1" si="152"/>
        <v/>
      </c>
      <c r="N144" s="60" t="str">
        <f t="shared" ca="1" si="152"/>
        <v/>
      </c>
      <c r="O144" s="60" t="str">
        <f t="shared" ca="1" si="152"/>
        <v/>
      </c>
      <c r="P144" s="60" t="str">
        <f t="shared" ca="1" si="152"/>
        <v/>
      </c>
      <c r="Q144" s="60" t="str">
        <f t="shared" ca="1" si="152"/>
        <v/>
      </c>
      <c r="R144" s="60" t="str">
        <f t="shared" ca="1" si="152"/>
        <v/>
      </c>
      <c r="S144" s="60" t="str">
        <f t="shared" ca="1" si="152"/>
        <v/>
      </c>
      <c r="T144" s="60" t="str">
        <f t="shared" ca="1" si="152"/>
        <v/>
      </c>
      <c r="U144" s="60" t="str">
        <f t="shared" ca="1" si="152"/>
        <v/>
      </c>
      <c r="V144" s="60" t="str">
        <f t="shared" ca="1" si="152"/>
        <v/>
      </c>
      <c r="W144" s="60" t="str">
        <f t="shared" ca="1" si="152"/>
        <v/>
      </c>
      <c r="X144" s="60" t="str">
        <f t="shared" ca="1" si="152"/>
        <v/>
      </c>
      <c r="Y144" s="60" t="str">
        <f t="shared" ca="1" si="152"/>
        <v/>
      </c>
      <c r="Z144" s="60" t="str">
        <f t="shared" ca="1" si="152"/>
        <v/>
      </c>
      <c r="AA144" s="60" t="str">
        <f t="shared" ca="1" si="152"/>
        <v/>
      </c>
    </row>
    <row r="145" spans="1:27" x14ac:dyDescent="0.25">
      <c r="A145" t="str">
        <f t="shared" ca="1" si="139"/>
        <v/>
      </c>
      <c r="B145" t="str">
        <f t="shared" ca="1" si="137"/>
        <v/>
      </c>
      <c r="C145" s="60" t="str">
        <f t="shared" ref="C145:AA145" ca="1" si="153">IFERROR(IF(OR(INDIRECT("'Datos "&amp;Tipo_Cuestionario_Cod&amp;"'!"&amp;C$1&amp;7+$A145-1)="",C$2="",$B145=""),"",
IF(AND(C$1="J",Tipo_Cuestionario_Cod="VF"),C$2&amp;IF(MID(B145,FIND(")",B145)+2,1)="V","FALSO","VERDADERO"),
C$2&amp;INDIRECT("'Datos "&amp;Tipo_Cuestionario_Cod&amp;"'!"&amp;C$1&amp;7+$A145-1))),"")</f>
        <v/>
      </c>
      <c r="D145" s="60" t="str">
        <f t="shared" ca="1" si="153"/>
        <v/>
      </c>
      <c r="E145" s="60" t="str">
        <f t="shared" ca="1" si="153"/>
        <v/>
      </c>
      <c r="F145" s="60" t="str">
        <f t="shared" ca="1" si="153"/>
        <v/>
      </c>
      <c r="G145" s="60" t="str">
        <f t="shared" ca="1" si="153"/>
        <v/>
      </c>
      <c r="H145" s="60" t="str">
        <f t="shared" ca="1" si="153"/>
        <v/>
      </c>
      <c r="I145" s="60" t="str">
        <f t="shared" ca="1" si="153"/>
        <v/>
      </c>
      <c r="J145" s="60" t="str">
        <f t="shared" ca="1" si="153"/>
        <v/>
      </c>
      <c r="K145" s="60" t="str">
        <f t="shared" ca="1" si="153"/>
        <v/>
      </c>
      <c r="L145" s="60" t="str">
        <f t="shared" ca="1" si="153"/>
        <v/>
      </c>
      <c r="M145" s="60" t="str">
        <f t="shared" ca="1" si="153"/>
        <v/>
      </c>
      <c r="N145" s="60" t="str">
        <f t="shared" ca="1" si="153"/>
        <v/>
      </c>
      <c r="O145" s="60" t="str">
        <f t="shared" ca="1" si="153"/>
        <v/>
      </c>
      <c r="P145" s="60" t="str">
        <f t="shared" ca="1" si="153"/>
        <v/>
      </c>
      <c r="Q145" s="60" t="str">
        <f t="shared" ca="1" si="153"/>
        <v/>
      </c>
      <c r="R145" s="60" t="str">
        <f t="shared" ca="1" si="153"/>
        <v/>
      </c>
      <c r="S145" s="60" t="str">
        <f t="shared" ca="1" si="153"/>
        <v/>
      </c>
      <c r="T145" s="60" t="str">
        <f t="shared" ca="1" si="153"/>
        <v/>
      </c>
      <c r="U145" s="60" t="str">
        <f t="shared" ca="1" si="153"/>
        <v/>
      </c>
      <c r="V145" s="60" t="str">
        <f t="shared" ca="1" si="153"/>
        <v/>
      </c>
      <c r="W145" s="60" t="str">
        <f t="shared" ca="1" si="153"/>
        <v/>
      </c>
      <c r="X145" s="60" t="str">
        <f t="shared" ca="1" si="153"/>
        <v/>
      </c>
      <c r="Y145" s="60" t="str">
        <f t="shared" ca="1" si="153"/>
        <v/>
      </c>
      <c r="Z145" s="60" t="str">
        <f t="shared" ca="1" si="153"/>
        <v/>
      </c>
      <c r="AA145" s="60" t="str">
        <f t="shared" ca="1" si="153"/>
        <v/>
      </c>
    </row>
    <row r="146" spans="1:27" x14ac:dyDescent="0.25">
      <c r="A146" t="str">
        <f t="shared" ca="1" si="139"/>
        <v/>
      </c>
      <c r="B146" t="str">
        <f t="shared" ca="1" si="137"/>
        <v/>
      </c>
      <c r="C146" s="60" t="str">
        <f t="shared" ref="C146:AA146" ca="1" si="154">IFERROR(IF(OR(INDIRECT("'Datos "&amp;Tipo_Cuestionario_Cod&amp;"'!"&amp;C$1&amp;7+$A146-1)="",C$2="",$B146=""),"",
IF(AND(C$1="J",Tipo_Cuestionario_Cod="VF"),C$2&amp;IF(MID(B146,FIND(")",B146)+2,1)="V","FALSO","VERDADERO"),
C$2&amp;INDIRECT("'Datos "&amp;Tipo_Cuestionario_Cod&amp;"'!"&amp;C$1&amp;7+$A146-1))),"")</f>
        <v/>
      </c>
      <c r="D146" s="60" t="str">
        <f t="shared" ca="1" si="154"/>
        <v/>
      </c>
      <c r="E146" s="60" t="str">
        <f t="shared" ca="1" si="154"/>
        <v/>
      </c>
      <c r="F146" s="60" t="str">
        <f t="shared" ca="1" si="154"/>
        <v/>
      </c>
      <c r="G146" s="60" t="str">
        <f t="shared" ca="1" si="154"/>
        <v/>
      </c>
      <c r="H146" s="60" t="str">
        <f t="shared" ca="1" si="154"/>
        <v/>
      </c>
      <c r="I146" s="60" t="str">
        <f t="shared" ca="1" si="154"/>
        <v/>
      </c>
      <c r="J146" s="60" t="str">
        <f t="shared" ca="1" si="154"/>
        <v/>
      </c>
      <c r="K146" s="60" t="str">
        <f t="shared" ca="1" si="154"/>
        <v/>
      </c>
      <c r="L146" s="60" t="str">
        <f t="shared" ca="1" si="154"/>
        <v/>
      </c>
      <c r="M146" s="60" t="str">
        <f t="shared" ca="1" si="154"/>
        <v/>
      </c>
      <c r="N146" s="60" t="str">
        <f t="shared" ca="1" si="154"/>
        <v/>
      </c>
      <c r="O146" s="60" t="str">
        <f t="shared" ca="1" si="154"/>
        <v/>
      </c>
      <c r="P146" s="60" t="str">
        <f t="shared" ca="1" si="154"/>
        <v/>
      </c>
      <c r="Q146" s="60" t="str">
        <f t="shared" ca="1" si="154"/>
        <v/>
      </c>
      <c r="R146" s="60" t="str">
        <f t="shared" ca="1" si="154"/>
        <v/>
      </c>
      <c r="S146" s="60" t="str">
        <f t="shared" ca="1" si="154"/>
        <v/>
      </c>
      <c r="T146" s="60" t="str">
        <f t="shared" ca="1" si="154"/>
        <v/>
      </c>
      <c r="U146" s="60" t="str">
        <f t="shared" ca="1" si="154"/>
        <v/>
      </c>
      <c r="V146" s="60" t="str">
        <f t="shared" ca="1" si="154"/>
        <v/>
      </c>
      <c r="W146" s="60" t="str">
        <f t="shared" ca="1" si="154"/>
        <v/>
      </c>
      <c r="X146" s="60" t="str">
        <f t="shared" ca="1" si="154"/>
        <v/>
      </c>
      <c r="Y146" s="60" t="str">
        <f t="shared" ca="1" si="154"/>
        <v/>
      </c>
      <c r="Z146" s="60" t="str">
        <f t="shared" ca="1" si="154"/>
        <v/>
      </c>
      <c r="AA146" s="60" t="str">
        <f t="shared" ca="1" si="154"/>
        <v/>
      </c>
    </row>
    <row r="147" spans="1:27" x14ac:dyDescent="0.25">
      <c r="A147" t="str">
        <f t="shared" ca="1" si="139"/>
        <v/>
      </c>
      <c r="B147" t="str">
        <f t="shared" ca="1" si="137"/>
        <v/>
      </c>
      <c r="C147" s="60" t="str">
        <f t="shared" ref="C147:AA147" ca="1" si="155">IFERROR(IF(OR(INDIRECT("'Datos "&amp;Tipo_Cuestionario_Cod&amp;"'!"&amp;C$1&amp;7+$A147-1)="",C$2="",$B147=""),"",
IF(AND(C$1="J",Tipo_Cuestionario_Cod="VF"),C$2&amp;IF(MID(B147,FIND(")",B147)+2,1)="V","FALSO","VERDADERO"),
C$2&amp;INDIRECT("'Datos "&amp;Tipo_Cuestionario_Cod&amp;"'!"&amp;C$1&amp;7+$A147-1))),"")</f>
        <v/>
      </c>
      <c r="D147" s="60" t="str">
        <f t="shared" ca="1" si="155"/>
        <v/>
      </c>
      <c r="E147" s="60" t="str">
        <f t="shared" ca="1" si="155"/>
        <v/>
      </c>
      <c r="F147" s="60" t="str">
        <f t="shared" ca="1" si="155"/>
        <v/>
      </c>
      <c r="G147" s="60" t="str">
        <f t="shared" ca="1" si="155"/>
        <v/>
      </c>
      <c r="H147" s="60" t="str">
        <f t="shared" ca="1" si="155"/>
        <v/>
      </c>
      <c r="I147" s="60" t="str">
        <f t="shared" ca="1" si="155"/>
        <v/>
      </c>
      <c r="J147" s="60" t="str">
        <f t="shared" ca="1" si="155"/>
        <v/>
      </c>
      <c r="K147" s="60" t="str">
        <f t="shared" ca="1" si="155"/>
        <v/>
      </c>
      <c r="L147" s="60" t="str">
        <f t="shared" ca="1" si="155"/>
        <v/>
      </c>
      <c r="M147" s="60" t="str">
        <f t="shared" ca="1" si="155"/>
        <v/>
      </c>
      <c r="N147" s="60" t="str">
        <f t="shared" ca="1" si="155"/>
        <v/>
      </c>
      <c r="O147" s="60" t="str">
        <f t="shared" ca="1" si="155"/>
        <v/>
      </c>
      <c r="P147" s="60" t="str">
        <f t="shared" ca="1" si="155"/>
        <v/>
      </c>
      <c r="Q147" s="60" t="str">
        <f t="shared" ca="1" si="155"/>
        <v/>
      </c>
      <c r="R147" s="60" t="str">
        <f t="shared" ca="1" si="155"/>
        <v/>
      </c>
      <c r="S147" s="60" t="str">
        <f t="shared" ca="1" si="155"/>
        <v/>
      </c>
      <c r="T147" s="60" t="str">
        <f t="shared" ca="1" si="155"/>
        <v/>
      </c>
      <c r="U147" s="60" t="str">
        <f t="shared" ca="1" si="155"/>
        <v/>
      </c>
      <c r="V147" s="60" t="str">
        <f t="shared" ca="1" si="155"/>
        <v/>
      </c>
      <c r="W147" s="60" t="str">
        <f t="shared" ca="1" si="155"/>
        <v/>
      </c>
      <c r="X147" s="60" t="str">
        <f t="shared" ca="1" si="155"/>
        <v/>
      </c>
      <c r="Y147" s="60" t="str">
        <f t="shared" ca="1" si="155"/>
        <v/>
      </c>
      <c r="Z147" s="60" t="str">
        <f t="shared" ca="1" si="155"/>
        <v/>
      </c>
      <c r="AA147" s="60" t="str">
        <f t="shared" ca="1" si="155"/>
        <v/>
      </c>
    </row>
    <row r="148" spans="1:27" x14ac:dyDescent="0.25">
      <c r="A148" t="str">
        <f t="shared" ca="1" si="139"/>
        <v/>
      </c>
      <c r="B148" t="str">
        <f t="shared" ca="1" si="137"/>
        <v/>
      </c>
      <c r="C148" s="60" t="str">
        <f t="shared" ref="C148:AA148" ca="1" si="156">IFERROR(IF(OR(INDIRECT("'Datos "&amp;Tipo_Cuestionario_Cod&amp;"'!"&amp;C$1&amp;7+$A148-1)="",C$2="",$B148=""),"",
IF(AND(C$1="J",Tipo_Cuestionario_Cod="VF"),C$2&amp;IF(MID(B148,FIND(")",B148)+2,1)="V","FALSO","VERDADERO"),
C$2&amp;INDIRECT("'Datos "&amp;Tipo_Cuestionario_Cod&amp;"'!"&amp;C$1&amp;7+$A148-1))),"")</f>
        <v/>
      </c>
      <c r="D148" s="60" t="str">
        <f t="shared" ca="1" si="156"/>
        <v/>
      </c>
      <c r="E148" s="60" t="str">
        <f t="shared" ca="1" si="156"/>
        <v/>
      </c>
      <c r="F148" s="60" t="str">
        <f t="shared" ca="1" si="156"/>
        <v/>
      </c>
      <c r="G148" s="60" t="str">
        <f t="shared" ca="1" si="156"/>
        <v/>
      </c>
      <c r="H148" s="60" t="str">
        <f t="shared" ca="1" si="156"/>
        <v/>
      </c>
      <c r="I148" s="60" t="str">
        <f t="shared" ca="1" si="156"/>
        <v/>
      </c>
      <c r="J148" s="60" t="str">
        <f t="shared" ca="1" si="156"/>
        <v/>
      </c>
      <c r="K148" s="60" t="str">
        <f t="shared" ca="1" si="156"/>
        <v/>
      </c>
      <c r="L148" s="60" t="str">
        <f t="shared" ca="1" si="156"/>
        <v/>
      </c>
      <c r="M148" s="60" t="str">
        <f t="shared" ca="1" si="156"/>
        <v/>
      </c>
      <c r="N148" s="60" t="str">
        <f t="shared" ca="1" si="156"/>
        <v/>
      </c>
      <c r="O148" s="60" t="str">
        <f t="shared" ca="1" si="156"/>
        <v/>
      </c>
      <c r="P148" s="60" t="str">
        <f t="shared" ca="1" si="156"/>
        <v/>
      </c>
      <c r="Q148" s="60" t="str">
        <f t="shared" ca="1" si="156"/>
        <v/>
      </c>
      <c r="R148" s="60" t="str">
        <f t="shared" ca="1" si="156"/>
        <v/>
      </c>
      <c r="S148" s="60" t="str">
        <f t="shared" ca="1" si="156"/>
        <v/>
      </c>
      <c r="T148" s="60" t="str">
        <f t="shared" ca="1" si="156"/>
        <v/>
      </c>
      <c r="U148" s="60" t="str">
        <f t="shared" ca="1" si="156"/>
        <v/>
      </c>
      <c r="V148" s="60" t="str">
        <f t="shared" ca="1" si="156"/>
        <v/>
      </c>
      <c r="W148" s="60" t="str">
        <f t="shared" ca="1" si="156"/>
        <v/>
      </c>
      <c r="X148" s="60" t="str">
        <f t="shared" ca="1" si="156"/>
        <v/>
      </c>
      <c r="Y148" s="60" t="str">
        <f t="shared" ca="1" si="156"/>
        <v/>
      </c>
      <c r="Z148" s="60" t="str">
        <f t="shared" ca="1" si="156"/>
        <v/>
      </c>
      <c r="AA148" s="60" t="str">
        <f t="shared" ca="1" si="156"/>
        <v/>
      </c>
    </row>
    <row r="149" spans="1:27" x14ac:dyDescent="0.25">
      <c r="A149" t="str">
        <f t="shared" ca="1" si="139"/>
        <v/>
      </c>
      <c r="B149" t="str">
        <f t="shared" ca="1" si="137"/>
        <v/>
      </c>
      <c r="C149" s="60" t="str">
        <f t="shared" ref="C149:AA149" ca="1" si="157">IFERROR(IF(OR(INDIRECT("'Datos "&amp;Tipo_Cuestionario_Cod&amp;"'!"&amp;C$1&amp;7+$A149-1)="",C$2="",$B149=""),"",
IF(AND(C$1="J",Tipo_Cuestionario_Cod="VF"),C$2&amp;IF(MID(B149,FIND(")",B149)+2,1)="V","FALSO","VERDADERO"),
C$2&amp;INDIRECT("'Datos "&amp;Tipo_Cuestionario_Cod&amp;"'!"&amp;C$1&amp;7+$A149-1))),"")</f>
        <v/>
      </c>
      <c r="D149" s="60" t="str">
        <f t="shared" ca="1" si="157"/>
        <v/>
      </c>
      <c r="E149" s="60" t="str">
        <f t="shared" ca="1" si="157"/>
        <v/>
      </c>
      <c r="F149" s="60" t="str">
        <f t="shared" ca="1" si="157"/>
        <v/>
      </c>
      <c r="G149" s="60" t="str">
        <f t="shared" ca="1" si="157"/>
        <v/>
      </c>
      <c r="H149" s="60" t="str">
        <f t="shared" ca="1" si="157"/>
        <v/>
      </c>
      <c r="I149" s="60" t="str">
        <f t="shared" ca="1" si="157"/>
        <v/>
      </c>
      <c r="J149" s="60" t="str">
        <f t="shared" ca="1" si="157"/>
        <v/>
      </c>
      <c r="K149" s="60" t="str">
        <f t="shared" ca="1" si="157"/>
        <v/>
      </c>
      <c r="L149" s="60" t="str">
        <f t="shared" ca="1" si="157"/>
        <v/>
      </c>
      <c r="M149" s="60" t="str">
        <f t="shared" ca="1" si="157"/>
        <v/>
      </c>
      <c r="N149" s="60" t="str">
        <f t="shared" ca="1" si="157"/>
        <v/>
      </c>
      <c r="O149" s="60" t="str">
        <f t="shared" ca="1" si="157"/>
        <v/>
      </c>
      <c r="P149" s="60" t="str">
        <f t="shared" ca="1" si="157"/>
        <v/>
      </c>
      <c r="Q149" s="60" t="str">
        <f t="shared" ca="1" si="157"/>
        <v/>
      </c>
      <c r="R149" s="60" t="str">
        <f t="shared" ca="1" si="157"/>
        <v/>
      </c>
      <c r="S149" s="60" t="str">
        <f t="shared" ca="1" si="157"/>
        <v/>
      </c>
      <c r="T149" s="60" t="str">
        <f t="shared" ca="1" si="157"/>
        <v/>
      </c>
      <c r="U149" s="60" t="str">
        <f t="shared" ca="1" si="157"/>
        <v/>
      </c>
      <c r="V149" s="60" t="str">
        <f t="shared" ca="1" si="157"/>
        <v/>
      </c>
      <c r="W149" s="60" t="str">
        <f t="shared" ca="1" si="157"/>
        <v/>
      </c>
      <c r="X149" s="60" t="str">
        <f t="shared" ca="1" si="157"/>
        <v/>
      </c>
      <c r="Y149" s="60" t="str">
        <f t="shared" ca="1" si="157"/>
        <v/>
      </c>
      <c r="Z149" s="60" t="str">
        <f t="shared" ca="1" si="157"/>
        <v/>
      </c>
      <c r="AA149" s="60" t="str">
        <f t="shared" ca="1" si="157"/>
        <v/>
      </c>
    </row>
    <row r="150" spans="1:27" x14ac:dyDescent="0.25">
      <c r="A150" t="str">
        <f t="shared" ca="1" si="139"/>
        <v/>
      </c>
      <c r="B150" t="str">
        <f t="shared" ca="1" si="137"/>
        <v/>
      </c>
      <c r="C150" s="60" t="str">
        <f t="shared" ref="C150:AA150" ca="1" si="158">IFERROR(IF(OR(INDIRECT("'Datos "&amp;Tipo_Cuestionario_Cod&amp;"'!"&amp;C$1&amp;7+$A150-1)="",C$2="",$B150=""),"",
IF(AND(C$1="J",Tipo_Cuestionario_Cod="VF"),C$2&amp;IF(MID(B150,FIND(")",B150)+2,1)="V","FALSO","VERDADERO"),
C$2&amp;INDIRECT("'Datos "&amp;Tipo_Cuestionario_Cod&amp;"'!"&amp;C$1&amp;7+$A150-1))),"")</f>
        <v/>
      </c>
      <c r="D150" s="60" t="str">
        <f t="shared" ca="1" si="158"/>
        <v/>
      </c>
      <c r="E150" s="60" t="str">
        <f t="shared" ca="1" si="158"/>
        <v/>
      </c>
      <c r="F150" s="60" t="str">
        <f t="shared" ca="1" si="158"/>
        <v/>
      </c>
      <c r="G150" s="60" t="str">
        <f t="shared" ca="1" si="158"/>
        <v/>
      </c>
      <c r="H150" s="60" t="str">
        <f t="shared" ca="1" si="158"/>
        <v/>
      </c>
      <c r="I150" s="60" t="str">
        <f t="shared" ca="1" si="158"/>
        <v/>
      </c>
      <c r="J150" s="60" t="str">
        <f t="shared" ca="1" si="158"/>
        <v/>
      </c>
      <c r="K150" s="60" t="str">
        <f t="shared" ca="1" si="158"/>
        <v/>
      </c>
      <c r="L150" s="60" t="str">
        <f t="shared" ca="1" si="158"/>
        <v/>
      </c>
      <c r="M150" s="60" t="str">
        <f t="shared" ca="1" si="158"/>
        <v/>
      </c>
      <c r="N150" s="60" t="str">
        <f t="shared" ca="1" si="158"/>
        <v/>
      </c>
      <c r="O150" s="60" t="str">
        <f t="shared" ca="1" si="158"/>
        <v/>
      </c>
      <c r="P150" s="60" t="str">
        <f t="shared" ca="1" si="158"/>
        <v/>
      </c>
      <c r="Q150" s="60" t="str">
        <f t="shared" ca="1" si="158"/>
        <v/>
      </c>
      <c r="R150" s="60" t="str">
        <f t="shared" ca="1" si="158"/>
        <v/>
      </c>
      <c r="S150" s="60" t="str">
        <f t="shared" ca="1" si="158"/>
        <v/>
      </c>
      <c r="T150" s="60" t="str">
        <f t="shared" ca="1" si="158"/>
        <v/>
      </c>
      <c r="U150" s="60" t="str">
        <f t="shared" ca="1" si="158"/>
        <v/>
      </c>
      <c r="V150" s="60" t="str">
        <f t="shared" ca="1" si="158"/>
        <v/>
      </c>
      <c r="W150" s="60" t="str">
        <f t="shared" ca="1" si="158"/>
        <v/>
      </c>
      <c r="X150" s="60" t="str">
        <f t="shared" ca="1" si="158"/>
        <v/>
      </c>
      <c r="Y150" s="60" t="str">
        <f t="shared" ca="1" si="158"/>
        <v/>
      </c>
      <c r="Z150" s="60" t="str">
        <f t="shared" ca="1" si="158"/>
        <v/>
      </c>
      <c r="AA150" s="60" t="str">
        <f t="shared" ca="1" si="158"/>
        <v/>
      </c>
    </row>
    <row r="151" spans="1:27" x14ac:dyDescent="0.25">
      <c r="A151" t="str">
        <f t="shared" ca="1" si="139"/>
        <v/>
      </c>
      <c r="B151" t="str">
        <f t="shared" ca="1" si="137"/>
        <v/>
      </c>
      <c r="C151" s="60" t="str">
        <f t="shared" ref="C151:AA151" ca="1" si="159">IFERROR(IF(OR(INDIRECT("'Datos "&amp;Tipo_Cuestionario_Cod&amp;"'!"&amp;C$1&amp;7+$A151-1)="",C$2="",$B151=""),"",
IF(AND(C$1="J",Tipo_Cuestionario_Cod="VF"),C$2&amp;IF(MID(B151,FIND(")",B151)+2,1)="V","FALSO","VERDADERO"),
C$2&amp;INDIRECT("'Datos "&amp;Tipo_Cuestionario_Cod&amp;"'!"&amp;C$1&amp;7+$A151-1))),"")</f>
        <v/>
      </c>
      <c r="D151" s="60" t="str">
        <f t="shared" ca="1" si="159"/>
        <v/>
      </c>
      <c r="E151" s="60" t="str">
        <f t="shared" ca="1" si="159"/>
        <v/>
      </c>
      <c r="F151" s="60" t="str">
        <f t="shared" ca="1" si="159"/>
        <v/>
      </c>
      <c r="G151" s="60" t="str">
        <f t="shared" ca="1" si="159"/>
        <v/>
      </c>
      <c r="H151" s="60" t="str">
        <f t="shared" ca="1" si="159"/>
        <v/>
      </c>
      <c r="I151" s="60" t="str">
        <f t="shared" ca="1" si="159"/>
        <v/>
      </c>
      <c r="J151" s="60" t="str">
        <f t="shared" ca="1" si="159"/>
        <v/>
      </c>
      <c r="K151" s="60" t="str">
        <f t="shared" ca="1" si="159"/>
        <v/>
      </c>
      <c r="L151" s="60" t="str">
        <f t="shared" ca="1" si="159"/>
        <v/>
      </c>
      <c r="M151" s="60" t="str">
        <f t="shared" ca="1" si="159"/>
        <v/>
      </c>
      <c r="N151" s="60" t="str">
        <f t="shared" ca="1" si="159"/>
        <v/>
      </c>
      <c r="O151" s="60" t="str">
        <f t="shared" ca="1" si="159"/>
        <v/>
      </c>
      <c r="P151" s="60" t="str">
        <f t="shared" ca="1" si="159"/>
        <v/>
      </c>
      <c r="Q151" s="60" t="str">
        <f t="shared" ca="1" si="159"/>
        <v/>
      </c>
      <c r="R151" s="60" t="str">
        <f t="shared" ca="1" si="159"/>
        <v/>
      </c>
      <c r="S151" s="60" t="str">
        <f t="shared" ca="1" si="159"/>
        <v/>
      </c>
      <c r="T151" s="60" t="str">
        <f t="shared" ca="1" si="159"/>
        <v/>
      </c>
      <c r="U151" s="60" t="str">
        <f t="shared" ca="1" si="159"/>
        <v/>
      </c>
      <c r="V151" s="60" t="str">
        <f t="shared" ca="1" si="159"/>
        <v/>
      </c>
      <c r="W151" s="60" t="str">
        <f t="shared" ca="1" si="159"/>
        <v/>
      </c>
      <c r="X151" s="60" t="str">
        <f t="shared" ca="1" si="159"/>
        <v/>
      </c>
      <c r="Y151" s="60" t="str">
        <f t="shared" ca="1" si="159"/>
        <v/>
      </c>
      <c r="Z151" s="60" t="str">
        <f t="shared" ca="1" si="159"/>
        <v/>
      </c>
      <c r="AA151" s="60" t="str">
        <f t="shared" ca="1" si="159"/>
        <v/>
      </c>
    </row>
    <row r="152" spans="1:27" x14ac:dyDescent="0.25">
      <c r="A152" t="str">
        <f t="shared" ca="1" si="139"/>
        <v/>
      </c>
      <c r="B152" t="str">
        <f t="shared" ca="1" si="137"/>
        <v/>
      </c>
      <c r="C152" s="60" t="str">
        <f t="shared" ref="C152:AA152" ca="1" si="160">IFERROR(IF(OR(INDIRECT("'Datos "&amp;Tipo_Cuestionario_Cod&amp;"'!"&amp;C$1&amp;7+$A152-1)="",C$2="",$B152=""),"",
IF(AND(C$1="J",Tipo_Cuestionario_Cod="VF"),C$2&amp;IF(MID(B152,FIND(")",B152)+2,1)="V","FALSO","VERDADERO"),
C$2&amp;INDIRECT("'Datos "&amp;Tipo_Cuestionario_Cod&amp;"'!"&amp;C$1&amp;7+$A152-1))),"")</f>
        <v/>
      </c>
      <c r="D152" s="60" t="str">
        <f t="shared" ca="1" si="160"/>
        <v/>
      </c>
      <c r="E152" s="60" t="str">
        <f t="shared" ca="1" si="160"/>
        <v/>
      </c>
      <c r="F152" s="60" t="str">
        <f t="shared" ca="1" si="160"/>
        <v/>
      </c>
      <c r="G152" s="60" t="str">
        <f t="shared" ca="1" si="160"/>
        <v/>
      </c>
      <c r="H152" s="60" t="str">
        <f t="shared" ca="1" si="160"/>
        <v/>
      </c>
      <c r="I152" s="60" t="str">
        <f t="shared" ca="1" si="160"/>
        <v/>
      </c>
      <c r="J152" s="60" t="str">
        <f t="shared" ca="1" si="160"/>
        <v/>
      </c>
      <c r="K152" s="60" t="str">
        <f t="shared" ca="1" si="160"/>
        <v/>
      </c>
      <c r="L152" s="60" t="str">
        <f t="shared" ca="1" si="160"/>
        <v/>
      </c>
      <c r="M152" s="60" t="str">
        <f t="shared" ca="1" si="160"/>
        <v/>
      </c>
      <c r="N152" s="60" t="str">
        <f t="shared" ca="1" si="160"/>
        <v/>
      </c>
      <c r="O152" s="60" t="str">
        <f t="shared" ca="1" si="160"/>
        <v/>
      </c>
      <c r="P152" s="60" t="str">
        <f t="shared" ca="1" si="160"/>
        <v/>
      </c>
      <c r="Q152" s="60" t="str">
        <f t="shared" ca="1" si="160"/>
        <v/>
      </c>
      <c r="R152" s="60" t="str">
        <f t="shared" ca="1" si="160"/>
        <v/>
      </c>
      <c r="S152" s="60" t="str">
        <f t="shared" ca="1" si="160"/>
        <v/>
      </c>
      <c r="T152" s="60" t="str">
        <f t="shared" ca="1" si="160"/>
        <v/>
      </c>
      <c r="U152" s="60" t="str">
        <f t="shared" ca="1" si="160"/>
        <v/>
      </c>
      <c r="V152" s="60" t="str">
        <f t="shared" ca="1" si="160"/>
        <v/>
      </c>
      <c r="W152" s="60" t="str">
        <f t="shared" ca="1" si="160"/>
        <v/>
      </c>
      <c r="X152" s="60" t="str">
        <f t="shared" ca="1" si="160"/>
        <v/>
      </c>
      <c r="Y152" s="60" t="str">
        <f t="shared" ca="1" si="160"/>
        <v/>
      </c>
      <c r="Z152" s="60" t="str">
        <f t="shared" ca="1" si="160"/>
        <v/>
      </c>
      <c r="AA152" s="60" t="str">
        <f t="shared" ca="1" si="160"/>
        <v/>
      </c>
    </row>
  </sheetData>
  <sheetProtection algorithmName="SHA-512" hashValue="gk/vj5fN0clYOwps3iaf6ONZT73qGr3juQxuRvZBrSVynBh3nBWIWfnQ0XIC1k2+PDI7zQWxBDJf6jhtTTo7sg==" saltValue="uTuNv81ce+ucWNEBQHkbw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335</vt:i4>
      </vt:variant>
    </vt:vector>
  </HeadingPairs>
  <TitlesOfParts>
    <vt:vector size="358" baseType="lpstr">
      <vt:lpstr>INICIO</vt:lpstr>
      <vt:lpstr>DATOS GENERALES</vt:lpstr>
      <vt:lpstr>Formulario OM</vt:lpstr>
      <vt:lpstr>Datos OM</vt:lpstr>
      <vt:lpstr>XML OM</vt:lpstr>
      <vt:lpstr>Formulario O2</vt:lpstr>
      <vt:lpstr>Datos O2</vt:lpstr>
      <vt:lpstr>XML O2</vt:lpstr>
      <vt:lpstr>Formulario VF</vt:lpstr>
      <vt:lpstr>Datos VF</vt:lpstr>
      <vt:lpstr>XML VF</vt:lpstr>
      <vt:lpstr>Formulario E</vt:lpstr>
      <vt:lpstr>Datos E</vt:lpstr>
      <vt:lpstr>XML E</vt:lpstr>
      <vt:lpstr>Formulario RC</vt:lpstr>
      <vt:lpstr>Datos RC</vt:lpstr>
      <vt:lpstr>XML RC</vt:lpstr>
      <vt:lpstr>Formulario PP</vt:lpstr>
      <vt:lpstr>Datos PP</vt:lpstr>
      <vt:lpstr>DICCIONARIO</vt:lpstr>
      <vt:lpstr>XML PP</vt:lpstr>
      <vt:lpstr>XML</vt:lpstr>
      <vt:lpstr>DOC</vt:lpstr>
      <vt:lpstr>APP</vt:lpstr>
      <vt:lpstr>AUTOR</vt:lpstr>
      <vt:lpstr>B_R</vt:lpstr>
      <vt:lpstr>BARAJAR_R</vt:lpstr>
      <vt:lpstr>C_SIMPLE</vt:lpstr>
      <vt:lpstr>Cambio_E</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CONTRASEN_A</vt:lpstr>
      <vt:lpstr>'Formulario E'!Dato_01</vt:lpstr>
      <vt:lpstr>'Formulario O2'!Dato_01</vt:lpstr>
      <vt:lpstr>'Formulario OM'!Dato_01</vt:lpstr>
      <vt:lpstr>'Formulario PP'!Dato_01</vt:lpstr>
      <vt:lpstr>'Formulario RC'!Dato_01</vt:lpstr>
      <vt:lpstr>'Formulario VF'!Dato_01</vt:lpstr>
      <vt:lpstr>'Formulario E'!Dato_02</vt:lpstr>
      <vt:lpstr>'Formulario O2'!Dato_02</vt:lpstr>
      <vt:lpstr>'Formulario OM'!Dato_02</vt:lpstr>
      <vt:lpstr>'Formulario PP'!Dato_02</vt:lpstr>
      <vt:lpstr>'Formulario RC'!Dato_02</vt:lpstr>
      <vt:lpstr>'Formulario VF'!Dato_02</vt:lpstr>
      <vt:lpstr>'Formulario E'!Dato_03</vt:lpstr>
      <vt:lpstr>'Formulario O2'!Dato_03</vt:lpstr>
      <vt:lpstr>'Formulario OM'!Dato_03</vt:lpstr>
      <vt:lpstr>'Formulario PP'!Dato_03</vt:lpstr>
      <vt:lpstr>'Formulario RC'!Dato_03</vt:lpstr>
      <vt:lpstr>'Formulario VF'!Dato_03</vt:lpstr>
      <vt:lpstr>'Formulario E'!Dato_04</vt:lpstr>
      <vt:lpstr>'Formulario O2'!Dato_04</vt:lpstr>
      <vt:lpstr>'Formulario OM'!Dato_04</vt:lpstr>
      <vt:lpstr>'Formulario PP'!Dato_04</vt:lpstr>
      <vt:lpstr>'Formulario RC'!Dato_04</vt:lpstr>
      <vt:lpstr>'Formulario VF'!Dato_04</vt:lpstr>
      <vt:lpstr>'Formulario E'!Dato_05</vt:lpstr>
      <vt:lpstr>'Formulario O2'!Dato_05</vt:lpstr>
      <vt:lpstr>'Formulario OM'!Dato_05</vt:lpstr>
      <vt:lpstr>'Formulario PP'!Dato_05</vt:lpstr>
      <vt:lpstr>'Formulario RC'!Dato_05</vt:lpstr>
      <vt:lpstr>'Formulario VF'!Dato_05</vt:lpstr>
      <vt:lpstr>'Formulario E'!Dato_06</vt:lpstr>
      <vt:lpstr>'Formulario O2'!Dato_06</vt:lpstr>
      <vt:lpstr>'Formulario OM'!Dato_06</vt:lpstr>
      <vt:lpstr>'Formulario PP'!Dato_06</vt:lpstr>
      <vt:lpstr>'Formulario RC'!Dato_06</vt:lpstr>
      <vt:lpstr>'Formulario VF'!Dato_06</vt:lpstr>
      <vt:lpstr>'Formulario E'!Dato_07</vt:lpstr>
      <vt:lpstr>'Formulario O2'!Dato_07</vt:lpstr>
      <vt:lpstr>'Formulario OM'!Dato_07</vt:lpstr>
      <vt:lpstr>'Formulario PP'!Dato_07</vt:lpstr>
      <vt:lpstr>'Formulario RC'!Dato_07</vt:lpstr>
      <vt:lpstr>'Formulario VF'!Dato_07</vt:lpstr>
      <vt:lpstr>'Formulario E'!Dato_08</vt:lpstr>
      <vt:lpstr>'Formulario O2'!Dato_08</vt:lpstr>
      <vt:lpstr>'Formulario OM'!Dato_08</vt:lpstr>
      <vt:lpstr>'Formulario PP'!Dato_08</vt:lpstr>
      <vt:lpstr>'Formulario RC'!Dato_08</vt:lpstr>
      <vt:lpstr>'Formulario VF'!Dato_08</vt:lpstr>
      <vt:lpstr>'Formulario E'!Dato_09</vt:lpstr>
      <vt:lpstr>'Formulario O2'!Dato_09</vt:lpstr>
      <vt:lpstr>'Formulario OM'!Dato_09</vt:lpstr>
      <vt:lpstr>'Formulario PP'!Dato_09</vt:lpstr>
      <vt:lpstr>'Formulario RC'!Dato_09</vt:lpstr>
      <vt:lpstr>'Formulario VF'!Dato_09</vt:lpstr>
      <vt:lpstr>'Formulario E'!Dato_10</vt:lpstr>
      <vt:lpstr>'Formulario O2'!Dato_10</vt:lpstr>
      <vt:lpstr>'Formulario OM'!Dato_10</vt:lpstr>
      <vt:lpstr>'Formulario PP'!Dato_10</vt:lpstr>
      <vt:lpstr>'Formulario RC'!Dato_10</vt:lpstr>
      <vt:lpstr>'Formulario VF'!Dato_10</vt:lpstr>
      <vt:lpstr>'Formulario E'!Dato_11</vt:lpstr>
      <vt:lpstr>'Formulario O2'!Dato_11</vt:lpstr>
      <vt:lpstr>'Formulario OM'!Dato_11</vt:lpstr>
      <vt:lpstr>'Formulario PP'!Dato_11</vt:lpstr>
      <vt:lpstr>'Formulario RC'!Dato_11</vt:lpstr>
      <vt:lpstr>'Formulario VF'!Dato_11</vt:lpstr>
      <vt:lpstr>'Formulario E'!Dato_12</vt:lpstr>
      <vt:lpstr>'Formulario O2'!Dato_12</vt:lpstr>
      <vt:lpstr>'Formulario OM'!Dato_12</vt:lpstr>
      <vt:lpstr>'Formulario PP'!Dato_12</vt:lpstr>
      <vt:lpstr>'Formulario RC'!Dato_12</vt:lpstr>
      <vt:lpstr>'Formulario VF'!Dato_12</vt:lpstr>
      <vt:lpstr>'Formulario E'!Dato_13</vt:lpstr>
      <vt:lpstr>'Formulario O2'!Dato_13</vt:lpstr>
      <vt:lpstr>'Formulario OM'!Dato_13</vt:lpstr>
      <vt:lpstr>'Formulario PP'!Dato_13</vt:lpstr>
      <vt:lpstr>'Formulario RC'!Dato_13</vt:lpstr>
      <vt:lpstr>'Formulario VF'!Dato_13</vt:lpstr>
      <vt:lpstr>'Formulario E'!Dato_14</vt:lpstr>
      <vt:lpstr>'Formulario O2'!Dato_14</vt:lpstr>
      <vt:lpstr>'Formulario OM'!Dato_14</vt:lpstr>
      <vt:lpstr>'Formulario PP'!Dato_14</vt:lpstr>
      <vt:lpstr>'Formulario RC'!Dato_14</vt:lpstr>
      <vt:lpstr>'Formulario VF'!Dato_14</vt:lpstr>
      <vt:lpstr>'Formulario E'!Dato_15</vt:lpstr>
      <vt:lpstr>'Formulario O2'!Dato_15</vt:lpstr>
      <vt:lpstr>'Formulario OM'!Dato_15</vt:lpstr>
      <vt:lpstr>'Formulario PP'!Dato_15</vt:lpstr>
      <vt:lpstr>'Formulario RC'!Dato_15</vt:lpstr>
      <vt:lpstr>'Formulario VF'!Dato_15</vt:lpstr>
      <vt:lpstr>'Formulario E'!Dato_16</vt:lpstr>
      <vt:lpstr>'Formulario O2'!Dato_16</vt:lpstr>
      <vt:lpstr>'Formulario OM'!Dato_16</vt:lpstr>
      <vt:lpstr>'Formulario PP'!Dato_16</vt:lpstr>
      <vt:lpstr>'Formulario RC'!Dato_16</vt:lpstr>
      <vt:lpstr>'Formulario VF'!Dato_16</vt:lpstr>
      <vt:lpstr>Des_Categ</vt:lpstr>
      <vt:lpstr>Des_E_O2</vt:lpstr>
      <vt:lpstr>Des_E_OM</vt:lpstr>
      <vt:lpstr>Des_E_VF</vt:lpstr>
      <vt:lpstr>Des_Pr_O2</vt:lpstr>
      <vt:lpstr>Des_Pr_OM</vt:lpstr>
      <vt:lpstr>Des_Pr_VF</vt:lpstr>
      <vt:lpstr>Des_Subcat</vt:lpstr>
      <vt:lpstr>Descr_E</vt:lpstr>
      <vt:lpstr>Descr_O2</vt:lpstr>
      <vt:lpstr>Descr_OM</vt:lpstr>
      <vt:lpstr>Descr_PP</vt:lpstr>
      <vt:lpstr>Descr_RC</vt:lpstr>
      <vt:lpstr>Descr_VF</vt:lpstr>
      <vt:lpstr>DG_0_S</vt:lpstr>
      <vt:lpstr>DG_1_S</vt:lpstr>
      <vt:lpstr>Diferencia_E</vt:lpstr>
      <vt:lpstr>Diferencia_O2</vt:lpstr>
      <vt:lpstr>Diferencia_OM</vt:lpstr>
      <vt:lpstr>Diferencia_PP</vt:lpstr>
      <vt:lpstr>Diferencia_RC</vt:lpstr>
      <vt:lpstr>Diferencia_VF</vt:lpstr>
      <vt:lpstr>ENUNCIADO_E</vt:lpstr>
      <vt:lpstr>ENUNCIADO_O2</vt:lpstr>
      <vt:lpstr>ENUNCIADO_OM</vt:lpstr>
      <vt:lpstr>ENUNCIADO_PP</vt:lpstr>
      <vt:lpstr>ENUNCIADO_RC</vt:lpstr>
      <vt:lpstr>ENUNCIADO_VF</vt:lpstr>
      <vt:lpstr>IDIOMA</vt:lpstr>
      <vt:lpstr>LISTA_CATEGORIAS</vt:lpstr>
      <vt:lpstr>MAYUSCULAS</vt:lpstr>
      <vt:lpstr>ML_1_S</vt:lpstr>
      <vt:lpstr>N_E</vt:lpstr>
      <vt:lpstr>N_FINAL</vt:lpstr>
      <vt:lpstr>N_INICIAL</vt:lpstr>
      <vt:lpstr>N_O2</vt:lpstr>
      <vt:lpstr>N_OM</vt:lpstr>
      <vt:lpstr>N_PP</vt:lpstr>
      <vt:lpstr>N_Preg_Exportar</vt:lpstr>
      <vt:lpstr>'Datos E'!N_Preguntas</vt:lpstr>
      <vt:lpstr>'Datos O2'!N_Preguntas</vt:lpstr>
      <vt:lpstr>'Datos OM'!N_Preguntas</vt:lpstr>
      <vt:lpstr>'Datos PP'!N_Preguntas</vt:lpstr>
      <vt:lpstr>'Datos RC'!N_Preguntas</vt:lpstr>
      <vt:lpstr>'Datos VF'!N_Preguntas</vt:lpstr>
      <vt:lpstr>N_R</vt:lpstr>
      <vt:lpstr>N_RC</vt:lpstr>
      <vt:lpstr>N_Respuestas</vt:lpstr>
      <vt:lpstr>N_VF</vt:lpstr>
      <vt:lpstr>NOMBRE_E</vt:lpstr>
      <vt:lpstr>NOMBRE_O2</vt:lpstr>
      <vt:lpstr>NOMBRE_OM</vt:lpstr>
      <vt:lpstr>NOMBRE_PP</vt:lpstr>
      <vt:lpstr>NOMBRE_RC</vt:lpstr>
      <vt:lpstr>NOMBRE_VF</vt:lpstr>
      <vt:lpstr>NUMERAR_R</vt:lpstr>
      <vt:lpstr>Oculto</vt:lpstr>
      <vt:lpstr>P_Max</vt:lpstr>
      <vt:lpstr>P_Min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PREF_PREGUNTA</vt:lpstr>
      <vt:lpstr>PREGUNTA_ACTUAL</vt:lpstr>
      <vt:lpstr>PT_01</vt:lpstr>
      <vt:lpstr>PT_02</vt:lpstr>
      <vt:lpstr>PT_03</vt:lpstr>
      <vt:lpstr>PT_04</vt:lpstr>
      <vt:lpstr>PT_05</vt:lpstr>
      <vt:lpstr>PT_06</vt:lpstr>
      <vt:lpstr>PT_07</vt:lpstr>
      <vt:lpstr>PT_08</vt:lpstr>
      <vt:lpstr>PUNTUACION</vt:lpstr>
      <vt:lpstr>PUNTUACION_C_O2</vt:lpstr>
      <vt:lpstr>PUNTUACION_C_OM</vt:lpstr>
      <vt:lpstr>PUNTUACION_C_VF</vt:lpstr>
      <vt:lpstr>PUNTUACION_I_O2</vt:lpstr>
      <vt:lpstr>PUNTUACION_I_OM</vt:lpstr>
      <vt:lpstr>PUNTUACION_I_VF</vt:lpstr>
      <vt:lpstr>R_C_E</vt:lpstr>
      <vt:lpstr>R_C_O2</vt:lpstr>
      <vt:lpstr>R_C_OM</vt:lpstr>
      <vt:lpstr>R_C_PP</vt:lpstr>
      <vt:lpstr>R_C_RC</vt:lpstr>
      <vt:lpstr>R_CORRECTA</vt:lpstr>
      <vt:lpstr>R_Correctas_O2</vt:lpstr>
      <vt:lpstr>R_Correctas_OM</vt:lpstr>
      <vt:lpstr>R_Correctas_VF</vt:lpstr>
      <vt:lpstr>R_I_E</vt:lpstr>
      <vt:lpstr>R_I_O2</vt:lpstr>
      <vt:lpstr>R_I_OM</vt:lpstr>
      <vt:lpstr>R_I_PP</vt:lpstr>
      <vt:lpstr>R_I_RC</vt:lpstr>
      <vt:lpstr>R_INCORRECTA</vt:lpstr>
      <vt:lpstr>R_Incorrectas_O2</vt:lpstr>
      <vt:lpstr>R_Incorrectas_OM</vt:lpstr>
      <vt:lpstr>R_Incorrectas_VF</vt:lpstr>
      <vt:lpstr>R_Par_CORRECTA</vt:lpstr>
      <vt:lpstr>RANGO_E</vt:lpstr>
      <vt:lpstr>RANGO_O2</vt:lpstr>
      <vt:lpstr>RANGO_OM</vt:lpstr>
      <vt:lpstr>RANGO_PP</vt:lpstr>
      <vt:lpstr>RANGO_RC</vt:lpstr>
      <vt:lpstr>RANGO_VF</vt:lpstr>
      <vt:lpstr>RC_01</vt:lpstr>
      <vt:lpstr>RC_02</vt:lpstr>
      <vt:lpstr>RC_03</vt:lpstr>
      <vt:lpstr>RC_04</vt:lpstr>
      <vt:lpstr>RC_05</vt:lpstr>
      <vt:lpstr>RC_06</vt:lpstr>
      <vt:lpstr>RC_07</vt:lpstr>
      <vt:lpstr>RC_08</vt:lpstr>
      <vt:lpstr>RE_01</vt:lpstr>
      <vt:lpstr>RE_02</vt:lpstr>
      <vt:lpstr>RE_03</vt:lpstr>
      <vt:lpstr>RE_04</vt:lpstr>
      <vt:lpstr>RE_05</vt:lpstr>
      <vt:lpstr>RE_06</vt:lpstr>
      <vt:lpstr>RE_07</vt:lpstr>
      <vt:lpstr>RE_08</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T_R</vt:lpstr>
      <vt:lpstr>Tipo_1</vt:lpstr>
      <vt:lpstr>Tipo_2</vt:lpstr>
      <vt:lpstr>Tipo_3</vt:lpstr>
      <vt:lpstr>Tipo_4</vt:lpstr>
      <vt:lpstr>Tipo_5</vt:lpstr>
      <vt:lpstr>Tipo_6</vt:lpstr>
      <vt:lpstr>Tipo_7</vt:lpstr>
      <vt:lpstr>Tipo_Cuestionario_Cod</vt:lpstr>
      <vt:lpstr>Tipo_Cuestionario_MAY</vt:lpstr>
      <vt:lpstr>Tipo_Cuestionario_Nom</vt:lpstr>
      <vt:lpstr>Tipo_Cuestionario_Num</vt:lpstr>
      <vt:lpstr>Tit_Categ</vt:lpstr>
      <vt:lpstr>Tit_Subcat</vt:lpstr>
      <vt:lpstr>UseSystem_I</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2021-03-16T07:50:06Z</dcterms:modified>
  <cp:category>DOCENCIA</cp:category>
</cp:coreProperties>
</file>