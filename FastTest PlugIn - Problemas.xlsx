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drawings/drawing3.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2"/>
  <workbookPr codeName="ThisWorkbook" defaultThemeVersion="166925"/>
  <mc:AlternateContent xmlns:mc="http://schemas.openxmlformats.org/markup-compatibility/2006">
    <mc:Choice Requires="x15">
      <x15ac:absPath xmlns:x15ac="http://schemas.microsoft.com/office/spreadsheetml/2010/11/ac" url="C:\AHGM\0. GITHUB\FTP_Privado\"/>
    </mc:Choice>
  </mc:AlternateContent>
  <xr:revisionPtr revIDLastSave="0" documentId="13_ncr:1_{ACF46E3F-5F55-4F18-B770-089D1CAD5133}" xr6:coauthVersionLast="47" xr6:coauthVersionMax="47" xr10:uidLastSave="{00000000-0000-0000-0000-000000000000}"/>
  <bookViews>
    <workbookView xWindow="-93" yWindow="-93" windowWidth="19386" windowHeight="12986" tabRatio="891" activeTab="1" xr2:uid="{00000000-000D-0000-FFFF-FFFF00000000}"/>
  </bookViews>
  <sheets>
    <sheet name="INSTRUCCIONES" sheetId="7" r:id="rId1"/>
    <sheet name="PROBLEMA" sheetId="1" r:id="rId2"/>
    <sheet name="DATOS FIJOS" sheetId="3" r:id="rId3"/>
    <sheet name="RESULTADOS - FTP" sheetId="5" r:id="rId4"/>
    <sheet name="OCULTOS" sheetId="2" r:id="rId5"/>
    <sheet name="FORMULAS" sheetId="10" state="hidden" r:id="rId6"/>
    <sheet name="NOMBRES" sheetId="11" state="hidden" r:id="rId7"/>
    <sheet name="IMAGENES" sheetId="4" state="hidden" r:id="rId8"/>
    <sheet name="ENLACES" sheetId="6" state="hidden" r:id="rId9"/>
  </sheets>
  <externalReferences>
    <externalReference r:id="rId10"/>
  </externalReferences>
  <definedNames>
    <definedName name="_NO">OCULTOS!$G$4</definedName>
    <definedName name="_OK">OCULTOS!$G$3</definedName>
    <definedName name="Area">PROBLEMA!$M$4</definedName>
    <definedName name="_xlnm.Print_Area" localSheetId="0">INSTRUCCIONES!$A:$C</definedName>
    <definedName name="_xlnm.Print_Area" localSheetId="1">PROBLEMA!$A:$N</definedName>
    <definedName name="Area_Ver">OCULTOS!$B$6</definedName>
    <definedName name="d_">PROBLEMA!$C$11</definedName>
    <definedName name="d_Ale">PROBLEMA!$U$11</definedName>
    <definedName name="D_Fijos">PROBLEMA!$P$4</definedName>
    <definedName name="D_Imprimir">'DATOS FIJOS'!$K$3</definedName>
    <definedName name="d_Ver">OCULTOS!$B$4</definedName>
    <definedName name="Dato_FTP" comment="Primera fila de datos que se quieren exportar a FTP">PROBLEMA!$U$6</definedName>
    <definedName name="Descripcion_FTP">PROBLEMA!$U$5</definedName>
    <definedName name="Enunciado">PROBLEMA!$B$2</definedName>
    <definedName name="Enunciado_FTP">'RESULTADOS - FTP'!$B$3</definedName>
    <definedName name="Facil">PROBLEMA!$M$6</definedName>
    <definedName name="h_">PROBLEMA!$C$10</definedName>
    <definedName name="h_Ale">PROBLEMA!$U$10</definedName>
    <definedName name="h_Ver">OCULTOS!$B$3</definedName>
    <definedName name="IMAGEN">T_D_FIJOS[[#Headers],[Imagen]]</definedName>
    <definedName name="Imagen_FTP">'RESULTADOS - FTP'!$B$1</definedName>
    <definedName name="Imp_OK">'DATOS FIJOS'!$M$4</definedName>
    <definedName name="L_">PROBLEMA!$C$9</definedName>
    <definedName name="L_Ale">PROBLEMA!$U$9</definedName>
    <definedName name="L_Ver">OCULTOS!$B$2</definedName>
    <definedName name="Lista_Datos">T_D_FIJOS[NOMBRE]</definedName>
    <definedName name="Lista_Imagenes">T_DATOS_IMAGENES[NOMBRE]</definedName>
    <definedName name="Multiplo_Img">'DATOS FIJOS'!$K$1</definedName>
    <definedName name="N_Figura">PROBLEMA!$O$1</definedName>
    <definedName name="N_Hoja_Datos" comment="El nombre de la HOJA de DATOS FIJOS por si alguien lo cambia, para la MACRO de IMAGENES">MID(N_Ruta_Datos,FIND("]",N_Ruta_Datos,1)+1,100)</definedName>
    <definedName name="N_Hoja_Pb">MID(N_Ruta_Pb,FIND("]",N_Ruta_Pb,1)+1,100)</definedName>
    <definedName name="N_Ini_D_FIjos">PROBLEMA!$S$8</definedName>
    <definedName name="N_Pb_Ale">PROBLEMA!$P$5</definedName>
    <definedName name="N_Preg_D_Fijos">'DATOS FIJOS'!$A$1</definedName>
    <definedName name="N_Preg_FTP">PROBLEMA!$Q$7</definedName>
    <definedName name="N_Preg_FTP_Inicial">PROBLEMA!$P$7</definedName>
    <definedName name="N_Ruta_Datos">CELL("filename",T_D_FIJOS[#All])</definedName>
    <definedName name="N_Ruta_Pb">CELL("filename",Enunciado)</definedName>
    <definedName name="Nombre_Archivo">PROBLEMA!$P$1</definedName>
    <definedName name="Nombre_Datos">PROBLEMA!$P$6</definedName>
    <definedName name="Nombre_FTP">PROBLEMA!$Q$4</definedName>
    <definedName name="Nombre_Pb">PROBLEMA!$A$1</definedName>
    <definedName name="Nombre_Variable">'DATOS FIJOS'!$B$3</definedName>
    <definedName name="Perimetro">PROBLEMA!$M$3</definedName>
    <definedName name="Perimetro_Ver">OCULTOS!$B$5</definedName>
    <definedName name="Preg_1">PROBLEMA!$B$3</definedName>
    <definedName name="Preg_1_FTP">'RESULTADOS - FTP'!$B$4</definedName>
    <definedName name="Preg_2">PROBLEMA!$B$4</definedName>
    <definedName name="Preg_2_FTP">'RESULTADOS - FTP'!$B$5</definedName>
    <definedName name="Preg_3">PROBLEMA!$B$5</definedName>
    <definedName name="Preg_3_FTP">'RESULTADOS - FTP'!$B$6</definedName>
    <definedName name="Preg_4">PROBLEMA!$B$6</definedName>
    <definedName name="Preg_4_FTP">'RESULTADOS - FTP'!$B$7</definedName>
    <definedName name="Question_4">[1]PROBLEM!$B$6</definedName>
    <definedName name="Resultado_1_FTP">'RESULTADOS - FTP'!$C$4</definedName>
    <definedName name="Resultado_2_FTP">'RESULTADOS - FTP'!$C$5</definedName>
    <definedName name="Resultado_3_FTP">'RESULTADOS - FTP'!$C$6</definedName>
    <definedName name="Resultado_4_FTP">'RESULTADOS - FTP'!$C$7</definedName>
    <definedName name="Resultados">'DATOS FIJOS'!$J$3</definedName>
    <definedName name="Salto">PROBLEMA!$P$8</definedName>
    <definedName name="SALTOS_FTP">OCULTOS!$F$3:$F$4</definedName>
    <definedName name="SALTOS_FTP_">OCULTOS!$F$3:$F$4</definedName>
    <definedName name="SI_NO">OCULTOS!$G$3:$G$4</definedName>
    <definedName name="Solu_ini">'DATOS FIJOS'!$F$3</definedName>
    <definedName name="SUB_CARPETA">PROBLEMA!$Q$1</definedName>
    <definedName name="_xlnm.Print_Titles" localSheetId="2">'DATOS FIJOS'!$B:$B,'DATOS FIJOS'!$4:$4</definedName>
    <definedName name="_xlnm.Print_Titles" localSheetId="0">INSTRUCCIONES!$1:$1</definedName>
    <definedName name="_xlnm.Print_Titles" localSheetId="1">PROBLEMA!$1:$1</definedName>
    <definedName name="URL_ALTO" comment="ALTO PARA URL IMAGEN EN FTP">""" height="""</definedName>
    <definedName name="URL_F" comment="FIN DE LA URL PARA IMAGEN FTP">"""&gt;"</definedName>
    <definedName name="URL_I" comment="URL INICIAL PARA LA IMAGEN EN FTP">"&lt;img src="""</definedName>
    <definedName name="URL_W" comment="ANCHO DE LA IMAGEN PARA URL FTP">""" width="""</definedName>
    <definedName name="Ver_Datos">PROBLEMA!$P$2</definedName>
    <definedName name="Ver_Resultados">PROBLEMA!$P$3</definedName>
    <definedName name="Version">'RESULTADOS - FTP'!$A$4</definedName>
    <definedName name="Volumen">PROBLEMA!$M$5</definedName>
    <definedName name="Volumen_Ver">OCULTOS!$B$7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5" l="1"/>
  <c r="B7" i="5"/>
  <c r="B25" i="1"/>
  <c r="M6" i="1"/>
  <c r="H27" i="1" s="1"/>
  <c r="C2" i="6"/>
  <c r="F2" i="6"/>
  <c r="A5" i="3"/>
  <c r="A6" i="3"/>
  <c r="A7" i="3"/>
  <c r="A8" i="3"/>
  <c r="A9" i="3"/>
  <c r="A10" i="3"/>
  <c r="A11" i="3"/>
  <c r="A1" i="3" s="1"/>
  <c r="A12" i="3"/>
  <c r="A13" i="3"/>
  <c r="A14" i="3"/>
  <c r="A15" i="3"/>
  <c r="A16" i="3"/>
  <c r="A17" i="3"/>
  <c r="B5" i="5"/>
  <c r="B4" i="5"/>
  <c r="N4" i="3"/>
  <c r="A1" i="7"/>
  <c r="R1" i="1"/>
  <c r="Q7" i="1" a="1"/>
  <c r="Q7" i="1" s="1"/>
  <c r="U6" i="1" s="1" a="1"/>
  <c r="U6" i="1" s="1"/>
  <c r="K5" i="3"/>
  <c r="K6" i="3"/>
  <c r="K7" i="3"/>
  <c r="K8" i="3"/>
  <c r="K9" i="3"/>
  <c r="K10" i="3"/>
  <c r="K11" i="3"/>
  <c r="K12" i="3"/>
  <c r="K13" i="3"/>
  <c r="K14" i="3"/>
  <c r="K15" i="3"/>
  <c r="K16" i="3"/>
  <c r="K17" i="3"/>
  <c r="J3" i="3"/>
  <c r="K3" i="3" l="1"/>
  <c r="A3" i="5" l="1"/>
  <c r="A2" i="5"/>
  <c r="B5" i="3" l="1"/>
  <c r="B6" i="3"/>
  <c r="B7" i="3"/>
  <c r="B8" i="3"/>
  <c r="B9" i="3"/>
  <c r="B10" i="3"/>
  <c r="B11" i="3"/>
  <c r="B12" i="3"/>
  <c r="B13" i="3"/>
  <c r="B14" i="3"/>
  <c r="B15" i="3"/>
  <c r="B16" i="3"/>
  <c r="B17" i="3"/>
  <c r="C11" i="1" l="1" a="1"/>
  <c r="C11" i="1" s="1"/>
  <c r="C9" i="1" a="1"/>
  <c r="C9" i="1" s="1"/>
  <c r="C10" i="1" a="1"/>
  <c r="C10" i="1" s="1"/>
  <c r="Q2" i="1"/>
  <c r="U9" i="1"/>
  <c r="C3" i="3" a="1"/>
  <c r="W10" i="1" l="1"/>
  <c r="C3" i="3"/>
  <c r="B1" i="5" l="1"/>
  <c r="B2" i="2"/>
  <c r="B16" i="1"/>
  <c r="B19" i="1"/>
  <c r="U10" i="1" l="1"/>
  <c r="D3" i="3" a="1"/>
  <c r="B2" i="1" l="1"/>
  <c r="W11" i="1"/>
  <c r="D3" i="3"/>
  <c r="B16" i="2"/>
  <c r="M4" i="1" l="1"/>
  <c r="B3" i="2"/>
  <c r="M3" i="1"/>
  <c r="H18" i="1" s="1"/>
  <c r="B3" i="5"/>
  <c r="U11" i="1"/>
  <c r="E3" i="3" a="1"/>
  <c r="H21" i="1" l="1"/>
  <c r="B5" i="1"/>
  <c r="C4" i="5" a="1"/>
  <c r="C4" i="5" s="1"/>
  <c r="B5" i="2"/>
  <c r="C5" i="5" a="1"/>
  <c r="C5" i="5" s="1"/>
  <c r="E3" i="3"/>
  <c r="B3" i="3" s="1"/>
  <c r="B17" i="2"/>
  <c r="G3" i="3"/>
  <c r="F3" i="3"/>
  <c r="B6" i="2"/>
  <c r="B6" i="5" l="1"/>
  <c r="U5" i="1"/>
  <c r="A1" i="1" a="1"/>
  <c r="A1" i="1" s="1"/>
  <c r="M5" i="1"/>
  <c r="B4" i="2"/>
  <c r="B15" i="2" s="1"/>
  <c r="C6" i="5" l="1" a="1"/>
  <c r="C6" i="5" s="1"/>
  <c r="B2" i="5" s="1"/>
  <c r="H24" i="1"/>
  <c r="H3" i="3"/>
  <c r="B22" i="1"/>
  <c r="B7" i="2"/>
  <c r="B18" i="2"/>
  <c r="B19"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Alazne Huerta Gómez de Merodio</author>
  </authors>
  <commentList>
    <comment ref="D1" authorId="0" shapeId="0" xr:uid="{9716E3DB-E669-4607-B53C-B8399D6A2F19}">
      <text>
        <r>
          <rPr>
            <b/>
            <sz val="9"/>
            <color indexed="81"/>
            <rFont val="Tahoma"/>
            <family val="2"/>
          </rPr>
          <t>INDEX</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Alazne Huerta Gómez de Merodio</author>
  </authors>
  <commentList>
    <comment ref="M4" authorId="0" shapeId="0" xr:uid="{3DEDCB1B-3541-494B-B9B2-3D39749A23F9}">
      <text>
        <r>
          <rPr>
            <b/>
            <sz val="9"/>
            <color indexed="81"/>
            <rFont val="Tahoma"/>
            <family val="2"/>
          </rPr>
          <t>IMPRIMIR TODO</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<sst xmlns="http://schemas.openxmlformats.org/spreadsheetml/2006/main" count="1203" uniqueCount="598">
  <si>
    <t>Datos:</t>
  </si>
  <si>
    <t xml:space="preserve"> cm </t>
  </si>
  <si>
    <t>.</t>
  </si>
  <si>
    <t xml:space="preserve">; </t>
  </si>
  <si>
    <t xml:space="preserve"> cm²</t>
  </si>
  <si>
    <t xml:space="preserve"> cm³</t>
  </si>
  <si>
    <t>Lado</t>
  </si>
  <si>
    <t>Altura</t>
  </si>
  <si>
    <t>Profundidad</t>
  </si>
  <si>
    <t>NOMBRE</t>
  </si>
  <si>
    <t>L</t>
  </si>
  <si>
    <t>h</t>
  </si>
  <si>
    <t>d</t>
  </si>
  <si>
    <t xml:space="preserve">L = </t>
  </si>
  <si>
    <t xml:space="preserve">h = </t>
  </si>
  <si>
    <t xml:space="preserve">d = </t>
  </si>
  <si>
    <t xml:space="preserve">Volumen = </t>
  </si>
  <si>
    <t>https://drive.google.com/file/d/1Pu7uZeNFGBEa8bnXxwqWxPcElTiA4Nd0/view?usp=drive_link</t>
  </si>
  <si>
    <t>Enlace</t>
  </si>
  <si>
    <t>Prisma Rectangular</t>
  </si>
  <si>
    <t>ID</t>
  </si>
  <si>
    <t>DATOS PARA LAS FIGURAS</t>
  </si>
  <si>
    <t>CONTATENACIÓN DE DATOS, CUANDO HAY MUCHOS EN EL ENUNCIADO</t>
  </si>
  <si>
    <t xml:space="preserve"> m²</t>
  </si>
  <si>
    <t xml:space="preserve"> m³</t>
  </si>
  <si>
    <t>m⁴</t>
  </si>
  <si>
    <t>FORMATOS / SÍMBOLOS ESPECIALES</t>
  </si>
  <si>
    <t>↻ ↺ ↶ ↷ ← → ↖ ↗ ↑ ↓ ↕  ▽ ◁ ◀ ⁹  ⁶</t>
  </si>
  <si>
    <t>1. PROBLEMA</t>
  </si>
  <si>
    <t>2. OCULTOS</t>
  </si>
  <si>
    <t>3. DATOS FIJOS</t>
  </si>
  <si>
    <t>Ancho</t>
  </si>
  <si>
    <t>Alto</t>
  </si>
  <si>
    <t>URL FTP</t>
  </si>
  <si>
    <t>='[FastTest PlugIn.xlsm]Datos CL'!H1</t>
  </si>
  <si>
    <t>Perímetro</t>
  </si>
  <si>
    <t>Área</t>
  </si>
  <si>
    <t>Volumen</t>
  </si>
  <si>
    <t>P</t>
  </si>
  <si>
    <t>A</t>
  </si>
  <si>
    <t>V</t>
  </si>
  <si>
    <t xml:space="preserve">Área = </t>
  </si>
  <si>
    <t>El perímetro de la cara del rectángulo es la suma de los lados del rectángulo.</t>
  </si>
  <si>
    <t>El área de la cara del rectángulo es el producto de los lados del rectángulo.</t>
  </si>
  <si>
    <t>1.1.</t>
  </si>
  <si>
    <t>1.3.</t>
  </si>
  <si>
    <t>1.8.</t>
  </si>
  <si>
    <t>1.2.</t>
  </si>
  <si>
    <t>1.4.</t>
  </si>
  <si>
    <t>1.5.</t>
  </si>
  <si>
    <t>1.6.</t>
  </si>
  <si>
    <t>1.7.</t>
  </si>
  <si>
    <t>1.9.</t>
  </si>
  <si>
    <t>2.1.</t>
  </si>
  <si>
    <t>2.2.</t>
  </si>
  <si>
    <t>2.3.</t>
  </si>
  <si>
    <t>En esta hoja también están los formatos más "típicos" que usaremos en estos tipos de problemas, por si alguien no se acuerda de cómo se hacen, pues se cogen de esa hoja.</t>
  </si>
  <si>
    <t>3.1.</t>
  </si>
  <si>
    <t>3.2.</t>
  </si>
  <si>
    <t>3.3.</t>
  </si>
  <si>
    <t>3.4.</t>
  </si>
  <si>
    <t>4.1.</t>
  </si>
  <si>
    <t>5.1.</t>
  </si>
  <si>
    <t>6.1.</t>
  </si>
  <si>
    <t>6.2.</t>
  </si>
  <si>
    <t>&lt;br&gt;</t>
  </si>
  <si>
    <t>&lt;p&gt;</t>
  </si>
  <si>
    <t>SÍ / NO</t>
  </si>
  <si>
    <t>Sí</t>
  </si>
  <si>
    <t>No</t>
  </si>
  <si>
    <t>SALTOS</t>
  </si>
  <si>
    <t>DATOS PARA MENÚS DESPLEGABLES</t>
  </si>
  <si>
    <t>IMAGEN →</t>
  </si>
  <si>
    <t>Min</t>
  </si>
  <si>
    <t>Max</t>
  </si>
  <si>
    <t>Multiplo</t>
  </si>
  <si>
    <t>IMAGEN</t>
  </si>
  <si>
    <t>Imagen</t>
  </si>
  <si>
    <t>FIGURA_PROBLEMA</t>
  </si>
  <si>
    <t>7.1.</t>
  </si>
  <si>
    <t>7.2.</t>
  </si>
  <si>
    <t>Aleatorio</t>
  </si>
  <si>
    <t>Para versiones a partir de 2019 (incluida)</t>
  </si>
  <si>
    <t>Para versiones antes de 2016 (incluida)</t>
  </si>
  <si>
    <t>=INDICE(T_DATOS_FIJOS[NOMBRE];N_Preg_FTP-N_Preg_FTP_Inicial+1)</t>
  </si>
  <si>
    <t>=SI(D_Fijos=_NO;'DATOS FIJOS'!A3;"")</t>
  </si>
  <si>
    <t>7. NOMBRES</t>
  </si>
  <si>
    <t>8. FORMULAS</t>
  </si>
  <si>
    <t>8.1.</t>
  </si>
  <si>
    <t>8.2.</t>
  </si>
  <si>
    <t>Esta hoja es para insertar las imágenes que hagan falta, como copia de seguridad, y así poder reutilizarlas las veces que haga falta.</t>
  </si>
  <si>
    <t>NOTA: AÑADIR TANTAS HOJAS COMO SEAN NECESARIAS PARA INCLUIR LO QUE NO CONTEMPLADAS EN ESTAS INDICACIONES.</t>
  </si>
  <si>
    <t>En esta hoja, se pondrán los datos y fórmulas que no sean imprescindibles tener en la hoja problema.</t>
  </si>
  <si>
    <t>3.5.</t>
  </si>
  <si>
    <t>4.2.</t>
  </si>
  <si>
    <t>5. IMÁGENES (oculta, por si se quiere guardar una copia de la imagen del problema)</t>
  </si>
  <si>
    <t>6. ENLACES (oculta, para guardar los enlaces donde se han compartido las imágenes)</t>
  </si>
  <si>
    <t>7. NOMBRES (oculta, listado de los nombres definidos en la hoja)</t>
  </si>
  <si>
    <t>8. FORMULAS (oculta, listado de las fórmulas y texto que contiene TODO el archivo)</t>
  </si>
  <si>
    <t>📃</t>
  </si>
  <si>
    <r>
      <t xml:space="preserve">Escribir el </t>
    </r>
    <r>
      <rPr>
        <b/>
        <sz val="11"/>
        <color rgb="FF005877"/>
        <rFont val="Calibri"/>
        <family val="2"/>
        <scheme val="minor"/>
      </rPr>
      <t>ENUNCIADO</t>
    </r>
    <r>
      <rPr>
        <sz val="11"/>
        <color rgb="FF005877"/>
        <rFont val="Calibri"/>
        <family val="2"/>
        <scheme val="minor"/>
      </rPr>
      <t xml:space="preserve"> con los datos de la misma hoja de datos del problema. En la celda B1, que tiene el nombre de "</t>
    </r>
    <r>
      <rPr>
        <i/>
        <sz val="11"/>
        <color rgb="FF005877"/>
        <rFont val="Calibri"/>
        <family val="2"/>
        <scheme val="minor"/>
      </rPr>
      <t>Enunciado</t>
    </r>
    <r>
      <rPr>
        <sz val="11"/>
        <color rgb="FF005877"/>
        <rFont val="Calibri"/>
        <family val="2"/>
        <scheme val="minor"/>
      </rPr>
      <t xml:space="preserve">". Combinadas las celdas de la fila. Para administrar los nombres de las celdas, pulsar </t>
    </r>
    <r>
      <rPr>
        <b/>
        <sz val="11"/>
        <color rgb="FF005877"/>
        <rFont val="Calibri"/>
        <family val="2"/>
        <scheme val="minor"/>
      </rPr>
      <t>Ctrl + F3</t>
    </r>
    <r>
      <rPr>
        <sz val="11"/>
        <color rgb="FF005877"/>
        <rFont val="Calibri"/>
        <family val="2"/>
        <scheme val="minor"/>
      </rPr>
      <t>.</t>
    </r>
  </si>
  <si>
    <r>
      <t xml:space="preserve">Si el problema tiene varias </t>
    </r>
    <r>
      <rPr>
        <b/>
        <sz val="11"/>
        <color rgb="FF005877"/>
        <rFont val="Calibri"/>
        <family val="2"/>
        <scheme val="minor"/>
      </rPr>
      <t>PREGUNTAS</t>
    </r>
    <r>
      <rPr>
        <sz val="11"/>
        <color rgb="FF005877"/>
        <rFont val="Calibri"/>
        <family val="2"/>
        <scheme val="minor"/>
      </rPr>
      <t xml:space="preserve">, escribirlas en las celdas correspondientes (B2, B3,…) y ponerles el </t>
    </r>
    <r>
      <rPr>
        <b/>
        <sz val="11"/>
        <color rgb="FF005877"/>
        <rFont val="Calibri"/>
        <family val="2"/>
        <scheme val="minor"/>
      </rPr>
      <t xml:space="preserve">nombre correlativo </t>
    </r>
    <r>
      <rPr>
        <sz val="11"/>
        <color rgb="FF005877"/>
        <rFont val="Calibri"/>
        <family val="2"/>
        <scheme val="minor"/>
      </rPr>
      <t>"</t>
    </r>
    <r>
      <rPr>
        <i/>
        <sz val="11"/>
        <color rgb="FF005877"/>
        <rFont val="Calibri"/>
        <family val="2"/>
        <scheme val="minor"/>
      </rPr>
      <t>Preg_1</t>
    </r>
    <r>
      <rPr>
        <sz val="11"/>
        <color rgb="FF005877"/>
        <rFont val="Calibri"/>
        <family val="2"/>
        <scheme val="minor"/>
      </rPr>
      <t>", "</t>
    </r>
    <r>
      <rPr>
        <i/>
        <sz val="11"/>
        <color rgb="FF005877"/>
        <rFont val="Calibri"/>
        <family val="2"/>
        <scheme val="minor"/>
      </rPr>
      <t>Preg_2</t>
    </r>
    <r>
      <rPr>
        <sz val="11"/>
        <color rgb="FF005877"/>
        <rFont val="Calibri"/>
        <family val="2"/>
        <scheme val="minor"/>
      </rPr>
      <t>", etc. Insertar tantas filas como sean necesarias. Estas celdas estarán combinadas en toda la fila, a excepción de la última celda, que será para indicar el resultado (y se le pondrá un nombre).</t>
    </r>
  </si>
  <si>
    <r>
      <t xml:space="preserve">A la derecha de cada pregunta, poner el </t>
    </r>
    <r>
      <rPr>
        <b/>
        <sz val="11"/>
        <color rgb="FF005877"/>
        <rFont val="Calibri"/>
        <family val="2"/>
        <scheme val="minor"/>
      </rPr>
      <t>RESULTADO</t>
    </r>
    <r>
      <rPr>
        <sz val="11"/>
        <color rgb="FF005877"/>
        <rFont val="Calibri"/>
        <family val="2"/>
        <scheme val="minor"/>
      </rPr>
      <t xml:space="preserve"> si es un único resultado la respuesta a la pregunta. Si la fórmula es sencilla, en esa misma casilla, si no, pues que sea igual a la celda donde esté el resultado.</t>
    </r>
  </si>
  <si>
    <r>
      <t xml:space="preserve">Esta hoja está preparada de forma que tiene una </t>
    </r>
    <r>
      <rPr>
        <b/>
        <sz val="11"/>
        <color rgb="FF005877"/>
        <rFont val="Calibri"/>
        <family val="2"/>
        <scheme val="minor"/>
      </rPr>
      <t>primera</t>
    </r>
    <r>
      <rPr>
        <sz val="11"/>
        <color rgb="FF005877"/>
        <rFont val="Calibri"/>
        <family val="2"/>
        <scheme val="minor"/>
      </rPr>
      <t xml:space="preserve"> y </t>
    </r>
    <r>
      <rPr>
        <b/>
        <sz val="11"/>
        <color rgb="FF005877"/>
        <rFont val="Calibri"/>
        <family val="2"/>
        <scheme val="minor"/>
      </rPr>
      <t>última</t>
    </r>
    <r>
      <rPr>
        <sz val="11"/>
        <color rgb="FF005877"/>
        <rFont val="Calibri"/>
        <family val="2"/>
        <scheme val="minor"/>
      </rPr>
      <t xml:space="preserve"> </t>
    </r>
    <r>
      <rPr>
        <b/>
        <sz val="11"/>
        <color rgb="FF005877"/>
        <rFont val="Calibri"/>
        <family val="2"/>
        <scheme val="minor"/>
      </rPr>
      <t>columna</t>
    </r>
    <r>
      <rPr>
        <sz val="11"/>
        <color rgb="FF005877"/>
        <rFont val="Calibri"/>
        <family val="2"/>
        <scheme val="minor"/>
      </rPr>
      <t xml:space="preserve">, para ajustar el tamaño total. Luego tiene </t>
    </r>
    <r>
      <rPr>
        <b/>
        <sz val="11"/>
        <color rgb="FF005877"/>
        <rFont val="Calibri"/>
        <family val="2"/>
        <scheme val="minor"/>
      </rPr>
      <t>10</t>
    </r>
    <r>
      <rPr>
        <sz val="11"/>
        <color rgb="FF005877"/>
        <rFont val="Calibri"/>
        <family val="2"/>
        <scheme val="minor"/>
      </rPr>
      <t xml:space="preserve"> </t>
    </r>
    <r>
      <rPr>
        <b/>
        <sz val="11"/>
        <color rgb="FF005877"/>
        <rFont val="Calibri"/>
        <family val="2"/>
        <scheme val="minor"/>
      </rPr>
      <t>columnas intermedias</t>
    </r>
    <r>
      <rPr>
        <sz val="11"/>
        <color rgb="FF005877"/>
        <rFont val="Calibri"/>
        <family val="2"/>
        <scheme val="minor"/>
      </rPr>
      <t xml:space="preserve"> de igual dimensiones, para poder jugar con el formato, combinando celdas.</t>
    </r>
  </si>
  <si>
    <r>
      <t xml:space="preserve">A continuación, se van poniendo los </t>
    </r>
    <r>
      <rPr>
        <b/>
        <sz val="11"/>
        <color rgb="FF005877"/>
        <rFont val="Calibri"/>
        <family val="2"/>
        <scheme val="minor"/>
      </rPr>
      <t>cálculos</t>
    </r>
    <r>
      <rPr>
        <sz val="11"/>
        <color rgb="FF005877"/>
        <rFont val="Calibri"/>
        <family val="2"/>
        <scheme val="minor"/>
      </rPr>
      <t xml:space="preserve">, con sus explicaciones, la </t>
    </r>
    <r>
      <rPr>
        <b/>
        <sz val="11"/>
        <color rgb="FF005877"/>
        <rFont val="Calibri"/>
        <family val="2"/>
        <scheme val="minor"/>
      </rPr>
      <t xml:space="preserve">Figura </t>
    </r>
    <r>
      <rPr>
        <sz val="11"/>
        <color rgb="FF005877"/>
        <rFont val="Calibri"/>
        <family val="2"/>
        <scheme val="minor"/>
      </rPr>
      <t xml:space="preserve">(FIGURA_PROBLEMA será el nombre que se le ponga, una vez agrupada) y todo lo </t>
    </r>
    <r>
      <rPr>
        <b/>
        <sz val="11"/>
        <color rgb="FF005877"/>
        <rFont val="Calibri"/>
        <family val="2"/>
        <scheme val="minor"/>
      </rPr>
      <t>necesario</t>
    </r>
    <r>
      <rPr>
        <sz val="11"/>
        <color rgb="FF005877"/>
        <rFont val="Calibri"/>
        <family val="2"/>
        <scheme val="minor"/>
      </rPr>
      <t xml:space="preserve"> para </t>
    </r>
    <r>
      <rPr>
        <b/>
        <sz val="11"/>
        <color rgb="FF005877"/>
        <rFont val="Calibri"/>
        <family val="2"/>
        <scheme val="minor"/>
      </rPr>
      <t>realizar el problema</t>
    </r>
    <r>
      <rPr>
        <sz val="11"/>
        <color rgb="FF005877"/>
        <rFont val="Calibri"/>
        <family val="2"/>
        <scheme val="minor"/>
      </rPr>
      <t xml:space="preserve">. Los datos necesarios intermedios que no se tengan que mostrar en esta hoja, se indicarán en la hoja </t>
    </r>
    <r>
      <rPr>
        <b/>
        <sz val="11"/>
        <color rgb="FF005877"/>
        <rFont val="Calibri"/>
        <family val="2"/>
        <scheme val="minor"/>
      </rPr>
      <t>OCULTOS</t>
    </r>
    <r>
      <rPr>
        <sz val="11"/>
        <color rgb="FF005877"/>
        <rFont val="Calibri"/>
        <family val="2"/>
        <scheme val="minor"/>
      </rPr>
      <t xml:space="preserve">. Las </t>
    </r>
    <r>
      <rPr>
        <b/>
        <sz val="11"/>
        <color rgb="FF005877"/>
        <rFont val="Calibri"/>
        <family val="2"/>
        <scheme val="minor"/>
      </rPr>
      <t>filas</t>
    </r>
    <r>
      <rPr>
        <sz val="11"/>
        <color rgb="FF005877"/>
        <rFont val="Calibri"/>
        <family val="2"/>
        <scheme val="minor"/>
      </rPr>
      <t xml:space="preserve"> de cada apartado, se </t>
    </r>
    <r>
      <rPr>
        <b/>
        <sz val="11"/>
        <color rgb="FF005877"/>
        <rFont val="Calibri"/>
        <family val="2"/>
        <scheme val="minor"/>
      </rPr>
      <t>agruparán</t>
    </r>
    <r>
      <rPr>
        <sz val="11"/>
        <color rgb="FF005877"/>
        <rFont val="Calibri"/>
        <family val="2"/>
        <scheme val="minor"/>
      </rPr>
      <t>, para poder ocultarlas fácilmente. Todas las filas del problema también.</t>
    </r>
  </si>
  <si>
    <r>
      <t xml:space="preserve">Las celdas </t>
    </r>
    <r>
      <rPr>
        <b/>
        <sz val="11"/>
        <color rgb="FF005877"/>
        <rFont val="Calibri"/>
        <family val="2"/>
        <scheme val="minor"/>
      </rPr>
      <t xml:space="preserve">Ver Datos/Ver Resultado </t>
    </r>
    <r>
      <rPr>
        <sz val="11"/>
        <color rgb="FF005877"/>
        <rFont val="Calibri"/>
        <family val="2"/>
        <scheme val="minor"/>
      </rPr>
      <t>(SÍ/NO), son para decir si queremos que se muestren los datos/resultados en la Figura del problema (que se tiene que llamar "</t>
    </r>
    <r>
      <rPr>
        <b/>
        <sz val="11"/>
        <color rgb="FF005877"/>
        <rFont val="Calibri"/>
        <family val="2"/>
        <scheme val="minor"/>
      </rPr>
      <t>FIGURA_PROBLEMA</t>
    </r>
    <r>
      <rPr>
        <sz val="11"/>
        <color rgb="FF005877"/>
        <rFont val="Calibri"/>
        <family val="2"/>
        <scheme val="minor"/>
      </rPr>
      <t>" para guardarlas en la tabla DATOS). Para ello, los datos de la Figura deben hacer referencia a la celda en la hoja OCULTOS. Esos valores, tendrán una fórmula para que muestre o no los resultados, en función de la opción seleccionada en la celda "Ver</t>
    </r>
    <r>
      <rPr>
        <i/>
        <sz val="11"/>
        <color rgb="FF005877"/>
        <rFont val="Calibri"/>
        <family val="2"/>
        <scheme val="minor"/>
      </rPr>
      <t>_Resultados</t>
    </r>
    <r>
      <rPr>
        <sz val="11"/>
        <color rgb="FF005877"/>
        <rFont val="Calibri"/>
        <family val="2"/>
        <scheme val="minor"/>
      </rPr>
      <t>".</t>
    </r>
  </si>
  <si>
    <r>
      <t xml:space="preserve">La celda </t>
    </r>
    <r>
      <rPr>
        <b/>
        <sz val="11"/>
        <color rgb="FF005877"/>
        <rFont val="Calibri"/>
        <family val="2"/>
        <scheme val="minor"/>
      </rPr>
      <t xml:space="preserve">Datos Fijos </t>
    </r>
    <r>
      <rPr>
        <sz val="11"/>
        <color rgb="FF005877"/>
        <rFont val="Calibri"/>
        <family val="2"/>
        <scheme val="minor"/>
      </rPr>
      <t xml:space="preserve">(SÍ/NO), es para decir si queremos que los datos sean FIJOS de la hoja DATOS FIJOS o que salgan los VALORES ALEATORIOS con los que se ha configurado el problema. Para los valores fijos, rellenar los datos en la TABLA de la hoja </t>
    </r>
    <r>
      <rPr>
        <b/>
        <sz val="11"/>
        <color rgb="FF005877"/>
        <rFont val="Calibri"/>
        <family val="2"/>
        <scheme val="minor"/>
      </rPr>
      <t>DATOS FIJOS</t>
    </r>
    <r>
      <rPr>
        <sz val="11"/>
        <color rgb="FF005877"/>
        <rFont val="Calibri"/>
        <family val="2"/>
        <scheme val="minor"/>
      </rPr>
      <t xml:space="preserve">, y </t>
    </r>
    <r>
      <rPr>
        <b/>
        <sz val="11"/>
        <color rgb="FF005877"/>
        <rFont val="Calibri"/>
        <family val="2"/>
        <scheme val="minor"/>
      </rPr>
      <t xml:space="preserve">seleccionar </t>
    </r>
    <r>
      <rPr>
        <sz val="11"/>
        <color rgb="FF005877"/>
        <rFont val="Calibri"/>
        <family val="2"/>
        <scheme val="minor"/>
      </rPr>
      <t xml:space="preserve">los datos con los que se quiere trabajar </t>
    </r>
    <r>
      <rPr>
        <b/>
        <sz val="11"/>
        <color rgb="FF005877"/>
        <rFont val="Calibri"/>
        <family val="2"/>
        <scheme val="minor"/>
      </rPr>
      <t xml:space="preserve">de la lista </t>
    </r>
    <r>
      <rPr>
        <sz val="11"/>
        <color rgb="FF005877"/>
        <rFont val="Calibri"/>
        <family val="2"/>
        <scheme val="minor"/>
      </rPr>
      <t xml:space="preserve">desplegable </t>
    </r>
    <r>
      <rPr>
        <b/>
        <sz val="11"/>
        <color rgb="FF005877"/>
        <rFont val="Calibri"/>
        <family val="2"/>
        <scheme val="minor"/>
      </rPr>
      <t xml:space="preserve">Lista Datos. </t>
    </r>
    <r>
      <rPr>
        <sz val="11"/>
        <color rgb="FF005877"/>
        <rFont val="Calibri"/>
        <family val="2"/>
        <scheme val="minor"/>
      </rPr>
      <t>La celda se llama "</t>
    </r>
    <r>
      <rPr>
        <i/>
        <sz val="11"/>
        <color rgb="FF005877"/>
        <rFont val="Calibri"/>
        <family val="2"/>
        <scheme val="minor"/>
      </rPr>
      <t>Nombre_Datos</t>
    </r>
    <r>
      <rPr>
        <sz val="11"/>
        <color rgb="FF005877"/>
        <rFont val="Calibri"/>
        <family val="2"/>
        <scheme val="minor"/>
      </rPr>
      <t>". Si se quieren generan los datos aleatoriamente, indicar en Datos Fijos "NO" y poner los intervalos de valores que se quieren usar. Las celdas de los datos aleatorios, tendrán el mismo nombre que la variable, pero terminado en "_Ale".</t>
    </r>
  </si>
  <si>
    <r>
      <t xml:space="preserve">Si en el enunciado queremos introducir </t>
    </r>
    <r>
      <rPr>
        <b/>
        <sz val="11"/>
        <color rgb="FF005877"/>
        <rFont val="Calibri"/>
        <family val="2"/>
        <scheme val="minor"/>
      </rPr>
      <t xml:space="preserve">Saltos de Línea </t>
    </r>
    <r>
      <rPr>
        <sz val="11"/>
        <color rgb="FF005877"/>
        <rFont val="Calibri"/>
        <family val="2"/>
        <scheme val="minor"/>
      </rPr>
      <t>para</t>
    </r>
    <r>
      <rPr>
        <b/>
        <sz val="11"/>
        <color rgb="FF005877"/>
        <rFont val="Calibri"/>
        <family val="2"/>
        <scheme val="minor"/>
      </rPr>
      <t xml:space="preserve"> FastTest PlugIn</t>
    </r>
    <r>
      <rPr>
        <sz val="11"/>
        <color rgb="FF005877"/>
        <rFont val="Calibri"/>
        <family val="2"/>
        <scheme val="minor"/>
      </rPr>
      <t xml:space="preserve">, debemos seleccionar el tipo de salto (&lt;br&gt; para un salto pequeño y &lt;p&gt; para un salto grande) en la celda </t>
    </r>
    <r>
      <rPr>
        <b/>
        <sz val="11"/>
        <color rgb="FF005877"/>
        <rFont val="Calibri"/>
        <family val="2"/>
        <scheme val="minor"/>
      </rPr>
      <t xml:space="preserve">Salto </t>
    </r>
    <r>
      <rPr>
        <sz val="11"/>
        <color rgb="FF005877"/>
        <rFont val="Calibri"/>
        <family val="2"/>
        <scheme val="minor"/>
      </rPr>
      <t>y en el enunciado concatenar esa celda. Si lo hemos introducido, pero queremos imprimir el ejercicio en PDF, solo habría que borrar el dato de la celda SALTO y no se imprimiría.</t>
    </r>
  </si>
  <si>
    <r>
      <t xml:space="preserve">Si se quieren exportar a FastTest PlugIn todos los datos almacenados en la tabla, hay que poner en la celda de </t>
    </r>
    <r>
      <rPr>
        <b/>
        <sz val="11"/>
        <color rgb="FF005877"/>
        <rFont val="Calibri"/>
        <family val="2"/>
        <scheme val="minor"/>
      </rPr>
      <t>Datos Fijos</t>
    </r>
    <r>
      <rPr>
        <sz val="11"/>
        <color rgb="FF005877"/>
        <rFont val="Calibri"/>
        <family val="2"/>
        <scheme val="minor"/>
      </rPr>
      <t>: "</t>
    </r>
    <r>
      <rPr>
        <i/>
        <sz val="11"/>
        <color rgb="FF005877"/>
        <rFont val="Calibri"/>
        <family val="2"/>
        <scheme val="minor"/>
      </rPr>
      <t>=Dato_FTP</t>
    </r>
    <r>
      <rPr>
        <sz val="11"/>
        <color rgb="FF005877"/>
        <rFont val="Calibri"/>
        <family val="2"/>
        <scheme val="minor"/>
      </rPr>
      <t xml:space="preserve">" (para que muestre los datos correspondientes) y escribir en </t>
    </r>
    <r>
      <rPr>
        <b/>
        <sz val="11"/>
        <color rgb="FF005877"/>
        <rFont val="Calibri"/>
        <family val="2"/>
        <scheme val="minor"/>
      </rPr>
      <t>N_Preg_FTP_Inicial</t>
    </r>
    <r>
      <rPr>
        <sz val="11"/>
        <color rgb="FF005877"/>
        <rFont val="Calibri"/>
        <family val="2"/>
        <scheme val="minor"/>
      </rPr>
      <t xml:space="preserve"> el número de la pregunta inicial que hay en FTP, para que sea un </t>
    </r>
    <r>
      <rPr>
        <b/>
        <sz val="11"/>
        <color rgb="FF005877"/>
        <rFont val="Calibri"/>
        <family val="2"/>
        <scheme val="minor"/>
      </rPr>
      <t>valor constante</t>
    </r>
    <r>
      <rPr>
        <sz val="11"/>
        <color rgb="FF005877"/>
        <rFont val="Calibri"/>
        <family val="2"/>
        <scheme val="minor"/>
      </rPr>
      <t>. El primero sería el valor de la celda derecha.</t>
    </r>
  </si>
  <si>
    <r>
      <t>Los datos que se muestren en las figuras, se pondrán en las celdas con el nombre igual que el resultado que se va a mostrar, pero con el sufijo "</t>
    </r>
    <r>
      <rPr>
        <i/>
        <sz val="11"/>
        <color rgb="FF005877"/>
        <rFont val="Calibri"/>
        <family val="2"/>
        <scheme val="minor"/>
      </rPr>
      <t>_Ver</t>
    </r>
    <r>
      <rPr>
        <sz val="11"/>
        <color rgb="FF005877"/>
        <rFont val="Calibri"/>
        <family val="2"/>
        <scheme val="minor"/>
      </rPr>
      <t>".</t>
    </r>
  </si>
  <si>
    <r>
      <t xml:space="preserve">La </t>
    </r>
    <r>
      <rPr>
        <b/>
        <sz val="11"/>
        <color rgb="FF005877"/>
        <rFont val="Calibri"/>
        <family val="2"/>
        <scheme val="minor"/>
      </rPr>
      <t>Fila 2</t>
    </r>
    <r>
      <rPr>
        <sz val="11"/>
        <color rgb="FF005877"/>
        <rFont val="Calibri"/>
        <family val="2"/>
        <scheme val="minor"/>
      </rPr>
      <t xml:space="preserve">, indica la </t>
    </r>
    <r>
      <rPr>
        <b/>
        <sz val="11"/>
        <color rgb="FF005877"/>
        <rFont val="Calibri"/>
        <family val="2"/>
        <scheme val="minor"/>
      </rPr>
      <t xml:space="preserve">COLUMNA </t>
    </r>
    <r>
      <rPr>
        <sz val="11"/>
        <color rgb="FF005877"/>
        <rFont val="Calibri"/>
        <family val="2"/>
        <scheme val="minor"/>
      </rPr>
      <t>en la que se buscarán los datos, cuando en la hoja PROBLEMA ponga que los datos sean FIJOS y se seleccione uno de la lista desplegable. Número correlativo empezando en 1.</t>
    </r>
  </si>
  <si>
    <r>
      <t xml:space="preserve">La </t>
    </r>
    <r>
      <rPr>
        <b/>
        <sz val="11"/>
        <color rgb="FF005877"/>
        <rFont val="Calibri"/>
        <family val="2"/>
        <scheme val="minor"/>
      </rPr>
      <t>Fila 3</t>
    </r>
    <r>
      <rPr>
        <sz val="11"/>
        <color rgb="FF005877"/>
        <rFont val="Calibri"/>
        <family val="2"/>
        <scheme val="minor"/>
      </rPr>
      <t>, para las columnas de datos, hace referencia a las celdas con los datos aleatorios de la hoja PROBLEMA. Si se han configurado bien los nombres de las celdas de datos aleatorios, la fórmula es la misma para todos los datos variables. Luego, las columnas con los resultados, se igualará al resultado de cada apartado. Esto siempre y cuando se quieran visualizar los resultados, en función de los datos de entrada.</t>
    </r>
  </si>
  <si>
    <r>
      <t xml:space="preserve">Las </t>
    </r>
    <r>
      <rPr>
        <b/>
        <sz val="11"/>
        <color rgb="FF005877"/>
        <rFont val="Calibri"/>
        <family val="2"/>
        <scheme val="minor"/>
      </rPr>
      <t>Fila 1 a 3</t>
    </r>
    <r>
      <rPr>
        <sz val="11"/>
        <color rgb="FF005877"/>
        <rFont val="Calibri"/>
        <family val="2"/>
        <scheme val="minor"/>
      </rPr>
      <t>,se ocultarán cuando se termine de configurar la tabla con los datos que van a ser necesarios para la tabla de datos.</t>
    </r>
  </si>
  <si>
    <r>
      <t xml:space="preserve">Los nombres que en </t>
    </r>
    <r>
      <rPr>
        <b/>
        <sz val="11"/>
        <color rgb="FF005877"/>
        <rFont val="Calibri"/>
        <family val="2"/>
        <scheme val="minor"/>
      </rPr>
      <t xml:space="preserve">TIPO no </t>
    </r>
    <r>
      <rPr>
        <sz val="11"/>
        <color rgb="FF005877"/>
        <rFont val="Calibri"/>
        <family val="2"/>
        <scheme val="minor"/>
      </rPr>
      <t>pone "</t>
    </r>
    <r>
      <rPr>
        <b/>
        <sz val="11"/>
        <color rgb="FF005877"/>
        <rFont val="Calibri"/>
        <family val="2"/>
        <scheme val="minor"/>
      </rPr>
      <t>Range</t>
    </r>
    <r>
      <rPr>
        <sz val="11"/>
        <color rgb="FF005877"/>
        <rFont val="Calibri"/>
        <family val="2"/>
        <scheme val="minor"/>
      </rPr>
      <t xml:space="preserve">" es porque no están referenciadas a ninguna celda o tabla de la hoja, son </t>
    </r>
    <r>
      <rPr>
        <b/>
        <sz val="11"/>
        <color rgb="FF005877"/>
        <rFont val="Calibri"/>
        <family val="2"/>
        <scheme val="minor"/>
      </rPr>
      <t xml:space="preserve">DATOS INTERNOS </t>
    </r>
    <r>
      <rPr>
        <sz val="11"/>
        <color rgb="FF005877"/>
        <rFont val="Calibri"/>
        <family val="2"/>
        <scheme val="minor"/>
      </rPr>
      <t xml:space="preserve">que tiene el archivo y </t>
    </r>
    <r>
      <rPr>
        <b/>
        <sz val="11"/>
        <color rgb="FF005877"/>
        <rFont val="Calibri"/>
        <family val="2"/>
        <scheme val="minor"/>
      </rPr>
      <t>NO SE PUEDEN BORRAR</t>
    </r>
    <r>
      <rPr>
        <sz val="11"/>
        <color rgb="FF005877"/>
        <rFont val="Calibri"/>
        <family val="2"/>
        <scheme val="minor"/>
      </rPr>
      <t>.</t>
    </r>
  </si>
  <si>
    <r>
      <t xml:space="preserve">Esta hoja es para </t>
    </r>
    <r>
      <rPr>
        <b/>
        <sz val="11"/>
        <color rgb="FF005877"/>
        <rFont val="Calibri"/>
        <family val="2"/>
        <scheme val="minor"/>
      </rPr>
      <t xml:space="preserve">INSERTAR LOS NOMBRES </t>
    </r>
    <r>
      <rPr>
        <sz val="11"/>
        <color rgb="FF005877"/>
        <rFont val="Calibri"/>
        <family val="2"/>
        <scheme val="minor"/>
      </rPr>
      <t>que están definidos en el archivo, con la macro llamada "</t>
    </r>
    <r>
      <rPr>
        <b/>
        <i/>
        <sz val="11"/>
        <color rgb="FFE87B00"/>
        <rFont val="Calibri"/>
        <family val="2"/>
        <scheme val="minor"/>
      </rPr>
      <t>Nombres_Definidos_Listar</t>
    </r>
    <r>
      <rPr>
        <sz val="11"/>
        <color rgb="FF005877"/>
        <rFont val="Calibri"/>
        <family val="2"/>
        <scheme val="minor"/>
      </rPr>
      <t xml:space="preserve">". Se muestra el nombre, la celda a la que hace referencia y la fórmula o texto que contiene. Hay algunos </t>
    </r>
    <r>
      <rPr>
        <b/>
        <sz val="11"/>
        <color rgb="FF005877"/>
        <rFont val="Calibri"/>
        <family val="2"/>
        <scheme val="minor"/>
      </rPr>
      <t>nombres que son obligatorios</t>
    </r>
    <r>
      <rPr>
        <sz val="11"/>
        <color rgb="FF005877"/>
        <rFont val="Calibri"/>
        <family val="2"/>
        <scheme val="minor"/>
      </rPr>
      <t xml:space="preserve">, para que todo funcione bien. Esos es recomendable no cambiarlos y </t>
    </r>
    <r>
      <rPr>
        <b/>
        <sz val="11"/>
        <color rgb="FF005877"/>
        <rFont val="Calibri"/>
        <family val="2"/>
        <scheme val="minor"/>
      </rPr>
      <t>NO SE PUEDEN BORRAR</t>
    </r>
    <r>
      <rPr>
        <sz val="11"/>
        <color rgb="FF005877"/>
        <rFont val="Calibri"/>
        <family val="2"/>
        <scheme val="minor"/>
      </rPr>
      <t>. Si se llegaran a borrar, se pueden recuperar con la macro correspondiente. También se pueden generar los que se hagan para cada hoja con otra macro. Las macros, es recomendable que estén en la hoja personal de cada uno, para no tenerla en todos los archivos de este tipo que se generen. Si se han borrado nombres definidos, se pueden recuperar con la macro "</t>
    </r>
    <r>
      <rPr>
        <b/>
        <i/>
        <sz val="11"/>
        <color rgb="FFE87B00"/>
        <rFont val="Calibri"/>
        <family val="2"/>
        <scheme val="minor"/>
      </rPr>
      <t>Nombres_Definidos_Crear_Desde_Hoja</t>
    </r>
    <r>
      <rPr>
        <sz val="11"/>
        <color rgb="FF005877"/>
        <rFont val="Calibri"/>
        <family val="2"/>
        <scheme val="minor"/>
      </rPr>
      <t>", siempre y cuando no se hayan borrado en esta hoja.</t>
    </r>
  </si>
  <si>
    <t>6. ENLACES</t>
  </si>
  <si>
    <t>5. IMÁGENES</t>
  </si>
  <si>
    <r>
      <t xml:space="preserve">La </t>
    </r>
    <r>
      <rPr>
        <b/>
        <sz val="11"/>
        <color rgb="FF005877"/>
        <rFont val="Calibri"/>
        <family val="2"/>
        <scheme val="minor"/>
      </rPr>
      <t>Fila 1</t>
    </r>
    <r>
      <rPr>
        <sz val="11"/>
        <color rgb="FF005877"/>
        <rFont val="Calibri"/>
        <family val="2"/>
        <scheme val="minor"/>
      </rPr>
      <t xml:space="preserve">, tendrá los </t>
    </r>
    <r>
      <rPr>
        <b/>
        <sz val="11"/>
        <color rgb="FF005877"/>
        <rFont val="Calibri"/>
        <family val="2"/>
        <scheme val="minor"/>
      </rPr>
      <t xml:space="preserve">SÍMBOLOS </t>
    </r>
    <r>
      <rPr>
        <sz val="11"/>
        <color rgb="FF005877"/>
        <rFont val="Calibri"/>
        <family val="2"/>
        <scheme val="minor"/>
      </rPr>
      <t>de los datos que tiene a la izquierda la celda donde está el dato que se quiere mostrar (sin el signo "="). En la celda "</t>
    </r>
    <r>
      <rPr>
        <b/>
        <i/>
        <sz val="11"/>
        <color rgb="FFE87B00"/>
        <rFont val="Calibri"/>
        <family val="2"/>
        <scheme val="minor"/>
      </rPr>
      <t>SUB_CARPETA</t>
    </r>
    <r>
      <rPr>
        <sz val="11"/>
        <color rgb="FF005877"/>
        <rFont val="Calibri"/>
        <family val="2"/>
        <scheme val="minor"/>
      </rPr>
      <t>", a la derecha del todo de la fila 1 y en amarillo, se escribirá el nombre de la subcarpeta en la que se quieran guardar las imágenes (en caso de querer usar la macro correspondiente ""). La celda siguiente "</t>
    </r>
    <r>
      <rPr>
        <b/>
        <i/>
        <sz val="11"/>
        <color rgb="FFE87B00"/>
        <rFont val="Calibri"/>
        <family val="2"/>
        <scheme val="minor"/>
      </rPr>
      <t>Multiplo_Img</t>
    </r>
    <r>
      <rPr>
        <sz val="11"/>
        <color rgb="FF005877"/>
        <rFont val="Calibri"/>
        <family val="2"/>
        <scheme val="minor"/>
      </rPr>
      <t>" se indicará la escala a la que se quiere exportar la imagen. Hacer pruebas para ver el tamaño apropiado. Para guardar las imágenes, ejecutar la macro "</t>
    </r>
    <r>
      <rPr>
        <b/>
        <i/>
        <sz val="11"/>
        <color rgb="FFE87B00"/>
        <rFont val="Calibri"/>
        <family val="2"/>
        <scheme val="minor"/>
      </rPr>
      <t>Imagenes_Guarda_Datos_Fijos</t>
    </r>
    <r>
      <rPr>
        <sz val="11"/>
        <color rgb="FF005877"/>
        <rFont val="Calibri"/>
        <family val="2"/>
        <scheme val="minor"/>
      </rPr>
      <t>".</t>
    </r>
  </si>
  <si>
    <r>
      <t xml:space="preserve">Se insertarán tantas columnas como sean necesarias. Para columnas de </t>
    </r>
    <r>
      <rPr>
        <b/>
        <sz val="11"/>
        <color rgb="FF005877"/>
        <rFont val="Calibri"/>
        <family val="2"/>
        <scheme val="minor"/>
      </rPr>
      <t>DATOS</t>
    </r>
    <r>
      <rPr>
        <sz val="11"/>
        <color rgb="FF005877"/>
        <rFont val="Calibri"/>
        <family val="2"/>
        <scheme val="minor"/>
      </rPr>
      <t xml:space="preserve">, se insertan columnas </t>
    </r>
    <r>
      <rPr>
        <b/>
        <sz val="11"/>
        <color rgb="FF005877"/>
        <rFont val="Calibri"/>
        <family val="2"/>
        <scheme val="minor"/>
      </rPr>
      <t>antes de la columna D</t>
    </r>
    <r>
      <rPr>
        <sz val="11"/>
        <color rgb="FF005877"/>
        <rFont val="Calibri"/>
        <family val="2"/>
        <scheme val="minor"/>
      </rPr>
      <t xml:space="preserve"> (última de DATOS). Para columnas de </t>
    </r>
    <r>
      <rPr>
        <b/>
        <sz val="11"/>
        <color rgb="FF005877"/>
        <rFont val="Calibri"/>
        <family val="2"/>
        <scheme val="minor"/>
      </rPr>
      <t>SOLUCIONES</t>
    </r>
    <r>
      <rPr>
        <sz val="11"/>
        <color rgb="FF005877"/>
        <rFont val="Calibri"/>
        <family val="2"/>
        <scheme val="minor"/>
      </rPr>
      <t xml:space="preserve">, se insertarán </t>
    </r>
    <r>
      <rPr>
        <b/>
        <sz val="11"/>
        <color rgb="FF005877"/>
        <rFont val="Calibri"/>
        <family val="2"/>
        <scheme val="minor"/>
      </rPr>
      <t xml:space="preserve">antes de la columna G </t>
    </r>
    <r>
      <rPr>
        <sz val="11"/>
        <color rgb="FF005877"/>
        <rFont val="Calibri"/>
        <family val="2"/>
        <scheme val="minor"/>
      </rPr>
      <t>(ultima de soluciones antes de la columna IMAGEN). Las SOLUCIONES conviene que estén en fórmulas, por si cambia algún dato. Si en la fila 3, están las fórmulas con los cálculos, se pueden pegar los resultados con la macro "</t>
    </r>
    <r>
      <rPr>
        <b/>
        <i/>
        <sz val="11"/>
        <color rgb="FFE87B00"/>
        <rFont val="Calibri"/>
        <family val="2"/>
        <scheme val="minor"/>
      </rPr>
      <t>Pegar_Resultados</t>
    </r>
    <r>
      <rPr>
        <sz val="11"/>
        <color rgb="FF005877"/>
        <rFont val="Calibri"/>
        <family val="2"/>
        <scheme val="minor"/>
      </rPr>
      <t>".</t>
    </r>
  </si>
  <si>
    <t>El volumen del rectángulo es el producto del área del rectángulo, multiplicado por la profundidad del mismo.</t>
  </si>
  <si>
    <t>4. RESULTADOS FTP</t>
  </si>
  <si>
    <t>4. RESULTADOS - FTP (para preparar problemas para Moodle con FastTest PlugIn)</t>
  </si>
  <si>
    <r>
      <t xml:space="preserve">Esta hoja es para insertar los códigos necesarios para pasar el problema a Moodle, con </t>
    </r>
    <r>
      <rPr>
        <b/>
        <sz val="11"/>
        <color rgb="FFE87B00"/>
        <rFont val="Calibri"/>
        <family val="2"/>
        <scheme val="minor"/>
      </rPr>
      <t>FastTest PlugIn</t>
    </r>
    <r>
      <rPr>
        <sz val="11"/>
        <color rgb="FF005877"/>
        <rFont val="Calibri"/>
        <family val="2"/>
        <scheme val="minor"/>
      </rPr>
      <t>. Se usará principalmente cuando sean muchos datos y no sea fácil hacerlo directamente con FTP. Se pueden crear muchos problemas iguales con imágenes diferentes.</t>
    </r>
  </si>
  <si>
    <r>
      <t>Los nombres de las celdas donde está el enunciado, las preguntas y las respuestas, se deben nombrar igual, pero terminando en "</t>
    </r>
    <r>
      <rPr>
        <b/>
        <i/>
        <sz val="11"/>
        <color rgb="FFE87B00"/>
        <rFont val="Calibri"/>
        <family val="2"/>
        <scheme val="minor"/>
      </rPr>
      <t>_FTP</t>
    </r>
    <r>
      <rPr>
        <sz val="11"/>
        <color rgb="FF005877"/>
        <rFont val="Calibri"/>
        <family val="2"/>
        <scheme val="minor"/>
      </rPr>
      <t xml:space="preserve">". Para generar los códitos para las preguntas tipo CLOZE, si no se sabe cómo va la codificación, se puede usar el generador de códigos que tiene la aplicación </t>
    </r>
    <r>
      <rPr>
        <b/>
        <i/>
        <sz val="11"/>
        <color rgb="FFE87B00"/>
        <rFont val="Calibri"/>
        <family val="2"/>
        <scheme val="minor"/>
      </rPr>
      <t>FastTest PlugIn</t>
    </r>
    <r>
      <rPr>
        <sz val="11"/>
        <color rgb="FF005877"/>
        <rFont val="Calibri"/>
        <family val="2"/>
        <scheme val="minor"/>
      </rPr>
      <t>.</t>
    </r>
  </si>
  <si>
    <r>
      <t>La macro "</t>
    </r>
    <r>
      <rPr>
        <b/>
        <sz val="11"/>
        <color rgb="FFE87B00"/>
        <rFont val="Calibri"/>
        <family val="2"/>
        <scheme val="minor"/>
      </rPr>
      <t>Ultima_Celda_por_HOJAS</t>
    </r>
    <r>
      <rPr>
        <sz val="11"/>
        <color rgb="FF005877"/>
        <rFont val="Calibri"/>
        <family val="2"/>
        <scheme val="minor"/>
      </rPr>
      <t>" sirve para saber cuál es la última celda con contenido en cada hoja del libro. Si la celda estuviera en una fila o columna muy alejada del último dato, es conveniente arreglarlo, para que el archivo ocupe menos espacio y se evita que haya algún problema.</t>
    </r>
  </si>
  <si>
    <r>
      <t xml:space="preserve">Esta hoja es para </t>
    </r>
    <r>
      <rPr>
        <b/>
        <sz val="11"/>
        <color rgb="FF005877"/>
        <rFont val="Calibri"/>
        <family val="2"/>
        <scheme val="minor"/>
      </rPr>
      <t xml:space="preserve">INSERTAR LAS FÓRMULAS </t>
    </r>
    <r>
      <rPr>
        <sz val="11"/>
        <color rgb="FF005877"/>
        <rFont val="Calibri"/>
        <family val="2"/>
        <scheme val="minor"/>
      </rPr>
      <t>que tiene este libro. Se muestra la hoja, la celda a la que hace referencia y la fórmula o texto que contiene. De esta manera, si se borra alguna fórmula o algún texto, se puede recuperar. Con la macro "</t>
    </r>
    <r>
      <rPr>
        <b/>
        <i/>
        <sz val="11"/>
        <color rgb="FFE87B00"/>
        <rFont val="Calibri"/>
        <family val="2"/>
        <scheme val="minor"/>
      </rPr>
      <t>Guardar_Formulas_Valores</t>
    </r>
    <r>
      <rPr>
        <sz val="11"/>
        <color rgb="FF005877"/>
        <rFont val="Calibri"/>
        <family val="2"/>
        <scheme val="minor"/>
      </rPr>
      <t>" se actualiza y se guardan las fórmulas/datos que se hagan, cuando se modifica el archivo.</t>
    </r>
  </si>
  <si>
    <t xml:space="preserve">Prism_Rec </t>
  </si>
  <si>
    <t>Ver Resultados</t>
  </si>
  <si>
    <t>Salto Línea</t>
  </si>
  <si>
    <t>Datos Fijos</t>
  </si>
  <si>
    <t>Lista Datos</t>
  </si>
  <si>
    <t>Ver Datos</t>
  </si>
  <si>
    <t>Nº Ini Prg. FTP</t>
  </si>
  <si>
    <t>3.6.</t>
  </si>
  <si>
    <r>
      <t>Si se quiere pasar a PDF todos los problemas con los datos en esta hoja, se puede hacer usando la macro  "</t>
    </r>
    <r>
      <rPr>
        <b/>
        <i/>
        <sz val="11"/>
        <color rgb="FFE87B00"/>
        <rFont val="Calibri"/>
        <family val="2"/>
        <scheme val="minor"/>
      </rPr>
      <t>IMPRIMIR_PDF</t>
    </r>
    <r>
      <rPr>
        <sz val="11"/>
        <color rgb="FF005877"/>
        <rFont val="Calibri"/>
        <family val="2"/>
        <scheme val="minor"/>
      </rPr>
      <t xml:space="preserve">". El nombre del archivo con el que se quiere que se guarde, hay que ponerlo en la celda </t>
    </r>
    <r>
      <rPr>
        <b/>
        <sz val="11"/>
        <color rgb="FF005877"/>
        <rFont val="Calibri"/>
        <family val="2"/>
        <scheme val="minor"/>
      </rPr>
      <t>Nombre_Archivo</t>
    </r>
    <r>
      <rPr>
        <sz val="11"/>
        <color rgb="FF005877"/>
        <rFont val="Calibri"/>
        <family val="2"/>
        <scheme val="minor"/>
      </rPr>
      <t>.</t>
    </r>
  </si>
  <si>
    <t>IMPRIMIR</t>
  </si>
  <si>
    <t>X</t>
  </si>
  <si>
    <t>N_Pb</t>
  </si>
  <si>
    <t>PDF\SECC RECTANG</t>
  </si>
  <si>
    <t>Nº Aleatorios</t>
  </si>
  <si>
    <t>Prism_Rec 020x05x05</t>
  </si>
  <si>
    <t>Hoja</t>
  </si>
  <si>
    <t>Celda</t>
  </si>
  <si>
    <t>Fórmula</t>
  </si>
  <si>
    <t>Valor</t>
  </si>
  <si>
    <t>Nombre Celda</t>
  </si>
  <si>
    <t>PROBLEMA</t>
  </si>
  <si>
    <t>$A$1</t>
  </si>
  <si>
    <t>Nombre_Pb</t>
  </si>
  <si>
    <t>$B$2</t>
  </si>
  <si>
    <t>="Para practicar datos de geometría resolver el siguiente ejercicio. Tenemos un rectángulo de lado L =  "&amp;L_&amp;" cm y altura h = "&amp;h_&amp;" cm. "&amp;Salto&amp;"
Se pide calcular:"</t>
  </si>
  <si>
    <t>Enunciado</t>
  </si>
  <si>
    <t>$B$3</t>
  </si>
  <si>
    <t>=Salto&amp;"1) El perímetro de una cara del rectángulo frontal."</t>
  </si>
  <si>
    <t>Preg_1</t>
  </si>
  <si>
    <t>$B$4</t>
  </si>
  <si>
    <t>=Salto&amp;"2) El área de la cara del rectángulo frontal."</t>
  </si>
  <si>
    <t>Preg_2</t>
  </si>
  <si>
    <t>$B$5</t>
  </si>
  <si>
    <t>=Salto&amp;"3) El volumen del prisma rectangular si tiene una profundidad de d = "&amp;d_&amp;" cm."</t>
  </si>
  <si>
    <t>Preg_3</t>
  </si>
  <si>
    <t>$B$8</t>
  </si>
  <si>
    <t>$B$9</t>
  </si>
  <si>
    <t>$B$10</t>
  </si>
  <si>
    <t>$B$11</t>
  </si>
  <si>
    <t>$B$16</t>
  </si>
  <si>
    <t>=Preg_1</t>
  </si>
  <si>
    <t>$B$17</t>
  </si>
  <si>
    <t>$B$19</t>
  </si>
  <si>
    <t>=Preg_2</t>
  </si>
  <si>
    <t>$B$20</t>
  </si>
  <si>
    <t>$B$22</t>
  </si>
  <si>
    <t>=Preg_3</t>
  </si>
  <si>
    <t>$B$23</t>
  </si>
  <si>
    <t>$C$9</t>
  </si>
  <si>
    <t>L_</t>
  </si>
  <si>
    <t>$C$10</t>
  </si>
  <si>
    <t>h_</t>
  </si>
  <si>
    <t>$C$11</t>
  </si>
  <si>
    <t>d_</t>
  </si>
  <si>
    <t>$H$18</t>
  </si>
  <si>
    <t>=" ("&amp;L_&amp;" cm + "&amp;h_&amp;" cm) · 2 = "&amp;Perimetro&amp;" cm"</t>
  </si>
  <si>
    <t>$H$21</t>
  </si>
  <si>
    <t>=" "&amp;L_&amp;" cm · "&amp;h_&amp;" cm = "&amp;Area&amp;" cm²"</t>
  </si>
  <si>
    <t>$H$24</t>
  </si>
  <si>
    <t>$M$3</t>
  </si>
  <si>
    <t>=(L_+h_)*2</t>
  </si>
  <si>
    <t>Perimetro</t>
  </si>
  <si>
    <t>$M$4</t>
  </si>
  <si>
    <t>=L_*h_</t>
  </si>
  <si>
    <t>Area</t>
  </si>
  <si>
    <t>$M$5</t>
  </si>
  <si>
    <t>=Area*d_</t>
  </si>
  <si>
    <t>$O$2</t>
  </si>
  <si>
    <t>$O$3</t>
  </si>
  <si>
    <t>$O$4</t>
  </si>
  <si>
    <t>$O$5</t>
  </si>
  <si>
    <t>$O$6</t>
  </si>
  <si>
    <t>$O$7</t>
  </si>
  <si>
    <t>$O$8</t>
  </si>
  <si>
    <t>$O$9</t>
  </si>
  <si>
    <t>L_Ale</t>
  </si>
  <si>
    <t>$O$10</t>
  </si>
  <si>
    <t>h_Ale</t>
  </si>
  <si>
    <t>$O$11</t>
  </si>
  <si>
    <t>d_Ale</t>
  </si>
  <si>
    <t>$P$2</t>
  </si>
  <si>
    <t>Ver_Datos</t>
  </si>
  <si>
    <t>$P$3</t>
  </si>
  <si>
    <t>Ver_Resultados</t>
  </si>
  <si>
    <t>$P$5</t>
  </si>
  <si>
    <t>D_Fijos</t>
  </si>
  <si>
    <t>$P$6</t>
  </si>
  <si>
    <t>Nombre_Datos</t>
  </si>
  <si>
    <t>$P$7</t>
  </si>
  <si>
    <t>N_Preg_FTP_Inicial</t>
  </si>
  <si>
    <t>$P$8</t>
  </si>
  <si>
    <t>$P$9</t>
  </si>
  <si>
    <t>$P$10</t>
  </si>
  <si>
    <t>$P$11</t>
  </si>
  <si>
    <t>$Q$2</t>
  </si>
  <si>
    <t>N_Figura</t>
  </si>
  <si>
    <t>$Q$3</t>
  </si>
  <si>
    <t>$Q$4</t>
  </si>
  <si>
    <t>N_Pb_Ale</t>
  </si>
  <si>
    <t>$Q$5</t>
  </si>
  <si>
    <t>$Q$6</t>
  </si>
  <si>
    <t>Dato_FTP</t>
  </si>
  <si>
    <t>$Q$7</t>
  </si>
  <si>
    <t>N_Preg_FTP</t>
  </si>
  <si>
    <t>$Q$8</t>
  </si>
  <si>
    <t>$Q$9</t>
  </si>
  <si>
    <t>$Q$10</t>
  </si>
  <si>
    <t>=L_Ale*0,9</t>
  </si>
  <si>
    <t>$Q$11</t>
  </si>
  <si>
    <t>=h_Ale/4</t>
  </si>
  <si>
    <t>$R$5</t>
  </si>
  <si>
    <t>$R$6</t>
  </si>
  <si>
    <t>$R$7</t>
  </si>
  <si>
    <t>$R$8</t>
  </si>
  <si>
    <t>$R$9</t>
  </si>
  <si>
    <t>$R$10</t>
  </si>
  <si>
    <t>$R$11</t>
  </si>
  <si>
    <t>OCULTOS</t>
  </si>
  <si>
    <t>$A$2</t>
  </si>
  <si>
    <t>$A$3</t>
  </si>
  <si>
    <t>$A$4</t>
  </si>
  <si>
    <t>$A$5</t>
  </si>
  <si>
    <t>$A$6</t>
  </si>
  <si>
    <t>$A$13</t>
  </si>
  <si>
    <t>L_Ver</t>
  </si>
  <si>
    <t>h_Ver</t>
  </si>
  <si>
    <t>d_Ver</t>
  </si>
  <si>
    <t>Area_Ver</t>
  </si>
  <si>
    <t>$B$6</t>
  </si>
  <si>
    <t>Volumen_Ver</t>
  </si>
  <si>
    <t>$B$14</t>
  </si>
  <si>
    <t>=CONCAT(A2:D4)</t>
  </si>
  <si>
    <t>$B$15</t>
  </si>
  <si>
    <t>$B$18</t>
  </si>
  <si>
    <t>$C$2</t>
  </si>
  <si>
    <t>$C$3</t>
  </si>
  <si>
    <t>$C$4</t>
  </si>
  <si>
    <t>$C$5</t>
  </si>
  <si>
    <t>$C$6</t>
  </si>
  <si>
    <t>$D$2</t>
  </si>
  <si>
    <t>$D$3</t>
  </si>
  <si>
    <t>$D$4</t>
  </si>
  <si>
    <t>$D$5</t>
  </si>
  <si>
    <t>$D$6</t>
  </si>
  <si>
    <t>$E$1</t>
  </si>
  <si>
    <t>$F$2</t>
  </si>
  <si>
    <t>$F$3</t>
  </si>
  <si>
    <t>$F$4</t>
  </si>
  <si>
    <t>$F$14</t>
  </si>
  <si>
    <t>$F$15</t>
  </si>
  <si>
    <t>$G$2</t>
  </si>
  <si>
    <t>$G$3</t>
  </si>
  <si>
    <t>_OK</t>
  </si>
  <si>
    <t>$G$4</t>
  </si>
  <si>
    <t>_NO</t>
  </si>
  <si>
    <t>$I$1</t>
  </si>
  <si>
    <t>$I$2</t>
  </si>
  <si>
    <t>$I$3</t>
  </si>
  <si>
    <t>$I$4</t>
  </si>
  <si>
    <t>$I$5</t>
  </si>
  <si>
    <t>$J$2</t>
  </si>
  <si>
    <t>$J$3</t>
  </si>
  <si>
    <t>$J$4</t>
  </si>
  <si>
    <t>DATOS FIJOS</t>
  </si>
  <si>
    <t>$A$7</t>
  </si>
  <si>
    <t>$A$8</t>
  </si>
  <si>
    <t>$A$9</t>
  </si>
  <si>
    <t>$A$10</t>
  </si>
  <si>
    <t>$A$11</t>
  </si>
  <si>
    <t>$A$12</t>
  </si>
  <si>
    <t>$A$14</t>
  </si>
  <si>
    <t>$A$15</t>
  </si>
  <si>
    <t>$A$16</t>
  </si>
  <si>
    <t>$A$17</t>
  </si>
  <si>
    <t>$B$1</t>
  </si>
  <si>
    <t>$B$7</t>
  </si>
  <si>
    <t>$B$12</t>
  </si>
  <si>
    <t>$B$13</t>
  </si>
  <si>
    <t>$C$1</t>
  </si>
  <si>
    <t>$C$7</t>
  </si>
  <si>
    <t>$C$8</t>
  </si>
  <si>
    <t>$C$12</t>
  </si>
  <si>
    <t>$C$13</t>
  </si>
  <si>
    <t>$C$14</t>
  </si>
  <si>
    <t>$C$15</t>
  </si>
  <si>
    <t>$C$16</t>
  </si>
  <si>
    <t>$C$17</t>
  </si>
  <si>
    <t>$D$1</t>
  </si>
  <si>
    <t>$D$7</t>
  </si>
  <si>
    <t>$D$8</t>
  </si>
  <si>
    <t>$D$9</t>
  </si>
  <si>
    <t>$D$10</t>
  </si>
  <si>
    <t>$D$11</t>
  </si>
  <si>
    <t>$D$12</t>
  </si>
  <si>
    <t>$D$13</t>
  </si>
  <si>
    <t>$D$14</t>
  </si>
  <si>
    <t>$D$15</t>
  </si>
  <si>
    <t>$D$16</t>
  </si>
  <si>
    <t>$D$17</t>
  </si>
  <si>
    <t>$E$2</t>
  </si>
  <si>
    <t>$E$3</t>
  </si>
  <si>
    <t>=Perimetro</t>
  </si>
  <si>
    <t>Solu_ini</t>
  </si>
  <si>
    <t>$E$4</t>
  </si>
  <si>
    <t>$E$5</t>
  </si>
  <si>
    <t>$E$6</t>
  </si>
  <si>
    <t>$E$7</t>
  </si>
  <si>
    <t>$E$8</t>
  </si>
  <si>
    <t>$E$9</t>
  </si>
  <si>
    <t>$E$10</t>
  </si>
  <si>
    <t>$E$11</t>
  </si>
  <si>
    <t>$E$12</t>
  </si>
  <si>
    <t>$E$13</t>
  </si>
  <si>
    <t>$E$14</t>
  </si>
  <si>
    <t>$E$15</t>
  </si>
  <si>
    <t>$E$16</t>
  </si>
  <si>
    <t>$E$17</t>
  </si>
  <si>
    <t>$F$1</t>
  </si>
  <si>
    <t>=Area</t>
  </si>
  <si>
    <t>$F$5</t>
  </si>
  <si>
    <t>$F$6</t>
  </si>
  <si>
    <t>$F$7</t>
  </si>
  <si>
    <t>$F$8</t>
  </si>
  <si>
    <t>$F$9</t>
  </si>
  <si>
    <t>$F$10</t>
  </si>
  <si>
    <t>$F$11</t>
  </si>
  <si>
    <t>$F$12</t>
  </si>
  <si>
    <t>$F$13</t>
  </si>
  <si>
    <t>$F$16</t>
  </si>
  <si>
    <t>$F$17</t>
  </si>
  <si>
    <t>$G$1</t>
  </si>
  <si>
    <t>=Volumen</t>
  </si>
  <si>
    <t>$G$5</t>
  </si>
  <si>
    <t>$G$6</t>
  </si>
  <si>
    <t>$G$7</t>
  </si>
  <si>
    <t>$G$8</t>
  </si>
  <si>
    <t>$G$9</t>
  </si>
  <si>
    <t>$G$10</t>
  </si>
  <si>
    <t>$G$11</t>
  </si>
  <si>
    <t>$G$12</t>
  </si>
  <si>
    <t>$G$13</t>
  </si>
  <si>
    <t>$G$14</t>
  </si>
  <si>
    <t>$G$15</t>
  </si>
  <si>
    <t>$G$16</t>
  </si>
  <si>
    <t>$G$17</t>
  </si>
  <si>
    <t>$H$1</t>
  </si>
  <si>
    <t>$H$2</t>
  </si>
  <si>
    <t>$H$4</t>
  </si>
  <si>
    <t>SUB_CARPETA</t>
  </si>
  <si>
    <t>Nombre_Archivo</t>
  </si>
  <si>
    <t>Resultados</t>
  </si>
  <si>
    <t>$I$7</t>
  </si>
  <si>
    <t>$I$13</t>
  </si>
  <si>
    <t>$I$17</t>
  </si>
  <si>
    <t>$J$1</t>
  </si>
  <si>
    <t>Multiplo_Img</t>
  </si>
  <si>
    <t>Imp_OK</t>
  </si>
  <si>
    <t>=MAX(T_DATOS_FIJOS[N_Pb])</t>
  </si>
  <si>
    <t>D_Imprimir</t>
  </si>
  <si>
    <t>$J$5</t>
  </si>
  <si>
    <t>$J$6</t>
  </si>
  <si>
    <t>$J$7</t>
  </si>
  <si>
    <t>$J$8</t>
  </si>
  <si>
    <t>$J$9</t>
  </si>
  <si>
    <t>$J$10</t>
  </si>
  <si>
    <t>$J$11</t>
  </si>
  <si>
    <t>$J$12</t>
  </si>
  <si>
    <t>$J$13</t>
  </si>
  <si>
    <t>$J$14</t>
  </si>
  <si>
    <t>$J$15</t>
  </si>
  <si>
    <t>$J$16</t>
  </si>
  <si>
    <t>$J$17</t>
  </si>
  <si>
    <t>RESULTADOS - FTP</t>
  </si>
  <si>
    <t>="Datos Fijos: "&amp;D_Fijos</t>
  </si>
  <si>
    <t>="Salto: "&amp;Salto</t>
  </si>
  <si>
    <t>=Enunciado</t>
  </si>
  <si>
    <t>Enunciado_FTP</t>
  </si>
  <si>
    <t>=Preg_1&amp;" "</t>
  </si>
  <si>
    <t>Preg_1_FTP</t>
  </si>
  <si>
    <t>=Preg_2&amp;" "</t>
  </si>
  <si>
    <t>Preg_2_FTP</t>
  </si>
  <si>
    <t>=Preg_3&amp;" "</t>
  </si>
  <si>
    <t>Preg_3_FTP</t>
  </si>
  <si>
    <t>Imagen_FTP</t>
  </si>
  <si>
    <t>="{1:NM:~%100%"&amp;Perimetro&amp;":"&amp;MIN(Perimetro*2/100;5)&amp;"#¡Muy bien!}"&amp;" cm"</t>
  </si>
  <si>
    <t>Resultado_1_FTP</t>
  </si>
  <si>
    <t>="{1:NM:~%100%"&amp;Area&amp;":"&amp;MIN(Area*2/100;10)&amp;"#¡Muy bien!}"&amp;" cm²"</t>
  </si>
  <si>
    <t>Resultado_2_FTP</t>
  </si>
  <si>
    <t>="{1:NM:~%100%"&amp;Volumen&amp;":"&amp;MIN(Volumen*2/100;10)&amp;"#¡Muy bien!}"&amp;" cm³"</t>
  </si>
  <si>
    <t>Resultado_3_FTP</t>
  </si>
  <si>
    <t>ENLACES</t>
  </si>
  <si>
    <t>=URL_I&amp;[@ID]&amp;URL_W&amp;[@Ancho]&amp;URL_ALTO&amp;[@Alto]&amp;URL_F</t>
  </si>
  <si>
    <t>Nombre Definido</t>
  </si>
  <si>
    <t>Referencia TEXTO</t>
  </si>
  <si>
    <t>Fórmula TEXTO</t>
  </si>
  <si>
    <t>Tipo</t>
  </si>
  <si>
    <t>=OCULTOS!$G$4</t>
  </si>
  <si>
    <t>Range</t>
  </si>
  <si>
    <t>=OCULTOS!$G$3</t>
  </si>
  <si>
    <t>=PROBLEMA!$M$4</t>
  </si>
  <si>
    <t>=OCULTOS!$B$5</t>
  </si>
  <si>
    <t>=PROBLEMA!$C$11</t>
  </si>
  <si>
    <t>=PROBLEMA!$O$11</t>
  </si>
  <si>
    <t>=PROBLEMA!$P$5</t>
  </si>
  <si>
    <t>='DATOS FIJOS'!$J$3</t>
  </si>
  <si>
    <t>=OCULTOS!$B$4</t>
  </si>
  <si>
    <t>=PROBLEMA!$Q$6</t>
  </si>
  <si>
    <t>=PROBLEMA!$B$2</t>
  </si>
  <si>
    <t>='RESULTADOS - FTP'!$B$2</t>
  </si>
  <si>
    <t>=PROBLEMA!$C$10</t>
  </si>
  <si>
    <t>=PROBLEMA!$O$10</t>
  </si>
  <si>
    <t>=OCULTOS!$B$3</t>
  </si>
  <si>
    <t>='RESULTADOS - FTP'!$C$1</t>
  </si>
  <si>
    <t>='DATOS FIJOS'!$J$2</t>
  </si>
  <si>
    <t>=PROBLEMA!$C$9</t>
  </si>
  <si>
    <t>=PROBLEMA!$O$9</t>
  </si>
  <si>
    <t>=OCULTOS!$B$2</t>
  </si>
  <si>
    <t>Lista_Datos</t>
  </si>
  <si>
    <t>=T_DATOS_FIJOS[NOMBRE]</t>
  </si>
  <si>
    <t>Lista_Imagenes</t>
  </si>
  <si>
    <t>=T_DATOS_IMAGENES[NOMBRE]</t>
  </si>
  <si>
    <t>='DATOS FIJOS'!$J$1</t>
  </si>
  <si>
    <t>2,5</t>
  </si>
  <si>
    <t>=PROBLEMA!$Q$2</t>
  </si>
  <si>
    <t>N_Hoja_Datos</t>
  </si>
  <si>
    <t>N_Hoja_Pb</t>
  </si>
  <si>
    <t>=PROBLEMA!$Q$4</t>
  </si>
  <si>
    <t>10</t>
  </si>
  <si>
    <t>=PROBLEMA!$Q$7</t>
  </si>
  <si>
    <t>4</t>
  </si>
  <si>
    <t>=PROBLEMA!$P$7</t>
  </si>
  <si>
    <t>N_Ruta_Datos</t>
  </si>
  <si>
    <t>N_Ruta_Pb</t>
  </si>
  <si>
    <t>='DATOS FIJOS'!$I$2</t>
  </si>
  <si>
    <t>=PROBLEMA!$P$6</t>
  </si>
  <si>
    <t>=PROBLEMA!$A$1</t>
  </si>
  <si>
    <t>=PROBLEMA!$M$3</t>
  </si>
  <si>
    <t>=PROBLEMA!$B$3</t>
  </si>
  <si>
    <t>='RESULTADOS - FTP'!$B$3</t>
  </si>
  <si>
    <t>=PROBLEMA!$B$4</t>
  </si>
  <si>
    <t>='RESULTADOS - FTP'!$B$4</t>
  </si>
  <si>
    <t>=PROBLEMA!$B$5</t>
  </si>
  <si>
    <t>='RESULTADOS - FTP'!$B$5</t>
  </si>
  <si>
    <t>INSTRUCCIONES!Print_Area</t>
  </si>
  <si>
    <t>=INSTRUCCIONES!$A:$C</t>
  </si>
  <si>
    <t>PROBLEMA!Print_Area</t>
  </si>
  <si>
    <t>=PROBLEMA!$A:$N</t>
  </si>
  <si>
    <t>DATOS FIJOS'!Print_Titles</t>
  </si>
  <si>
    <t>='DATOS FIJOS'!$A:$A;'DATOS FIJOS'!$4:$4</t>
  </si>
  <si>
    <t>INSTRUCCIONES!Print_Titles</t>
  </si>
  <si>
    <t>=INSTRUCCIONES!$1:$1</t>
  </si>
  <si>
    <t>PROBLEMA!Print_Titles</t>
  </si>
  <si>
    <t>=PROBLEMA!$1:$1</t>
  </si>
  <si>
    <t>='RESULTADOS - FTP'!$C$3</t>
  </si>
  <si>
    <t>='RESULTADOS - FTP'!$C$4</t>
  </si>
  <si>
    <t>='RESULTADOS - FTP'!$C$5</t>
  </si>
  <si>
    <t>='DATOS FIJOS'!$I$3</t>
  </si>
  <si>
    <t>Salto</t>
  </si>
  <si>
    <t>=PROBLEMA!$P$4</t>
  </si>
  <si>
    <t/>
  </si>
  <si>
    <t>SALTOS_FTP</t>
  </si>
  <si>
    <t>=OCULTOS!$F$3:$F$4</t>
  </si>
  <si>
    <t>SI_NO</t>
  </si>
  <si>
    <t>=OCULTOS!$G$3:$G$4</t>
  </si>
  <si>
    <t>='DATOS FIJOS'!$E$3</t>
  </si>
  <si>
    <t>='DATOS FIJOS'!$I$1</t>
  </si>
  <si>
    <t>URL_ALTO</t>
  </si>
  <si>
    <t>=""" height="""</t>
  </si>
  <si>
    <t>URL_F</t>
  </si>
  <si>
    <t>="""&gt;"</t>
  </si>
  <si>
    <t>URL_I</t>
  </si>
  <si>
    <t>="&lt;img src=""http://drive.google.com/uc?export=view&amp;id="</t>
  </si>
  <si>
    <t>URL_W</t>
  </si>
  <si>
    <t>=""" width="""</t>
  </si>
  <si>
    <t>=PROBLEMA!$P$2</t>
  </si>
  <si>
    <t>=PROBLEMA!$P$3</t>
  </si>
  <si>
    <t>=PROBLEMA!$M$5</t>
  </si>
  <si>
    <t>=OCULTOS!$B$6</t>
  </si>
  <si>
    <t>=SI(D_Fijos=_OK;TEXTO(BUSCARV(Nombre_Datos;T_DATOS_FIJOS;COLUMNA(T_DATOS_FIJOS[[#Encabezados];[N_Pb]]);0);SI(D_Imprimir&gt;99;"000";SI(D_Imprimir&gt;9;"00";"0")))&amp;" - "&amp;Nombre_Datos;"Aleatorio - "&amp;'DATOS FIJOS'!A3)</t>
  </si>
  <si>
    <t>=SI(D_Fijos=_OK;BUSCARV(Nombre_Datos;T_DATOS_FIJOS;BUSCARH(B9;'DATOS FIJOS'!$1:$2;2;0);0);O9)</t>
  </si>
  <si>
    <t>=SI(D_Fijos=_OK;BUSCARV(Nombre_Datos;T_DATOS_FIJOS;BUSCARH(B10;'DATOS FIJOS'!$1:$2;2;0);0);O10)</t>
  </si>
  <si>
    <t>=SI(D_Fijos=_OK;BUSCARV(Nombre_Datos;T_DATOS_FIJOS;BUSCARH(B11;'DATOS FIJOS'!$1:$2;2;0);0);O11)</t>
  </si>
  <si>
    <t>=" "&amp;Area&amp;" cm² · "&amp;d_&amp;" cm = "&amp;TEXTO(Volumen;"#.###")&amp;" cm³"</t>
  </si>
  <si>
    <t>=REDOND.MULT(ALEATORIO.ENTRE(P9;Q9);R9)</t>
  </si>
  <si>
    <t>=REDOND.MULT(ALEATORIO.ENTRE(P10;Q10);R10)</t>
  </si>
  <si>
    <t>=REDOND.MULT(ALEATORIO.ENTRE(P11;Q11);R11)</t>
  </si>
  <si>
    <t>=SI(Ver_Datos=_OK;L_;"Longitud")</t>
  </si>
  <si>
    <t>=SI(Ver_Datos=_OK;h_;"h")</t>
  </si>
  <si>
    <t>=SI(Ver_Datos=_OK;d_;"d")</t>
  </si>
  <si>
    <t>=SI(Ver_Resultados=_OK;Area;"")</t>
  </si>
  <si>
    <t>=SI(Ver_Resultados=_OK;Volumen;"")</t>
  </si>
  <si>
    <t>=CONCATENAR(A2;B2;C2;D2)</t>
  </si>
  <si>
    <t>=CONCATENAR(A3;B3;C3;D3)</t>
  </si>
  <si>
    <t>=CONCATENAR(A4;B4;C4;D4)</t>
  </si>
  <si>
    <t>=CONCATENAR(B15;B16;B17)</t>
  </si>
  <si>
    <t>=Nombre_Archivo&amp;TEXTO(B3;"000")&amp;"x"&amp;TEXTO(C3;"00")&amp;"x"&amp;TEXTO(D3;"00")</t>
  </si>
  <si>
    <t>="Prism_Rec "&amp;TEXTO(B5;"000")&amp;"x"&amp;TEXTO(C5;"00")&amp;"x"&amp;TEXTO(D5;"00")</t>
  </si>
  <si>
    <t>="Prism_Rec "&amp;TEXTO(B6;"000")&amp;"x"&amp;TEXTO(C6;"00")&amp;"x"&amp;TEXTO(D6;"00")</t>
  </si>
  <si>
    <t>="Prism_Rec "&amp;TEXTO(B7;"000")&amp;"x"&amp;TEXTO(C7;"00")&amp;"x"&amp;TEXTO(D7;"00")</t>
  </si>
  <si>
    <t>="Prism_Rec "&amp;TEXTO(B8;"000")&amp;"x"&amp;TEXTO(C8;"00")&amp;"x"&amp;TEXTO(D8;"00")</t>
  </si>
  <si>
    <t>="Prism_Rec "&amp;TEXTO(B9;"000")&amp;"x"&amp;TEXTO(C9;"00")&amp;"x"&amp;TEXTO(D9;"00")</t>
  </si>
  <si>
    <t>="Prism_Rec "&amp;TEXTO(B10;"000")&amp;"x"&amp;TEXTO(C10;"00")&amp;"x"&amp;TEXTO(D10;"00")</t>
  </si>
  <si>
    <t>="Prism_Rec "&amp;TEXTO(B11;"000")&amp;"x"&amp;TEXTO(C11;"00")&amp;"x"&amp;TEXTO(D11;"00")</t>
  </si>
  <si>
    <t>="Prism_Rec "&amp;TEXTO(B12;"000")&amp;"x"&amp;TEXTO(C12;"00")&amp;"x"&amp;TEXTO(D12;"00")</t>
  </si>
  <si>
    <t>="Prism_Rec "&amp;TEXTO(B13;"000")&amp;"x"&amp;TEXTO(C13;"00")&amp;"x"&amp;TEXTO(D13;"00")</t>
  </si>
  <si>
    <t>="Prism_Rec "&amp;TEXTO(B14;"000")&amp;"x"&amp;TEXTO(C14;"00")&amp;"x"&amp;TEXTO(D14;"00")</t>
  </si>
  <si>
    <t>="Prism_Rec "&amp;TEXTO(B15;"000")&amp;"x"&amp;TEXTO(C15;"00")&amp;"x"&amp;TEXTO(D15;"00")</t>
  </si>
  <si>
    <t>="Prism_Rec "&amp;TEXTO(B16;"000")&amp;"x"&amp;TEXTO(C16;"00")&amp;"x"&amp;TEXTO(D16;"00")</t>
  </si>
  <si>
    <t>="Prism_Rec "&amp;TEXTO(B17;"000")&amp;"x"&amp;TEXTO(C17;"00")&amp;"x"&amp;TEXTO(D17;"00")</t>
  </si>
  <si>
    <t>=INDIRECTO(B1&amp;"_Ale")</t>
  </si>
  <si>
    <t>=INDIRECTO(C1&amp;"_Ale")</t>
  </si>
  <si>
    <t>=INDIRECTO(D1&amp;"_Ale")</t>
  </si>
  <si>
    <t>=SI(Ver_Resultados=_OK;PROBLEMA!O3;"NO "&amp;PROBLEMA!O3)</t>
  </si>
  <si>
    <t>=SI($J$2=_OK;FILA()-FILA(T_DATOS_FIJOS[[#Encabezados];[N_Pb]]);SI([@IMPRIMIR]="";0;CONTARA($I$5:I5)))</t>
  </si>
  <si>
    <t>=SI($J$2=_OK;FILA()-FILA(T_DATOS_FIJOS[[#Encabezados];[N_Pb]]);SI([@IMPRIMIR]="";0;CONTARA($I$5:I6)))</t>
  </si>
  <si>
    <t>=SI($J$2=_OK;FILA()-FILA(T_DATOS_FIJOS[[#Encabezados];[N_Pb]]);SI([@IMPRIMIR]="";0;CONTARA($I$5:I7)))</t>
  </si>
  <si>
    <t>=SI($J$2=_OK;FILA()-FILA(T_DATOS_FIJOS[[#Encabezados];[N_Pb]]);SI([@IMPRIMIR]="";0;CONTARA($I$5:I8)))</t>
  </si>
  <si>
    <t>=SI($J$2=_OK;FILA()-FILA(T_DATOS_FIJOS[[#Encabezados];[N_Pb]]);SI([@IMPRIMIR]="";0;CONTARA($I$5:I9)))</t>
  </si>
  <si>
    <t>=SI($J$2=_OK;FILA()-FILA(T_DATOS_FIJOS[[#Encabezados];[N_Pb]]);SI([@IMPRIMIR]="";0;CONTARA($I$5:I10)))</t>
  </si>
  <si>
    <t>=SI($J$2=_OK;FILA()-FILA(T_DATOS_FIJOS[[#Encabezados];[N_Pb]]);SI([@IMPRIMIR]="";0;CONTARA($I$5:I11)))</t>
  </si>
  <si>
    <t>=SI($J$2=_OK;FILA()-FILA(T_DATOS_FIJOS[[#Encabezados];[N_Pb]]);SI([@IMPRIMIR]="";0;CONTARA($I$5:I12)))</t>
  </si>
  <si>
    <t>=SI($J$2=_OK;FILA()-FILA(T_DATOS_FIJOS[[#Encabezados];[N_Pb]]);SI([@IMPRIMIR]="";0;CONTARA($I$5:I13)))</t>
  </si>
  <si>
    <t>=SI($J$2=_OK;FILA()-FILA(T_DATOS_FIJOS[[#Encabezados];[N_Pb]]);SI([@IMPRIMIR]="";0;CONTARA($I$5:I14)))</t>
  </si>
  <si>
    <t>=SI($J$2=_OK;FILA()-FILA(T_DATOS_FIJOS[[#Encabezados];[N_Pb]]);SI([@IMPRIMIR]="";0;CONTARA($I$5:I15)))</t>
  </si>
  <si>
    <t>=SI($J$2=_OK;FILA()-FILA(T_DATOS_FIJOS[[#Encabezados];[N_Pb]]);SI([@IMPRIMIR]="";0;CONTARA($I$5:I16)))</t>
  </si>
  <si>
    <t>=SI($J$2=_OK;FILA()-FILA(T_DATOS_FIJOS[[#Encabezados];[N_Pb]]);SI([@IMPRIMIR]="";0;CONTARA($I$5:I17)))</t>
  </si>
  <si>
    <t>=SI.ERROR(BUSCARV(B1;T_DATOS_IMAGENES;COLUMNAS(T_DATOS_IMAGENES);0);"")</t>
  </si>
  <si>
    <t>=EXTRAE(B2;33;33)</t>
  </si>
  <si>
    <t>=T_DATOS_FIJOS[[#Encabezados];[Imagen]]</t>
  </si>
  <si>
    <t>=EXTRAE(N_Ruta_Datos;ENCONTRAR("]";N_Ruta_Datos;1)+1;100)</t>
  </si>
  <si>
    <t>=EXTRAE(N_Ruta_Pb;ENCONTRAR("]";N_Ruta_Pb;1)+1;100)</t>
  </si>
  <si>
    <t>=CELDA("filename";T_DATOS_FIJOS[#Todo])</t>
  </si>
  <si>
    <t>=CELDA("filename";Enunciado)</t>
  </si>
  <si>
    <t>Nº Pb Aleat. a imprimir</t>
  </si>
  <si>
    <t>TOLERANCIA
1</t>
  </si>
  <si>
    <t>TOLERANCIA
2</t>
  </si>
  <si>
    <t>TOLERANCIA
3</t>
  </si>
  <si>
    <t>RESTO
ERROR</t>
  </si>
  <si>
    <t>%100%</t>
  </si>
  <si>
    <t>~%95%</t>
  </si>
  <si>
    <t>~%85%</t>
  </si>
  <si>
    <t>~%-10%</t>
  </si>
  <si>
    <t>⇐ % PUNTUCIÓN NUMÉRICAS</t>
  </si>
  <si>
    <t>⇐ RETROALI-
MENTACIÓN</t>
  </si>
  <si>
    <t>PUNTOS
apartado
⇓</t>
  </si>
  <si>
    <t>NM</t>
  </si>
  <si>
    <t>% tolerancia</t>
  </si>
  <si>
    <t>MC</t>
  </si>
  <si>
    <t xml:space="preserve"> </t>
  </si>
  <si>
    <t>#¡Muy bien!</t>
  </si>
  <si>
    <t>#Bien, pero cuidado con los redondeos.</t>
  </si>
  <si>
    <t>#Valor aproximado, pero no exacto.</t>
  </si>
  <si>
    <t>#Incorrecto, repasa los cálculos.</t>
  </si>
  <si>
    <t>1) El perímetro de una cara del rectángulo frontal.</t>
  </si>
  <si>
    <t>2) El área de la cara del rectángulo frontal.</t>
  </si>
  <si>
    <t>NOMBRE VALOR</t>
  </si>
  <si>
    <t>cm</t>
  </si>
  <si>
    <t>cm²</t>
  </si>
  <si>
    <t>cm³</t>
  </si>
  <si>
    <t xml:space="preserve">Perímetro = </t>
  </si>
  <si>
    <t xml:space="preserve"> cm</t>
  </si>
  <si>
    <t>Nº</t>
  </si>
  <si>
    <t>Nº Inicial a Exportar de DATOS FIJOS</t>
  </si>
  <si>
    <t>FastTest PlugIn</t>
  </si>
  <si>
    <t>Nombre</t>
  </si>
  <si>
    <t>V1.2</t>
  </si>
  <si>
    <t>https://i.ibb.co/qMW1Ssz/Prisma-rectangular.png</t>
  </si>
  <si>
    <t>Nombre_Imagen</t>
  </si>
  <si>
    <r>
      <t xml:space="preserve">Los datos a introducir son: </t>
    </r>
    <r>
      <rPr>
        <b/>
        <sz val="11"/>
        <color rgb="FF005877"/>
        <rFont val="Calibri"/>
        <family val="2"/>
        <scheme val="minor"/>
      </rPr>
      <t xml:space="preserve">NOMBRE, URL </t>
    </r>
    <r>
      <rPr>
        <sz val="11"/>
        <color rgb="FF005877"/>
        <rFont val="Calibri"/>
        <family val="2"/>
        <scheme val="minor"/>
      </rPr>
      <t xml:space="preserve">de la imagen en la cuenta de </t>
    </r>
    <r>
      <rPr>
        <b/>
        <sz val="11"/>
        <color rgb="FF005877"/>
        <rFont val="Calibri"/>
        <family val="2"/>
        <scheme val="minor"/>
      </rPr>
      <t xml:space="preserve">IMGBB </t>
    </r>
    <r>
      <rPr>
        <sz val="11"/>
        <color rgb="FF005877"/>
        <rFont val="Calibri"/>
        <family val="2"/>
        <scheme val="minor"/>
      </rPr>
      <t xml:space="preserve">y </t>
    </r>
    <r>
      <rPr>
        <b/>
        <sz val="11"/>
        <color rgb="FF005877"/>
        <rFont val="Calibri"/>
        <family val="2"/>
        <scheme val="minor"/>
      </rPr>
      <t>DIMENSIONES.</t>
    </r>
    <r>
      <rPr>
        <sz val="11"/>
        <color rgb="FF005877"/>
        <rFont val="Calibri"/>
        <family val="2"/>
        <scheme val="minor"/>
      </rPr>
      <t xml:space="preserve"> Para el tamaño de la imagen conviene poner solo el </t>
    </r>
    <r>
      <rPr>
        <b/>
        <sz val="11"/>
        <color rgb="FF005877"/>
        <rFont val="Calibri"/>
        <family val="2"/>
        <scheme val="minor"/>
      </rPr>
      <t>ANCHO</t>
    </r>
    <r>
      <rPr>
        <sz val="11"/>
        <color rgb="FF005877"/>
        <rFont val="Calibri"/>
        <family val="2"/>
        <scheme val="minor"/>
      </rPr>
      <t xml:space="preserve"> o el </t>
    </r>
    <r>
      <rPr>
        <b/>
        <sz val="11"/>
        <color rgb="FF005877"/>
        <rFont val="Calibri"/>
        <family val="2"/>
        <scheme val="minor"/>
      </rPr>
      <t>ALTO</t>
    </r>
    <r>
      <rPr>
        <sz val="11"/>
        <color rgb="FF005877"/>
        <rFont val="Calibri"/>
        <family val="2"/>
        <scheme val="minor"/>
      </rPr>
      <t>. Si uno de los dos se deja en blanco, el otro valor se queda por defecto y no se distorsiona la imagen.</t>
    </r>
  </si>
  <si>
    <t>4) Este problema es muy fácil.</t>
  </si>
  <si>
    <t>Esta pregunta es un ejemplo para usar Opción Múltiple.</t>
  </si>
  <si>
    <r>
      <t xml:space="preserve">Esta hoja es para insertar los enlaces de las </t>
    </r>
    <r>
      <rPr>
        <b/>
        <sz val="11"/>
        <color rgb="FF005877"/>
        <rFont val="Calibri"/>
        <family val="2"/>
        <scheme val="minor"/>
      </rPr>
      <t xml:space="preserve">IMÁGENES </t>
    </r>
    <r>
      <rPr>
        <sz val="11"/>
        <color rgb="FF005877"/>
        <rFont val="Calibri"/>
        <family val="2"/>
        <scheme val="minor"/>
      </rPr>
      <t>que se necesiten para el problema en cuestión. Las imágenes tendrán que estar en una cuenta de IMGBB (</t>
    </r>
    <r>
      <rPr>
        <b/>
        <sz val="11"/>
        <color rgb="FFFF0000"/>
        <rFont val="Calibri"/>
        <family val="2"/>
        <scheme val="minor"/>
      </rPr>
      <t>https://imgbb.com/</t>
    </r>
    <r>
      <rPr>
        <sz val="11"/>
        <color rgb="FF005877"/>
        <rFont val="Calibri"/>
        <family val="2"/>
        <scheme val="minor"/>
      </rPr>
      <t>), recomendable crear una carpeta llamada IMAGENES compartida para visualizar por cualquiera que tenga el enlace. El código ID se genera con la fórmula que hay a la derecha.".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</si>
</sst>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 &quot;cm&quot;"/>
    <numFmt numFmtId="165" formatCode="#,###\ &quot;cm³&quot;"/>
    <numFmt numFmtId="166" formatCode="#,###\ &quot;cm²&quot;"/>
    <numFmt numFmtId="167" formatCode="@&quot; =&quot;"/>
    <numFmt numFmtId="168" formatCode="#,###\ &quot;m⁴&quot;"/>
    <numFmt numFmtId="169" formatCode="#,###\ &quot;m³&quot;"/>
    <numFmt numFmtId="170" formatCode="#,###\ &quot;m²&quot;"/>
    <numFmt numFmtId="171" formatCode="#,###\ &quot;cm&quot;"/>
    <numFmt numFmtId="172" formatCode="&quot;N. problemas FTP:  &quot;\ 0"/>
  </numFmts>
  <fonts count="33" x14ac:knownFonts="1">
    <font>
      <sz val="11"/>
      <color theme="1"/>
      <name val="Calibri"/>
      <family val="2"/>
      <scheme val="minor"/>
    </font>
    <font>
      <b/>
      <sz val="11"/>
      <color theme="1"/>
      <name val="Calibri"/>
      <family val="2"/>
      <scheme val="minor"/>
    </font>
    <font>
      <u/>
      <sz val="11"/>
      <color theme="1"/>
      <name val="Calibri"/>
      <family val="2"/>
      <scheme val="minor"/>
    </font>
    <font>
      <b/>
      <sz val="11"/>
      <color rgb="FFFF0000"/>
      <name val="Calibri"/>
      <family val="2"/>
      <scheme val="minor"/>
    </font>
    <font>
      <b/>
      <sz val="11"/>
      <color theme="0"/>
      <name val="Calibri"/>
      <family val="2"/>
      <scheme val="minor"/>
    </font>
    <font>
      <b/>
      <sz val="9"/>
      <color theme="0"/>
      <name val="Calibri"/>
      <family val="2"/>
      <scheme val="minor"/>
    </font>
    <font>
      <i/>
      <sz val="11"/>
      <color theme="1"/>
      <name val="Calibri"/>
      <family val="2"/>
      <scheme val="minor"/>
    </font>
    <font>
      <sz val="11"/>
      <color theme="1"/>
      <name val="Courier New"/>
      <family val="3"/>
    </font>
    <font>
      <sz val="10"/>
      <name val="Arial"/>
      <family val="2"/>
    </font>
    <font>
      <sz val="11"/>
      <name val="Calibri"/>
      <family val="2"/>
      <scheme val="minor"/>
    </font>
    <font>
      <b/>
      <sz val="11"/>
      <color theme="4" tint="-0.249977111117893"/>
      <name val="Calibri"/>
      <family val="2"/>
      <scheme val="minor"/>
    </font>
    <font>
      <b/>
      <sz val="11"/>
      <color rgb="FF005877"/>
      <name val="Calibri"/>
      <family val="2"/>
      <scheme val="minor"/>
    </font>
    <font>
      <sz val="11"/>
      <color rgb="FF005877"/>
      <name val="Calibri"/>
      <family val="2"/>
      <scheme val="minor"/>
    </font>
    <font>
      <sz val="11"/>
      <color rgb="FFFF0000"/>
      <name val="Calibri"/>
      <family val="2"/>
      <scheme val="minor"/>
    </font>
    <font>
      <u/>
      <sz val="11"/>
      <color theme="10"/>
      <name val="Calibri"/>
      <family val="2"/>
      <scheme val="minor"/>
    </font>
    <font>
      <b/>
      <u/>
      <sz val="11"/>
      <color theme="0"/>
      <name val="Calibri"/>
      <family val="2"/>
      <scheme val="minor"/>
    </font>
    <font>
      <i/>
      <sz val="11"/>
      <color rgb="FF005877"/>
      <name val="Calibri"/>
      <family val="2"/>
      <scheme val="minor"/>
    </font>
    <font>
      <u/>
      <sz val="16"/>
      <color rgb="FFE87B00"/>
      <name val="Calibri"/>
      <family val="2"/>
      <scheme val="minor"/>
    </font>
    <font>
      <b/>
      <sz val="9"/>
      <color indexed="81"/>
      <name val="Tahoma"/>
      <family val="2"/>
    </font>
    <font>
      <b/>
      <i/>
      <sz val="11"/>
      <color rgb="FFE87B00"/>
      <name val="Calibri"/>
      <family val="2"/>
      <scheme val="minor"/>
    </font>
    <font>
      <b/>
      <u/>
      <sz val="14"/>
      <color rgb="FFE87B00"/>
      <name val="Calibri"/>
      <family val="2"/>
      <scheme val="minor"/>
    </font>
    <font>
      <b/>
      <sz val="11"/>
      <color rgb="FFE87B00"/>
      <name val="Calibri"/>
      <family val="2"/>
      <scheme val="minor"/>
    </font>
    <font>
      <sz val="11"/>
      <color theme="1"/>
      <name val="Calibri"/>
      <family val="2"/>
      <scheme val="minor"/>
    </font>
    <font>
      <b/>
      <sz val="8"/>
      <color rgb="FFFF0000"/>
      <name val="Calibri"/>
      <family val="2"/>
      <scheme val="minor"/>
    </font>
    <font>
      <b/>
      <sz val="12"/>
      <color theme="1"/>
      <name val="Calibri"/>
      <family val="2"/>
      <scheme val="minor"/>
    </font>
    <font>
      <b/>
      <sz val="14"/>
      <color theme="0"/>
      <name val="Calibri"/>
      <family val="2"/>
      <scheme val="minor"/>
    </font>
    <font>
      <b/>
      <sz val="16"/>
      <color rgb="FF005877"/>
      <name val="Calibri"/>
      <family val="2"/>
      <scheme val="minor"/>
    </font>
    <font>
      <b/>
      <sz val="10"/>
      <color rgb="FFFF0000"/>
      <name val="Calibri"/>
      <family val="2"/>
      <scheme val="minor"/>
    </font>
    <font>
      <sz val="10"/>
      <color theme="1"/>
      <name val="Calibri"/>
      <family val="2"/>
      <scheme val="minor"/>
    </font>
    <font>
      <sz val="8"/>
      <color theme="1"/>
      <name val="Calibri"/>
      <family val="2"/>
      <scheme val="minor"/>
    </font>
    <font>
      <b/>
      <sz val="16"/>
      <color theme="0"/>
      <name val="Calibri"/>
      <family val="2"/>
      <scheme val="minor"/>
    </font>
    <font>
      <b/>
      <sz val="18"/>
      <color rgb="FF005877"/>
      <name val="Calibri"/>
      <family val="2"/>
      <scheme val="minor"/>
    </font>
    <font>
      <b/>
      <i/>
      <sz val="11"/>
      <color theme="1"/>
      <name val="Calibri"/>
      <family val="2"/>
      <scheme val="minor"/>
    </font>
  </fonts>
  <fills count="12">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
      <patternFill patternType="solid">
        <fgColor theme="4"/>
        <bgColor theme="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005877"/>
        <bgColor indexed="64"/>
      </patternFill>
    </fill>
    <fill>
      <patternFill patternType="solid">
        <fgColor rgb="FFE87B00"/>
        <bgColor indexed="64"/>
      </patternFill>
    </fill>
    <fill>
      <patternFill patternType="solid">
        <fgColor theme="5"/>
        <bgColor indexed="64"/>
      </patternFill>
    </fill>
  </fills>
  <borders count="58">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indexed="64"/>
      </left>
      <right style="thin">
        <color indexed="64"/>
      </right>
      <top/>
      <bottom/>
      <diagonal/>
    </border>
    <border>
      <left style="medium">
        <color indexed="64"/>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thick">
        <color rgb="FF005877"/>
      </left>
      <right style="thick">
        <color rgb="FF005877"/>
      </right>
      <top style="thick">
        <color rgb="FF005877"/>
      </top>
      <bottom/>
      <diagonal/>
    </border>
    <border>
      <left style="thick">
        <color rgb="FF005877"/>
      </left>
      <right style="thick">
        <color rgb="FF005877"/>
      </right>
      <top/>
      <bottom/>
      <diagonal/>
    </border>
    <border>
      <left style="thick">
        <color rgb="FF005877"/>
      </left>
      <right style="thick">
        <color rgb="FF005877"/>
      </right>
      <top/>
      <bottom style="thick">
        <color rgb="FF005877"/>
      </bottom>
      <diagonal/>
    </border>
    <border>
      <left style="thick">
        <color rgb="FF005877"/>
      </left>
      <right/>
      <top style="thick">
        <color rgb="FF005877"/>
      </top>
      <bottom/>
      <diagonal/>
    </border>
    <border>
      <left/>
      <right/>
      <top style="thick">
        <color rgb="FF005877"/>
      </top>
      <bottom/>
      <diagonal/>
    </border>
    <border>
      <left/>
      <right style="thick">
        <color rgb="FF005877"/>
      </right>
      <top style="thick">
        <color rgb="FF005877"/>
      </top>
      <bottom/>
      <diagonal/>
    </border>
    <border>
      <left style="thick">
        <color rgb="FF005877"/>
      </left>
      <right/>
      <top/>
      <bottom/>
      <diagonal/>
    </border>
    <border>
      <left/>
      <right style="thick">
        <color rgb="FF005877"/>
      </right>
      <top/>
      <bottom/>
      <diagonal/>
    </border>
    <border>
      <left style="thick">
        <color rgb="FF005877"/>
      </left>
      <right/>
      <top/>
      <bottom style="thick">
        <color rgb="FF005877"/>
      </bottom>
      <diagonal/>
    </border>
    <border>
      <left/>
      <right/>
      <top/>
      <bottom style="thick">
        <color rgb="FF005877"/>
      </bottom>
      <diagonal/>
    </border>
    <border>
      <left/>
      <right style="thick">
        <color rgb="FF005877"/>
      </right>
      <top/>
      <bottom style="thick">
        <color rgb="FF005877"/>
      </bottom>
      <diagonal/>
    </border>
    <border>
      <left style="thick">
        <color rgb="FF005877"/>
      </left>
      <right/>
      <top style="thick">
        <color rgb="FF005877"/>
      </top>
      <bottom style="thick">
        <color rgb="FF005877"/>
      </bottom>
      <diagonal/>
    </border>
    <border>
      <left/>
      <right/>
      <top style="thick">
        <color rgb="FF005877"/>
      </top>
      <bottom style="thick">
        <color rgb="FF005877"/>
      </bottom>
      <diagonal/>
    </border>
    <border>
      <left/>
      <right style="thick">
        <color rgb="FF005877"/>
      </right>
      <top style="thick">
        <color rgb="FF005877"/>
      </top>
      <bottom style="thick">
        <color rgb="FF005877"/>
      </bottom>
      <diagonal/>
    </border>
    <border>
      <left style="thick">
        <color theme="0"/>
      </left>
      <right style="thick">
        <color theme="0"/>
      </right>
      <top style="thick">
        <color theme="0"/>
      </top>
      <bottom style="thick">
        <color theme="0"/>
      </bottom>
      <diagonal/>
    </border>
    <border>
      <left style="thick">
        <color theme="0"/>
      </left>
      <right/>
      <top/>
      <bottom/>
      <diagonal/>
    </border>
    <border>
      <left style="thick">
        <color theme="0"/>
      </left>
      <right/>
      <top style="thick">
        <color theme="0"/>
      </top>
      <bottom style="thick">
        <color theme="0"/>
      </bottom>
      <diagonal/>
    </border>
    <border>
      <left/>
      <right/>
      <top style="thick">
        <color theme="0"/>
      </top>
      <bottom style="thick">
        <color theme="0"/>
      </bottom>
      <diagonal/>
    </border>
    <border>
      <left/>
      <right style="thick">
        <color theme="0"/>
      </right>
      <top style="thick">
        <color theme="0"/>
      </top>
      <bottom style="thick">
        <color theme="0"/>
      </bottom>
      <diagonal/>
    </border>
    <border>
      <left style="thick">
        <color rgb="FF005877"/>
      </left>
      <right style="thick">
        <color rgb="FF005877"/>
      </right>
      <top style="thick">
        <color rgb="FF005877"/>
      </top>
      <bottom style="thick">
        <color rgb="FF005877"/>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thick">
        <color theme="0"/>
      </left>
      <right style="thick">
        <color theme="0"/>
      </right>
      <top style="thick">
        <color theme="0"/>
      </top>
      <bottom/>
      <diagonal/>
    </border>
  </borders>
  <cellStyleXfs count="4">
    <xf numFmtId="0" fontId="0" fillId="0" borderId="0"/>
    <xf numFmtId="0" fontId="8" fillId="0" borderId="0"/>
    <xf numFmtId="0" fontId="14" fillId="0" borderId="0" applyNumberFormat="0" applyFill="0" applyBorder="0" applyAlignment="0" applyProtection="0"/>
    <xf numFmtId="9" fontId="22" fillId="0" borderId="0" applyFont="0" applyFill="0" applyBorder="0" applyAlignment="0" applyProtection="0"/>
  </cellStyleXfs>
  <cellXfs count="171">
    <xf numFmtId="0" fontId="0" fillId="0" borderId="0" xfId="0"/>
    <xf numFmtId="0" fontId="2" fillId="0" borderId="0" xfId="0" applyFont="1"/>
    <xf numFmtId="0" fontId="4" fillId="4" borderId="1" xfId="0" applyFont="1" applyFill="1" applyBorder="1" applyAlignment="1">
      <alignment horizont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0" fillId="0" borderId="0" xfId="0" applyAlignment="1">
      <alignment horizontal="center" vertical="center"/>
    </xf>
    <xf numFmtId="167" fontId="0" fillId="0" borderId="0" xfId="0" applyNumberFormat="1" applyAlignment="1">
      <alignment horizontal="right" indent="1"/>
    </xf>
    <xf numFmtId="0" fontId="1" fillId="0" borderId="0" xfId="0" applyFont="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1" fillId="0" borderId="4" xfId="0" applyFont="1" applyBorder="1"/>
    <xf numFmtId="0" fontId="1" fillId="0" borderId="5" xfId="0" applyFont="1" applyBorder="1"/>
    <xf numFmtId="0" fontId="1" fillId="0" borderId="6" xfId="0" applyFont="1" applyBorder="1"/>
    <xf numFmtId="0" fontId="1" fillId="0" borderId="13" xfId="0" applyFont="1" applyBorder="1"/>
    <xf numFmtId="0" fontId="1" fillId="0" borderId="7" xfId="0" applyFont="1" applyBorder="1"/>
    <xf numFmtId="0" fontId="1" fillId="0" borderId="14" xfId="0" applyFont="1" applyBorder="1"/>
    <xf numFmtId="0" fontId="4" fillId="4" borderId="0" xfId="0" applyFont="1" applyFill="1" applyAlignment="1">
      <alignment vertical="center"/>
    </xf>
    <xf numFmtId="0" fontId="4" fillId="4" borderId="0" xfId="0" applyFont="1" applyFill="1" applyAlignment="1">
      <alignment horizontal="center" vertical="center"/>
    </xf>
    <xf numFmtId="0" fontId="10" fillId="7" borderId="0" xfId="0" applyFont="1" applyFill="1" applyAlignment="1">
      <alignment horizontal="center" vertical="center"/>
    </xf>
    <xf numFmtId="0" fontId="10" fillId="7" borderId="16" xfId="0" applyFont="1" applyFill="1" applyBorder="1" applyAlignment="1">
      <alignment horizontal="center" vertical="center"/>
    </xf>
    <xf numFmtId="0" fontId="10" fillId="3" borderId="19" xfId="0" applyFont="1" applyFill="1" applyBorder="1" applyAlignment="1">
      <alignment horizontal="center" vertical="center" shrinkToFit="1"/>
    </xf>
    <xf numFmtId="0" fontId="1" fillId="0" borderId="1" xfId="0" applyFont="1" applyBorder="1" applyAlignment="1">
      <alignment horizontal="center" vertical="center"/>
    </xf>
    <xf numFmtId="0" fontId="0" fillId="0" borderId="21" xfId="0" applyBorder="1"/>
    <xf numFmtId="0" fontId="0" fillId="0" borderId="22" xfId="0" applyBorder="1"/>
    <xf numFmtId="0" fontId="0" fillId="0" borderId="20" xfId="0" applyBorder="1"/>
    <xf numFmtId="166" fontId="0" fillId="0" borderId="0" xfId="0" applyNumberFormat="1" applyAlignment="1">
      <alignment horizontal="right" indent="1" shrinkToFit="1"/>
    </xf>
    <xf numFmtId="0" fontId="0" fillId="0" borderId="25" xfId="0" applyBorder="1"/>
    <xf numFmtId="0" fontId="1" fillId="0" borderId="21" xfId="0" applyFont="1" applyBorder="1"/>
    <xf numFmtId="0" fontId="0" fillId="0" borderId="26" xfId="0" applyBorder="1"/>
    <xf numFmtId="0" fontId="0" fillId="0" borderId="24" xfId="0" applyBorder="1"/>
    <xf numFmtId="169" fontId="0" fillId="0" borderId="0" xfId="0" applyNumberFormat="1" applyAlignment="1">
      <alignment horizontal="right" indent="1"/>
    </xf>
    <xf numFmtId="168" fontId="0" fillId="0" borderId="0" xfId="0" applyNumberFormat="1" applyAlignment="1">
      <alignment horizontal="right" indent="1"/>
    </xf>
    <xf numFmtId="0" fontId="0" fillId="0" borderId="27" xfId="0" applyBorder="1"/>
    <xf numFmtId="0" fontId="0" fillId="0" borderId="23" xfId="0" applyBorder="1"/>
    <xf numFmtId="170" fontId="0" fillId="0" borderId="26" xfId="0" applyNumberFormat="1" applyBorder="1" applyAlignment="1">
      <alignment horizontal="right" indent="1"/>
    </xf>
    <xf numFmtId="0" fontId="1" fillId="0" borderId="28" xfId="0" applyFont="1" applyBorder="1"/>
    <xf numFmtId="0" fontId="0" fillId="0" borderId="29" xfId="0" applyBorder="1"/>
    <xf numFmtId="0" fontId="0" fillId="0" borderId="30" xfId="0" applyBorder="1"/>
    <xf numFmtId="0" fontId="0" fillId="0" borderId="21" xfId="0" applyBorder="1" applyAlignment="1">
      <alignment horizontal="right" indent="1"/>
    </xf>
    <xf numFmtId="164" fontId="0" fillId="0" borderId="26" xfId="0" applyNumberFormat="1" applyBorder="1" applyAlignment="1">
      <alignment horizontal="right" indent="1" shrinkToFit="1"/>
    </xf>
    <xf numFmtId="0" fontId="0" fillId="0" borderId="24" xfId="0" applyBorder="1" applyAlignment="1">
      <alignment horizontal="right" indent="1"/>
    </xf>
    <xf numFmtId="164" fontId="0" fillId="0" borderId="0" xfId="0" applyNumberFormat="1" applyAlignment="1">
      <alignment horizontal="right" indent="1" shrinkToFit="1"/>
    </xf>
    <xf numFmtId="0" fontId="0" fillId="0" borderId="20" xfId="0" applyBorder="1" applyAlignment="1">
      <alignment horizontal="right" indent="1"/>
    </xf>
    <xf numFmtId="165" fontId="0" fillId="0" borderId="27" xfId="0" applyNumberFormat="1" applyBorder="1" applyAlignment="1">
      <alignment horizontal="right" indent="1" shrinkToFit="1"/>
    </xf>
    <xf numFmtId="0" fontId="0" fillId="0" borderId="18" xfId="0" applyBorder="1" applyAlignment="1">
      <alignment horizontal="center" vertical="center"/>
    </xf>
    <xf numFmtId="3" fontId="0" fillId="0" borderId="18" xfId="0" applyNumberFormat="1" applyBorder="1" applyAlignment="1">
      <alignment horizontal="center" vertical="center"/>
    </xf>
    <xf numFmtId="171" fontId="0" fillId="0" borderId="0" xfId="0" applyNumberFormat="1" applyAlignment="1">
      <alignment horizontal="right" indent="1" shrinkToFit="1"/>
    </xf>
    <xf numFmtId="166" fontId="0" fillId="0" borderId="0" xfId="0" applyNumberFormat="1" applyAlignment="1">
      <alignment horizontal="right" shrinkToFit="1"/>
    </xf>
    <xf numFmtId="165" fontId="0" fillId="0" borderId="0" xfId="0" applyNumberFormat="1" applyAlignment="1">
      <alignment horizontal="right" shrinkToFit="1"/>
    </xf>
    <xf numFmtId="0" fontId="0" fillId="0" borderId="31" xfId="0" applyBorder="1" applyAlignment="1">
      <alignment horizontal="center" vertical="center"/>
    </xf>
    <xf numFmtId="0" fontId="0" fillId="0" borderId="32" xfId="0" applyBorder="1" applyAlignment="1">
      <alignment horizontal="center" vertical="center"/>
    </xf>
    <xf numFmtId="0" fontId="3" fillId="0" borderId="0" xfId="0" applyFont="1"/>
    <xf numFmtId="0" fontId="0" fillId="0" borderId="7" xfId="0" applyBorder="1" applyAlignment="1">
      <alignment horizontal="center" shrinkToFit="1"/>
    </xf>
    <xf numFmtId="0" fontId="11" fillId="5" borderId="0" xfId="0" applyFont="1" applyFill="1" applyAlignment="1">
      <alignment horizontal="left" vertical="center" shrinkToFit="1"/>
    </xf>
    <xf numFmtId="0" fontId="13" fillId="0" borderId="0" xfId="0" applyFont="1" applyAlignment="1">
      <alignment horizontal="center" vertical="center"/>
    </xf>
    <xf numFmtId="0" fontId="3" fillId="0" borderId="0" xfId="0" applyFont="1" applyAlignment="1">
      <alignment horizontal="center" vertical="center" shrinkToFit="1"/>
    </xf>
    <xf numFmtId="0" fontId="10" fillId="6" borderId="5" xfId="0" applyFont="1" applyFill="1" applyBorder="1" applyAlignment="1">
      <alignment horizontal="center" vertical="center" shrinkToFit="1"/>
    </xf>
    <xf numFmtId="0" fontId="11" fillId="5" borderId="0" xfId="0" quotePrefix="1" applyFont="1" applyFill="1" applyAlignment="1">
      <alignment horizontal="center" vertical="center" shrinkToFit="1"/>
    </xf>
    <xf numFmtId="0" fontId="0" fillId="0" borderId="0" xfId="0" applyAlignment="1">
      <alignment horizontal="center" shrinkToFit="1"/>
    </xf>
    <xf numFmtId="0" fontId="10" fillId="6" borderId="6" xfId="0" applyFont="1" applyFill="1" applyBorder="1" applyAlignment="1">
      <alignment horizontal="center" vertical="center" shrinkToFit="1"/>
    </xf>
    <xf numFmtId="0" fontId="0" fillId="0" borderId="12" xfId="0" applyBorder="1" applyAlignment="1">
      <alignment horizontal="center" shrinkToFit="1"/>
    </xf>
    <xf numFmtId="0" fontId="0" fillId="0" borderId="14" xfId="0" applyBorder="1" applyAlignment="1">
      <alignment horizontal="center" shrinkToFit="1"/>
    </xf>
    <xf numFmtId="0" fontId="10" fillId="6" borderId="16" xfId="0" applyFont="1" applyFill="1" applyBorder="1" applyAlignment="1">
      <alignment horizontal="center" vertical="center" shrinkToFit="1"/>
    </xf>
    <xf numFmtId="0" fontId="0" fillId="0" borderId="19" xfId="0" applyBorder="1" applyAlignment="1">
      <alignment horizontal="center" vertical="center" shrinkToFit="1"/>
    </xf>
    <xf numFmtId="0" fontId="0" fillId="0" borderId="33" xfId="0" applyBorder="1" applyAlignment="1">
      <alignment horizontal="center" vertical="center" shrinkToFit="1"/>
    </xf>
    <xf numFmtId="0" fontId="12" fillId="0" borderId="0" xfId="0" quotePrefix="1" applyFont="1" applyAlignment="1">
      <alignment vertical="center"/>
    </xf>
    <xf numFmtId="0" fontId="0" fillId="0" borderId="17" xfId="0" applyBorder="1" applyAlignment="1">
      <alignment vertical="center"/>
    </xf>
    <xf numFmtId="0" fontId="0" fillId="0" borderId="15" xfId="0" applyBorder="1" applyAlignment="1">
      <alignment vertical="center"/>
    </xf>
    <xf numFmtId="0" fontId="0" fillId="0" borderId="15" xfId="0" applyBorder="1" applyAlignment="1">
      <alignment horizontal="center" vertical="center"/>
    </xf>
    <xf numFmtId="3" fontId="0" fillId="0" borderId="15" xfId="0" applyNumberFormat="1" applyBorder="1" applyAlignment="1">
      <alignment horizontal="center" vertical="center"/>
    </xf>
    <xf numFmtId="0" fontId="1" fillId="0" borderId="0" xfId="0" applyFont="1" applyAlignment="1">
      <alignment horizontal="center" vertical="center" shrinkToFit="1"/>
    </xf>
    <xf numFmtId="0" fontId="1" fillId="0" borderId="0" xfId="0" applyFont="1" applyProtection="1">
      <protection locked="0"/>
    </xf>
    <xf numFmtId="0" fontId="7" fillId="0" borderId="0" xfId="0" applyFont="1"/>
    <xf numFmtId="0" fontId="1" fillId="0" borderId="0" xfId="0" applyFont="1" applyAlignment="1" applyProtection="1">
      <alignment horizontal="center"/>
      <protection locked="0"/>
    </xf>
    <xf numFmtId="0" fontId="14" fillId="0" borderId="0" xfId="2" applyProtection="1">
      <protection locked="0"/>
    </xf>
    <xf numFmtId="0" fontId="17" fillId="0" borderId="0" xfId="2" applyFont="1" applyAlignment="1">
      <alignment horizontal="center" vertical="center"/>
    </xf>
    <xf numFmtId="0" fontId="11" fillId="0" borderId="40" xfId="0" applyFont="1" applyBorder="1" applyAlignment="1">
      <alignment vertical="top"/>
    </xf>
    <xf numFmtId="0" fontId="12" fillId="0" borderId="0" xfId="0" applyFont="1" applyAlignment="1">
      <alignment horizontal="justify" vertical="top" wrapText="1"/>
    </xf>
    <xf numFmtId="0" fontId="12" fillId="0" borderId="41" xfId="0" applyFont="1" applyBorder="1"/>
    <xf numFmtId="0" fontId="11" fillId="0" borderId="42" xfId="0" applyFont="1" applyBorder="1" applyAlignment="1">
      <alignment vertical="top"/>
    </xf>
    <xf numFmtId="0" fontId="12" fillId="0" borderId="43" xfId="0" applyFont="1" applyBorder="1" applyAlignment="1">
      <alignment horizontal="justify" vertical="top" wrapText="1"/>
    </xf>
    <xf numFmtId="0" fontId="12" fillId="0" borderId="44" xfId="0" applyFont="1" applyBorder="1"/>
    <xf numFmtId="0" fontId="12" fillId="0" borderId="0" xfId="0" applyFont="1"/>
    <xf numFmtId="0" fontId="11" fillId="0" borderId="37" xfId="0" applyFont="1" applyBorder="1" applyAlignment="1">
      <alignment vertical="top"/>
    </xf>
    <xf numFmtId="0" fontId="12" fillId="0" borderId="38" xfId="0" applyFont="1" applyBorder="1" applyAlignment="1">
      <alignment horizontal="justify" vertical="top" wrapText="1"/>
    </xf>
    <xf numFmtId="0" fontId="12" fillId="0" borderId="39" xfId="0" applyFont="1" applyBorder="1"/>
    <xf numFmtId="3" fontId="0" fillId="0" borderId="0" xfId="0" applyNumberFormat="1" applyAlignment="1">
      <alignment horizontal="center" vertical="center"/>
    </xf>
    <xf numFmtId="0" fontId="10" fillId="0" borderId="19" xfId="0" applyFont="1" applyBorder="1" applyAlignment="1">
      <alignment horizontal="center" vertical="center" shrinkToFit="1"/>
    </xf>
    <xf numFmtId="0" fontId="1" fillId="0" borderId="0" xfId="0" applyFont="1" applyAlignment="1">
      <alignment horizontal="center" vertical="center"/>
    </xf>
    <xf numFmtId="0" fontId="0" fillId="0" borderId="0" xfId="0" quotePrefix="1"/>
    <xf numFmtId="0" fontId="23" fillId="5" borderId="48" xfId="0" applyFont="1" applyFill="1" applyBorder="1" applyAlignment="1">
      <alignment horizontal="left" vertical="center" shrinkToFit="1"/>
    </xf>
    <xf numFmtId="0" fontId="23" fillId="5" borderId="48" xfId="0" applyFont="1" applyFill="1" applyBorder="1" applyAlignment="1">
      <alignment horizontal="left" shrinkToFit="1"/>
    </xf>
    <xf numFmtId="0" fontId="23" fillId="5" borderId="48" xfId="0" applyFont="1" applyFill="1" applyBorder="1" applyAlignment="1">
      <alignment horizontal="left" vertical="center" wrapText="1" shrinkToFit="1"/>
    </xf>
    <xf numFmtId="0" fontId="4" fillId="9" borderId="0" xfId="0" applyFont="1" applyFill="1" applyAlignment="1">
      <alignment horizontal="center" vertical="center"/>
    </xf>
    <xf numFmtId="0" fontId="25" fillId="10" borderId="48" xfId="0" applyFont="1" applyFill="1" applyBorder="1" applyAlignment="1" applyProtection="1">
      <alignment horizontal="center" vertical="center" shrinkToFit="1"/>
      <protection locked="0"/>
    </xf>
    <xf numFmtId="0" fontId="3" fillId="7" borderId="0" xfId="0" applyFont="1" applyFill="1" applyAlignment="1">
      <alignment horizontal="left" vertical="top" wrapText="1"/>
    </xf>
    <xf numFmtId="0" fontId="10" fillId="7" borderId="0" xfId="0" applyFont="1" applyFill="1" applyAlignment="1">
      <alignment horizontal="left" vertical="top" wrapText="1"/>
    </xf>
    <xf numFmtId="0" fontId="4" fillId="9" borderId="0" xfId="0" applyFont="1" applyFill="1" applyAlignment="1">
      <alignment vertical="center" textRotation="90"/>
    </xf>
    <xf numFmtId="0" fontId="26" fillId="0" borderId="53" xfId="0" applyFont="1" applyBorder="1" applyAlignment="1">
      <alignment horizontal="center" vertical="center" shrinkToFit="1"/>
    </xf>
    <xf numFmtId="0" fontId="11" fillId="8" borderId="0" xfId="0" applyFont="1" applyFill="1" applyAlignment="1">
      <alignment vertical="center" shrinkToFit="1"/>
    </xf>
    <xf numFmtId="0" fontId="27" fillId="0" borderId="0" xfId="0" applyFont="1" applyAlignment="1">
      <alignment horizontal="center" wrapText="1"/>
    </xf>
    <xf numFmtId="0" fontId="28" fillId="0" borderId="0" xfId="0" applyFont="1"/>
    <xf numFmtId="0" fontId="27" fillId="0" borderId="0" xfId="0" applyFont="1" applyAlignment="1">
      <alignment horizontal="center" vertical="top"/>
    </xf>
    <xf numFmtId="0" fontId="27" fillId="0" borderId="0" xfId="0" applyFont="1" applyAlignment="1">
      <alignment horizontal="left" vertical="top" wrapText="1"/>
    </xf>
    <xf numFmtId="0" fontId="3" fillId="0" borderId="0" xfId="0" applyFont="1" applyAlignment="1">
      <alignment horizontal="center" vertical="center" wrapText="1"/>
    </xf>
    <xf numFmtId="0" fontId="0" fillId="0" borderId="0" xfId="0" applyAlignment="1">
      <alignment vertical="top" shrinkToFit="1"/>
    </xf>
    <xf numFmtId="0" fontId="4" fillId="11" borderId="54" xfId="0" applyFont="1" applyFill="1" applyBorder="1" applyAlignment="1" applyProtection="1">
      <alignment horizontal="center" vertical="top"/>
      <protection locked="0"/>
    </xf>
    <xf numFmtId="9" fontId="4" fillId="11" borderId="55" xfId="3" applyFont="1" applyFill="1" applyBorder="1" applyAlignment="1" applyProtection="1">
      <alignment horizontal="center" vertical="top"/>
      <protection locked="0"/>
    </xf>
    <xf numFmtId="9" fontId="4" fillId="11" borderId="56" xfId="3" applyFont="1" applyFill="1" applyBorder="1" applyAlignment="1" applyProtection="1">
      <alignment horizontal="center" vertical="top"/>
      <protection locked="0"/>
    </xf>
    <xf numFmtId="0" fontId="1" fillId="0" borderId="0" xfId="0" applyFont="1" applyAlignment="1">
      <alignment horizontal="left" vertical="top" wrapText="1"/>
    </xf>
    <xf numFmtId="0" fontId="0" fillId="0" borderId="0" xfId="0" applyAlignment="1">
      <alignment horizontal="left"/>
    </xf>
    <xf numFmtId="0" fontId="0" fillId="0" borderId="0" xfId="0" applyAlignment="1">
      <alignment vertical="top"/>
    </xf>
    <xf numFmtId="0" fontId="0" fillId="0" borderId="0" xfId="0" applyAlignment="1">
      <alignment vertical="top" wrapText="1"/>
    </xf>
    <xf numFmtId="0" fontId="11" fillId="0" borderId="0" xfId="0" applyFont="1" applyAlignment="1">
      <alignment vertical="center" shrinkToFit="1"/>
    </xf>
    <xf numFmtId="0" fontId="27" fillId="0" borderId="0" xfId="0" applyFont="1" applyAlignment="1">
      <alignment horizontal="left" wrapText="1"/>
    </xf>
    <xf numFmtId="0" fontId="11" fillId="0" borderId="0" xfId="0" applyFont="1" applyAlignment="1">
      <alignment horizontal="center" wrapText="1" shrinkToFit="1"/>
    </xf>
    <xf numFmtId="0" fontId="10" fillId="7" borderId="17" xfId="0" applyFont="1" applyFill="1" applyBorder="1" applyAlignment="1">
      <alignment horizontal="center" vertical="center"/>
    </xf>
    <xf numFmtId="0" fontId="4" fillId="11" borderId="0" xfId="0" applyFont="1" applyFill="1" applyAlignment="1">
      <alignment horizontal="right" vertical="center" shrinkToFit="1"/>
    </xf>
    <xf numFmtId="0" fontId="4" fillId="4" borderId="20" xfId="0" applyFont="1" applyFill="1" applyBorder="1" applyAlignment="1">
      <alignment horizontal="center"/>
    </xf>
    <xf numFmtId="0" fontId="29" fillId="0" borderId="0" xfId="0" applyFont="1" applyAlignment="1">
      <alignment horizontal="center" wrapText="1"/>
    </xf>
    <xf numFmtId="0" fontId="30" fillId="10" borderId="48" xfId="0" applyFont="1" applyFill="1" applyBorder="1" applyAlignment="1" applyProtection="1">
      <alignment horizontal="center" vertical="center" shrinkToFit="1"/>
      <protection locked="0"/>
    </xf>
    <xf numFmtId="0" fontId="0" fillId="0" borderId="0" xfId="0" applyAlignment="1">
      <alignment vertical="center"/>
    </xf>
    <xf numFmtId="0" fontId="10" fillId="3" borderId="19" xfId="0" applyFont="1" applyFill="1" applyBorder="1" applyAlignment="1" applyProtection="1">
      <alignment horizontal="center" vertical="center" shrinkToFit="1"/>
      <protection locked="0"/>
    </xf>
    <xf numFmtId="0" fontId="4" fillId="10" borderId="19" xfId="0" applyFont="1" applyFill="1" applyBorder="1" applyAlignment="1" applyProtection="1">
      <alignment horizontal="center" vertical="center" shrinkToFit="1"/>
      <protection locked="0"/>
    </xf>
    <xf numFmtId="0" fontId="23" fillId="5" borderId="0" xfId="0" applyFont="1" applyFill="1" applyAlignment="1">
      <alignment horizontal="left" vertical="center" shrinkToFit="1"/>
    </xf>
    <xf numFmtId="0" fontId="4" fillId="10" borderId="48" xfId="0" applyFont="1" applyFill="1" applyBorder="1" applyAlignment="1" applyProtection="1">
      <alignment horizontal="center" shrinkToFit="1"/>
      <protection locked="0"/>
    </xf>
    <xf numFmtId="0" fontId="4" fillId="10" borderId="48" xfId="0" applyFont="1" applyFill="1" applyBorder="1" applyAlignment="1" applyProtection="1">
      <alignment horizontal="center" vertical="center" shrinkToFit="1"/>
      <protection locked="0"/>
    </xf>
    <xf numFmtId="0" fontId="4" fillId="10" borderId="57" xfId="0" applyFont="1" applyFill="1" applyBorder="1" applyAlignment="1" applyProtection="1">
      <alignment horizontal="center" vertical="center" shrinkToFit="1"/>
      <protection locked="0"/>
    </xf>
    <xf numFmtId="0" fontId="12" fillId="0" borderId="0" xfId="2" applyFont="1" applyAlignment="1">
      <alignment horizontal="justify" vertical="top" wrapText="1"/>
    </xf>
    <xf numFmtId="0" fontId="0" fillId="0" borderId="0" xfId="0" applyAlignment="1">
      <alignment wrapText="1"/>
    </xf>
    <xf numFmtId="0" fontId="11" fillId="0" borderId="34" xfId="0" applyFont="1" applyBorder="1" applyAlignment="1">
      <alignment horizontal="center" vertical="center" textRotation="90" shrinkToFit="1"/>
    </xf>
    <xf numFmtId="0" fontId="11" fillId="0" borderId="35" xfId="0" applyFont="1" applyBorder="1" applyAlignment="1">
      <alignment horizontal="center" vertical="center" textRotation="90" shrinkToFit="1"/>
    </xf>
    <xf numFmtId="0" fontId="11" fillId="0" borderId="36" xfId="0" applyFont="1" applyBorder="1" applyAlignment="1">
      <alignment horizontal="center" vertical="center" textRotation="90" shrinkToFit="1"/>
    </xf>
    <xf numFmtId="0" fontId="14" fillId="0" borderId="34" xfId="2" applyBorder="1" applyAlignment="1">
      <alignment horizontal="center" vertical="center" textRotation="90" shrinkToFit="1"/>
    </xf>
    <xf numFmtId="0" fontId="14" fillId="0" borderId="35" xfId="2" applyBorder="1" applyAlignment="1">
      <alignment horizontal="center" vertical="center" textRotation="90" shrinkToFit="1"/>
    </xf>
    <xf numFmtId="0" fontId="14" fillId="0" borderId="36" xfId="2" applyBorder="1" applyAlignment="1">
      <alignment horizontal="center" vertical="center" textRotation="90" shrinkToFit="1"/>
    </xf>
    <xf numFmtId="0" fontId="15" fillId="9" borderId="40" xfId="2" applyFont="1" applyFill="1" applyBorder="1" applyAlignment="1">
      <alignment horizontal="left"/>
    </xf>
    <xf numFmtId="0" fontId="15" fillId="9" borderId="0" xfId="2" applyFont="1" applyFill="1" applyBorder="1" applyAlignment="1">
      <alignment horizontal="left"/>
    </xf>
    <xf numFmtId="0" fontId="11" fillId="2" borderId="45" xfId="0" applyFont="1" applyFill="1" applyBorder="1" applyAlignment="1">
      <alignment horizontal="left" shrinkToFit="1"/>
    </xf>
    <xf numFmtId="0" fontId="11" fillId="2" borderId="46" xfId="0" applyFont="1" applyFill="1" applyBorder="1" applyAlignment="1">
      <alignment horizontal="left" shrinkToFit="1"/>
    </xf>
    <xf numFmtId="0" fontId="11" fillId="2" borderId="47" xfId="0" applyFont="1" applyFill="1" applyBorder="1" applyAlignment="1">
      <alignment horizontal="left" shrinkToFit="1"/>
    </xf>
    <xf numFmtId="0" fontId="20" fillId="0" borderId="0" xfId="2" applyFont="1" applyAlignment="1">
      <alignment horizontal="center" vertical="center" wrapText="1"/>
    </xf>
    <xf numFmtId="0" fontId="15" fillId="9" borderId="37" xfId="2" applyFont="1" applyFill="1" applyBorder="1" applyAlignment="1">
      <alignment horizontal="left"/>
    </xf>
    <xf numFmtId="0" fontId="15" fillId="9" borderId="38" xfId="2" applyFont="1" applyFill="1" applyBorder="1" applyAlignment="1">
      <alignment horizontal="left"/>
    </xf>
    <xf numFmtId="0" fontId="0" fillId="5" borderId="7" xfId="0" applyFill="1" applyBorder="1" applyAlignment="1">
      <alignment horizontal="justify" vertical="top" wrapText="1"/>
    </xf>
    <xf numFmtId="0" fontId="0" fillId="0" borderId="0" xfId="0" applyAlignment="1">
      <alignment horizontal="justify" vertical="top" wrapText="1"/>
    </xf>
    <xf numFmtId="0" fontId="0" fillId="0" borderId="0" xfId="0" applyAlignment="1">
      <alignment horizontal="center"/>
    </xf>
    <xf numFmtId="164" fontId="32" fillId="0" borderId="0" xfId="0" applyNumberFormat="1" applyFont="1" applyAlignment="1">
      <alignment horizontal="left" vertical="center"/>
    </xf>
    <xf numFmtId="0" fontId="0" fillId="0" borderId="0" xfId="0" applyAlignment="1">
      <alignment horizontal="left" wrapText="1" indent="4"/>
    </xf>
    <xf numFmtId="0" fontId="1" fillId="0" borderId="7" xfId="0" applyFont="1" applyBorder="1" applyAlignment="1">
      <alignment horizontal="left"/>
    </xf>
    <xf numFmtId="0" fontId="29" fillId="0" borderId="0" xfId="0" applyFont="1" applyAlignment="1">
      <alignment horizontal="center" wrapText="1"/>
    </xf>
    <xf numFmtId="172" fontId="24" fillId="5" borderId="50" xfId="0" quotePrefix="1" applyNumberFormat="1" applyFont="1" applyFill="1" applyBorder="1" applyAlignment="1">
      <alignment horizontal="left" vertical="center" indent="1" shrinkToFit="1"/>
    </xf>
    <xf numFmtId="172" fontId="24" fillId="5" borderId="51" xfId="0" quotePrefix="1" applyNumberFormat="1" applyFont="1" applyFill="1" applyBorder="1" applyAlignment="1">
      <alignment horizontal="left" vertical="center" indent="1" shrinkToFit="1"/>
    </xf>
    <xf numFmtId="172" fontId="24" fillId="5" borderId="52" xfId="0" quotePrefix="1" applyNumberFormat="1" applyFont="1" applyFill="1" applyBorder="1" applyAlignment="1">
      <alignment horizontal="left" vertical="center" indent="1" shrinkToFit="1"/>
    </xf>
    <xf numFmtId="0" fontId="4" fillId="9" borderId="11" xfId="0" applyFont="1" applyFill="1" applyBorder="1" applyAlignment="1">
      <alignment horizontal="center" vertical="center"/>
    </xf>
    <xf numFmtId="0" fontId="4" fillId="9" borderId="0" xfId="0" applyFont="1" applyFill="1" applyAlignment="1">
      <alignment horizontal="center" vertical="center"/>
    </xf>
    <xf numFmtId="164" fontId="6" fillId="0" borderId="0" xfId="0" applyNumberFormat="1" applyFont="1" applyAlignment="1">
      <alignment horizontal="left" vertical="center"/>
    </xf>
    <xf numFmtId="164" fontId="9" fillId="2" borderId="0" xfId="0" applyNumberFormat="1" applyFont="1" applyFill="1" applyAlignment="1">
      <alignment horizontal="center" vertical="center" shrinkToFit="1"/>
    </xf>
    <xf numFmtId="0" fontId="27" fillId="5" borderId="50" xfId="0" applyFont="1" applyFill="1" applyBorder="1" applyAlignment="1">
      <alignment horizontal="right" vertical="center" wrapText="1" indent="1" shrinkToFit="1"/>
    </xf>
    <xf numFmtId="0" fontId="27" fillId="5" borderId="52" xfId="0" applyFont="1" applyFill="1" applyBorder="1" applyAlignment="1">
      <alignment horizontal="right" vertical="center" wrapText="1" indent="1" shrinkToFit="1"/>
    </xf>
    <xf numFmtId="0" fontId="31" fillId="5" borderId="49" xfId="0" applyFont="1" applyFill="1" applyBorder="1" applyAlignment="1" applyProtection="1">
      <alignment horizontal="center" vertical="center" shrinkToFit="1"/>
      <protection locked="0"/>
    </xf>
    <xf numFmtId="0" fontId="31" fillId="5" borderId="0" xfId="0" applyFont="1" applyFill="1" applyAlignment="1" applyProtection="1">
      <alignment horizontal="center" vertical="center" shrinkToFit="1"/>
      <protection locked="0"/>
    </xf>
    <xf numFmtId="0" fontId="4" fillId="10" borderId="50" xfId="0" applyFont="1" applyFill="1" applyBorder="1" applyAlignment="1" applyProtection="1">
      <alignment horizontal="center" vertical="center" wrapText="1" shrinkToFit="1"/>
      <protection locked="0"/>
    </xf>
    <xf numFmtId="0" fontId="4" fillId="10" borderId="51" xfId="0" applyFont="1" applyFill="1" applyBorder="1" applyAlignment="1" applyProtection="1">
      <alignment horizontal="center" vertical="center" wrapText="1" shrinkToFit="1"/>
      <protection locked="0"/>
    </xf>
    <xf numFmtId="0" fontId="4" fillId="10" borderId="52" xfId="0" applyFont="1" applyFill="1" applyBorder="1" applyAlignment="1" applyProtection="1">
      <alignment horizontal="center" vertical="center" wrapText="1" shrinkToFit="1"/>
      <protection locked="0"/>
    </xf>
    <xf numFmtId="0" fontId="0" fillId="0" borderId="0" xfId="0" applyAlignment="1">
      <alignment horizontal="left" indent="4"/>
    </xf>
    <xf numFmtId="0" fontId="0" fillId="0" borderId="0" xfId="0" applyAlignment="1">
      <alignment horizontal="left" wrapText="1"/>
    </xf>
    <xf numFmtId="0" fontId="0" fillId="0" borderId="0" xfId="0" applyAlignment="1">
      <alignment horizontal="justify" wrapText="1"/>
    </xf>
  </cellXfs>
  <cellStyles count="4">
    <cellStyle name="Hipervínculo" xfId="2" builtinId="8"/>
    <cellStyle name="Normal" xfId="0" builtinId="0"/>
    <cellStyle name="Normal 2" xfId="1" xr:uid="{00000000-0005-0000-0000-000001000000}"/>
    <cellStyle name="Porcentaje" xfId="3" builtinId="5"/>
  </cellStyles>
  <dxfs count="42">
    <dxf>
      <font>
        <b/>
        <i val="0"/>
      </font>
    </dxf>
    <dxf>
      <font>
        <b/>
        <i val="0"/>
        <strike val="0"/>
        <color rgb="FFFF0000"/>
      </font>
      <fill>
        <patternFill>
          <bgColor rgb="FFFFFF00"/>
        </patternFill>
      </fill>
    </dxf>
    <dxf>
      <font>
        <strike val="0"/>
        <color rgb="FFFF0000"/>
      </font>
      <fill>
        <patternFill>
          <bgColor rgb="FFFFFF00"/>
        </patternFill>
      </fill>
    </dxf>
    <dxf>
      <font>
        <b/>
        <i val="0"/>
        <strike/>
        <color rgb="FFFF0000"/>
      </font>
    </dxf>
    <dxf>
      <font>
        <color rgb="FF9C0006"/>
      </font>
      <fill>
        <patternFill>
          <bgColor rgb="FFFFC7CE"/>
        </patternFill>
      </fill>
    </dxf>
    <dxf>
      <font>
        <color theme="0"/>
      </font>
      <fill>
        <patternFill>
          <bgColor theme="0"/>
        </patternFill>
      </fill>
    </dxf>
    <dxf>
      <font>
        <color theme="0"/>
      </font>
      <fill>
        <patternFill>
          <bgColor theme="0"/>
        </patternFill>
      </fill>
    </dxf>
    <dxf>
      <font>
        <b/>
        <i val="0"/>
        <color theme="0"/>
      </font>
      <fill>
        <patternFill>
          <fgColor theme="0"/>
          <bgColor theme="0"/>
        </patternFill>
      </fill>
    </dxf>
    <dxf>
      <font>
        <color theme="0"/>
      </font>
      <fill>
        <patternFill>
          <bgColor theme="0"/>
        </patternFill>
      </fill>
    </dxf>
    <dxf>
      <font>
        <b/>
        <i val="0"/>
        <color theme="0"/>
      </font>
      <fill>
        <patternFill>
          <fgColor theme="0"/>
          <bgColor theme="0"/>
        </patternFill>
      </fill>
    </dxf>
    <dxf>
      <font>
        <color theme="0"/>
      </font>
      <fill>
        <patternFill>
          <bgColor theme="0"/>
        </patternFill>
      </fill>
    </dxf>
    <dxf>
      <font>
        <color rgb="FF9C0006"/>
      </font>
      <fill>
        <patternFill>
          <bgColor rgb="FFFFC7CE"/>
        </patternFill>
      </fill>
    </dxf>
    <dxf>
      <font>
        <b/>
        <i val="0"/>
        <color theme="0"/>
      </font>
      <fill>
        <patternFill>
          <fgColor theme="0"/>
          <bgColor theme="0"/>
        </patternFill>
      </fill>
    </dxf>
    <dxf>
      <font>
        <color theme="0"/>
      </font>
      <fill>
        <patternFill>
          <bgColor theme="0"/>
        </patternFill>
      </fill>
    </dxf>
    <dxf>
      <font>
        <color rgb="FF9C0006"/>
      </font>
      <fill>
        <patternFill>
          <bgColor rgb="FFFFC7CE"/>
        </patternFill>
      </fill>
    </dxf>
    <dxf>
      <font>
        <color rgb="FF9C0006"/>
      </font>
      <fill>
        <patternFill>
          <bgColor rgb="FFFFC7CE"/>
        </patternFill>
      </fill>
    </dxf>
    <dxf>
      <font>
        <color theme="0"/>
      </font>
      <fill>
        <patternFill>
          <bgColor theme="0"/>
        </patternFill>
      </fill>
    </dxf>
    <dxf>
      <font>
        <b/>
        <i val="0"/>
        <color theme="0"/>
      </font>
      <fill>
        <patternFill>
          <fgColor theme="0"/>
          <bgColor theme="0"/>
        </patternFill>
      </fill>
    </dxf>
    <dxf>
      <font>
        <color theme="0"/>
      </font>
      <fill>
        <patternFill>
          <bgColor theme="0"/>
        </patternFill>
      </fill>
    </dxf>
    <dxf>
      <font>
        <color theme="0"/>
      </font>
    </dxf>
    <dxf>
      <fill>
        <patternFill patternType="none">
          <fgColor indexed="64"/>
          <bgColor auto="1"/>
        </patternFill>
      </fill>
    </dxf>
    <dxf>
      <font>
        <b/>
      </font>
      <fill>
        <patternFill patternType="none">
          <fgColor indexed="64"/>
          <bgColor auto="1"/>
        </patternFill>
      </fill>
      <alignment horizontal="center" vertical="bottom" textRotation="0" wrapText="0" indent="0" justifyLastLine="0" shrinkToFit="0" readingOrder="0"/>
      <protection locked="0" hidden="0"/>
    </dxf>
    <dxf>
      <font>
        <b/>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theme="1"/>
        <name val="Courier New"/>
        <scheme val="none"/>
      </font>
      <fill>
        <patternFill patternType="none">
          <fgColor indexed="64"/>
          <bgColor auto="1"/>
        </patternFill>
      </fill>
    </dxf>
    <dxf>
      <fill>
        <patternFill patternType="none">
          <fgColor indexed="64"/>
          <bgColor auto="1"/>
        </patternFill>
      </fill>
      <protection locked="0" hidden="0"/>
    </dxf>
    <dxf>
      <font>
        <b/>
      </font>
      <fill>
        <patternFill patternType="none">
          <fgColor indexed="64"/>
          <bgColor auto="1"/>
        </patternFill>
      </fill>
      <protection locked="0" hidden="0"/>
    </dxf>
    <dxf>
      <fill>
        <patternFill patternType="none">
          <fgColor indexed="64"/>
          <bgColor auto="1"/>
        </patternFill>
      </fill>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left/>
        <right/>
        <top style="thin">
          <color theme="4" tint="0.39997558519241921"/>
        </top>
        <bottom/>
      </border>
    </dxf>
    <dxf>
      <font>
        <b val="0"/>
        <i val="0"/>
        <strike val="0"/>
        <condense val="0"/>
        <extend val="0"/>
        <outline val="0"/>
        <shadow val="0"/>
        <u val="none"/>
        <vertAlign val="baseline"/>
        <sz val="11"/>
        <color theme="1"/>
        <name val="Calibri"/>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left/>
        <right/>
        <top style="thin">
          <color theme="4" tint="0.39997558519241921"/>
        </top>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auto="1"/>
        </patternFill>
      </fill>
      <alignment horizontal="general" vertical="center" textRotation="0" wrapText="0" indent="0" justifyLastLine="0" shrinkToFit="0" readingOrder="0"/>
      <border diagonalUp="0" diagonalDown="0">
        <left/>
        <right/>
        <top style="thin">
          <color theme="4" tint="0.39997558519241921"/>
        </top>
        <bottom/>
      </border>
    </dxf>
    <dxf>
      <font>
        <b/>
        <i val="0"/>
        <strike val="0"/>
        <condense val="0"/>
        <extend val="0"/>
        <outline val="0"/>
        <shadow val="0"/>
        <u val="none"/>
        <vertAlign val="baseline"/>
        <sz val="11"/>
        <color theme="0"/>
        <name val="Calibri"/>
        <scheme val="minor"/>
      </font>
      <numFmt numFmtId="3" formatCode="#,##0"/>
      <fill>
        <patternFill patternType="solid">
          <fgColor indexed="64"/>
          <bgColor theme="5"/>
        </patternFill>
      </fill>
      <alignment horizontal="right" vertical="center" textRotation="0" wrapText="0" indent="0" justifyLastLine="0" shrinkToFit="1" readingOrder="0"/>
      <border diagonalUp="0" diagonalDown="0" outline="0">
        <left/>
        <right/>
        <top style="thin">
          <color theme="4" tint="0.39997558519241921"/>
        </top>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4" tint="-0.249977111117893"/>
        <name val="Calibri"/>
        <scheme val="minor"/>
      </font>
      <fill>
        <patternFill patternType="solid">
          <fgColor indexed="64"/>
          <bgColor theme="0"/>
        </patternFill>
      </fill>
      <alignment horizontal="center" vertical="center" textRotation="0" wrapText="0" indent="0" justifyLastLine="0" shrinkToFit="0" readingOrder="0"/>
    </dxf>
  </dxfs>
  <tableStyles count="0" defaultTableStyle="TableStyleMedium2" defaultPivotStyle="PivotStyleLight16"/>
  <colors>
    <mruColors>
      <color rgb="FFE87B00"/>
      <color rgb="FF0058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0</xdr:col>
      <xdr:colOff>88799</xdr:colOff>
      <xdr:row>17</xdr:row>
      <xdr:rowOff>25310</xdr:rowOff>
    </xdr:from>
    <xdr:to>
      <xdr:col>7</xdr:col>
      <xdr:colOff>1</xdr:colOff>
      <xdr:row>17</xdr:row>
      <xdr:rowOff>337766</xdr:rowOff>
    </xdr:to>
    <mc:AlternateContent xmlns:mc="http://schemas.openxmlformats.org/markup-compatibility/2006" xmlns:a14="http://schemas.microsoft.com/office/drawing/2010/main">
      <mc:Choice Requires="a14">
        <xdr:sp macro="" textlink="">
          <xdr:nvSpPr>
            <xdr:cNvPr id="2" name="Formula_Perimetro">
              <a:extLst>
                <a:ext uri="{FF2B5EF4-FFF2-40B4-BE49-F238E27FC236}">
                  <a16:creationId xmlns:a16="http://schemas.microsoft.com/office/drawing/2014/main" id="{DFBCD38E-EC7B-E879-212F-5EC53002163E}"/>
                </a:ext>
              </a:extLst>
            </xdr:cNvPr>
            <xdr:cNvSpPr txBox="1"/>
          </xdr:nvSpPr>
          <xdr:spPr>
            <a:xfrm>
              <a:off x="88799" y="3718217"/>
              <a:ext cx="1838720" cy="3124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14:m>
                <m:oMathPara xmlns:m="http://schemas.openxmlformats.org/officeDocument/2006/math">
                  <m:oMathParaPr>
                    <m:jc m:val="right"/>
                  </m:oMathParaPr>
                  <m:oMath xmlns:m="http://schemas.openxmlformats.org/officeDocument/2006/math">
                    <m:r>
                      <a:rPr lang="es-ES" sz="1100" b="0" i="1">
                        <a:latin typeface="Cambria Math" panose="02040503050406030204" pitchFamily="18" charset="0"/>
                      </a:rPr>
                      <m:t>𝑃</m:t>
                    </m:r>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𝐿</m:t>
                        </m:r>
                        <m:r>
                          <a:rPr lang="es-ES" sz="1100" b="0" i="1">
                            <a:latin typeface="Cambria Math" panose="02040503050406030204" pitchFamily="18" charset="0"/>
                          </a:rPr>
                          <m:t>+</m:t>
                        </m:r>
                        <m:r>
                          <a:rPr lang="es-ES" sz="1100" b="0" i="1">
                            <a:latin typeface="Cambria Math" panose="02040503050406030204" pitchFamily="18" charset="0"/>
                          </a:rPr>
                          <m:t>h</m:t>
                        </m:r>
                      </m:e>
                    </m:d>
                    <m:r>
                      <a:rPr lang="es-ES" sz="1100" b="0" i="1">
                        <a:latin typeface="Cambria Math" panose="02040503050406030204" pitchFamily="18" charset="0"/>
                      </a:rPr>
                      <m:t>·2=</m:t>
                    </m:r>
                  </m:oMath>
                </m:oMathPara>
              </a14:m>
              <a:endParaRPr lang="es-ES" sz="1100"/>
            </a:p>
          </xdr:txBody>
        </xdr:sp>
      </mc:Choice>
      <mc:Fallback xmlns="">
        <xdr:sp macro="" textlink="">
          <xdr:nvSpPr>
            <xdr:cNvPr id="2" name="Formula_Perimetro">
              <a:extLst>
                <a:ext uri="{FF2B5EF4-FFF2-40B4-BE49-F238E27FC236}">
                  <a16:creationId xmlns:a16="http://schemas.microsoft.com/office/drawing/2014/main" id="{DFBCD38E-EC7B-E879-212F-5EC53002163E}"/>
                </a:ext>
              </a:extLst>
            </xdr:cNvPr>
            <xdr:cNvSpPr txBox="1"/>
          </xdr:nvSpPr>
          <xdr:spPr>
            <a:xfrm>
              <a:off x="88799" y="3718217"/>
              <a:ext cx="1838720" cy="3124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r>
                <a:rPr lang="es-ES" sz="1100" b="0" i="0">
                  <a:latin typeface="Cambria Math" panose="02040503050406030204" pitchFamily="18" charset="0"/>
                </a:rPr>
                <a:t>𝑃=(𝐿+ℎ)·2=</a:t>
              </a:r>
              <a:endParaRPr lang="es-ES" sz="1100"/>
            </a:p>
          </xdr:txBody>
        </xdr:sp>
      </mc:Fallback>
    </mc:AlternateContent>
    <xdr:clientData/>
  </xdr:twoCellAnchor>
  <xdr:twoCellAnchor>
    <xdr:from>
      <xdr:col>0</xdr:col>
      <xdr:colOff>115818</xdr:colOff>
      <xdr:row>20</xdr:row>
      <xdr:rowOff>31752</xdr:rowOff>
    </xdr:from>
    <xdr:to>
      <xdr:col>6</xdr:col>
      <xdr:colOff>334986</xdr:colOff>
      <xdr:row>20</xdr:row>
      <xdr:rowOff>338668</xdr:rowOff>
    </xdr:to>
    <mc:AlternateContent xmlns:mc="http://schemas.openxmlformats.org/markup-compatibility/2006" xmlns:a14="http://schemas.microsoft.com/office/drawing/2010/main">
      <mc:Choice Requires="a14">
        <xdr:sp macro="" textlink="">
          <xdr:nvSpPr>
            <xdr:cNvPr id="3" name="Formula_Area">
              <a:extLst>
                <a:ext uri="{FF2B5EF4-FFF2-40B4-BE49-F238E27FC236}">
                  <a16:creationId xmlns:a16="http://schemas.microsoft.com/office/drawing/2014/main" id="{F80C19E0-1422-4ED7-A863-7B889341D951}"/>
                </a:ext>
              </a:extLst>
            </xdr:cNvPr>
            <xdr:cNvSpPr txBox="1"/>
          </xdr:nvSpPr>
          <xdr:spPr>
            <a:xfrm>
              <a:off x="115818" y="4624919"/>
              <a:ext cx="2420501" cy="3069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r"/>
              <a:r>
                <a:rPr lang="es-ES" sz="1100" b="0"/>
                <a:t>A</a:t>
              </a:r>
              <a14:m>
                <m:oMath xmlns:m="http://schemas.openxmlformats.org/officeDocument/2006/math">
                  <m:r>
                    <a:rPr lang="es-ES" sz="1100" b="0" i="0">
                      <a:latin typeface="Cambria Math" panose="02040503050406030204" pitchFamily="18" charset="0"/>
                    </a:rPr>
                    <m:t> </m:t>
                  </m:r>
                  <m:r>
                    <a:rPr lang="es-ES" sz="1100" b="0" i="1">
                      <a:latin typeface="Cambria Math" panose="02040503050406030204" pitchFamily="18" charset="0"/>
                    </a:rPr>
                    <m:t>=</m:t>
                  </m:r>
                  <m:r>
                    <a:rPr lang="es-ES" sz="1100" b="0" i="1">
                      <a:solidFill>
                        <a:schemeClr val="tx1"/>
                      </a:solidFill>
                      <a:effectLst/>
                      <a:latin typeface="Cambria Math" panose="02040503050406030204" pitchFamily="18" charset="0"/>
                      <a:ea typeface="+mn-ea"/>
                      <a:cs typeface="+mn-cs"/>
                    </a:rPr>
                    <m:t>𝐿</m:t>
                  </m:r>
                  <m:r>
                    <a:rPr lang="es-ES" sz="1100" b="0" i="1">
                      <a:solidFill>
                        <a:schemeClr val="tx1"/>
                      </a:solidFill>
                      <a:effectLst/>
                      <a:latin typeface="Cambria Math" panose="02040503050406030204" pitchFamily="18" charset="0"/>
                      <a:ea typeface="+mn-ea"/>
                      <a:cs typeface="+mn-cs"/>
                    </a:rPr>
                    <m:t>· </m:t>
                  </m:r>
                  <m:r>
                    <a:rPr lang="es-ES" sz="1100" b="0" i="1">
                      <a:solidFill>
                        <a:schemeClr val="tx1"/>
                      </a:solidFill>
                      <a:effectLst/>
                      <a:latin typeface="Cambria Math" panose="02040503050406030204" pitchFamily="18" charset="0"/>
                      <a:ea typeface="+mn-ea"/>
                      <a:cs typeface="+mn-cs"/>
                    </a:rPr>
                    <m:t>h</m:t>
                  </m:r>
                  <m:r>
                    <a:rPr lang="es-ES" sz="1100" b="0" i="1">
                      <a:latin typeface="Cambria Math" panose="02040503050406030204" pitchFamily="18" charset="0"/>
                    </a:rPr>
                    <m:t>=</m:t>
                  </m:r>
                </m:oMath>
              </a14:m>
              <a:endParaRPr lang="es-ES" sz="1100"/>
            </a:p>
          </xdr:txBody>
        </xdr:sp>
      </mc:Choice>
      <mc:Fallback xmlns="">
        <xdr:sp macro="" textlink="">
          <xdr:nvSpPr>
            <xdr:cNvPr id="3" name="Formula_Area">
              <a:extLst>
                <a:ext uri="{FF2B5EF4-FFF2-40B4-BE49-F238E27FC236}">
                  <a16:creationId xmlns:a16="http://schemas.microsoft.com/office/drawing/2014/main" id="{F80C19E0-1422-4ED7-A863-7B889341D951}"/>
                </a:ext>
              </a:extLst>
            </xdr:cNvPr>
            <xdr:cNvSpPr txBox="1"/>
          </xdr:nvSpPr>
          <xdr:spPr>
            <a:xfrm>
              <a:off x="115818" y="4624919"/>
              <a:ext cx="2420501" cy="3069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r"/>
              <a:r>
                <a:rPr lang="es-ES" sz="1100" b="0"/>
                <a:t>A</a:t>
              </a:r>
              <a:r>
                <a:rPr lang="es-ES" sz="1100" b="0" i="0">
                  <a:latin typeface="Cambria Math" panose="02040503050406030204" pitchFamily="18" charset="0"/>
                </a:rPr>
                <a:t> =</a:t>
              </a:r>
              <a:r>
                <a:rPr lang="es-ES" sz="1100" b="0" i="0">
                  <a:solidFill>
                    <a:schemeClr val="tx1"/>
                  </a:solidFill>
                  <a:effectLst/>
                  <a:latin typeface="Cambria Math" panose="02040503050406030204" pitchFamily="18" charset="0"/>
                  <a:ea typeface="+mn-ea"/>
                  <a:cs typeface="+mn-cs"/>
                </a:rPr>
                <a:t>𝐿· ℎ</a:t>
              </a:r>
              <a:r>
                <a:rPr lang="es-ES" sz="1100" b="0" i="0">
                  <a:latin typeface="Cambria Math" panose="02040503050406030204" pitchFamily="18" charset="0"/>
                </a:rPr>
                <a:t>=</a:t>
              </a:r>
              <a:endParaRPr lang="es-ES" sz="1100"/>
            </a:p>
          </xdr:txBody>
        </xdr:sp>
      </mc:Fallback>
    </mc:AlternateContent>
    <xdr:clientData/>
  </xdr:twoCellAnchor>
  <xdr:twoCellAnchor>
    <xdr:from>
      <xdr:col>1</xdr:col>
      <xdr:colOff>7988</xdr:colOff>
      <xdr:row>23</xdr:row>
      <xdr:rowOff>42336</xdr:rowOff>
    </xdr:from>
    <xdr:to>
      <xdr:col>6</xdr:col>
      <xdr:colOff>312899</xdr:colOff>
      <xdr:row>23</xdr:row>
      <xdr:rowOff>345725</xdr:rowOff>
    </xdr:to>
    <mc:AlternateContent xmlns:mc="http://schemas.openxmlformats.org/markup-compatibility/2006" xmlns:a14="http://schemas.microsoft.com/office/drawing/2010/main">
      <mc:Choice Requires="a14">
        <xdr:sp macro="" textlink="">
          <xdr:nvSpPr>
            <xdr:cNvPr id="6" name="Formula_Volumen">
              <a:extLst>
                <a:ext uri="{FF2B5EF4-FFF2-40B4-BE49-F238E27FC236}">
                  <a16:creationId xmlns:a16="http://schemas.microsoft.com/office/drawing/2014/main" id="{1026DA3D-E088-4C6C-8111-839CFBBDD507}"/>
                </a:ext>
              </a:extLst>
            </xdr:cNvPr>
            <xdr:cNvSpPr txBox="1"/>
          </xdr:nvSpPr>
          <xdr:spPr>
            <a:xfrm>
              <a:off x="131461" y="5580947"/>
              <a:ext cx="2382771" cy="3033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r"/>
              <a:r>
                <a:rPr lang="es-ES" sz="1100" b="0" i="0">
                  <a:latin typeface="+mn-lt"/>
                </a:rPr>
                <a:t>V</a:t>
              </a:r>
              <a14:m>
                <m:oMath xmlns:m="http://schemas.openxmlformats.org/officeDocument/2006/math">
                  <m:r>
                    <a:rPr lang="es-ES" sz="1100" b="0" i="0">
                      <a:latin typeface="Cambria Math" panose="02040503050406030204" pitchFamily="18" charset="0"/>
                    </a:rPr>
                    <m:t> </m:t>
                  </m:r>
                  <m:r>
                    <a:rPr lang="es-ES" sz="1100" b="0" i="1">
                      <a:latin typeface="Cambria Math" panose="02040503050406030204" pitchFamily="18" charset="0"/>
                    </a:rPr>
                    <m:t>=</m:t>
                  </m:r>
                  <m:r>
                    <a:rPr lang="es-ES" sz="1100" b="0" i="1">
                      <a:latin typeface="Cambria Math" panose="02040503050406030204" pitchFamily="18" charset="0"/>
                    </a:rPr>
                    <m:t>𝐴</m:t>
                  </m:r>
                  <m:r>
                    <a:rPr lang="es-ES" sz="1100" b="0" i="1">
                      <a:solidFill>
                        <a:schemeClr val="tx1"/>
                      </a:solidFill>
                      <a:effectLst/>
                      <a:latin typeface="Cambria Math" panose="02040503050406030204" pitchFamily="18" charset="0"/>
                      <a:ea typeface="+mn-ea"/>
                      <a:cs typeface="+mn-cs"/>
                    </a:rPr>
                    <m:t>· </m:t>
                  </m:r>
                  <m:r>
                    <a:rPr lang="es-ES" sz="1100" b="0" i="1">
                      <a:solidFill>
                        <a:schemeClr val="tx1"/>
                      </a:solidFill>
                      <a:effectLst/>
                      <a:latin typeface="Cambria Math" panose="02040503050406030204" pitchFamily="18" charset="0"/>
                      <a:ea typeface="+mn-ea"/>
                      <a:cs typeface="+mn-cs"/>
                    </a:rPr>
                    <m:t>𝑑</m:t>
                  </m:r>
                  <m:r>
                    <a:rPr lang="es-ES" sz="1100" b="0" i="1">
                      <a:latin typeface="Cambria Math" panose="02040503050406030204" pitchFamily="18" charset="0"/>
                    </a:rPr>
                    <m:t>=</m:t>
                  </m:r>
                </m:oMath>
              </a14:m>
              <a:endParaRPr lang="es-ES" sz="1100"/>
            </a:p>
          </xdr:txBody>
        </xdr:sp>
      </mc:Choice>
      <mc:Fallback xmlns="">
        <xdr:sp macro="" textlink="">
          <xdr:nvSpPr>
            <xdr:cNvPr id="6" name="Formula_Volumen">
              <a:extLst>
                <a:ext uri="{FF2B5EF4-FFF2-40B4-BE49-F238E27FC236}">
                  <a16:creationId xmlns:a16="http://schemas.microsoft.com/office/drawing/2014/main" id="{1026DA3D-E088-4C6C-8111-839CFBBDD507}"/>
                </a:ext>
              </a:extLst>
            </xdr:cNvPr>
            <xdr:cNvSpPr txBox="1"/>
          </xdr:nvSpPr>
          <xdr:spPr>
            <a:xfrm>
              <a:off x="131461" y="5580947"/>
              <a:ext cx="2382771" cy="3033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r"/>
              <a:r>
                <a:rPr lang="es-ES" sz="1100" b="0" i="0">
                  <a:latin typeface="+mn-lt"/>
                </a:rPr>
                <a:t>V</a:t>
              </a:r>
              <a:r>
                <a:rPr lang="es-ES" sz="1100" b="0" i="0">
                  <a:latin typeface="Cambria Math" panose="02040503050406030204" pitchFamily="18" charset="0"/>
                </a:rPr>
                <a:t> =𝐴</a:t>
              </a:r>
              <a:r>
                <a:rPr lang="es-ES" sz="1100" b="0" i="0">
                  <a:solidFill>
                    <a:schemeClr val="tx1"/>
                  </a:solidFill>
                  <a:effectLst/>
                  <a:latin typeface="Cambria Math" panose="02040503050406030204" pitchFamily="18" charset="0"/>
                  <a:ea typeface="+mn-ea"/>
                  <a:cs typeface="+mn-cs"/>
                </a:rPr>
                <a:t>· 𝑑</a:t>
              </a:r>
              <a:r>
                <a:rPr lang="es-ES" sz="1100" b="0" i="0">
                  <a:latin typeface="Cambria Math" panose="02040503050406030204" pitchFamily="18" charset="0"/>
                </a:rPr>
                <a:t>=</a:t>
              </a:r>
              <a:endParaRPr lang="es-ES" sz="1100"/>
            </a:p>
          </xdr:txBody>
        </xdr:sp>
      </mc:Fallback>
    </mc:AlternateContent>
    <xdr:clientData/>
  </xdr:twoCellAnchor>
  <xdr:twoCellAnchor>
    <xdr:from>
      <xdr:col>4</xdr:col>
      <xdr:colOff>126942</xdr:colOff>
      <xdr:row>7</xdr:row>
      <xdr:rowOff>67442</xdr:rowOff>
    </xdr:from>
    <xdr:to>
      <xdr:col>12</xdr:col>
      <xdr:colOff>503049</xdr:colOff>
      <xdr:row>14</xdr:row>
      <xdr:rowOff>145781</xdr:rowOff>
    </xdr:to>
    <xdr:grpSp>
      <xdr:nvGrpSpPr>
        <xdr:cNvPr id="18" name="FIGURA_PROBLEMA">
          <a:extLst>
            <a:ext uri="{FF2B5EF4-FFF2-40B4-BE49-F238E27FC236}">
              <a16:creationId xmlns:a16="http://schemas.microsoft.com/office/drawing/2014/main" id="{64606029-0F7C-D319-3B83-554700122286}"/>
            </a:ext>
          </a:extLst>
        </xdr:cNvPr>
        <xdr:cNvGrpSpPr/>
      </xdr:nvGrpSpPr>
      <xdr:grpSpPr>
        <a:xfrm>
          <a:off x="1650942" y="1972442"/>
          <a:ext cx="2803218" cy="1454172"/>
          <a:chOff x="1650942" y="1944220"/>
          <a:chExt cx="2803218" cy="1365978"/>
        </a:xfrm>
      </xdr:grpSpPr>
      <xdr:grpSp>
        <xdr:nvGrpSpPr>
          <xdr:cNvPr id="20" name="Figura">
            <a:extLst>
              <a:ext uri="{FF2B5EF4-FFF2-40B4-BE49-F238E27FC236}">
                <a16:creationId xmlns:a16="http://schemas.microsoft.com/office/drawing/2014/main" id="{3003B99E-D421-E325-88BC-E967D63AD7FA}"/>
              </a:ext>
            </a:extLst>
          </xdr:cNvPr>
          <xdr:cNvGrpSpPr/>
        </xdr:nvGrpSpPr>
        <xdr:grpSpPr>
          <a:xfrm>
            <a:off x="1650942" y="1944220"/>
            <a:ext cx="2803218" cy="1365978"/>
            <a:chOff x="1354793" y="1758369"/>
            <a:chExt cx="2764670" cy="1363831"/>
          </a:xfrm>
        </xdr:grpSpPr>
        <xdr:grpSp>
          <xdr:nvGrpSpPr>
            <xdr:cNvPr id="23" name="Cota_L">
              <a:extLst>
                <a:ext uri="{FF2B5EF4-FFF2-40B4-BE49-F238E27FC236}">
                  <a16:creationId xmlns:a16="http://schemas.microsoft.com/office/drawing/2014/main" id="{C0AEB517-5E0A-5E00-EB18-DF574E2B676D}"/>
                </a:ext>
              </a:extLst>
            </xdr:cNvPr>
            <xdr:cNvGrpSpPr/>
          </xdr:nvGrpSpPr>
          <xdr:grpSpPr>
            <a:xfrm>
              <a:off x="1688344" y="2824770"/>
              <a:ext cx="1691347" cy="297430"/>
              <a:chOff x="2361784" y="2266434"/>
              <a:chExt cx="1743380" cy="305697"/>
            </a:xfrm>
          </xdr:grpSpPr>
          <xdr:grpSp>
            <xdr:nvGrpSpPr>
              <xdr:cNvPr id="11" name="Grupo 10">
                <a:extLst>
                  <a:ext uri="{FF2B5EF4-FFF2-40B4-BE49-F238E27FC236}">
                    <a16:creationId xmlns:a16="http://schemas.microsoft.com/office/drawing/2014/main" id="{F5E4E955-6192-F280-3F09-54CCEBCA9A16}"/>
                  </a:ext>
                </a:extLst>
              </xdr:cNvPr>
              <xdr:cNvGrpSpPr/>
            </xdr:nvGrpSpPr>
            <xdr:grpSpPr>
              <a:xfrm>
                <a:off x="2361784" y="2283374"/>
                <a:ext cx="1743380" cy="288757"/>
                <a:chOff x="2366433" y="2476552"/>
                <a:chExt cx="1749177" cy="287848"/>
              </a:xfrm>
            </xdr:grpSpPr>
            <xdr:cxnSp macro="">
              <xdr:nvCxnSpPr>
                <xdr:cNvPr id="4" name="Conector recto de flecha 3">
                  <a:extLst>
                    <a:ext uri="{FF2B5EF4-FFF2-40B4-BE49-F238E27FC236}">
                      <a16:creationId xmlns:a16="http://schemas.microsoft.com/office/drawing/2014/main" id="{1477FDDA-C2FC-44E7-6A58-C0977ADC08BB}"/>
                    </a:ext>
                  </a:extLst>
                </xdr:cNvPr>
                <xdr:cNvCxnSpPr/>
              </xdr:nvCxnSpPr>
              <xdr:spPr>
                <a:xfrm flipV="1">
                  <a:off x="2366433" y="2666605"/>
                  <a:ext cx="1737640" cy="3530"/>
                </a:xfrm>
                <a:prstGeom prst="straightConnector1">
                  <a:avLst/>
                </a:prstGeom>
                <a:ln w="12700">
                  <a:solidFill>
                    <a:schemeClr val="tx1"/>
                  </a:solidFill>
                  <a:headEnd type="triangle" w="lg" len="lg"/>
                  <a:tailEnd type="triangle" w="lg" len="lg"/>
                </a:ln>
              </xdr:spPr>
              <xdr:style>
                <a:lnRef idx="1">
                  <a:schemeClr val="accent1"/>
                </a:lnRef>
                <a:fillRef idx="0">
                  <a:schemeClr val="accent1"/>
                </a:fillRef>
                <a:effectRef idx="0">
                  <a:schemeClr val="accent1"/>
                </a:effectRef>
                <a:fontRef idx="minor">
                  <a:schemeClr val="tx1"/>
                </a:fontRef>
              </xdr:style>
            </xdr:cxnSp>
            <xdr:cxnSp macro="">
              <xdr:nvCxnSpPr>
                <xdr:cNvPr id="7" name="Conector recto 6">
                  <a:extLst>
                    <a:ext uri="{FF2B5EF4-FFF2-40B4-BE49-F238E27FC236}">
                      <a16:creationId xmlns:a16="http://schemas.microsoft.com/office/drawing/2014/main" id="{D6A9370D-2586-0F3E-0C9B-3C2A3E544E95}"/>
                    </a:ext>
                  </a:extLst>
                </xdr:cNvPr>
                <xdr:cNvCxnSpPr/>
              </xdr:nvCxnSpPr>
              <xdr:spPr>
                <a:xfrm>
                  <a:off x="2370668" y="2476552"/>
                  <a:ext cx="0" cy="27938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 name="Conector recto 7">
                  <a:extLst>
                    <a:ext uri="{FF2B5EF4-FFF2-40B4-BE49-F238E27FC236}">
                      <a16:creationId xmlns:a16="http://schemas.microsoft.com/office/drawing/2014/main" id="{9A14D740-8E8D-4AB0-BCFB-D286787B35A9}"/>
                    </a:ext>
                  </a:extLst>
                </xdr:cNvPr>
                <xdr:cNvCxnSpPr/>
              </xdr:nvCxnSpPr>
              <xdr:spPr>
                <a:xfrm>
                  <a:off x="4115610" y="2485019"/>
                  <a:ext cx="0" cy="27938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sp macro="" textlink="L_Ver">
            <xdr:nvSpPr>
              <xdr:cNvPr id="13" name="CuadroTexto 12">
                <a:extLst>
                  <a:ext uri="{FF2B5EF4-FFF2-40B4-BE49-F238E27FC236}">
                    <a16:creationId xmlns:a16="http://schemas.microsoft.com/office/drawing/2014/main" id="{1583F822-3ACC-2EFB-C2D2-0AF8828658E9}"/>
                  </a:ext>
                </a:extLst>
              </xdr:cNvPr>
              <xdr:cNvSpPr txBox="1"/>
            </xdr:nvSpPr>
            <xdr:spPr>
              <a:xfrm>
                <a:off x="2378718" y="2266434"/>
                <a:ext cx="1725079" cy="250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56D52FC-35A4-47CF-9AE7-F5DF3B337974}" type="TxLink">
                  <a:rPr lang="en-US" sz="1100" b="0" i="0" u="none" strike="noStrike">
                    <a:solidFill>
                      <a:srgbClr val="000000"/>
                    </a:solidFill>
                    <a:latin typeface="Calibri"/>
                    <a:ea typeface="Calibri"/>
                    <a:cs typeface="Calibri"/>
                  </a:rPr>
                  <a:pPr algn="ctr"/>
                  <a:t>20 cm</a:t>
                </a:fld>
                <a:endParaRPr lang="es-ES" sz="1100"/>
              </a:p>
            </xdr:txBody>
          </xdr:sp>
        </xdr:grpSp>
        <xdr:grpSp>
          <xdr:nvGrpSpPr>
            <xdr:cNvPr id="15" name="Cota_h">
              <a:extLst>
                <a:ext uri="{FF2B5EF4-FFF2-40B4-BE49-F238E27FC236}">
                  <a16:creationId xmlns:a16="http://schemas.microsoft.com/office/drawing/2014/main" id="{7B1F4E72-85AC-FEE7-9964-EE7555220EBA}"/>
                </a:ext>
              </a:extLst>
            </xdr:cNvPr>
            <xdr:cNvGrpSpPr/>
          </xdr:nvGrpSpPr>
          <xdr:grpSpPr>
            <a:xfrm>
              <a:off x="1354793" y="2024878"/>
              <a:ext cx="316685" cy="766516"/>
              <a:chOff x="4412710" y="1312619"/>
              <a:chExt cx="326428" cy="923661"/>
            </a:xfrm>
          </xdr:grpSpPr>
          <xdr:grpSp>
            <xdr:nvGrpSpPr>
              <xdr:cNvPr id="12" name="Grupo 11">
                <a:extLst>
                  <a:ext uri="{FF2B5EF4-FFF2-40B4-BE49-F238E27FC236}">
                    <a16:creationId xmlns:a16="http://schemas.microsoft.com/office/drawing/2014/main" id="{BB2FEDE1-4837-BD71-2ABB-010DA434C156}"/>
                  </a:ext>
                </a:extLst>
              </xdr:cNvPr>
              <xdr:cNvGrpSpPr/>
            </xdr:nvGrpSpPr>
            <xdr:grpSpPr>
              <a:xfrm>
                <a:off x="4545152" y="1312619"/>
                <a:ext cx="193986" cy="913077"/>
                <a:chOff x="4557367" y="1509179"/>
                <a:chExt cx="194511" cy="910171"/>
              </a:xfrm>
            </xdr:grpSpPr>
            <xdr:cxnSp macro="">
              <xdr:nvCxnSpPr>
                <xdr:cNvPr id="5" name="Conector recto de flecha 4">
                  <a:extLst>
                    <a:ext uri="{FF2B5EF4-FFF2-40B4-BE49-F238E27FC236}">
                      <a16:creationId xmlns:a16="http://schemas.microsoft.com/office/drawing/2014/main" id="{CB7B1C3E-0C01-4EAC-9F18-F68F6FFE1C06}"/>
                    </a:ext>
                  </a:extLst>
                </xdr:cNvPr>
                <xdr:cNvCxnSpPr/>
              </xdr:nvCxnSpPr>
              <xdr:spPr>
                <a:xfrm rot="5400000">
                  <a:off x="4205782" y="1967233"/>
                  <a:ext cx="900000" cy="0"/>
                </a:xfrm>
                <a:prstGeom prst="straightConnector1">
                  <a:avLst/>
                </a:prstGeom>
                <a:ln w="12700">
                  <a:solidFill>
                    <a:schemeClr val="tx1"/>
                  </a:solidFill>
                  <a:headEnd type="triangle" w="lg" len="lg"/>
                  <a:tailEnd type="triangle" w="lg" len="lg"/>
                </a:ln>
              </xdr:spPr>
              <xdr:style>
                <a:lnRef idx="1">
                  <a:schemeClr val="accent1"/>
                </a:lnRef>
                <a:fillRef idx="0">
                  <a:schemeClr val="accent1"/>
                </a:fillRef>
                <a:effectRef idx="0">
                  <a:schemeClr val="accent1"/>
                </a:effectRef>
                <a:fontRef idx="minor">
                  <a:schemeClr val="tx1"/>
                </a:fontRef>
              </xdr:style>
            </xdr:cxnSp>
            <xdr:cxnSp macro="">
              <xdr:nvCxnSpPr>
                <xdr:cNvPr id="9" name="Conector recto 8">
                  <a:extLst>
                    <a:ext uri="{FF2B5EF4-FFF2-40B4-BE49-F238E27FC236}">
                      <a16:creationId xmlns:a16="http://schemas.microsoft.com/office/drawing/2014/main" id="{FEB67EBB-61C8-4FDC-82DE-F99F09AAF2EE}"/>
                    </a:ext>
                  </a:extLst>
                </xdr:cNvPr>
                <xdr:cNvCxnSpPr/>
              </xdr:nvCxnSpPr>
              <xdr:spPr>
                <a:xfrm rot="5400000">
                  <a:off x="4650387" y="2326330"/>
                  <a:ext cx="0" cy="18604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 name="Conector recto 9">
                  <a:extLst>
                    <a:ext uri="{FF2B5EF4-FFF2-40B4-BE49-F238E27FC236}">
                      <a16:creationId xmlns:a16="http://schemas.microsoft.com/office/drawing/2014/main" id="{9A7766BE-CEE9-4FA5-AFEF-00CEA6ADC68A}"/>
                    </a:ext>
                  </a:extLst>
                </xdr:cNvPr>
                <xdr:cNvCxnSpPr/>
              </xdr:nvCxnSpPr>
              <xdr:spPr>
                <a:xfrm rot="5400000">
                  <a:off x="4658858" y="1416158"/>
                  <a:ext cx="0" cy="18604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sp macro="" textlink="h_Ver">
            <xdr:nvSpPr>
              <xdr:cNvPr id="14" name="CuadroTexto 13">
                <a:extLst>
                  <a:ext uri="{FF2B5EF4-FFF2-40B4-BE49-F238E27FC236}">
                    <a16:creationId xmlns:a16="http://schemas.microsoft.com/office/drawing/2014/main" id="{8377A615-0643-4C5D-AACD-4FB876C4FF7A}"/>
                  </a:ext>
                </a:extLst>
              </xdr:cNvPr>
              <xdr:cNvSpPr txBox="1"/>
            </xdr:nvSpPr>
            <xdr:spPr>
              <a:xfrm rot="16200000">
                <a:off x="4076328" y="1651126"/>
                <a:ext cx="921536" cy="248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C3423D1-2FE2-4B8E-941D-1CE1AACE7DD7}" type="TxLink">
                  <a:rPr lang="en-US" sz="1100" b="0" i="0" u="none" strike="noStrike" baseline="0">
                    <a:solidFill>
                      <a:srgbClr val="000000"/>
                    </a:solidFill>
                    <a:latin typeface="Calibri"/>
                    <a:ea typeface="Calibri"/>
                    <a:cs typeface="Calibri"/>
                  </a:rPr>
                  <a:pPr algn="ctr"/>
                  <a:t>5 cm</a:t>
                </a:fld>
                <a:endParaRPr lang="es-ES" sz="1100"/>
              </a:p>
            </xdr:txBody>
          </xdr:sp>
        </xdr:grpSp>
        <xdr:sp macro="" textlink="">
          <xdr:nvSpPr>
            <xdr:cNvPr id="16" name="Cubo">
              <a:extLst>
                <a:ext uri="{FF2B5EF4-FFF2-40B4-BE49-F238E27FC236}">
                  <a16:creationId xmlns:a16="http://schemas.microsoft.com/office/drawing/2014/main" id="{CCEC8C49-8767-35D9-8BBD-35DD97CBC886}"/>
                </a:ext>
              </a:extLst>
            </xdr:cNvPr>
            <xdr:cNvSpPr/>
          </xdr:nvSpPr>
          <xdr:spPr>
            <a:xfrm>
              <a:off x="1712260" y="1758369"/>
              <a:ext cx="1932701" cy="1018485"/>
            </a:xfrm>
            <a:prstGeom prst="cube">
              <a:avLst>
                <a:gd name="adj" fmla="val 26739"/>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 textlink="d_Ver">
          <xdr:nvSpPr>
            <xdr:cNvPr id="19" name="Profundidad">
              <a:extLst>
                <a:ext uri="{FF2B5EF4-FFF2-40B4-BE49-F238E27FC236}">
                  <a16:creationId xmlns:a16="http://schemas.microsoft.com/office/drawing/2014/main" id="{425BA2C9-F5A8-0157-4CCA-504AF57C3BA6}"/>
                </a:ext>
              </a:extLst>
            </xdr:cNvPr>
            <xdr:cNvSpPr txBox="1"/>
          </xdr:nvSpPr>
          <xdr:spPr>
            <a:xfrm>
              <a:off x="3513049" y="2499127"/>
              <a:ext cx="606414" cy="245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B6F91368-3B73-4ACE-B825-45EC272C74A8}" type="TxLink">
                <a:rPr lang="en-US" sz="1100" b="0" i="0" u="none" strike="noStrike" baseline="0">
                  <a:solidFill>
                    <a:srgbClr val="000000"/>
                  </a:solidFill>
                  <a:latin typeface="Calibri"/>
                  <a:ea typeface="Calibri"/>
                  <a:cs typeface="Calibri"/>
                </a:rPr>
                <a:pPr algn="l"/>
                <a:t>5 cm</a:t>
              </a:fld>
              <a:endParaRPr lang="es-ES" sz="1100"/>
            </a:p>
          </xdr:txBody>
        </xdr:sp>
      </xdr:grpSp>
      <xdr:sp macro="" textlink="Area_Ver">
        <xdr:nvSpPr>
          <xdr:cNvPr id="31" name="Area">
            <a:extLst>
              <a:ext uri="{FF2B5EF4-FFF2-40B4-BE49-F238E27FC236}">
                <a16:creationId xmlns:a16="http://schemas.microsoft.com/office/drawing/2014/main" id="{8031397C-22E7-4398-98FD-BBE8CE4E4F56}"/>
              </a:ext>
            </a:extLst>
          </xdr:cNvPr>
          <xdr:cNvSpPr txBox="1"/>
        </xdr:nvSpPr>
        <xdr:spPr>
          <a:xfrm>
            <a:off x="2014932" y="2227777"/>
            <a:ext cx="1690261" cy="741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91D056-6232-4C4C-9D18-6B4CAFF28882}" type="TxLink">
              <a:rPr lang="en-US" sz="1100" b="0" i="0" u="none" strike="noStrike">
                <a:solidFill>
                  <a:srgbClr val="000000"/>
                </a:solidFill>
                <a:latin typeface="Calibri"/>
                <a:ea typeface="Calibri"/>
                <a:cs typeface="Calibri"/>
              </a:rPr>
              <a:pPr algn="ctr"/>
              <a:t>100 cm²</a:t>
            </a:fld>
            <a:endParaRPr lang="es-ES" sz="1100"/>
          </a:p>
        </xdr:txBody>
      </xdr:sp>
      <xdr:sp macro="" textlink="Volumen_Ver">
        <xdr:nvSpPr>
          <xdr:cNvPr id="32" name="Volumen">
            <a:extLst>
              <a:ext uri="{FF2B5EF4-FFF2-40B4-BE49-F238E27FC236}">
                <a16:creationId xmlns:a16="http://schemas.microsoft.com/office/drawing/2014/main" id="{2FB4F721-F28B-4FD1-A386-75126EDC7CB7}"/>
              </a:ext>
            </a:extLst>
          </xdr:cNvPr>
          <xdr:cNvSpPr txBox="1"/>
        </xdr:nvSpPr>
        <xdr:spPr>
          <a:xfrm>
            <a:off x="2471434" y="1986950"/>
            <a:ext cx="1271045" cy="278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C33139DF-2A4B-4232-ACC3-E61566034F4D}" type="TxLink">
              <a:rPr lang="en-US" sz="1100" b="0" i="0" u="none" strike="noStrike">
                <a:solidFill>
                  <a:srgbClr val="000000"/>
                </a:solidFill>
                <a:latin typeface="Calibri"/>
                <a:ea typeface="Calibri"/>
                <a:cs typeface="Calibri"/>
              </a:rPr>
              <a:pPr algn="r"/>
              <a:t>500 cm³</a:t>
            </a:fld>
            <a:endParaRPr lang="es-ES" sz="1100"/>
          </a:p>
        </xdr:txBody>
      </xdr:sp>
      <xdr:sp macro="" textlink="Perimetro_Ver">
        <xdr:nvSpPr>
          <xdr:cNvPr id="17" name="Perimetro">
            <a:extLst>
              <a:ext uri="{FF2B5EF4-FFF2-40B4-BE49-F238E27FC236}">
                <a16:creationId xmlns:a16="http://schemas.microsoft.com/office/drawing/2014/main" id="{FC64FD0F-E461-49F6-A3A0-A11BE92C6655}"/>
              </a:ext>
            </a:extLst>
          </xdr:cNvPr>
          <xdr:cNvSpPr txBox="1"/>
        </xdr:nvSpPr>
        <xdr:spPr>
          <a:xfrm>
            <a:off x="2024885" y="2709749"/>
            <a:ext cx="1271045" cy="278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933D6EA-31E7-443A-BB57-05885E960DB0}" type="TxLink">
              <a:rPr lang="en-US" sz="1100" b="0" i="0" u="none" strike="noStrike">
                <a:solidFill>
                  <a:srgbClr val="000000"/>
                </a:solidFill>
                <a:latin typeface="Calibri"/>
                <a:ea typeface="Calibri"/>
                <a:cs typeface="Calibri"/>
              </a:rPr>
              <a:pPr algn="l"/>
              <a:t>50 cm</a:t>
            </a:fld>
            <a:endParaRPr lang="es-E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4</xdr:row>
      <xdr:rowOff>0</xdr:rowOff>
    </xdr:from>
    <xdr:to>
      <xdr:col>8</xdr:col>
      <xdr:colOff>1200465</xdr:colOff>
      <xdr:row>4</xdr:row>
      <xdr:rowOff>603250</xdr:rowOff>
    </xdr:to>
    <xdr:pic>
      <xdr:nvPicPr>
        <xdr:cNvPr id="502" name="Prism_Rec 020x05x05">
          <a:extLst>
            <a:ext uri="{FF2B5EF4-FFF2-40B4-BE49-F238E27FC236}">
              <a16:creationId xmlns:a16="http://schemas.microsoft.com/office/drawing/2014/main" id="{F6B0140D-1CD2-F6FE-AD18-73ACCA33CED3}"/>
            </a:ext>
          </a:extLst>
        </xdr:cNvPr>
        <xdr:cNvPicPr>
          <a:picLocks noChangeAspect="1"/>
        </xdr:cNvPicPr>
      </xdr:nvPicPr>
      <xdr:blipFill>
        <a:blip xmlns:r="http://schemas.openxmlformats.org/officeDocument/2006/relationships" r:embed="rId1"/>
        <a:stretch>
          <a:fillRect/>
        </a:stretch>
      </xdr:blipFill>
      <xdr:spPr>
        <a:xfrm>
          <a:off x="7912100" y="182033"/>
          <a:ext cx="1200465" cy="603250"/>
        </a:xfrm>
        <a:prstGeom prst="rect">
          <a:avLst/>
        </a:prstGeom>
      </xdr:spPr>
    </xdr:pic>
    <xdr:clientData/>
  </xdr:twoCellAnchor>
  <xdr:twoCellAnchor editAs="oneCell">
    <xdr:from>
      <xdr:col>8</xdr:col>
      <xdr:colOff>0</xdr:colOff>
      <xdr:row>5</xdr:row>
      <xdr:rowOff>0</xdr:rowOff>
    </xdr:from>
    <xdr:to>
      <xdr:col>8</xdr:col>
      <xdr:colOff>1200465</xdr:colOff>
      <xdr:row>5</xdr:row>
      <xdr:rowOff>603250</xdr:rowOff>
    </xdr:to>
    <xdr:pic>
      <xdr:nvPicPr>
        <xdr:cNvPr id="504" name="Prism_Rec 020x15x10">
          <a:extLst>
            <a:ext uri="{FF2B5EF4-FFF2-40B4-BE49-F238E27FC236}">
              <a16:creationId xmlns:a16="http://schemas.microsoft.com/office/drawing/2014/main" id="{9C9CDA27-F2C3-94C2-5F76-042363FEB163}"/>
            </a:ext>
          </a:extLst>
        </xdr:cNvPr>
        <xdr:cNvPicPr>
          <a:picLocks noChangeAspect="1"/>
        </xdr:cNvPicPr>
      </xdr:nvPicPr>
      <xdr:blipFill>
        <a:blip xmlns:r="http://schemas.openxmlformats.org/officeDocument/2006/relationships" r:embed="rId2"/>
        <a:stretch>
          <a:fillRect/>
        </a:stretch>
      </xdr:blipFill>
      <xdr:spPr>
        <a:xfrm>
          <a:off x="7912100" y="817033"/>
          <a:ext cx="1200465" cy="603250"/>
        </a:xfrm>
        <a:prstGeom prst="rect">
          <a:avLst/>
        </a:prstGeom>
      </xdr:spPr>
    </xdr:pic>
    <xdr:clientData/>
  </xdr:twoCellAnchor>
  <xdr:twoCellAnchor editAs="oneCell">
    <xdr:from>
      <xdr:col>8</xdr:col>
      <xdr:colOff>0</xdr:colOff>
      <xdr:row>6</xdr:row>
      <xdr:rowOff>0</xdr:rowOff>
    </xdr:from>
    <xdr:to>
      <xdr:col>8</xdr:col>
      <xdr:colOff>1200465</xdr:colOff>
      <xdr:row>6</xdr:row>
      <xdr:rowOff>603250</xdr:rowOff>
    </xdr:to>
    <xdr:pic>
      <xdr:nvPicPr>
        <xdr:cNvPr id="506" name="Prism_Rec 030x20x10">
          <a:extLst>
            <a:ext uri="{FF2B5EF4-FFF2-40B4-BE49-F238E27FC236}">
              <a16:creationId xmlns:a16="http://schemas.microsoft.com/office/drawing/2014/main" id="{9CCD1588-C1B6-34A9-5B29-0098E978E1E9}"/>
            </a:ext>
          </a:extLst>
        </xdr:cNvPr>
        <xdr:cNvPicPr>
          <a:picLocks noChangeAspect="1"/>
        </xdr:cNvPicPr>
      </xdr:nvPicPr>
      <xdr:blipFill>
        <a:blip xmlns:r="http://schemas.openxmlformats.org/officeDocument/2006/relationships" r:embed="rId3"/>
        <a:stretch>
          <a:fillRect/>
        </a:stretch>
      </xdr:blipFill>
      <xdr:spPr>
        <a:xfrm>
          <a:off x="7912100" y="1452033"/>
          <a:ext cx="1200465" cy="603250"/>
        </a:xfrm>
        <a:prstGeom prst="rect">
          <a:avLst/>
        </a:prstGeom>
      </xdr:spPr>
    </xdr:pic>
    <xdr:clientData/>
  </xdr:twoCellAnchor>
  <xdr:twoCellAnchor editAs="oneCell">
    <xdr:from>
      <xdr:col>8</xdr:col>
      <xdr:colOff>0</xdr:colOff>
      <xdr:row>7</xdr:row>
      <xdr:rowOff>0</xdr:rowOff>
    </xdr:from>
    <xdr:to>
      <xdr:col>8</xdr:col>
      <xdr:colOff>1200465</xdr:colOff>
      <xdr:row>7</xdr:row>
      <xdr:rowOff>603250</xdr:rowOff>
    </xdr:to>
    <xdr:pic>
      <xdr:nvPicPr>
        <xdr:cNvPr id="508" name="Prism_Rec 030x20x10">
          <a:extLst>
            <a:ext uri="{FF2B5EF4-FFF2-40B4-BE49-F238E27FC236}">
              <a16:creationId xmlns:a16="http://schemas.microsoft.com/office/drawing/2014/main" id="{848F7FC1-73AB-029A-0202-052A0A31F7E2}"/>
            </a:ext>
          </a:extLst>
        </xdr:cNvPr>
        <xdr:cNvPicPr>
          <a:picLocks noChangeAspect="1"/>
        </xdr:cNvPicPr>
      </xdr:nvPicPr>
      <xdr:blipFill>
        <a:blip xmlns:r="http://schemas.openxmlformats.org/officeDocument/2006/relationships" r:embed="rId3"/>
        <a:stretch>
          <a:fillRect/>
        </a:stretch>
      </xdr:blipFill>
      <xdr:spPr>
        <a:xfrm>
          <a:off x="7912100" y="2087033"/>
          <a:ext cx="1200465" cy="603250"/>
        </a:xfrm>
        <a:prstGeom prst="rect">
          <a:avLst/>
        </a:prstGeom>
      </xdr:spPr>
    </xdr:pic>
    <xdr:clientData/>
  </xdr:twoCellAnchor>
  <xdr:twoCellAnchor editAs="oneCell">
    <xdr:from>
      <xdr:col>8</xdr:col>
      <xdr:colOff>0</xdr:colOff>
      <xdr:row>7</xdr:row>
      <xdr:rowOff>0</xdr:rowOff>
    </xdr:from>
    <xdr:to>
      <xdr:col>8</xdr:col>
      <xdr:colOff>1200465</xdr:colOff>
      <xdr:row>7</xdr:row>
      <xdr:rowOff>603250</xdr:rowOff>
    </xdr:to>
    <xdr:pic>
      <xdr:nvPicPr>
        <xdr:cNvPr id="510" name="Prism_Rec 040x05x05">
          <a:extLst>
            <a:ext uri="{FF2B5EF4-FFF2-40B4-BE49-F238E27FC236}">
              <a16:creationId xmlns:a16="http://schemas.microsoft.com/office/drawing/2014/main" id="{D5B1F356-BBF3-315A-EE10-9470E8F186AD}"/>
            </a:ext>
          </a:extLst>
        </xdr:cNvPr>
        <xdr:cNvPicPr>
          <a:picLocks noChangeAspect="1"/>
        </xdr:cNvPicPr>
      </xdr:nvPicPr>
      <xdr:blipFill>
        <a:blip xmlns:r="http://schemas.openxmlformats.org/officeDocument/2006/relationships" r:embed="rId4"/>
        <a:stretch>
          <a:fillRect/>
        </a:stretch>
      </xdr:blipFill>
      <xdr:spPr>
        <a:xfrm>
          <a:off x="7912100" y="2722033"/>
          <a:ext cx="1200465" cy="603250"/>
        </a:xfrm>
        <a:prstGeom prst="rect">
          <a:avLst/>
        </a:prstGeom>
      </xdr:spPr>
    </xdr:pic>
    <xdr:clientData/>
  </xdr:twoCellAnchor>
  <xdr:twoCellAnchor editAs="oneCell">
    <xdr:from>
      <xdr:col>8</xdr:col>
      <xdr:colOff>0</xdr:colOff>
      <xdr:row>8</xdr:row>
      <xdr:rowOff>0</xdr:rowOff>
    </xdr:from>
    <xdr:to>
      <xdr:col>8</xdr:col>
      <xdr:colOff>1200465</xdr:colOff>
      <xdr:row>8</xdr:row>
      <xdr:rowOff>603250</xdr:rowOff>
    </xdr:to>
    <xdr:pic>
      <xdr:nvPicPr>
        <xdr:cNvPr id="512" name="Prism_Rec 050x10x10">
          <a:extLst>
            <a:ext uri="{FF2B5EF4-FFF2-40B4-BE49-F238E27FC236}">
              <a16:creationId xmlns:a16="http://schemas.microsoft.com/office/drawing/2014/main" id="{707C95C9-DEEA-5A01-446A-0544A9521C54}"/>
            </a:ext>
          </a:extLst>
        </xdr:cNvPr>
        <xdr:cNvPicPr>
          <a:picLocks noChangeAspect="1"/>
        </xdr:cNvPicPr>
      </xdr:nvPicPr>
      <xdr:blipFill>
        <a:blip xmlns:r="http://schemas.openxmlformats.org/officeDocument/2006/relationships" r:embed="rId5"/>
        <a:stretch>
          <a:fillRect/>
        </a:stretch>
      </xdr:blipFill>
      <xdr:spPr>
        <a:xfrm>
          <a:off x="7912100" y="3357033"/>
          <a:ext cx="1200465" cy="603250"/>
        </a:xfrm>
        <a:prstGeom prst="rect">
          <a:avLst/>
        </a:prstGeom>
      </xdr:spPr>
    </xdr:pic>
    <xdr:clientData/>
  </xdr:twoCellAnchor>
  <xdr:twoCellAnchor editAs="oneCell">
    <xdr:from>
      <xdr:col>8</xdr:col>
      <xdr:colOff>0</xdr:colOff>
      <xdr:row>9</xdr:row>
      <xdr:rowOff>0</xdr:rowOff>
    </xdr:from>
    <xdr:to>
      <xdr:col>8</xdr:col>
      <xdr:colOff>1200465</xdr:colOff>
      <xdr:row>9</xdr:row>
      <xdr:rowOff>603250</xdr:rowOff>
    </xdr:to>
    <xdr:pic>
      <xdr:nvPicPr>
        <xdr:cNvPr id="514" name="Prism_Rec 050x30x20">
          <a:extLst>
            <a:ext uri="{FF2B5EF4-FFF2-40B4-BE49-F238E27FC236}">
              <a16:creationId xmlns:a16="http://schemas.microsoft.com/office/drawing/2014/main" id="{D00EA3C1-D4CF-160E-FAA1-EEEBFF2BD45C}"/>
            </a:ext>
          </a:extLst>
        </xdr:cNvPr>
        <xdr:cNvPicPr>
          <a:picLocks noChangeAspect="1"/>
        </xdr:cNvPicPr>
      </xdr:nvPicPr>
      <xdr:blipFill>
        <a:blip xmlns:r="http://schemas.openxmlformats.org/officeDocument/2006/relationships" r:embed="rId6"/>
        <a:stretch>
          <a:fillRect/>
        </a:stretch>
      </xdr:blipFill>
      <xdr:spPr>
        <a:xfrm>
          <a:off x="7912100" y="3992033"/>
          <a:ext cx="1200465" cy="603250"/>
        </a:xfrm>
        <a:prstGeom prst="rect">
          <a:avLst/>
        </a:prstGeom>
      </xdr:spPr>
    </xdr:pic>
    <xdr:clientData/>
  </xdr:twoCellAnchor>
  <xdr:twoCellAnchor editAs="oneCell">
    <xdr:from>
      <xdr:col>8</xdr:col>
      <xdr:colOff>0</xdr:colOff>
      <xdr:row>10</xdr:row>
      <xdr:rowOff>0</xdr:rowOff>
    </xdr:from>
    <xdr:to>
      <xdr:col>8</xdr:col>
      <xdr:colOff>1200465</xdr:colOff>
      <xdr:row>10</xdr:row>
      <xdr:rowOff>603250</xdr:rowOff>
    </xdr:to>
    <xdr:pic>
      <xdr:nvPicPr>
        <xdr:cNvPr id="516" name="Prism_Rec 060x05x05">
          <a:extLst>
            <a:ext uri="{FF2B5EF4-FFF2-40B4-BE49-F238E27FC236}">
              <a16:creationId xmlns:a16="http://schemas.microsoft.com/office/drawing/2014/main" id="{9D69B4F1-28BB-02CE-28C5-80954580E829}"/>
            </a:ext>
          </a:extLst>
        </xdr:cNvPr>
        <xdr:cNvPicPr>
          <a:picLocks noChangeAspect="1"/>
        </xdr:cNvPicPr>
      </xdr:nvPicPr>
      <xdr:blipFill>
        <a:blip xmlns:r="http://schemas.openxmlformats.org/officeDocument/2006/relationships" r:embed="rId7"/>
        <a:stretch>
          <a:fillRect/>
        </a:stretch>
      </xdr:blipFill>
      <xdr:spPr>
        <a:xfrm>
          <a:off x="7912100" y="4627033"/>
          <a:ext cx="1200465" cy="603250"/>
        </a:xfrm>
        <a:prstGeom prst="rect">
          <a:avLst/>
        </a:prstGeom>
      </xdr:spPr>
    </xdr:pic>
    <xdr:clientData/>
  </xdr:twoCellAnchor>
  <xdr:twoCellAnchor editAs="oneCell">
    <xdr:from>
      <xdr:col>8</xdr:col>
      <xdr:colOff>0</xdr:colOff>
      <xdr:row>11</xdr:row>
      <xdr:rowOff>0</xdr:rowOff>
    </xdr:from>
    <xdr:to>
      <xdr:col>8</xdr:col>
      <xdr:colOff>1200465</xdr:colOff>
      <xdr:row>11</xdr:row>
      <xdr:rowOff>603250</xdr:rowOff>
    </xdr:to>
    <xdr:pic>
      <xdr:nvPicPr>
        <xdr:cNvPr id="518" name="Prism_Rec 060x45x25">
          <a:extLst>
            <a:ext uri="{FF2B5EF4-FFF2-40B4-BE49-F238E27FC236}">
              <a16:creationId xmlns:a16="http://schemas.microsoft.com/office/drawing/2014/main" id="{85FFACBB-E1CF-D6EF-4073-37944695B6BD}"/>
            </a:ext>
          </a:extLst>
        </xdr:cNvPr>
        <xdr:cNvPicPr>
          <a:picLocks noChangeAspect="1"/>
        </xdr:cNvPicPr>
      </xdr:nvPicPr>
      <xdr:blipFill>
        <a:blip xmlns:r="http://schemas.openxmlformats.org/officeDocument/2006/relationships" r:embed="rId8"/>
        <a:stretch>
          <a:fillRect/>
        </a:stretch>
      </xdr:blipFill>
      <xdr:spPr>
        <a:xfrm>
          <a:off x="7912100" y="5262033"/>
          <a:ext cx="1200465" cy="603250"/>
        </a:xfrm>
        <a:prstGeom prst="rect">
          <a:avLst/>
        </a:prstGeom>
      </xdr:spPr>
    </xdr:pic>
    <xdr:clientData/>
  </xdr:twoCellAnchor>
  <xdr:twoCellAnchor editAs="oneCell">
    <xdr:from>
      <xdr:col>8</xdr:col>
      <xdr:colOff>0</xdr:colOff>
      <xdr:row>12</xdr:row>
      <xdr:rowOff>0</xdr:rowOff>
    </xdr:from>
    <xdr:to>
      <xdr:col>8</xdr:col>
      <xdr:colOff>1200465</xdr:colOff>
      <xdr:row>12</xdr:row>
      <xdr:rowOff>603250</xdr:rowOff>
    </xdr:to>
    <xdr:pic>
      <xdr:nvPicPr>
        <xdr:cNvPr id="520" name="Prism_Rec 070x05x05">
          <a:extLst>
            <a:ext uri="{FF2B5EF4-FFF2-40B4-BE49-F238E27FC236}">
              <a16:creationId xmlns:a16="http://schemas.microsoft.com/office/drawing/2014/main" id="{469D94E8-8B3D-188A-5F3F-1EB7B3D55877}"/>
            </a:ext>
          </a:extLst>
        </xdr:cNvPr>
        <xdr:cNvPicPr>
          <a:picLocks noChangeAspect="1"/>
        </xdr:cNvPicPr>
      </xdr:nvPicPr>
      <xdr:blipFill>
        <a:blip xmlns:r="http://schemas.openxmlformats.org/officeDocument/2006/relationships" r:embed="rId9"/>
        <a:stretch>
          <a:fillRect/>
        </a:stretch>
      </xdr:blipFill>
      <xdr:spPr>
        <a:xfrm>
          <a:off x="7912100" y="5897033"/>
          <a:ext cx="1200465" cy="603250"/>
        </a:xfrm>
        <a:prstGeom prst="rect">
          <a:avLst/>
        </a:prstGeom>
      </xdr:spPr>
    </xdr:pic>
    <xdr:clientData/>
  </xdr:twoCellAnchor>
  <xdr:twoCellAnchor editAs="oneCell">
    <xdr:from>
      <xdr:col>8</xdr:col>
      <xdr:colOff>0</xdr:colOff>
      <xdr:row>13</xdr:row>
      <xdr:rowOff>0</xdr:rowOff>
    </xdr:from>
    <xdr:to>
      <xdr:col>8</xdr:col>
      <xdr:colOff>1200465</xdr:colOff>
      <xdr:row>13</xdr:row>
      <xdr:rowOff>603250</xdr:rowOff>
    </xdr:to>
    <xdr:pic>
      <xdr:nvPicPr>
        <xdr:cNvPr id="522" name="Prism_Rec 070x50x35">
          <a:extLst>
            <a:ext uri="{FF2B5EF4-FFF2-40B4-BE49-F238E27FC236}">
              <a16:creationId xmlns:a16="http://schemas.microsoft.com/office/drawing/2014/main" id="{2161550C-0BA1-4AF8-34C6-A15A1903A9B2}"/>
            </a:ext>
          </a:extLst>
        </xdr:cNvPr>
        <xdr:cNvPicPr>
          <a:picLocks noChangeAspect="1"/>
        </xdr:cNvPicPr>
      </xdr:nvPicPr>
      <xdr:blipFill>
        <a:blip xmlns:r="http://schemas.openxmlformats.org/officeDocument/2006/relationships" r:embed="rId10"/>
        <a:stretch>
          <a:fillRect/>
        </a:stretch>
      </xdr:blipFill>
      <xdr:spPr>
        <a:xfrm>
          <a:off x="7912100" y="6532033"/>
          <a:ext cx="1200465" cy="603250"/>
        </a:xfrm>
        <a:prstGeom prst="rect">
          <a:avLst/>
        </a:prstGeom>
      </xdr:spPr>
    </xdr:pic>
    <xdr:clientData/>
  </xdr:twoCellAnchor>
  <xdr:twoCellAnchor editAs="oneCell">
    <xdr:from>
      <xdr:col>8</xdr:col>
      <xdr:colOff>0</xdr:colOff>
      <xdr:row>14</xdr:row>
      <xdr:rowOff>0</xdr:rowOff>
    </xdr:from>
    <xdr:to>
      <xdr:col>8</xdr:col>
      <xdr:colOff>1200465</xdr:colOff>
      <xdr:row>14</xdr:row>
      <xdr:rowOff>603250</xdr:rowOff>
    </xdr:to>
    <xdr:pic>
      <xdr:nvPicPr>
        <xdr:cNvPr id="524" name="Prism_Rec 080x50x05">
          <a:extLst>
            <a:ext uri="{FF2B5EF4-FFF2-40B4-BE49-F238E27FC236}">
              <a16:creationId xmlns:a16="http://schemas.microsoft.com/office/drawing/2014/main" id="{66376B60-F469-7309-8B8A-C33AD7438DB2}"/>
            </a:ext>
          </a:extLst>
        </xdr:cNvPr>
        <xdr:cNvPicPr>
          <a:picLocks noChangeAspect="1"/>
        </xdr:cNvPicPr>
      </xdr:nvPicPr>
      <xdr:blipFill>
        <a:blip xmlns:r="http://schemas.openxmlformats.org/officeDocument/2006/relationships" r:embed="rId11"/>
        <a:stretch>
          <a:fillRect/>
        </a:stretch>
      </xdr:blipFill>
      <xdr:spPr>
        <a:xfrm>
          <a:off x="7912100" y="7167033"/>
          <a:ext cx="1200465" cy="603250"/>
        </a:xfrm>
        <a:prstGeom prst="rect">
          <a:avLst/>
        </a:prstGeom>
      </xdr:spPr>
    </xdr:pic>
    <xdr:clientData/>
  </xdr:twoCellAnchor>
  <xdr:twoCellAnchor editAs="oneCell">
    <xdr:from>
      <xdr:col>8</xdr:col>
      <xdr:colOff>0</xdr:colOff>
      <xdr:row>15</xdr:row>
      <xdr:rowOff>0</xdr:rowOff>
    </xdr:from>
    <xdr:to>
      <xdr:col>8</xdr:col>
      <xdr:colOff>1200465</xdr:colOff>
      <xdr:row>15</xdr:row>
      <xdr:rowOff>603250</xdr:rowOff>
    </xdr:to>
    <xdr:pic>
      <xdr:nvPicPr>
        <xdr:cNvPr id="526" name="Prism_Rec 090x10x10">
          <a:extLst>
            <a:ext uri="{FF2B5EF4-FFF2-40B4-BE49-F238E27FC236}">
              <a16:creationId xmlns:a16="http://schemas.microsoft.com/office/drawing/2014/main" id="{645EE827-A618-3B2A-FB6E-A53D198D333E}"/>
            </a:ext>
          </a:extLst>
        </xdr:cNvPr>
        <xdr:cNvPicPr>
          <a:picLocks noChangeAspect="1"/>
        </xdr:cNvPicPr>
      </xdr:nvPicPr>
      <xdr:blipFill>
        <a:blip xmlns:r="http://schemas.openxmlformats.org/officeDocument/2006/relationships" r:embed="rId12"/>
        <a:stretch>
          <a:fillRect/>
        </a:stretch>
      </xdr:blipFill>
      <xdr:spPr>
        <a:xfrm>
          <a:off x="7912100" y="7802033"/>
          <a:ext cx="1200465" cy="603250"/>
        </a:xfrm>
        <a:prstGeom prst="rect">
          <a:avLst/>
        </a:prstGeom>
      </xdr:spPr>
    </xdr:pic>
    <xdr:clientData/>
  </xdr:twoCellAnchor>
  <xdr:twoCellAnchor editAs="oneCell">
    <xdr:from>
      <xdr:col>8</xdr:col>
      <xdr:colOff>0</xdr:colOff>
      <xdr:row>16</xdr:row>
      <xdr:rowOff>0</xdr:rowOff>
    </xdr:from>
    <xdr:to>
      <xdr:col>8</xdr:col>
      <xdr:colOff>1200465</xdr:colOff>
      <xdr:row>16</xdr:row>
      <xdr:rowOff>603250</xdr:rowOff>
    </xdr:to>
    <xdr:pic>
      <xdr:nvPicPr>
        <xdr:cNvPr id="528" name="Prism_Rec 100x70x15">
          <a:extLst>
            <a:ext uri="{FF2B5EF4-FFF2-40B4-BE49-F238E27FC236}">
              <a16:creationId xmlns:a16="http://schemas.microsoft.com/office/drawing/2014/main" id="{9A9DB25A-EA88-E1E6-393F-0F811501E7E6}"/>
            </a:ext>
          </a:extLst>
        </xdr:cNvPr>
        <xdr:cNvPicPr>
          <a:picLocks noChangeAspect="1"/>
        </xdr:cNvPicPr>
      </xdr:nvPicPr>
      <xdr:blipFill>
        <a:blip xmlns:r="http://schemas.openxmlformats.org/officeDocument/2006/relationships" r:embed="rId13"/>
        <a:stretch>
          <a:fillRect/>
        </a:stretch>
      </xdr:blipFill>
      <xdr:spPr>
        <a:xfrm>
          <a:off x="7912100" y="8437033"/>
          <a:ext cx="1200465" cy="6032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110068</xdr:rowOff>
    </xdr:from>
    <xdr:to>
      <xdr:col>3</xdr:col>
      <xdr:colOff>601727</xdr:colOff>
      <xdr:row>8</xdr:row>
      <xdr:rowOff>129161</xdr:rowOff>
    </xdr:to>
    <xdr:pic>
      <xdr:nvPicPr>
        <xdr:cNvPr id="5" name="Imagen 4">
          <a:extLst>
            <a:ext uri="{FF2B5EF4-FFF2-40B4-BE49-F238E27FC236}">
              <a16:creationId xmlns:a16="http://schemas.microsoft.com/office/drawing/2014/main" id="{9B091343-209A-9B91-805C-0F2FED645574}"/>
            </a:ext>
          </a:extLst>
        </xdr:cNvPr>
        <xdr:cNvPicPr>
          <a:picLocks noChangeAspect="1"/>
        </xdr:cNvPicPr>
      </xdr:nvPicPr>
      <xdr:blipFill>
        <a:blip xmlns:r="http://schemas.openxmlformats.org/officeDocument/2006/relationships" r:embed="rId1"/>
        <a:stretch>
          <a:fillRect/>
        </a:stretch>
      </xdr:blipFill>
      <xdr:spPr>
        <a:xfrm>
          <a:off x="0" y="110068"/>
          <a:ext cx="2938527" cy="14753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AHGM\0.%20GITHUB\FTP_Privado\FastTest%20PlugIn%20-%20Problems.xlsx" TargetMode="External"/><Relationship Id="rId1" Type="http://schemas.openxmlformats.org/officeDocument/2006/relationships/externalLinkPath" Target="FastTest%20PlugIn%20-%20Problem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PROBLEM"/>
      <sheetName val="FIXED DATA"/>
      <sheetName val="RESULTS - FTP"/>
      <sheetName val="HIDDEN"/>
      <sheetName val="FORMULA"/>
      <sheetName val="NAMES"/>
      <sheetName val="IMAGES"/>
      <sheetName val="LINKS"/>
    </sheetNames>
    <sheetDataSet>
      <sheetData sheetId="0"/>
      <sheetData sheetId="1">
        <row r="6">
          <cell r="B6" t="str">
            <v>4) This problem is very easy.</v>
          </cell>
        </row>
      </sheetData>
      <sheetData sheetId="2"/>
      <sheetData sheetId="3"/>
      <sheetData sheetId="4"/>
      <sheetData sheetId="5"/>
      <sheetData sheetId="6"/>
      <sheetData sheetId="7"/>
      <sheetData sheetId="8"/>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D_FIJOS" displayName="T_D_FIJOS" ref="A4:K17" totalsRowShown="0" headerRowDxfId="41" dataDxfId="40" tableBorderDxfId="39">
  <autoFilter ref="A4:K17" xr:uid="{00000000-0009-0000-0100-000001000000}"/>
  <sortState xmlns:xlrd2="http://schemas.microsoft.com/office/spreadsheetml/2017/richdata2" ref="B5:I5">
    <sortCondition ref="B4:B5"/>
  </sortState>
  <tableColumns count="11">
    <tableColumn id="11" xr3:uid="{0EF28D18-F864-403C-8B5B-1E35D5D972C5}" name="Nº" dataDxfId="38">
      <calculatedColumnFormula>ROW()-ROW(T_D_FIJOS[[#Headers],[Nº]])</calculatedColumnFormula>
    </tableColumn>
    <tableColumn id="1" xr3:uid="{00000000-0010-0000-0000-000001000000}" name="NOMBRE" dataDxfId="37">
      <calculatedColumnFormula>"Prism_Rec "&amp;TEXT(C5,"000")&amp;"x"&amp;TEXT(D5,"00")&amp;"x"&amp;TEXT(E5,"00")</calculatedColumnFormula>
    </tableColumn>
    <tableColumn id="2" xr3:uid="{00000000-0010-0000-0000-000002000000}" name="Lado" dataDxfId="36"/>
    <tableColumn id="3" xr3:uid="{00000000-0010-0000-0000-000003000000}" name="Altura" dataDxfId="35"/>
    <tableColumn id="4" xr3:uid="{00000000-0010-0000-0000-000004000000}" name="Profundidad" dataDxfId="34"/>
    <tableColumn id="5" xr3:uid="{00000000-0010-0000-0000-000005000000}" name="Perímetro" dataDxfId="33"/>
    <tableColumn id="6" xr3:uid="{00000000-0010-0000-0000-000006000000}" name="Área" dataDxfId="32"/>
    <tableColumn id="7" xr3:uid="{00000000-0010-0000-0000-000007000000}" name="Volumen" dataDxfId="31"/>
    <tableColumn id="8" xr3:uid="{00000000-0010-0000-0000-000008000000}" name="Imagen" dataDxfId="30"/>
    <tableColumn id="9" xr3:uid="{009B4E1A-767E-4E88-859E-E16F023BB068}" name="IMPRIMIR" dataDxfId="29"/>
    <tableColumn id="10" xr3:uid="{0323444A-D6A6-4EBF-943E-24208273EB1D}" name="N_Pb" dataDxfId="28">
      <calculatedColumnFormula>IF($M$4=_OK,ROW()-ROW(T_D_FIJOS[[#Headers],[N_Pb]]),IF(T_D_FIJOS[[#This Row],[IMPRIMIR]]="",0,COUNTA($J$5:J5)))</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DATOS_IMAGENES" displayName="T_DATOS_IMAGENES" ref="A1:F2" totalsRowShown="0" headerRowDxfId="27" dataDxfId="26">
  <autoFilter ref="A1:F2" xr:uid="{00000000-0009-0000-0100-000002000000}"/>
  <tableColumns count="6">
    <tableColumn id="1" xr3:uid="{00000000-0010-0000-0100-000001000000}" name="NOMBRE" dataDxfId="25"/>
    <tableColumn id="2" xr3:uid="{00000000-0010-0000-0100-000002000000}" name="Enlace" dataDxfId="24" dataCellStyle="Hipervínculo"/>
    <tableColumn id="3" xr3:uid="{00000000-0010-0000-0100-000003000000}" name="Nombre_Imagen" dataDxfId="23">
      <calculatedColumnFormula>MID(B2,26,33)</calculatedColumnFormula>
    </tableColumn>
    <tableColumn id="4" xr3:uid="{00000000-0010-0000-0100-000004000000}" name="Ancho" dataDxfId="22"/>
    <tableColumn id="5" xr3:uid="{00000000-0010-0000-0100-000005000000}" name="Alto" dataDxfId="21"/>
    <tableColumn id="6" xr3:uid="{00000000-0010-0000-0100-000006000000}" name="URL FTP" dataDxfId="20">
      <calculatedColumnFormula>URL_I&amp;T_DATOS_IMAGENES[[#This Row],[Enlace]]&amp;URL_W&amp;T_DATOS_IMAGENES[[#This Row],[Ancho]]&amp;URL_ALTO&amp;T_DATOS_IMAGENES[[#This Row],[Alto]]&amp;URL_F</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youtu.be/5VUC65zp5EI" TargetMode="External"/><Relationship Id="rId13" Type="http://schemas.openxmlformats.org/officeDocument/2006/relationships/vmlDrawing" Target="../drawings/vmlDrawing1.vml"/><Relationship Id="rId3" Type="http://schemas.openxmlformats.org/officeDocument/2006/relationships/hyperlink" Target="https://youtu.be/swXXdfHLQSk" TargetMode="External"/><Relationship Id="rId7" Type="http://schemas.openxmlformats.org/officeDocument/2006/relationships/hyperlink" Target="https://youtu.be/DyifNHcoqoQ" TargetMode="External"/><Relationship Id="rId12" Type="http://schemas.openxmlformats.org/officeDocument/2006/relationships/printerSettings" Target="../printerSettings/printerSettings1.bin"/><Relationship Id="rId2" Type="http://schemas.openxmlformats.org/officeDocument/2006/relationships/hyperlink" Target="https://www.youtube.com/watch?v=PV3VHzg7Q7A" TargetMode="External"/><Relationship Id="rId1" Type="http://schemas.openxmlformats.org/officeDocument/2006/relationships/hyperlink" Target="https://www.youtube.com/playlist?list=PLacWHbqwaJGx0d_kZfPxNrSQNANQrxdqi" TargetMode="External"/><Relationship Id="rId6" Type="http://schemas.openxmlformats.org/officeDocument/2006/relationships/hyperlink" Target="https://youtu.be/l2Fh57ZF1C8" TargetMode="External"/><Relationship Id="rId11" Type="http://schemas.openxmlformats.org/officeDocument/2006/relationships/hyperlink" Target="https://imgbb.com/" TargetMode="External"/><Relationship Id="rId5" Type="http://schemas.openxmlformats.org/officeDocument/2006/relationships/hyperlink" Target="https://youtu.be/V6cLircQdsI" TargetMode="External"/><Relationship Id="rId10" Type="http://schemas.openxmlformats.org/officeDocument/2006/relationships/hyperlink" Target="https://docs.google.com/spreadsheets/d/13DvMvhVkx12qg-r4tkzOiIfJDa5zrdOtAeIbpwYfeQk/edit" TargetMode="External"/><Relationship Id="rId4" Type="http://schemas.openxmlformats.org/officeDocument/2006/relationships/hyperlink" Target="https://youtu.be/LJ_7Czu-Auw" TargetMode="External"/><Relationship Id="rId9" Type="http://schemas.openxmlformats.org/officeDocument/2006/relationships/hyperlink" Target="https://youtu.be/Yy1iDJji2Gs" TargetMode="External"/><Relationship Id="rId1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comments" Target="../comments2.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6.bin"/><Relationship Id="rId1" Type="http://schemas.openxmlformats.org/officeDocument/2006/relationships/hyperlink" Target="https://i.ibb.co/qMW1Ssz/Prisma-rectangular.p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ublished="0" codeName="a_Instrucciones">
    <tabColor rgb="FFFFFF00"/>
  </sheetPr>
  <dimension ref="A1:E38"/>
  <sheetViews>
    <sheetView showGridLines="0" showRowColHeaders="0" zoomScale="141" zoomScaleNormal="133" zoomScaleSheetLayoutView="81" workbookViewId="0">
      <pane xSplit="4" ySplit="1" topLeftCell="E2" activePane="bottomRight" state="frozen"/>
      <selection pane="topRight" activeCell="E1" sqref="E1"/>
      <selection pane="bottomLeft" activeCell="A2" sqref="A2"/>
      <selection pane="bottomRight" activeCell="A2" sqref="A2:C2"/>
    </sheetView>
  </sheetViews>
  <sheetFormatPr baseColWidth="10" defaultColWidth="0" defaultRowHeight="14.35" outlineLevelRow="1" x14ac:dyDescent="0.5"/>
  <cols>
    <col min="1" max="1" width="4" customWidth="1"/>
    <col min="2" max="2" width="88.29296875" customWidth="1"/>
    <col min="3" max="3" width="1.703125" customWidth="1"/>
    <col min="4" max="4" width="3.52734375" customWidth="1"/>
    <col min="5" max="5" width="1.76171875" hidden="1" customWidth="1"/>
    <col min="6" max="16384" width="10.8203125" hidden="1"/>
  </cols>
  <sheetData>
    <row r="1" spans="1:4" ht="21" thickBot="1" x14ac:dyDescent="0.55000000000000004">
      <c r="A1" s="144" t="str">
        <f>"INSTRUCCIONES PARA HACER LAS HOJAS DE CÁLCULO AUTOMATIZADAS - "&amp;Version</f>
        <v>INSTRUCCIONES PARA HACER LAS HOJAS DE CÁLCULO AUTOMATIZADAS - V1.2</v>
      </c>
      <c r="B1" s="144"/>
      <c r="C1" s="144"/>
      <c r="D1" s="78" t="s">
        <v>99</v>
      </c>
    </row>
    <row r="2" spans="1:4" ht="15" thickTop="1" thickBot="1" x14ac:dyDescent="0.55000000000000004">
      <c r="A2" s="145" t="s">
        <v>28</v>
      </c>
      <c r="B2" s="146"/>
      <c r="C2" s="146"/>
      <c r="D2" s="136" t="s">
        <v>28</v>
      </c>
    </row>
    <row r="3" spans="1:4" ht="43.35" outlineLevel="1" thickTop="1" x14ac:dyDescent="0.5">
      <c r="A3" s="86" t="s">
        <v>44</v>
      </c>
      <c r="B3" s="87" t="s">
        <v>100</v>
      </c>
      <c r="C3" s="88"/>
      <c r="D3" s="137"/>
    </row>
    <row r="4" spans="1:4" ht="57.35" outlineLevel="1" x14ac:dyDescent="0.5">
      <c r="A4" s="79" t="s">
        <v>47</v>
      </c>
      <c r="B4" s="80" t="s">
        <v>101</v>
      </c>
      <c r="C4" s="81"/>
      <c r="D4" s="137"/>
    </row>
    <row r="5" spans="1:4" ht="28.7" outlineLevel="1" x14ac:dyDescent="0.5">
      <c r="A5" s="79" t="s">
        <v>45</v>
      </c>
      <c r="B5" s="80" t="s">
        <v>102</v>
      </c>
      <c r="C5" s="81"/>
      <c r="D5" s="137"/>
    </row>
    <row r="6" spans="1:4" ht="43" outlineLevel="1" x14ac:dyDescent="0.5">
      <c r="A6" s="79" t="s">
        <v>48</v>
      </c>
      <c r="B6" s="80" t="s">
        <v>103</v>
      </c>
      <c r="C6" s="81"/>
      <c r="D6" s="137"/>
    </row>
    <row r="7" spans="1:4" ht="57.35" outlineLevel="1" x14ac:dyDescent="0.5">
      <c r="A7" s="79" t="s">
        <v>49</v>
      </c>
      <c r="B7" s="80" t="s">
        <v>104</v>
      </c>
      <c r="C7" s="81"/>
      <c r="D7" s="137"/>
    </row>
    <row r="8" spans="1:4" ht="71.7" outlineLevel="1" x14ac:dyDescent="0.5">
      <c r="A8" s="79" t="s">
        <v>50</v>
      </c>
      <c r="B8" s="80" t="s">
        <v>105</v>
      </c>
      <c r="C8" s="81"/>
      <c r="D8" s="137"/>
    </row>
    <row r="9" spans="1:4" ht="86" outlineLevel="1" x14ac:dyDescent="0.5">
      <c r="A9" s="79" t="s">
        <v>51</v>
      </c>
      <c r="B9" s="80" t="s">
        <v>106</v>
      </c>
      <c r="C9" s="81"/>
      <c r="D9" s="137"/>
    </row>
    <row r="10" spans="1:4" ht="57.35" outlineLevel="1" x14ac:dyDescent="0.5">
      <c r="A10" s="79" t="s">
        <v>46</v>
      </c>
      <c r="B10" s="80" t="s">
        <v>107</v>
      </c>
      <c r="C10" s="81"/>
      <c r="D10" s="137"/>
    </row>
    <row r="11" spans="1:4" ht="57.7" outlineLevel="1" thickBot="1" x14ac:dyDescent="0.55000000000000004">
      <c r="A11" s="82" t="s">
        <v>52</v>
      </c>
      <c r="B11" s="83" t="s">
        <v>108</v>
      </c>
      <c r="C11" s="84"/>
      <c r="D11" s="138"/>
    </row>
    <row r="12" spans="1:4" ht="14.7" thickTop="1" x14ac:dyDescent="0.5">
      <c r="A12" s="139" t="s">
        <v>29</v>
      </c>
      <c r="B12" s="140"/>
      <c r="C12" s="140"/>
      <c r="D12" s="136" t="s">
        <v>29</v>
      </c>
    </row>
    <row r="13" spans="1:4" outlineLevel="1" x14ac:dyDescent="0.5">
      <c r="A13" s="79" t="s">
        <v>53</v>
      </c>
      <c r="B13" s="80" t="s">
        <v>92</v>
      </c>
      <c r="C13" s="85"/>
      <c r="D13" s="137"/>
    </row>
    <row r="14" spans="1:4" ht="28.7" outlineLevel="1" x14ac:dyDescent="0.5">
      <c r="A14" s="79" t="s">
        <v>54</v>
      </c>
      <c r="B14" s="80" t="s">
        <v>109</v>
      </c>
      <c r="C14" s="85"/>
      <c r="D14" s="137"/>
    </row>
    <row r="15" spans="1:4" ht="29" outlineLevel="1" thickBot="1" x14ac:dyDescent="0.55000000000000004">
      <c r="A15" s="79" t="s">
        <v>55</v>
      </c>
      <c r="B15" s="80" t="s">
        <v>56</v>
      </c>
      <c r="C15" s="85"/>
      <c r="D15" s="138"/>
    </row>
    <row r="16" spans="1:4" ht="14.7" customHeight="1" thickTop="1" x14ac:dyDescent="0.5">
      <c r="A16" s="139" t="s">
        <v>30</v>
      </c>
      <c r="B16" s="140"/>
      <c r="C16" s="140"/>
      <c r="D16" s="136" t="s">
        <v>30</v>
      </c>
    </row>
    <row r="17" spans="1:4" ht="86" outlineLevel="1" x14ac:dyDescent="0.5">
      <c r="A17" s="79" t="s">
        <v>57</v>
      </c>
      <c r="B17" s="80" t="s">
        <v>117</v>
      </c>
      <c r="C17" s="85"/>
      <c r="D17" s="137"/>
    </row>
    <row r="18" spans="1:4" ht="28.7" outlineLevel="1" x14ac:dyDescent="0.5">
      <c r="A18" s="79" t="s">
        <v>58</v>
      </c>
      <c r="B18" s="80" t="s">
        <v>110</v>
      </c>
      <c r="C18" s="85"/>
      <c r="D18" s="137"/>
    </row>
    <row r="19" spans="1:4" ht="57.35" outlineLevel="1" x14ac:dyDescent="0.5">
      <c r="A19" s="79" t="s">
        <v>59</v>
      </c>
      <c r="B19" s="80" t="s">
        <v>111</v>
      </c>
      <c r="C19" s="85"/>
      <c r="D19" s="137"/>
    </row>
    <row r="20" spans="1:4" ht="28.7" outlineLevel="1" x14ac:dyDescent="0.5">
      <c r="A20" s="79" t="s">
        <v>60</v>
      </c>
      <c r="B20" s="80" t="s">
        <v>112</v>
      </c>
      <c r="C20" s="85"/>
      <c r="D20" s="137"/>
    </row>
    <row r="21" spans="1:4" ht="71.7" outlineLevel="1" x14ac:dyDescent="0.5">
      <c r="A21" s="79" t="s">
        <v>93</v>
      </c>
      <c r="B21" s="80" t="s">
        <v>118</v>
      </c>
      <c r="C21" s="85"/>
      <c r="D21" s="137"/>
    </row>
    <row r="22" spans="1:4" ht="43.35" outlineLevel="1" thickBot="1" x14ac:dyDescent="0.55000000000000004">
      <c r="A22" s="79" t="s">
        <v>133</v>
      </c>
      <c r="B22" s="80" t="s">
        <v>134</v>
      </c>
      <c r="C22" s="85"/>
      <c r="D22" s="138"/>
    </row>
    <row r="23" spans="1:4" ht="14.7" thickTop="1" x14ac:dyDescent="0.5">
      <c r="A23" s="139" t="s">
        <v>121</v>
      </c>
      <c r="B23" s="140"/>
      <c r="C23" s="140"/>
      <c r="D23" s="136" t="s">
        <v>120</v>
      </c>
    </row>
    <row r="24" spans="1:4" ht="43" outlineLevel="1" x14ac:dyDescent="0.5">
      <c r="A24" s="79" t="s">
        <v>61</v>
      </c>
      <c r="B24" s="80" t="s">
        <v>122</v>
      </c>
      <c r="C24" s="85"/>
      <c r="D24" s="137"/>
    </row>
    <row r="25" spans="1:4" ht="43.35" outlineLevel="1" thickBot="1" x14ac:dyDescent="0.55000000000000004">
      <c r="A25" s="79" t="s">
        <v>94</v>
      </c>
      <c r="B25" s="80" t="s">
        <v>123</v>
      </c>
      <c r="C25" s="85"/>
      <c r="D25" s="138"/>
    </row>
    <row r="26" spans="1:4" ht="14.7" thickTop="1" x14ac:dyDescent="0.5">
      <c r="A26" s="139" t="s">
        <v>95</v>
      </c>
      <c r="B26" s="140"/>
      <c r="C26" s="140"/>
      <c r="D26" s="133" t="s">
        <v>116</v>
      </c>
    </row>
    <row r="27" spans="1:4" ht="29" outlineLevel="1" thickBot="1" x14ac:dyDescent="0.55000000000000004">
      <c r="A27" s="79" t="s">
        <v>62</v>
      </c>
      <c r="B27" s="80" t="s">
        <v>90</v>
      </c>
      <c r="C27" s="85"/>
      <c r="D27" s="135"/>
    </row>
    <row r="28" spans="1:4" ht="14.7" customHeight="1" thickTop="1" x14ac:dyDescent="0.5">
      <c r="A28" s="139" t="s">
        <v>96</v>
      </c>
      <c r="B28" s="140"/>
      <c r="C28" s="140"/>
      <c r="D28" s="133" t="s">
        <v>115</v>
      </c>
    </row>
    <row r="29" spans="1:4" ht="57.35" outlineLevel="1" x14ac:dyDescent="0.5">
      <c r="A29" s="79" t="s">
        <v>63</v>
      </c>
      <c r="B29" s="131" t="s">
        <v>597</v>
      </c>
      <c r="C29" s="85"/>
      <c r="D29" s="134"/>
    </row>
    <row r="30" spans="1:4" ht="43.35" outlineLevel="1" thickBot="1" x14ac:dyDescent="0.55000000000000004">
      <c r="A30" s="79" t="s">
        <v>64</v>
      </c>
      <c r="B30" s="80" t="s">
        <v>594</v>
      </c>
      <c r="C30" s="85"/>
      <c r="D30" s="135"/>
    </row>
    <row r="31" spans="1:4" ht="14.7" thickTop="1" x14ac:dyDescent="0.5">
      <c r="A31" s="139" t="s">
        <v>97</v>
      </c>
      <c r="B31" s="140"/>
      <c r="C31" s="140"/>
      <c r="D31" s="133" t="s">
        <v>86</v>
      </c>
    </row>
    <row r="32" spans="1:4" ht="114.7" outlineLevel="1" x14ac:dyDescent="0.5">
      <c r="A32" s="79" t="s">
        <v>79</v>
      </c>
      <c r="B32" s="80" t="s">
        <v>114</v>
      </c>
      <c r="C32" s="85"/>
      <c r="D32" s="134"/>
    </row>
    <row r="33" spans="1:4" ht="29" outlineLevel="1" thickBot="1" x14ac:dyDescent="0.55000000000000004">
      <c r="A33" s="79" t="s">
        <v>80</v>
      </c>
      <c r="B33" s="80" t="s">
        <v>113</v>
      </c>
      <c r="C33" s="85"/>
      <c r="D33" s="135"/>
    </row>
    <row r="34" spans="1:4" ht="14.7" thickTop="1" x14ac:dyDescent="0.5">
      <c r="A34" s="139" t="s">
        <v>98</v>
      </c>
      <c r="B34" s="140"/>
      <c r="C34" s="140"/>
      <c r="D34" s="133" t="s">
        <v>87</v>
      </c>
    </row>
    <row r="35" spans="1:4" ht="57.35" outlineLevel="1" x14ac:dyDescent="0.5">
      <c r="A35" s="79" t="s">
        <v>88</v>
      </c>
      <c r="B35" s="80" t="s">
        <v>125</v>
      </c>
      <c r="C35" s="85"/>
      <c r="D35" s="134"/>
    </row>
    <row r="36" spans="1:4" ht="43.35" outlineLevel="1" thickBot="1" x14ac:dyDescent="0.55000000000000004">
      <c r="A36" s="79" t="s">
        <v>89</v>
      </c>
      <c r="B36" s="80" t="s">
        <v>124</v>
      </c>
      <c r="C36" s="85"/>
      <c r="D36" s="135"/>
    </row>
    <row r="37" spans="1:4" ht="15" thickTop="1" thickBot="1" x14ac:dyDescent="0.55000000000000004">
      <c r="A37" s="141" t="s">
        <v>91</v>
      </c>
      <c r="B37" s="142"/>
      <c r="C37" s="143"/>
    </row>
    <row r="38" spans="1:4" ht="14.7" thickTop="1" x14ac:dyDescent="0.5"/>
  </sheetData>
  <sheetProtection sheet="1" formatCells="0" formatRows="0" selectLockedCells="1"/>
  <mergeCells count="18">
    <mergeCell ref="A31:C31"/>
    <mergeCell ref="A37:C37"/>
    <mergeCell ref="A28:C28"/>
    <mergeCell ref="A1:C1"/>
    <mergeCell ref="A2:C2"/>
    <mergeCell ref="A12:C12"/>
    <mergeCell ref="A16:C16"/>
    <mergeCell ref="A26:C26"/>
    <mergeCell ref="A23:C23"/>
    <mergeCell ref="A34:C34"/>
    <mergeCell ref="D34:D36"/>
    <mergeCell ref="D2:D11"/>
    <mergeCell ref="D12:D15"/>
    <mergeCell ref="D23:D25"/>
    <mergeCell ref="D26:D27"/>
    <mergeCell ref="D28:D30"/>
    <mergeCell ref="D31:D33"/>
    <mergeCell ref="D16:D22"/>
  </mergeCells>
  <hyperlinks>
    <hyperlink ref="A1:C1" r:id="rId1" display="INSTRUCCIONES PARA HACER LAS HOJAS DE CÁLCULO AUTOMATIZADAS" xr:uid="{220F63A4-63E2-497F-82BD-E169F914C31F}"/>
    <hyperlink ref="A2:C2" r:id="rId2" display="1. PROBLEMA" xr:uid="{539AD9D0-DFE7-4C0F-9282-6D09D2F8DE4F}"/>
    <hyperlink ref="A12:C12" r:id="rId3" display="2. OCULTOS" xr:uid="{4C62426D-7B88-41B2-92B2-A3B0BD6D3B67}"/>
    <hyperlink ref="A16:C16" r:id="rId4" display="3. DATOS FIJOS" xr:uid="{351A8BF7-4DDA-4C76-BF4E-5A18129CA934}"/>
    <hyperlink ref="A23:C23" r:id="rId5" display="4. RESULTADOS - FTP (oculta, para preparar problemas para Moodle con FastTest PlugIn)" xr:uid="{6E4AA095-4B90-499E-B94E-06468FC5DE7C}"/>
    <hyperlink ref="A26:C26" r:id="rId6" display="5. IMÁGENES (oculta, por si se quiere guardar una copia de la imagen del problema)" xr:uid="{0A4100E2-7CC3-4B5F-B70C-B6463A4F2E2B}"/>
    <hyperlink ref="A28:C28" r:id="rId7" display="6. ENLACES (oculta, para guardar los enlaces donde se han compartido las imágenes)" xr:uid="{9527735F-D71B-45C5-A7E7-5C672BA14501}"/>
    <hyperlink ref="A31:C31" r:id="rId8" display="7. NOMBRES (oculta, listado de los nombres definidos en la hoja)" xr:uid="{65C015B5-A4C3-47F8-9416-5A82CA680772}"/>
    <hyperlink ref="A34:C34" r:id="rId9" display="8. FORMULAS (oculta, listado de las fórmulas y texto que contiene TODO el archivo)" xr:uid="{E80931C0-5DA6-433F-860A-82340197DB91}"/>
    <hyperlink ref="D1" r:id="rId10" location="gid=592678580&amp;range=C3:D3" xr:uid="{E828FBE7-0B37-4EFB-B502-6D931710B6C5}"/>
    <hyperlink ref="D2:D11" location="PROBLEMA!A1" display="1. PROBLEMA" xr:uid="{0C75621A-61A6-419F-8C43-566A59FE6BFF}"/>
    <hyperlink ref="D12:D15" location="OCULTOS!A1" display="2. OCULTOS" xr:uid="{1E853156-94F8-4A2E-83E1-7F5F31CB5C3B}"/>
    <hyperlink ref="D16:D21" location="'DATOS FIJOS'!A1" display="3. DATOS FIJOS" xr:uid="{5D7C7BE0-7DD1-4B5C-B3E7-59AB77FA9FD1}"/>
    <hyperlink ref="D23:D25" location="'RESULTADOS - FTP'!A1" display="4. RESULTADOS FTP" xr:uid="{4DE86C18-7569-47C9-8DA4-3CFC8407AD96}"/>
    <hyperlink ref="B29" r:id="rId11" display="Esta hoja es para insertar los enlaces de las IMÁGENES que se necesiten para el problema en cuestión. Las imágenes tendrán que estar en una cuenta de IMGBB (https://imgbb.com/), recomendable crear una carpeta llamada IMAGENES compartida para visualizar por cualquiera que tenga el enlace. El código ID se genera con la fórmula que hay a la derecha.&quot;." xr:uid="{6AF166F0-1A8D-495E-B1F4-1DD96348DAD6}"/>
  </hyperlinks>
  <printOptions horizontalCentered="1"/>
  <pageMargins left="0.59055118110236227" right="0.39370078740157483" top="0.59055118110236227" bottom="0.59055118110236227" header="0.39370078740157483" footer="0.39370078740157483"/>
  <pageSetup paperSize="9" scale="95" orientation="portrait" horizontalDpi="4294967295" verticalDpi="4294967295" r:id="rId12"/>
  <headerFooter>
    <oddFooter>&amp;R&amp;P / &amp;N</oddFooter>
  </headerFooter>
  <legacy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_Problema">
    <tabColor theme="4" tint="-0.249977111117893"/>
  </sheetPr>
  <dimension ref="A1:Y28"/>
  <sheetViews>
    <sheetView showGridLines="0" showRowColHeaders="0" tabSelected="1" zoomScale="120" zoomScaleNormal="120" workbookViewId="0">
      <pane xSplit="19" ySplit="8" topLeftCell="T9" activePane="bottomRight" state="frozen"/>
      <selection pane="topRight" activeCell="T1" sqref="T1"/>
      <selection pane="bottomLeft" activeCell="A9" sqref="A9"/>
      <selection pane="bottomRight" activeCell="P6" sqref="P6:S6"/>
    </sheetView>
  </sheetViews>
  <sheetFormatPr baseColWidth="10" defaultColWidth="10.8203125" defaultRowHeight="14.35" outlineLevelRow="2" outlineLevelCol="1" x14ac:dyDescent="0.5"/>
  <cols>
    <col min="1" max="1" width="1.703125" customWidth="1"/>
    <col min="2" max="2" width="10.5859375" customWidth="1"/>
    <col min="3" max="3" width="4.703125" customWidth="1"/>
    <col min="4" max="4" width="4.17578125" customWidth="1"/>
    <col min="5" max="8" width="4.703125" customWidth="1"/>
    <col min="9" max="12" width="3.703125" customWidth="1"/>
    <col min="13" max="13" width="10.5859375" customWidth="1"/>
    <col min="14" max="14" width="1.87890625" customWidth="1"/>
    <col min="15" max="15" width="10.703125" customWidth="1"/>
    <col min="16" max="16" width="5.64453125" customWidth="1"/>
    <col min="17" max="17" width="12.64453125" customWidth="1"/>
    <col min="18" max="18" width="4.64453125" customWidth="1"/>
    <col min="19" max="20" width="2.64453125" customWidth="1"/>
    <col min="21" max="24" width="10.8203125" hidden="1" customWidth="1" outlineLevel="1"/>
    <col min="25" max="25" width="10.8203125" collapsed="1"/>
  </cols>
  <sheetData>
    <row r="1" spans="1:24" ht="14.7" thickBot="1" x14ac:dyDescent="0.55000000000000004">
      <c r="A1" s="152" t="str" cm="1">
        <f t="array" ref="A1">IFERROR(IF(D_Fijos=_OK,TEXT(VLOOKUP(Nombre_Datos,T_D_FIJOS[[NOMBRE]:[N_Pb]],COLUMN(T_D_FIJOS[[#Headers],[N_Pb]])-1,0),REPT("0",LEN(D_Imprimir)))&amp;" - "&amp;Nombre_Datos,"Aleatorio - "&amp;Nombre_Variable),"ALGUN ERROR")</f>
        <v>1 - Prism_Rec 020x05x05</v>
      </c>
      <c r="B1" s="152"/>
      <c r="C1" s="152"/>
      <c r="D1" s="152"/>
      <c r="E1" s="152"/>
      <c r="F1" s="152"/>
      <c r="G1" s="152"/>
      <c r="H1" s="152"/>
      <c r="I1" s="152"/>
      <c r="J1" s="152"/>
      <c r="K1" s="152"/>
      <c r="L1" s="152"/>
      <c r="M1" s="17"/>
      <c r="N1" s="17"/>
      <c r="O1" s="58" t="s">
        <v>78</v>
      </c>
      <c r="P1" s="125" t="s">
        <v>126</v>
      </c>
      <c r="Q1" s="126" t="s">
        <v>138</v>
      </c>
      <c r="R1" s="157" t="str">
        <f>Version</f>
        <v>V1.2</v>
      </c>
      <c r="S1" s="158"/>
    </row>
    <row r="2" spans="1:24" ht="43.7" customHeight="1" thickTop="1" thickBot="1" x14ac:dyDescent="0.55000000000000004">
      <c r="B2" s="148" t="str">
        <f ca="1">"Para practicar datos de geometría resolver el siguiente ejercicio. Tenemos un rectángulo de lado L =  "&amp;L_&amp;" cm y altura h = "&amp;h_&amp;" cm. "&amp;Salto&amp;"
Se pide calcular:"&amp;Salto</f>
        <v>Para practicar datos de geometría resolver el siguiente ejercicio. Tenemos un rectángulo de lado L =  20 cm y altura h = 5 cm. 
Se pide calcular:</v>
      </c>
      <c r="C2" s="148"/>
      <c r="D2" s="148"/>
      <c r="E2" s="148"/>
      <c r="F2" s="148"/>
      <c r="G2" s="148"/>
      <c r="H2" s="148"/>
      <c r="I2" s="148"/>
      <c r="J2" s="148"/>
      <c r="K2" s="148"/>
      <c r="L2" s="148"/>
      <c r="M2" s="148"/>
      <c r="O2" s="94" t="s">
        <v>131</v>
      </c>
      <c r="P2" s="128" t="s">
        <v>68</v>
      </c>
      <c r="Q2" s="153" t="str">
        <f>IF(AND(D_Fijos=_OK,OR(Nombre_Datos="",Nombre_FTP=""),N_Ini_D_FIjos&lt;=N_Preg_D_Fijos),IF(_xlfn.ISFORMULA(Nombre_Datos),"Para exportar las preguntas a Moodle, debes abrir la aplicación FastTest PlugIn y escribir el nombre de ese archivo en la celda de abajo.",""),IF(_xlfn.ISFORMULA(Nombre_Datos),"El nº MÁXIMO de preguntas 
a GUARDAR en FastTest PlugIn es:
"&amp;'DATOS FIJOS'!A1-N_Ini_D_FIjos+1,"Para exportar a Moodle las preguntas guardadas en 
DATOS FIJOS escribe en la celda 
Lista Datos: 
=Dato_FTP"))</f>
        <v>Para exportar a Moodle las preguntas guardadas en 
DATOS FIJOS escribe en la celda 
Lista Datos: 
=Dato_FTP</v>
      </c>
      <c r="R2" s="153"/>
      <c r="S2" s="153"/>
      <c r="T2" s="122"/>
    </row>
    <row r="3" spans="1:24" ht="14.45" customHeight="1" thickTop="1" thickBot="1" x14ac:dyDescent="0.55000000000000004">
      <c r="B3" s="168" t="s">
        <v>579</v>
      </c>
      <c r="C3" s="168"/>
      <c r="D3" s="168"/>
      <c r="E3" s="168"/>
      <c r="F3" s="168"/>
      <c r="G3" s="168"/>
      <c r="H3" s="168"/>
      <c r="I3" s="168"/>
      <c r="J3" s="168"/>
      <c r="K3" s="168"/>
      <c r="L3" s="168"/>
      <c r="M3" s="49">
        <f ca="1">(L_+h_)*2</f>
        <v>50</v>
      </c>
      <c r="O3" s="93" t="s">
        <v>127</v>
      </c>
      <c r="P3" s="129" t="s">
        <v>68</v>
      </c>
      <c r="Q3" s="153"/>
      <c r="R3" s="153"/>
      <c r="S3" s="153"/>
      <c r="T3" s="122"/>
      <c r="U3" s="73"/>
    </row>
    <row r="4" spans="1:24" ht="15" thickTop="1" thickBot="1" x14ac:dyDescent="0.55000000000000004">
      <c r="B4" s="168" t="s">
        <v>580</v>
      </c>
      <c r="C4" s="168"/>
      <c r="D4" s="168"/>
      <c r="E4" s="168"/>
      <c r="F4" s="168"/>
      <c r="G4" s="168"/>
      <c r="H4" s="168"/>
      <c r="I4" s="168"/>
      <c r="J4" s="168"/>
      <c r="K4" s="168"/>
      <c r="L4" s="168"/>
      <c r="M4" s="50">
        <f ca="1">L_*h_</f>
        <v>100</v>
      </c>
      <c r="O4" s="93" t="s">
        <v>129</v>
      </c>
      <c r="P4" s="129" t="s">
        <v>68</v>
      </c>
      <c r="Q4" s="163" t="s">
        <v>589</v>
      </c>
      <c r="R4" s="164"/>
      <c r="S4" s="164"/>
      <c r="U4" s="7" t="s">
        <v>590</v>
      </c>
    </row>
    <row r="5" spans="1:24" ht="28.7" customHeight="1" thickTop="1" thickBot="1" x14ac:dyDescent="0.55000000000000004">
      <c r="B5" s="151" t="str">
        <f ca="1">"3) El volumen del prisma rectangular si tiene una profundidad de d = "&amp;d_&amp;" cm."</f>
        <v>3) El volumen del prisma rectangular si tiene una profundidad de d = 5 cm.</v>
      </c>
      <c r="C5" s="151"/>
      <c r="D5" s="151"/>
      <c r="E5" s="151"/>
      <c r="F5" s="151"/>
      <c r="G5" s="151"/>
      <c r="H5" s="151"/>
      <c r="I5" s="151"/>
      <c r="J5" s="151"/>
      <c r="K5" s="151"/>
      <c r="L5" s="151"/>
      <c r="M5" s="51">
        <f ca="1">Area*d_</f>
        <v>500</v>
      </c>
      <c r="O5" s="95" t="s">
        <v>559</v>
      </c>
      <c r="P5" s="130">
        <v>10</v>
      </c>
      <c r="Q5" s="163"/>
      <c r="R5" s="164"/>
      <c r="S5" s="164"/>
      <c r="U5" s="124" t="str">
        <f>IF(D_Fijos=_OK,Nombre_Datos,Nombre_Variable)</f>
        <v>Prism_Rec 020x05x05</v>
      </c>
    </row>
    <row r="6" spans="1:24" ht="15" customHeight="1" thickTop="1" thickBot="1" x14ac:dyDescent="0.55000000000000004">
      <c r="B6" s="151" t="s">
        <v>595</v>
      </c>
      <c r="C6" s="151"/>
      <c r="D6" s="151"/>
      <c r="E6" s="151"/>
      <c r="F6" s="151"/>
      <c r="G6" s="151"/>
      <c r="H6" s="151"/>
      <c r="I6" s="151"/>
      <c r="J6" s="151"/>
      <c r="K6" s="151"/>
      <c r="L6" s="151"/>
      <c r="M6" s="51" t="str">
        <f>_OK</f>
        <v>Sí</v>
      </c>
      <c r="O6" s="93" t="s">
        <v>130</v>
      </c>
      <c r="P6" s="165" t="s">
        <v>140</v>
      </c>
      <c r="Q6" s="166"/>
      <c r="R6" s="166"/>
      <c r="S6" s="167"/>
      <c r="U6" s="60" t="str" cm="1">
        <f t="array" aca="1" ref="U6" ca="1">IFERROR(IF(N_Preg_FTP_Inicial&gt;N_Preg_FTP,"",INDEX(T_D_FIJOS[NOMBRE],N_Ini_D_FIjos+(N_Preg_FTP-N_Preg_FTP_Inicial))),"")&amp;
TEXT(N("Esta fórmula es para que se incremente el valor, según se van guardando preguntas en FTP"),"")</f>
        <v/>
      </c>
      <c r="V6" s="68"/>
    </row>
    <row r="7" spans="1:24" ht="18.7" thickTop="1" thickBot="1" x14ac:dyDescent="0.55000000000000004">
      <c r="O7" s="56" t="s">
        <v>132</v>
      </c>
      <c r="P7" s="97">
        <v>0</v>
      </c>
      <c r="Q7" s="154" t="str" cm="1">
        <f t="array" aca="1" ref="Q7" ca="1">IFERROR(INDIRECT("'["&amp;Nombre_FTP&amp;".xlsm]Datos CL'!H1"),"Abrir aplicación FastTest PlugIn")</f>
        <v>Abrir aplicación FastTest PlugIn</v>
      </c>
      <c r="R7" s="155"/>
      <c r="S7" s="156"/>
      <c r="T7" s="68"/>
      <c r="U7" s="68"/>
    </row>
    <row r="8" spans="1:24" ht="21.35" outlineLevel="1" thickTop="1" thickBot="1" x14ac:dyDescent="0.55000000000000004">
      <c r="B8" s="1" t="s">
        <v>0</v>
      </c>
      <c r="E8" s="149"/>
      <c r="F8" s="149"/>
      <c r="G8" s="149"/>
      <c r="H8" s="149"/>
      <c r="I8" s="149"/>
      <c r="J8" s="149"/>
      <c r="K8" s="149"/>
      <c r="L8" s="149"/>
      <c r="M8" s="149"/>
      <c r="O8" s="127" t="s">
        <v>128</v>
      </c>
      <c r="P8" s="97"/>
      <c r="Q8" s="161" t="s">
        <v>588</v>
      </c>
      <c r="R8" s="162"/>
      <c r="S8" s="123">
        <v>1</v>
      </c>
      <c r="U8" s="65" t="s">
        <v>81</v>
      </c>
      <c r="V8" s="59" t="s">
        <v>73</v>
      </c>
      <c r="W8" s="59" t="s">
        <v>74</v>
      </c>
      <c r="X8" s="62" t="s">
        <v>75</v>
      </c>
    </row>
    <row r="9" spans="1:24" ht="14.7" outlineLevel="1" thickTop="1" x14ac:dyDescent="0.5">
      <c r="B9" s="6" t="s">
        <v>10</v>
      </c>
      <c r="C9" s="160" cm="1">
        <f t="array" aca="1" ref="C9" ca="1">IFERROR(IF(D_Fijos=_OK,VLOOKUP(Nombre_Datos,T_D_FIJOS[[NOMBRE]:[Volumen]],HLOOKUP(B9,'DATOS FIJOS'!$B$1:$I$2,2,0)),INDIRECT(B9&amp;"_Ale")),"")</f>
        <v>20</v>
      </c>
      <c r="D9" s="160"/>
      <c r="E9" s="149"/>
      <c r="F9" s="149"/>
      <c r="G9" s="149"/>
      <c r="H9" s="149"/>
      <c r="I9" s="149"/>
      <c r="J9" s="149"/>
      <c r="K9" s="149"/>
      <c r="L9" s="149"/>
      <c r="M9" s="149"/>
      <c r="U9" s="66">
        <f ca="1">MROUND(RANDBETWEEN(V9,W9),X9)</f>
        <v>504</v>
      </c>
      <c r="V9" s="61">
        <v>100</v>
      </c>
      <c r="W9" s="61">
        <v>600</v>
      </c>
      <c r="X9" s="63">
        <v>2</v>
      </c>
    </row>
    <row r="10" spans="1:24" outlineLevel="1" x14ac:dyDescent="0.5">
      <c r="B10" s="6" t="s">
        <v>11</v>
      </c>
      <c r="C10" s="160" cm="1">
        <f t="array" aca="1" ref="C10" ca="1">IFERROR(IF(D_Fijos=_OK,VLOOKUP(Nombre_Datos,T_D_FIJOS[[NOMBRE]:[Volumen]],HLOOKUP(B10,'DATOS FIJOS'!$B$1:$I$2,2,0)),INDIRECT(B10&amp;"_Ale")),"")</f>
        <v>5</v>
      </c>
      <c r="D10" s="160"/>
      <c r="E10" s="149"/>
      <c r="F10" s="149"/>
      <c r="G10" s="149"/>
      <c r="H10" s="149"/>
      <c r="I10" s="149"/>
      <c r="J10" s="149"/>
      <c r="K10" s="149"/>
      <c r="L10" s="149"/>
      <c r="M10" s="149"/>
      <c r="U10" s="66">
        <f ca="1">MROUND(RANDBETWEEN(V10,W10),X10)</f>
        <v>190</v>
      </c>
      <c r="V10" s="61">
        <v>15</v>
      </c>
      <c r="W10" s="61">
        <f ca="1">L_Ale*0.9</f>
        <v>453.6</v>
      </c>
      <c r="X10" s="63">
        <v>10</v>
      </c>
    </row>
    <row r="11" spans="1:24" outlineLevel="1" x14ac:dyDescent="0.5">
      <c r="B11" s="6" t="s">
        <v>12</v>
      </c>
      <c r="C11" s="160" cm="1">
        <f t="array" aca="1" ref="C11" ca="1">IFERROR(IF(D_Fijos=_OK,VLOOKUP(Nombre_Datos,T_D_FIJOS[[NOMBRE]:[Volumen]],HLOOKUP(B11,'DATOS FIJOS'!$B$1:$I$2,2,0)),INDIRECT(B11&amp;"_Ale")),"")</f>
        <v>5</v>
      </c>
      <c r="D11" s="160"/>
      <c r="E11" s="149"/>
      <c r="F11" s="149"/>
      <c r="G11" s="149"/>
      <c r="H11" s="149"/>
      <c r="I11" s="149"/>
      <c r="J11" s="149"/>
      <c r="K11" s="149"/>
      <c r="L11" s="149"/>
      <c r="M11" s="149"/>
      <c r="U11" s="67">
        <f ca="1">MROUND(RANDBETWEEN(V11,W11),X11)</f>
        <v>25</v>
      </c>
      <c r="V11" s="55">
        <v>5</v>
      </c>
      <c r="W11" s="55">
        <f ca="1">h_Ale/4</f>
        <v>47.5</v>
      </c>
      <c r="X11" s="64">
        <v>5</v>
      </c>
    </row>
    <row r="12" spans="1:24" outlineLevel="1" x14ac:dyDescent="0.5">
      <c r="E12" s="149"/>
      <c r="F12" s="149"/>
      <c r="G12" s="149"/>
      <c r="H12" s="149"/>
      <c r="I12" s="149"/>
      <c r="J12" s="149"/>
      <c r="K12" s="149"/>
      <c r="L12" s="149"/>
      <c r="M12" s="149"/>
    </row>
    <row r="13" spans="1:24" outlineLevel="1" x14ac:dyDescent="0.5">
      <c r="E13" s="149"/>
      <c r="F13" s="149"/>
      <c r="G13" s="149"/>
      <c r="H13" s="149"/>
      <c r="I13" s="149"/>
      <c r="J13" s="149"/>
      <c r="K13" s="149"/>
      <c r="L13" s="149"/>
      <c r="M13" s="149"/>
    </row>
    <row r="14" spans="1:24" outlineLevel="1" x14ac:dyDescent="0.5">
      <c r="E14" s="149"/>
      <c r="F14" s="149"/>
      <c r="G14" s="149"/>
      <c r="H14" s="149"/>
      <c r="I14" s="149"/>
      <c r="J14" s="149"/>
      <c r="K14" s="149"/>
      <c r="L14" s="149"/>
      <c r="M14" s="149"/>
    </row>
    <row r="15" spans="1:24" outlineLevel="1" x14ac:dyDescent="0.5">
      <c r="E15" s="149"/>
      <c r="F15" s="149"/>
      <c r="G15" s="149"/>
      <c r="H15" s="149"/>
      <c r="I15" s="149"/>
      <c r="J15" s="149"/>
      <c r="K15" s="149"/>
      <c r="L15" s="149"/>
      <c r="M15" s="149"/>
    </row>
    <row r="16" spans="1:24" outlineLevel="1" x14ac:dyDescent="0.5">
      <c r="B16" s="147" t="str">
        <f>Preg_1</f>
        <v>1) El perímetro de una cara del rectángulo frontal.</v>
      </c>
      <c r="C16" s="147"/>
      <c r="D16" s="147"/>
      <c r="E16" s="147"/>
      <c r="F16" s="147"/>
      <c r="G16" s="147"/>
      <c r="H16" s="147"/>
      <c r="I16" s="147"/>
      <c r="J16" s="147"/>
      <c r="K16" s="147"/>
      <c r="L16" s="147"/>
      <c r="M16" s="147"/>
    </row>
    <row r="17" spans="2:13" ht="15" customHeight="1" outlineLevel="2" x14ac:dyDescent="0.5">
      <c r="B17" s="148" t="s">
        <v>42</v>
      </c>
      <c r="C17" s="148"/>
      <c r="D17" s="148"/>
      <c r="E17" s="148"/>
      <c r="F17" s="148"/>
      <c r="G17" s="148"/>
      <c r="H17" s="148"/>
      <c r="I17" s="148"/>
      <c r="J17" s="148"/>
      <c r="K17" s="148"/>
      <c r="L17" s="148"/>
      <c r="M17" s="148"/>
    </row>
    <row r="18" spans="2:13" ht="30" customHeight="1" outlineLevel="2" x14ac:dyDescent="0.5">
      <c r="B18" s="149"/>
      <c r="C18" s="149"/>
      <c r="D18" s="149"/>
      <c r="E18" s="149"/>
      <c r="F18" s="149"/>
      <c r="G18" s="149"/>
      <c r="H18" s="159" t="str">
        <f ca="1">" ("&amp;L_&amp;" cm + "&amp;h_&amp;" cm) · 2 = "&amp;TEXT(Perimetro,"#.###")&amp;" cm"</f>
        <v xml:space="preserve"> (20 cm + 5 cm) · 2 = 50 cm</v>
      </c>
      <c r="I18" s="159"/>
      <c r="J18" s="159"/>
      <c r="K18" s="159"/>
      <c r="L18" s="159"/>
      <c r="M18" s="159"/>
    </row>
    <row r="19" spans="2:13" outlineLevel="1" x14ac:dyDescent="0.5">
      <c r="B19" s="147" t="str">
        <f>Preg_2</f>
        <v>2) El área de la cara del rectángulo frontal.</v>
      </c>
      <c r="C19" s="147"/>
      <c r="D19" s="147"/>
      <c r="E19" s="147"/>
      <c r="F19" s="147"/>
      <c r="G19" s="147"/>
      <c r="H19" s="147"/>
      <c r="I19" s="147"/>
      <c r="J19" s="147"/>
      <c r="K19" s="147"/>
      <c r="L19" s="147"/>
      <c r="M19" s="147"/>
    </row>
    <row r="20" spans="2:13" ht="15" customHeight="1" outlineLevel="2" x14ac:dyDescent="0.5">
      <c r="B20" s="148" t="s">
        <v>43</v>
      </c>
      <c r="C20" s="148"/>
      <c r="D20" s="148"/>
      <c r="E20" s="148"/>
      <c r="F20" s="148"/>
      <c r="G20" s="148"/>
      <c r="H20" s="148"/>
      <c r="I20" s="148"/>
      <c r="J20" s="148"/>
      <c r="K20" s="148"/>
      <c r="L20" s="148"/>
      <c r="M20" s="148"/>
    </row>
    <row r="21" spans="2:13" ht="30" customHeight="1" outlineLevel="2" x14ac:dyDescent="0.5">
      <c r="B21" s="149"/>
      <c r="C21" s="149"/>
      <c r="D21" s="149"/>
      <c r="E21" s="149"/>
      <c r="F21" s="149"/>
      <c r="G21" s="149"/>
      <c r="H21" s="159" t="str">
        <f ca="1">" "&amp;L_&amp;" cm · "&amp;h_&amp;" cm = "&amp;TEXT(Area,"#.###")&amp;" cm²"</f>
        <v xml:space="preserve"> 20 cm · 5 cm = 100 cm²</v>
      </c>
      <c r="I21" s="159"/>
      <c r="J21" s="159"/>
      <c r="K21" s="159"/>
      <c r="L21" s="159"/>
      <c r="M21" s="159"/>
    </row>
    <row r="22" spans="2:13" outlineLevel="1" x14ac:dyDescent="0.5">
      <c r="B22" s="147" t="str">
        <f ca="1">Preg_3</f>
        <v>3) El volumen del prisma rectangular si tiene una profundidad de d = 5 cm.</v>
      </c>
      <c r="C22" s="147"/>
      <c r="D22" s="147"/>
      <c r="E22" s="147"/>
      <c r="F22" s="147"/>
      <c r="G22" s="147"/>
      <c r="H22" s="147"/>
      <c r="I22" s="147"/>
      <c r="J22" s="147"/>
      <c r="K22" s="147"/>
      <c r="L22" s="147"/>
      <c r="M22" s="147"/>
    </row>
    <row r="23" spans="2:13" ht="30" customHeight="1" outlineLevel="2" x14ac:dyDescent="0.5">
      <c r="B23" s="148" t="s">
        <v>119</v>
      </c>
      <c r="C23" s="148"/>
      <c r="D23" s="148"/>
      <c r="E23" s="148"/>
      <c r="F23" s="148"/>
      <c r="G23" s="148"/>
      <c r="H23" s="148"/>
      <c r="I23" s="148"/>
      <c r="J23" s="148"/>
      <c r="K23" s="148"/>
      <c r="L23" s="148"/>
      <c r="M23" s="148"/>
    </row>
    <row r="24" spans="2:13" ht="30" customHeight="1" outlineLevel="2" x14ac:dyDescent="0.5">
      <c r="B24" s="149"/>
      <c r="C24" s="149"/>
      <c r="D24" s="149"/>
      <c r="E24" s="149"/>
      <c r="F24" s="149"/>
      <c r="G24" s="149"/>
      <c r="H24" s="159" t="str">
        <f ca="1">" "&amp;Area&amp;" cm² · "&amp;d_&amp;" cm = "&amp;TEXT(Volumen,"#.###")&amp;" cm³"</f>
        <v xml:space="preserve"> 100 cm² · 5 cm = 500 cm³</v>
      </c>
      <c r="I24" s="159"/>
      <c r="J24" s="159"/>
      <c r="K24" s="159"/>
      <c r="L24" s="159"/>
      <c r="M24" s="159"/>
    </row>
    <row r="25" spans="2:13" outlineLevel="1" x14ac:dyDescent="0.5">
      <c r="B25" s="147" t="str">
        <f>Preg_4</f>
        <v>4) Este problema es muy fácil.</v>
      </c>
      <c r="C25" s="147"/>
      <c r="D25" s="147"/>
      <c r="E25" s="147"/>
      <c r="F25" s="147"/>
      <c r="G25" s="147"/>
      <c r="H25" s="147"/>
      <c r="I25" s="147"/>
      <c r="J25" s="147"/>
      <c r="K25" s="147"/>
      <c r="L25" s="147"/>
      <c r="M25" s="147"/>
    </row>
    <row r="26" spans="2:13" outlineLevel="2" x14ac:dyDescent="0.5">
      <c r="B26" s="148" t="s">
        <v>596</v>
      </c>
      <c r="C26" s="148"/>
      <c r="D26" s="148"/>
      <c r="E26" s="148"/>
      <c r="F26" s="148"/>
      <c r="G26" s="148"/>
      <c r="H26" s="148"/>
      <c r="I26" s="148"/>
      <c r="J26" s="148"/>
      <c r="K26" s="148"/>
      <c r="L26" s="148"/>
      <c r="M26" s="148"/>
    </row>
    <row r="27" spans="2:13" outlineLevel="2" x14ac:dyDescent="0.5">
      <c r="B27" s="149"/>
      <c r="C27" s="149"/>
      <c r="D27" s="149"/>
      <c r="E27" s="149"/>
      <c r="F27" s="149"/>
      <c r="G27" s="149"/>
      <c r="H27" s="150" t="str">
        <f>Facil</f>
        <v>Sí</v>
      </c>
      <c r="I27" s="150"/>
      <c r="J27" s="150"/>
      <c r="K27" s="150"/>
      <c r="L27" s="150"/>
      <c r="M27" s="150"/>
    </row>
    <row r="28" spans="2:13" outlineLevel="1" x14ac:dyDescent="0.5"/>
  </sheetData>
  <sheetProtection selectLockedCells="1"/>
  <mergeCells count="32">
    <mergeCell ref="Q8:R8"/>
    <mergeCell ref="Q4:S5"/>
    <mergeCell ref="P6:S6"/>
    <mergeCell ref="B3:L3"/>
    <mergeCell ref="B4:L4"/>
    <mergeCell ref="B5:L5"/>
    <mergeCell ref="A1:L1"/>
    <mergeCell ref="Q2:S3"/>
    <mergeCell ref="Q7:S7"/>
    <mergeCell ref="R1:S1"/>
    <mergeCell ref="H24:M24"/>
    <mergeCell ref="B23:M23"/>
    <mergeCell ref="B19:M19"/>
    <mergeCell ref="B22:M22"/>
    <mergeCell ref="H21:M21"/>
    <mergeCell ref="B16:M16"/>
    <mergeCell ref="B17:M17"/>
    <mergeCell ref="B20:M20"/>
    <mergeCell ref="H18:M18"/>
    <mergeCell ref="C9:D9"/>
    <mergeCell ref="C10:D10"/>
    <mergeCell ref="C11:D11"/>
    <mergeCell ref="B2:M2"/>
    <mergeCell ref="B6:L6"/>
    <mergeCell ref="B18:G18"/>
    <mergeCell ref="B21:G21"/>
    <mergeCell ref="B24:G24"/>
    <mergeCell ref="B25:M25"/>
    <mergeCell ref="B26:M26"/>
    <mergeCell ref="B27:G27"/>
    <mergeCell ref="H27:M27"/>
    <mergeCell ref="E8:M15"/>
  </mergeCells>
  <conditionalFormatting sqref="M3:M6">
    <cfRule type="expression" dxfId="19" priority="28">
      <formula>$P$3="NO"</formula>
    </cfRule>
  </conditionalFormatting>
  <conditionalFormatting sqref="O2:O6">
    <cfRule type="expression" dxfId="18" priority="29">
      <formula>$P$8=_OK</formula>
    </cfRule>
  </conditionalFormatting>
  <conditionalFormatting sqref="O6:P7">
    <cfRule type="expression" dxfId="17" priority="4">
      <formula>D_Fijos=_NO</formula>
    </cfRule>
  </conditionalFormatting>
  <conditionalFormatting sqref="O7:P7">
    <cfRule type="expression" dxfId="16" priority="3" stopIfTrue="1">
      <formula>IF(_xlfn.ISFORMULA(Nombre_Datos),_xlfn.FORMULATEXT(Nombre_Datos),_NO)=_NO</formula>
    </cfRule>
  </conditionalFormatting>
  <conditionalFormatting sqref="P7">
    <cfRule type="cellIs" dxfId="15" priority="5" operator="notEqual">
      <formula>N_Preg_FTP</formula>
    </cfRule>
  </conditionalFormatting>
  <conditionalFormatting sqref="P8">
    <cfRule type="expression" dxfId="14" priority="1">
      <formula>OR(AND(Salto="",D_Fijos=_NO),AND(Salto="",D_Fijos=_OK,IF(_xlfn.ISFORMULA(Nombre_Datos),_OK,_NO)=_OK))</formula>
    </cfRule>
  </conditionalFormatting>
  <conditionalFormatting sqref="Q4">
    <cfRule type="expression" dxfId="13" priority="6" stopIfTrue="1">
      <formula>IF(_xlfn.ISFORMULA(Nombre_Datos),_xlfn.FORMULATEXT(Nombre_Datos),_NO)=_NO</formula>
    </cfRule>
    <cfRule type="expression" dxfId="12" priority="7">
      <formula>D_Fijos=_NO</formula>
    </cfRule>
  </conditionalFormatting>
  <conditionalFormatting sqref="Q7">
    <cfRule type="expression" dxfId="11" priority="17">
      <formula>"SUMA(D34:D61;I34:I61;N34:N61)=0"</formula>
    </cfRule>
  </conditionalFormatting>
  <conditionalFormatting sqref="Q8:R8">
    <cfRule type="expression" dxfId="10" priority="12">
      <formula>$X$4=_NO</formula>
    </cfRule>
  </conditionalFormatting>
  <conditionalFormatting sqref="Q7:S7">
    <cfRule type="expression" dxfId="9" priority="18">
      <formula>D_Fijos=_NO</formula>
    </cfRule>
  </conditionalFormatting>
  <conditionalFormatting sqref="Q7:S8">
    <cfRule type="expression" dxfId="8" priority="8" stopIfTrue="1">
      <formula>IF(_xlfn.ISFORMULA(Nombre_Datos),_xlfn.FORMULATEXT(Nombre_Datos),_NO)=_NO</formula>
    </cfRule>
  </conditionalFormatting>
  <conditionalFormatting sqref="Q8:S8">
    <cfRule type="expression" dxfId="7" priority="10">
      <formula>D_Fijos=_NO</formula>
    </cfRule>
  </conditionalFormatting>
  <conditionalFormatting sqref="S8">
    <cfRule type="expression" dxfId="6" priority="9">
      <formula>$W$4=_NO</formula>
    </cfRule>
  </conditionalFormatting>
  <conditionalFormatting sqref="U8:X11">
    <cfRule type="expression" dxfId="5" priority="30">
      <formula>$P$4=_OK</formula>
    </cfRule>
  </conditionalFormatting>
  <dataValidations count="7">
    <dataValidation allowBlank="1" showDropDown="1" showInputMessage="1" showErrorMessage="1" sqref="P7" xr:uid="{452E8519-67C2-4EFE-B7B2-5B0BFF1344FC}"/>
    <dataValidation type="list" allowBlank="1" showInputMessage="1" showErrorMessage="1" sqref="P8" xr:uid="{32947B99-3CF3-4516-BBD4-2E84A67AD67F}">
      <formula1>SALTOS_FTP</formula1>
    </dataValidation>
    <dataValidation type="list" allowBlank="1" showInputMessage="1" showErrorMessage="1" sqref="P2:P4" xr:uid="{00000000-0002-0000-0100-000004000000}">
      <formula1>SI_NO</formula1>
    </dataValidation>
    <dataValidation type="list" errorStyle="warning" allowBlank="1" showInputMessage="1" showErrorMessage="1" sqref="P6" xr:uid="{2058E768-BB34-4E7B-B100-EEECB56FFC94}">
      <formula1>Lista_Datos</formula1>
    </dataValidation>
    <dataValidation type="whole" allowBlank="1" showInputMessage="1" showErrorMessage="1" errorTitle="ERROR" error="Debes introducir un número mayor o igual a 1" sqref="S8" xr:uid="{32CFE663-10A3-40E9-8767-79D298F42421}">
      <formula1>1</formula1>
      <formula2>1000</formula2>
    </dataValidation>
    <dataValidation type="list" allowBlank="1" showInputMessage="1" promptTitle="Nombre Archivo FasTest PlugIn" prompt="Nombre del archivo Excel que tienes para la aplicación FastTest PlugIn._x000a_Si no has cambiado el nombre, selecciónalo de la lista desplegable." sqref="Q4" xr:uid="{779D8466-0032-44D0-94FE-6C9AA932ECCB}">
      <formula1>"FastTest PlugIn"</formula1>
    </dataValidation>
    <dataValidation type="list" allowBlank="1" showInputMessage="1" showErrorMessage="1" sqref="P8" xr:uid="{674D078B-F79D-4ED8-99FC-2BE1DD4CDDC7}">
      <formula1>SALTOS_FTP_</formula1>
    </dataValidation>
  </dataValidations>
  <printOptions horizontalCentered="1"/>
  <pageMargins left="0.59055118110236227" right="0.59055118110236227" top="0.59055118110236227" bottom="0.59055118110236227" header="0.59055118110236227" footer="0.39370078740157483"/>
  <pageSetup paperSize="9" scale="130" fitToHeight="100" orientation="portrait" horizontalDpi="4294967295" verticalDpi="4294967295" r:id="rId1"/>
  <headerFooter>
    <oddHeader>&amp;R&amp;"-,Negrita"&amp;12Pag &amp;P / &amp;N&amp;K00+000   .</oddHeader>
    <oddFooter>&amp;C&amp;F</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ublished="0" codeName="c_Datos_Fijos">
    <tabColor rgb="FF00B0F0"/>
    <pageSetUpPr fitToPage="1"/>
  </sheetPr>
  <dimension ref="A1:N58"/>
  <sheetViews>
    <sheetView showGridLines="0" showRowColHeaders="0" zoomScale="101" zoomScaleNormal="100" workbookViewId="0">
      <pane xSplit="2" ySplit="4" topLeftCell="C5" activePane="bottomRight" state="frozen"/>
      <selection pane="topRight" activeCell="B1" sqref="B1"/>
      <selection pane="bottomLeft" activeCell="A5" sqref="A5"/>
      <selection pane="bottomRight" activeCell="A3" sqref="A3"/>
    </sheetView>
  </sheetViews>
  <sheetFormatPr baseColWidth="10" defaultColWidth="10.8203125" defaultRowHeight="14.35" outlineLevelRow="1" outlineLevelCol="1" x14ac:dyDescent="0.5"/>
  <cols>
    <col min="1" max="1" width="5.64453125" customWidth="1"/>
    <col min="2" max="2" width="20.703125" customWidth="1"/>
    <col min="4" max="4" width="11.5859375" customWidth="1"/>
    <col min="5" max="5" width="16.703125" customWidth="1"/>
    <col min="6" max="8" width="16.703125" customWidth="1" outlineLevel="1"/>
    <col min="9" max="9" width="18.87890625" customWidth="1"/>
    <col min="11" max="11" width="5.64453125" customWidth="1"/>
    <col min="12" max="12" width="2.64453125" customWidth="1"/>
    <col min="13" max="14" width="3.64453125" customWidth="1"/>
  </cols>
  <sheetData>
    <row r="1" spans="1:14" ht="25.7" hidden="1" customHeight="1" outlineLevel="1" thickBot="1" x14ac:dyDescent="0.55000000000000004">
      <c r="A1" s="121">
        <f>MAX(T_D_FIJOS[Nº])</f>
        <v>13</v>
      </c>
      <c r="B1" s="2" t="s">
        <v>9</v>
      </c>
      <c r="C1" s="3" t="s">
        <v>10</v>
      </c>
      <c r="D1" s="4" t="s">
        <v>11</v>
      </c>
      <c r="E1" s="4" t="s">
        <v>12</v>
      </c>
      <c r="F1" s="22" t="s">
        <v>38</v>
      </c>
      <c r="G1" s="22" t="s">
        <v>39</v>
      </c>
      <c r="H1" s="22" t="s">
        <v>40</v>
      </c>
      <c r="I1" s="22" t="s">
        <v>76</v>
      </c>
      <c r="K1" s="23">
        <v>2.5</v>
      </c>
    </row>
    <row r="2" spans="1:14" hidden="1" outlineLevel="1" x14ac:dyDescent="0.5">
      <c r="B2" s="5">
        <v>1</v>
      </c>
      <c r="C2" s="5">
        <v>2</v>
      </c>
      <c r="D2" s="5">
        <v>3</v>
      </c>
      <c r="E2" s="5">
        <v>4</v>
      </c>
      <c r="F2" s="5">
        <v>5</v>
      </c>
      <c r="G2" s="5">
        <v>6</v>
      </c>
      <c r="H2" s="5">
        <v>7</v>
      </c>
      <c r="I2" s="5">
        <v>8</v>
      </c>
    </row>
    <row r="3" spans="1:14" ht="14.7" hidden="1" outlineLevel="1" thickBot="1" x14ac:dyDescent="0.55000000000000004">
      <c r="B3" s="69" t="str">
        <f ca="1">Nombre_Archivo&amp;TEXT(C3,"000")&amp;"x"&amp;TEXT(D3,"00")&amp;"x"&amp;TEXT(E3,"00")</f>
        <v>Prism_Rec 504x190x25</v>
      </c>
      <c r="C3" s="47" cm="1">
        <f t="array" aca="1" ref="C3" ca="1">INDIRECT(C1&amp;"_Ale")</f>
        <v>504</v>
      </c>
      <c r="D3" s="47" cm="1">
        <f t="array" aca="1" ref="D3" ca="1">INDIRECT(D1&amp;"_Ale")</f>
        <v>190</v>
      </c>
      <c r="E3" s="47" cm="1">
        <f t="array" aca="1" ref="E3" ca="1">INDIRECT(E1&amp;"_Ale")</f>
        <v>25</v>
      </c>
      <c r="F3" s="48">
        <f ca="1">Perimetro</f>
        <v>50</v>
      </c>
      <c r="G3" s="48">
        <f ca="1">Area</f>
        <v>100</v>
      </c>
      <c r="H3" s="48">
        <f ca="1">Volumen</f>
        <v>500</v>
      </c>
      <c r="I3" s="57"/>
      <c r="J3" s="90" t="str">
        <f>IF(Ver_Resultados=_OK,PROBLEMA!O3,"NO "&amp;PROBLEMA!O3)</f>
        <v>Ver Resultados</v>
      </c>
      <c r="K3" s="91">
        <f>MAX(T_D_FIJOS[N_Pb])</f>
        <v>4</v>
      </c>
    </row>
    <row r="4" spans="1:14" ht="30" customHeight="1" collapsed="1" thickTop="1" thickBot="1" x14ac:dyDescent="0.55000000000000004">
      <c r="A4" s="119" t="s">
        <v>587</v>
      </c>
      <c r="B4" s="19" t="s">
        <v>9</v>
      </c>
      <c r="C4" s="20" t="s">
        <v>6</v>
      </c>
      <c r="D4" s="20" t="s">
        <v>7</v>
      </c>
      <c r="E4" s="20" t="s">
        <v>8</v>
      </c>
      <c r="F4" s="21" t="s">
        <v>35</v>
      </c>
      <c r="G4" s="21" t="s">
        <v>36</v>
      </c>
      <c r="H4" s="21" t="s">
        <v>37</v>
      </c>
      <c r="I4" s="20" t="s">
        <v>77</v>
      </c>
      <c r="J4" s="98" t="s">
        <v>135</v>
      </c>
      <c r="K4" s="99" t="s">
        <v>137</v>
      </c>
      <c r="M4" s="97" t="s">
        <v>69</v>
      </c>
      <c r="N4" s="100" t="str">
        <f>Version</f>
        <v>V1.2</v>
      </c>
    </row>
    <row r="5" spans="1:14" ht="50.1" customHeight="1" thickTop="1" x14ac:dyDescent="0.5">
      <c r="A5" s="120">
        <f>ROW()-ROW(T_D_FIJOS[[#Headers],[Nº]])</f>
        <v>1</v>
      </c>
      <c r="B5" s="70" t="str">
        <f t="shared" ref="B5:B17" si="0">"Prism_Rec "&amp;TEXT(C5,"000")&amp;"x"&amp;TEXT(D5,"00")&amp;"x"&amp;TEXT(E5,"00")</f>
        <v>Prism_Rec 020x05x05</v>
      </c>
      <c r="C5" s="71">
        <v>20</v>
      </c>
      <c r="D5" s="71">
        <v>5</v>
      </c>
      <c r="E5" s="71">
        <v>5</v>
      </c>
      <c r="F5" s="72">
        <v>50</v>
      </c>
      <c r="G5" s="72">
        <v>100</v>
      </c>
      <c r="H5" s="72">
        <v>500</v>
      </c>
      <c r="I5" s="71"/>
      <c r="J5" s="89" t="s">
        <v>136</v>
      </c>
      <c r="K5" s="89">
        <f>IF($M$4=_OK,ROW()-ROW(T_D_FIJOS[[#Headers],[N_Pb]]),IF(T_D_FIJOS[[#This Row],[IMPRIMIR]]="",0,COUNTA($J$5:J5)))</f>
        <v>1</v>
      </c>
    </row>
    <row r="6" spans="1:14" ht="50.1" customHeight="1" x14ac:dyDescent="0.5">
      <c r="A6" s="120">
        <f>ROW()-ROW(T_D_FIJOS[[#Headers],[Nº]])</f>
        <v>2</v>
      </c>
      <c r="B6" s="70" t="str">
        <f t="shared" si="0"/>
        <v>Prism_Rec 020x15x10</v>
      </c>
      <c r="C6" s="71">
        <v>20</v>
      </c>
      <c r="D6" s="71">
        <v>15</v>
      </c>
      <c r="E6" s="71">
        <v>10</v>
      </c>
      <c r="F6" s="72">
        <v>70</v>
      </c>
      <c r="G6" s="72">
        <v>300</v>
      </c>
      <c r="H6" s="72">
        <v>3000</v>
      </c>
      <c r="I6" s="71"/>
      <c r="J6" s="89"/>
      <c r="K6" s="89">
        <f>IF($M$4=_OK,ROW()-ROW(T_D_FIJOS[[#Headers],[N_Pb]]),IF(T_D_FIJOS[[#This Row],[IMPRIMIR]]="",0,COUNTA($J$5:J6)))</f>
        <v>0</v>
      </c>
    </row>
    <row r="7" spans="1:14" ht="50.1" customHeight="1" x14ac:dyDescent="0.5">
      <c r="A7" s="120">
        <f>ROW()-ROW(T_D_FIJOS[[#Headers],[Nº]])</f>
        <v>3</v>
      </c>
      <c r="B7" s="70" t="str">
        <f t="shared" si="0"/>
        <v>Prism_Rec 030x20x10</v>
      </c>
      <c r="C7" s="71">
        <v>30</v>
      </c>
      <c r="D7" s="71">
        <v>20</v>
      </c>
      <c r="E7" s="71">
        <v>10</v>
      </c>
      <c r="F7" s="72">
        <v>100</v>
      </c>
      <c r="G7" s="72">
        <v>600</v>
      </c>
      <c r="H7" s="72">
        <v>6000</v>
      </c>
      <c r="I7" s="71"/>
      <c r="J7" s="89" t="s">
        <v>136</v>
      </c>
      <c r="K7" s="89">
        <f>IF($M$4=_OK,ROW()-ROW(T_D_FIJOS[[#Headers],[N_Pb]]),IF(T_D_FIJOS[[#This Row],[IMPRIMIR]]="",0,COUNTA($J$5:J7)))</f>
        <v>2</v>
      </c>
    </row>
    <row r="8" spans="1:14" ht="50.1" customHeight="1" x14ac:dyDescent="0.5">
      <c r="A8" s="120">
        <f>ROW()-ROW(T_D_FIJOS[[#Headers],[Nº]])</f>
        <v>4</v>
      </c>
      <c r="B8" s="70" t="str">
        <f t="shared" si="0"/>
        <v>Prism_Rec 040x05x05</v>
      </c>
      <c r="C8" s="71">
        <v>40</v>
      </c>
      <c r="D8" s="71">
        <v>5</v>
      </c>
      <c r="E8" s="71">
        <v>5</v>
      </c>
      <c r="F8" s="72">
        <v>90</v>
      </c>
      <c r="G8" s="72">
        <v>200</v>
      </c>
      <c r="H8" s="72">
        <v>1000</v>
      </c>
      <c r="I8" s="5"/>
      <c r="J8" s="89"/>
      <c r="K8" s="89">
        <f>IF($M$4=_OK,ROW()-ROW(T_D_FIJOS[[#Headers],[N_Pb]]),IF(T_D_FIJOS[[#This Row],[IMPRIMIR]]="",0,COUNTA($J$5:J8)))</f>
        <v>0</v>
      </c>
    </row>
    <row r="9" spans="1:14" ht="50.1" customHeight="1" x14ac:dyDescent="0.5">
      <c r="A9" s="120">
        <f>ROW()-ROW(T_D_FIJOS[[#Headers],[Nº]])</f>
        <v>5</v>
      </c>
      <c r="B9" s="70" t="str">
        <f t="shared" si="0"/>
        <v>Prism_Rec 050x10x10</v>
      </c>
      <c r="C9" s="71">
        <v>50</v>
      </c>
      <c r="D9" s="71">
        <v>10</v>
      </c>
      <c r="E9" s="71">
        <v>10</v>
      </c>
      <c r="F9" s="72">
        <v>120</v>
      </c>
      <c r="G9" s="72">
        <v>500</v>
      </c>
      <c r="H9" s="72">
        <v>5000</v>
      </c>
      <c r="I9" s="5"/>
      <c r="J9" s="89"/>
      <c r="K9" s="89">
        <f>IF($M$4=_OK,ROW()-ROW(T_D_FIJOS[[#Headers],[N_Pb]]),IF(T_D_FIJOS[[#This Row],[IMPRIMIR]]="",0,COUNTA($J$5:J9)))</f>
        <v>0</v>
      </c>
    </row>
    <row r="10" spans="1:14" ht="50.1" customHeight="1" x14ac:dyDescent="0.5">
      <c r="A10" s="120">
        <f>ROW()-ROW(T_D_FIJOS[[#Headers],[Nº]])</f>
        <v>6</v>
      </c>
      <c r="B10" s="70" t="str">
        <f t="shared" si="0"/>
        <v>Prism_Rec 050x30x20</v>
      </c>
      <c r="C10" s="71">
        <v>50</v>
      </c>
      <c r="D10" s="71">
        <v>30</v>
      </c>
      <c r="E10" s="71">
        <v>20</v>
      </c>
      <c r="F10" s="72">
        <v>160</v>
      </c>
      <c r="G10" s="72">
        <v>1500</v>
      </c>
      <c r="H10" s="72">
        <v>30000</v>
      </c>
      <c r="I10" s="5"/>
      <c r="J10" s="89"/>
      <c r="K10" s="89">
        <f>IF($M$4=_OK,ROW()-ROW(T_D_FIJOS[[#Headers],[N_Pb]]),IF(T_D_FIJOS[[#This Row],[IMPRIMIR]]="",0,COUNTA($J$5:J10)))</f>
        <v>0</v>
      </c>
    </row>
    <row r="11" spans="1:14" ht="50.1" customHeight="1" x14ac:dyDescent="0.5">
      <c r="A11" s="120">
        <f>ROW()-ROW(T_D_FIJOS[[#Headers],[Nº]])</f>
        <v>7</v>
      </c>
      <c r="B11" s="70" t="str">
        <f t="shared" si="0"/>
        <v>Prism_Rec 060x05x05</v>
      </c>
      <c r="C11" s="71">
        <v>60</v>
      </c>
      <c r="D11" s="71">
        <v>5</v>
      </c>
      <c r="E11" s="71">
        <v>5</v>
      </c>
      <c r="F11" s="72">
        <v>130</v>
      </c>
      <c r="G11" s="72">
        <v>300</v>
      </c>
      <c r="H11" s="72">
        <v>1500</v>
      </c>
      <c r="I11" s="5"/>
      <c r="J11" s="89"/>
      <c r="K11" s="89">
        <f>IF($M$4=_OK,ROW()-ROW(T_D_FIJOS[[#Headers],[N_Pb]]),IF(T_D_FIJOS[[#This Row],[IMPRIMIR]]="",0,COUNTA($J$5:J11)))</f>
        <v>0</v>
      </c>
    </row>
    <row r="12" spans="1:14" ht="50.1" customHeight="1" x14ac:dyDescent="0.5">
      <c r="A12" s="120">
        <f>ROW()-ROW(T_D_FIJOS[[#Headers],[Nº]])</f>
        <v>8</v>
      </c>
      <c r="B12" s="70" t="str">
        <f t="shared" si="0"/>
        <v>Prism_Rec 060x45x25</v>
      </c>
      <c r="C12" s="71">
        <v>60</v>
      </c>
      <c r="D12" s="71">
        <v>45</v>
      </c>
      <c r="E12" s="71">
        <v>25</v>
      </c>
      <c r="F12" s="72">
        <v>210</v>
      </c>
      <c r="G12" s="72">
        <v>2700</v>
      </c>
      <c r="H12" s="72">
        <v>67500</v>
      </c>
      <c r="I12" s="5"/>
      <c r="J12" s="89"/>
      <c r="K12" s="89">
        <f>IF($M$4=_OK,ROW()-ROW(T_D_FIJOS[[#Headers],[N_Pb]]),IF(T_D_FIJOS[[#This Row],[IMPRIMIR]]="",0,COUNTA($J$5:J12)))</f>
        <v>0</v>
      </c>
    </row>
    <row r="13" spans="1:14" ht="50.1" customHeight="1" x14ac:dyDescent="0.5">
      <c r="A13" s="120">
        <f>ROW()-ROW(T_D_FIJOS[[#Headers],[Nº]])</f>
        <v>9</v>
      </c>
      <c r="B13" s="70" t="str">
        <f t="shared" si="0"/>
        <v>Prism_Rec 070x05x05</v>
      </c>
      <c r="C13" s="71">
        <v>70</v>
      </c>
      <c r="D13" s="71">
        <v>5</v>
      </c>
      <c r="E13" s="71">
        <v>5</v>
      </c>
      <c r="F13" s="72">
        <v>150</v>
      </c>
      <c r="G13" s="72">
        <v>350</v>
      </c>
      <c r="H13" s="72">
        <v>1750</v>
      </c>
      <c r="I13" s="5"/>
      <c r="J13" s="89" t="s">
        <v>136</v>
      </c>
      <c r="K13" s="89">
        <f>IF($M$4=_OK,ROW()-ROW(T_D_FIJOS[[#Headers],[N_Pb]]),IF(T_D_FIJOS[[#This Row],[IMPRIMIR]]="",0,COUNTA($J$5:J13)))</f>
        <v>3</v>
      </c>
    </row>
    <row r="14" spans="1:14" ht="50.1" customHeight="1" x14ac:dyDescent="0.5">
      <c r="A14" s="120">
        <f>ROW()-ROW(T_D_FIJOS[[#Headers],[Nº]])</f>
        <v>10</v>
      </c>
      <c r="B14" s="70" t="str">
        <f t="shared" si="0"/>
        <v>Prism_Rec 070x50x35</v>
      </c>
      <c r="C14" s="71">
        <v>70</v>
      </c>
      <c r="D14" s="71">
        <v>50</v>
      </c>
      <c r="E14" s="71">
        <v>35</v>
      </c>
      <c r="F14" s="72">
        <v>240</v>
      </c>
      <c r="G14" s="72">
        <v>3500</v>
      </c>
      <c r="H14" s="72">
        <v>122500</v>
      </c>
      <c r="I14" s="5"/>
      <c r="J14" s="89"/>
      <c r="K14" s="89">
        <f>IF($M$4=_OK,ROW()-ROW(T_D_FIJOS[[#Headers],[N_Pb]]),IF(T_D_FIJOS[[#This Row],[IMPRIMIR]]="",0,COUNTA($J$5:J14)))</f>
        <v>0</v>
      </c>
    </row>
    <row r="15" spans="1:14" ht="50.1" customHeight="1" x14ac:dyDescent="0.5">
      <c r="A15" s="120">
        <f>ROW()-ROW(T_D_FIJOS[[#Headers],[Nº]])</f>
        <v>11</v>
      </c>
      <c r="B15" s="70" t="str">
        <f t="shared" si="0"/>
        <v>Prism_Rec 080x50x05</v>
      </c>
      <c r="C15" s="71">
        <v>80</v>
      </c>
      <c r="D15" s="71">
        <v>50</v>
      </c>
      <c r="E15" s="71">
        <v>5</v>
      </c>
      <c r="F15" s="72">
        <v>260</v>
      </c>
      <c r="G15" s="72">
        <v>4000</v>
      </c>
      <c r="H15" s="72">
        <v>20000</v>
      </c>
      <c r="I15" s="5"/>
      <c r="J15" s="89"/>
      <c r="K15" s="89">
        <f>IF($M$4=_OK,ROW()-ROW(T_D_FIJOS[[#Headers],[N_Pb]]),IF(T_D_FIJOS[[#This Row],[IMPRIMIR]]="",0,COUNTA($J$5:J15)))</f>
        <v>0</v>
      </c>
    </row>
    <row r="16" spans="1:14" ht="50.1" customHeight="1" x14ac:dyDescent="0.5">
      <c r="A16" s="120">
        <f>ROW()-ROW(T_D_FIJOS[[#Headers],[Nº]])</f>
        <v>12</v>
      </c>
      <c r="B16" s="70" t="str">
        <f t="shared" si="0"/>
        <v>Prism_Rec 090x10x10</v>
      </c>
      <c r="C16" s="71">
        <v>90</v>
      </c>
      <c r="D16" s="71">
        <v>10</v>
      </c>
      <c r="E16" s="71">
        <v>10</v>
      </c>
      <c r="F16" s="72">
        <v>200</v>
      </c>
      <c r="G16" s="72">
        <v>900</v>
      </c>
      <c r="H16" s="72">
        <v>9000</v>
      </c>
      <c r="I16" s="5"/>
      <c r="J16" s="89"/>
      <c r="K16" s="89">
        <f>IF($M$4=_OK,ROW()-ROW(T_D_FIJOS[[#Headers],[N_Pb]]),IF(T_D_FIJOS[[#This Row],[IMPRIMIR]]="",0,COUNTA($J$5:J16)))</f>
        <v>0</v>
      </c>
    </row>
    <row r="17" spans="1:11" ht="50.1" customHeight="1" x14ac:dyDescent="0.5">
      <c r="A17" s="120">
        <f>ROW()-ROW(T_D_FIJOS[[#Headers],[Nº]])</f>
        <v>13</v>
      </c>
      <c r="B17" s="70" t="str">
        <f t="shared" si="0"/>
        <v>Prism_Rec 100x70x15</v>
      </c>
      <c r="C17" s="71">
        <v>100</v>
      </c>
      <c r="D17" s="71">
        <v>70</v>
      </c>
      <c r="E17" s="71">
        <v>15</v>
      </c>
      <c r="F17" s="72">
        <v>340</v>
      </c>
      <c r="G17" s="72">
        <v>7000</v>
      </c>
      <c r="H17" s="72">
        <v>105000</v>
      </c>
      <c r="I17" s="5"/>
      <c r="J17" s="89" t="s">
        <v>136</v>
      </c>
      <c r="K17" s="89">
        <f>IF($M$4=_OK,ROW()-ROW(T_D_FIJOS[[#Headers],[N_Pb]]),IF(T_D_FIJOS[[#This Row],[IMPRIMIR]]="",0,COUNTA($J$5:J17)))</f>
        <v>4</v>
      </c>
    </row>
    <row r="18" spans="1:11" ht="50.1" customHeight="1" x14ac:dyDescent="0.5"/>
    <row r="19" spans="1:11" ht="50.1" customHeight="1" x14ac:dyDescent="0.5"/>
    <row r="20" spans="1:11" ht="50.1" customHeight="1" x14ac:dyDescent="0.5"/>
    <row r="21" spans="1:11" ht="50.1" customHeight="1" x14ac:dyDescent="0.5"/>
    <row r="22" spans="1:11" ht="50.1" customHeight="1" x14ac:dyDescent="0.5"/>
    <row r="23" spans="1:11" ht="50.1" customHeight="1" x14ac:dyDescent="0.5"/>
    <row r="24" spans="1:11" ht="50.1" customHeight="1" x14ac:dyDescent="0.5"/>
    <row r="25" spans="1:11" ht="50.1" customHeight="1" x14ac:dyDescent="0.5"/>
    <row r="26" spans="1:11" ht="50.1" customHeight="1" x14ac:dyDescent="0.5"/>
    <row r="27" spans="1:11" ht="50.1" customHeight="1" x14ac:dyDescent="0.5"/>
    <row r="28" spans="1:11" ht="50.1" customHeight="1" x14ac:dyDescent="0.5"/>
    <row r="29" spans="1:11" ht="50.1" customHeight="1" x14ac:dyDescent="0.5"/>
    <row r="30" spans="1:11" ht="50.1" customHeight="1" x14ac:dyDescent="0.5"/>
    <row r="31" spans="1:11" ht="50.1" customHeight="1" x14ac:dyDescent="0.5"/>
    <row r="32" spans="1:11" ht="50.1" customHeight="1" x14ac:dyDescent="0.5"/>
    <row r="33" ht="50.1" customHeight="1" x14ac:dyDescent="0.5"/>
    <row r="34" ht="50.1" customHeight="1" x14ac:dyDescent="0.5"/>
    <row r="35" ht="50.1" customHeight="1" x14ac:dyDescent="0.5"/>
    <row r="36" ht="50.1" customHeight="1" x14ac:dyDescent="0.5"/>
    <row r="37" ht="50.1" customHeight="1" x14ac:dyDescent="0.5"/>
    <row r="38" ht="50.1" customHeight="1" x14ac:dyDescent="0.5"/>
    <row r="39" ht="50.1" customHeight="1" x14ac:dyDescent="0.5"/>
    <row r="40" ht="50.1" customHeight="1" x14ac:dyDescent="0.5"/>
    <row r="41" ht="50.1" customHeight="1" x14ac:dyDescent="0.5"/>
    <row r="42" ht="50.1" customHeight="1" x14ac:dyDescent="0.5"/>
    <row r="43" ht="50.1" customHeight="1" x14ac:dyDescent="0.5"/>
    <row r="44" ht="50.1" customHeight="1" x14ac:dyDescent="0.5"/>
    <row r="45" ht="50.1" customHeight="1" x14ac:dyDescent="0.5"/>
    <row r="46" ht="50.1" customHeight="1" x14ac:dyDescent="0.5"/>
    <row r="47" ht="50.1" customHeight="1" x14ac:dyDescent="0.5"/>
    <row r="48" ht="50.1" customHeight="1" x14ac:dyDescent="0.5"/>
    <row r="49" ht="50.1" customHeight="1" x14ac:dyDescent="0.5"/>
    <row r="50" ht="50.1" customHeight="1" x14ac:dyDescent="0.5"/>
    <row r="51" ht="50.1" customHeight="1" x14ac:dyDescent="0.5"/>
    <row r="52" ht="50.1" customHeight="1" x14ac:dyDescent="0.5"/>
    <row r="53" ht="50.1" customHeight="1" x14ac:dyDescent="0.5"/>
    <row r="54" ht="50.1" customHeight="1" x14ac:dyDescent="0.5"/>
    <row r="55" ht="50.1" customHeight="1" x14ac:dyDescent="0.5"/>
    <row r="56" ht="50.1" customHeight="1" x14ac:dyDescent="0.5"/>
    <row r="57" ht="50.1" customHeight="1" x14ac:dyDescent="0.5"/>
    <row r="58" ht="50.1" customHeight="1" x14ac:dyDescent="0.5"/>
  </sheetData>
  <conditionalFormatting sqref="B5:B17">
    <cfRule type="duplicateValues" dxfId="4" priority="1"/>
  </conditionalFormatting>
  <conditionalFormatting sqref="F3:H4">
    <cfRule type="expression" dxfId="3" priority="2">
      <formula>D_Fijos=_OK</formula>
    </cfRule>
  </conditionalFormatting>
  <dataValidations count="1">
    <dataValidation type="list" allowBlank="1" showInputMessage="1" showErrorMessage="1" sqref="M4" xr:uid="{026487FC-C03A-49F6-BADB-72358253E724}">
      <formula1>SI_NO</formula1>
    </dataValidation>
  </dataValidations>
  <printOptions horizontalCentered="1"/>
  <pageMargins left="0.39370078740157483" right="0.39370078740157483" top="0.39370078740157483" bottom="0.39370078740157483" header="0.19685039370078741" footer="0.39370078740157483"/>
  <pageSetup paperSize="9" scale="85" fitToHeight="100" orientation="landscape" r:id="rId1"/>
  <headerFooter>
    <oddHeader>&amp;C&amp;"-,Negrita"&amp;A</oddHeader>
    <oddFooter>&amp;R&amp;P / &amp;N</oddFooter>
  </headerFooter>
  <drawing r:id="rId2"/>
  <legacy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ublished="0" codeName="d_Resultados_FTP">
    <tabColor rgb="FF005877"/>
  </sheetPr>
  <dimension ref="A1:L7"/>
  <sheetViews>
    <sheetView showGridLines="0" showRowColHeaders="0" zoomScaleNormal="100" workbookViewId="0">
      <pane xSplit="2" ySplit="2" topLeftCell="C3" activePane="bottomRight" state="frozen"/>
      <selection activeCell="B1" sqref="B1"/>
      <selection pane="topRight" activeCell="B1" sqref="B1"/>
      <selection pane="bottomLeft" activeCell="B1" sqref="B1"/>
      <selection pane="bottomRight" activeCell="B3" sqref="B3:C3"/>
    </sheetView>
  </sheetViews>
  <sheetFormatPr baseColWidth="10" defaultColWidth="10.8203125" defaultRowHeight="14.35" x14ac:dyDescent="0.5"/>
  <cols>
    <col min="1" max="1" width="8.703125" customWidth="1"/>
    <col min="2" max="2" width="71.29296875" customWidth="1"/>
    <col min="3" max="3" width="30.64453125" customWidth="1"/>
    <col min="4" max="4" width="3.64453125" customWidth="1"/>
    <col min="5" max="5" width="8.29296875" customWidth="1"/>
  </cols>
  <sheetData>
    <row r="1" spans="1:12" ht="27" thickTop="1" thickBot="1" x14ac:dyDescent="0.55000000000000004">
      <c r="A1" s="116" t="s">
        <v>72</v>
      </c>
      <c r="B1" s="101" t="str">
        <f>IFERROR(VLOOKUP(C1,T_DATOS_IMAGENES[],COLUMNS(T_DATOS_IMAGENES[]),0),"")</f>
        <v>&lt;img src="https://i.ibb.co/qMW1Ssz/Prisma-rectangular.png" width="300" height=""&gt;</v>
      </c>
      <c r="C1" s="102" t="s">
        <v>19</v>
      </c>
      <c r="F1" s="103" t="s">
        <v>560</v>
      </c>
      <c r="G1" s="103" t="s">
        <v>561</v>
      </c>
      <c r="H1" s="103" t="s">
        <v>562</v>
      </c>
      <c r="I1" s="103" t="s">
        <v>563</v>
      </c>
      <c r="J1" s="104"/>
    </row>
    <row r="2" spans="1:12" ht="130" customHeight="1" thickTop="1" x14ac:dyDescent="0.5">
      <c r="A2" s="118" t="str">
        <f>"Datos Fijos: "&amp;D_Fijos</f>
        <v>Datos Fijos: Sí</v>
      </c>
      <c r="B2" s="170" t="str">
        <f ca="1">IFERROR(_xlfn.CONCAT(B3:C7),CONCATENATE(Enunciado_FTP,Preg_1_FTP,Resultado_1_FTP,Preg_2_FTP,Resultado_2_FTP,Preg_3_FTP,Resultado_3_FTP,Preg_4_FTP,Resultado_4_FTP))</f>
        <v>Para practicar datos de geometría resolver el siguiente ejercicio. Tenemos un rectángulo de lado L =  20 cm y altura h = 5 cm. 
Se pide calcular:
1) El perímetro de una cara del rectángulo frontal. {2:NM:%100%50:0#¡Muy bien!~%95%50:0,5#Bien, pero cuidado con los redondeos.~%85%50:1#Valor aproximado, pero no exacto.~%-10%50:20#Incorrecto, repasa los cálculos.} cm
2) El área de la cara del rectángulo frontal. {3:NM:%100%100:0#¡Muy bien!~%95%100:1#Bien, pero cuidado con los redondeos.~%85%100:2#Valor aproximado, pero no exacto.~%-10%100:20#Incorrecto, repasa los cálculos.} cm²
3) El volumen del prisma rectangular si tiene una profundidad de d = 5 cm. {5:NM:%100%500:0#¡Muy bien!~%95%500:5#Bien, pero cuidado con los redondeos.~%85%500:10#Valor aproximado, pero no exacto.~%-10%500:20#Incorrecto, repasa los cálculos.} cm³
4) Este problema es muy fácil.  {1:MC:%100%Sí#¡Muy bien!~%-33%No#Incorrecto, repasa los cálculos.}</v>
      </c>
      <c r="C2" s="170"/>
      <c r="D2" s="170"/>
      <c r="E2" s="170"/>
      <c r="F2" s="105" t="s">
        <v>564</v>
      </c>
      <c r="G2" s="105" t="s">
        <v>565</v>
      </c>
      <c r="H2" s="105" t="s">
        <v>566</v>
      </c>
      <c r="I2" s="105" t="s">
        <v>567</v>
      </c>
      <c r="J2" s="106" t="s">
        <v>568</v>
      </c>
    </row>
    <row r="3" spans="1:12" ht="52.7" thickBot="1" x14ac:dyDescent="0.55000000000000004">
      <c r="A3" s="118" t="str">
        <f>"Salto: "&amp;Salto</f>
        <v xml:space="preserve">Salto: </v>
      </c>
      <c r="B3" s="169" t="str">
        <f ca="1">Enunciado</f>
        <v>Para practicar datos de geometría resolver el siguiente ejercicio. Tenemos un rectángulo de lado L =  20 cm y altura h = 5 cm. 
Se pide calcular:</v>
      </c>
      <c r="C3" s="169"/>
      <c r="D3" t="s">
        <v>574</v>
      </c>
      <c r="E3" s="107" t="s">
        <v>570</v>
      </c>
      <c r="F3" s="117" t="s">
        <v>575</v>
      </c>
      <c r="G3" s="117" t="s">
        <v>576</v>
      </c>
      <c r="H3" s="117" t="s">
        <v>577</v>
      </c>
      <c r="I3" s="117" t="s">
        <v>578</v>
      </c>
      <c r="J3" s="117" t="s">
        <v>569</v>
      </c>
      <c r="K3" s="117" t="s">
        <v>581</v>
      </c>
    </row>
    <row r="4" spans="1:12" ht="100.7" thickBot="1" x14ac:dyDescent="0.55000000000000004">
      <c r="A4" s="96" t="s">
        <v>591</v>
      </c>
      <c r="B4" s="114" t="str">
        <f>"
"&amp;Preg_1&amp;" "</f>
        <v xml:space="preserve">
1) El perímetro de una cara del rectángulo frontal. </v>
      </c>
      <c r="C4" s="115" t="str" cm="1">
        <f t="array" aca="1" ref="C4" ca="1">"{"&amp;$E4&amp;":NM:"&amp;$F$2&amp;INDIRECT($K4)&amp;":"&amp;MIN(INDIRECT($K4)*$F4,5)&amp;$F$3&amp;
                $G$2&amp;INDIRECT($K4)&amp;":"&amp;MIN(INDIRECT($K4)*$G4,10)&amp;$G$3&amp;
                $H$2&amp;INDIRECT($K4)&amp;":"&amp;MIN(INDIRECT($K4)*$H4,15)&amp;$H$3&amp;
                $I$2&amp;INDIRECT($K4)&amp;":"&amp;MIN(INDIRECT($K4)*$I4,20)&amp;$I$3&amp;"}"&amp;" "&amp;$L4&amp;Salto</f>
        <v>{2:NM:%100%50:0#¡Muy bien!~%95%50:0,5#Bien, pero cuidado con los redondeos.~%85%50:1#Valor aproximado, pero no exacto.~%-10%50:20#Incorrecto, repasa los cálculos.} cm</v>
      </c>
      <c r="D4" s="108" t="s">
        <v>571</v>
      </c>
      <c r="E4" s="109">
        <v>2</v>
      </c>
      <c r="F4" s="110">
        <v>0</v>
      </c>
      <c r="G4" s="110">
        <v>0.01</v>
      </c>
      <c r="H4" s="110">
        <v>0.02</v>
      </c>
      <c r="I4" s="111">
        <v>100</v>
      </c>
      <c r="J4" s="112" t="s">
        <v>572</v>
      </c>
      <c r="K4" t="s">
        <v>187</v>
      </c>
      <c r="L4" t="s">
        <v>582</v>
      </c>
    </row>
    <row r="5" spans="1:12" ht="100.7" thickBot="1" x14ac:dyDescent="0.55000000000000004">
      <c r="B5" s="114" t="str">
        <f>"
"&amp;Preg_2&amp;" "</f>
        <v xml:space="preserve">
2) El área de la cara del rectángulo frontal. </v>
      </c>
      <c r="C5" s="115" t="str" cm="1">
        <f t="array" aca="1" ref="C5" ca="1">"{"&amp;$E5&amp;":NM:"&amp;$F$2&amp;INDIRECT($K5)&amp;":"&amp;MIN(INDIRECT($K5)*$F5,5)&amp;$F$3&amp;
                $G$2&amp;INDIRECT($K5)&amp;":"&amp;MIN(INDIRECT($K5)*$G5,10)&amp;$G$3&amp;
                $H$2&amp;INDIRECT($K5)&amp;":"&amp;MIN(INDIRECT($K5)*$H5,15)&amp;$H$3&amp;
                $I$2&amp;INDIRECT($K5)&amp;":"&amp;MIN(INDIRECT($K5)*$I5,20)&amp;$I$3&amp;"}"&amp;" "&amp;$L5&amp;Salto</f>
        <v>{3:NM:%100%100:0#¡Muy bien!~%95%100:1#Bien, pero cuidado con los redondeos.~%85%100:2#Valor aproximado, pero no exacto.~%-10%100:20#Incorrecto, repasa los cálculos.} cm²</v>
      </c>
      <c r="D5" s="108" t="s">
        <v>571</v>
      </c>
      <c r="E5" s="109">
        <v>3</v>
      </c>
      <c r="F5" s="110">
        <v>0</v>
      </c>
      <c r="G5" s="110">
        <v>0.01</v>
      </c>
      <c r="H5" s="110">
        <v>0.02</v>
      </c>
      <c r="I5" s="111">
        <v>100</v>
      </c>
      <c r="K5" t="s">
        <v>190</v>
      </c>
      <c r="L5" t="s">
        <v>583</v>
      </c>
    </row>
    <row r="6" spans="1:12" ht="100.7" thickBot="1" x14ac:dyDescent="0.55000000000000004">
      <c r="B6" s="114" t="str">
        <f ca="1">"
"&amp;Preg_3&amp;" "</f>
        <v xml:space="preserve">
3) El volumen del prisma rectangular si tiene una profundidad de d = 5 cm. </v>
      </c>
      <c r="C6" s="115" t="str" cm="1">
        <f t="array" aca="1" ref="C6" ca="1">"{"&amp;$E6&amp;":NM:"&amp;$F$2&amp;INDIRECT($K6)&amp;":"&amp;MIN(INDIRECT($K6)*$F6,5)&amp;$F$3&amp;
                $G$2&amp;INDIRECT($K6)&amp;":"&amp;MIN(INDIRECT($K6)*$G6,10)&amp;$G$3&amp;
                $H$2&amp;INDIRECT($K6)&amp;":"&amp;MIN(INDIRECT($K6)*$H6,15)&amp;$H$3&amp;
                $I$2&amp;INDIRECT($K6)&amp;":"&amp;MIN(INDIRECT($K6)*$I6,20)&amp;$I$3&amp;"}"&amp;" "&amp;$L6&amp;Salto</f>
        <v>{5:NM:%100%500:0#¡Muy bien!~%95%500:5#Bien, pero cuidado con los redondeos.~%85%500:10#Valor aproximado, pero no exacto.~%-10%500:20#Incorrecto, repasa los cálculos.} cm³</v>
      </c>
      <c r="D6" s="108" t="s">
        <v>571</v>
      </c>
      <c r="E6" s="109">
        <v>5</v>
      </c>
      <c r="F6" s="110">
        <v>0</v>
      </c>
      <c r="G6" s="110">
        <v>0.01</v>
      </c>
      <c r="H6" s="110">
        <v>0.02</v>
      </c>
      <c r="I6" s="111">
        <v>100</v>
      </c>
      <c r="K6" t="s">
        <v>37</v>
      </c>
      <c r="L6" t="s">
        <v>584</v>
      </c>
    </row>
    <row r="7" spans="1:12" ht="43.35" thickBot="1" x14ac:dyDescent="0.55000000000000004">
      <c r="B7" s="115" t="str">
        <f>"
"&amp;Preg_4&amp;" "</f>
        <v xml:space="preserve">
4) Este problema es muy fácil. </v>
      </c>
      <c r="C7" s="132" t="str">
        <f>" {"&amp;$E$7&amp;":MC:"&amp;$F$2&amp;_OK&amp;$F$3&amp;"~%"&amp;$I7&amp;"%"&amp;_NO&amp;$I3&amp;"}"</f>
        <v xml:space="preserve"> {1:MC:%100%Sí#¡Muy bien!~%-33%No#Incorrecto, repasa los cálculos.}</v>
      </c>
      <c r="D7" s="108" t="s">
        <v>573</v>
      </c>
      <c r="E7" s="109">
        <v>1</v>
      </c>
      <c r="F7" s="113"/>
      <c r="G7" s="113"/>
      <c r="H7" s="113"/>
      <c r="I7" s="109">
        <v>-33</v>
      </c>
    </row>
  </sheetData>
  <mergeCells count="2">
    <mergeCell ref="B3:C3"/>
    <mergeCell ref="B2:E2"/>
  </mergeCells>
  <conditionalFormatting sqref="A2">
    <cfRule type="expression" dxfId="2" priority="1">
      <formula>D_Fijos=_OK</formula>
    </cfRule>
  </conditionalFormatting>
  <conditionalFormatting sqref="A3">
    <cfRule type="expression" dxfId="1" priority="2">
      <formula>Salto=""</formula>
    </cfRule>
  </conditionalFormatting>
  <dataValidations disablePrompts="1" count="2">
    <dataValidation type="list" allowBlank="1" showInputMessage="1" showErrorMessage="1" sqref="C1" xr:uid="{00000000-0002-0000-0400-000000000000}">
      <formula1>Lista_Imagenes</formula1>
    </dataValidation>
    <dataValidation type="whole" allowBlank="1" showInputMessage="1" showErrorMessage="1" sqref="I7" xr:uid="{B7A712A7-3DFD-460D-B3F3-709E322786D5}">
      <formula1>-100</formula1>
      <formula2>0</formula2>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ublished="0" codeName="g_Ocultos">
    <tabColor rgb="FFFF0000"/>
  </sheetPr>
  <dimension ref="A1:K19"/>
  <sheetViews>
    <sheetView showGridLines="0" showRowColHeaders="0" zoomScale="156" workbookViewId="0">
      <pane xSplit="2" ySplit="1" topLeftCell="C2" activePane="bottomRight" state="frozen"/>
      <selection pane="topRight" activeCell="C1" sqref="C1"/>
      <selection pane="bottomLeft" activeCell="A2" sqref="A2"/>
      <selection pane="bottomRight" activeCell="B7" sqref="B7"/>
    </sheetView>
  </sheetViews>
  <sheetFormatPr baseColWidth="10" defaultColWidth="10.8203125" defaultRowHeight="14.35" x14ac:dyDescent="0.5"/>
  <cols>
    <col min="3" max="3" width="6" customWidth="1"/>
    <col min="4" max="4" width="2.703125" customWidth="1"/>
    <col min="5" max="5" width="5.703125" customWidth="1"/>
    <col min="6" max="7" width="10.87890625" bestFit="1" customWidth="1"/>
    <col min="8" max="8" width="5.703125" customWidth="1"/>
    <col min="9" max="9" width="16.29296875" customWidth="1"/>
    <col min="10" max="10" width="15.703125" customWidth="1"/>
  </cols>
  <sheetData>
    <row r="1" spans="1:11" ht="14.7" thickBot="1" x14ac:dyDescent="0.55000000000000004">
      <c r="A1" s="38" t="s">
        <v>21</v>
      </c>
      <c r="B1" s="39"/>
      <c r="C1" s="39"/>
      <c r="D1" s="40"/>
      <c r="E1" s="7" t="s">
        <v>71</v>
      </c>
      <c r="I1" s="30" t="s">
        <v>26</v>
      </c>
      <c r="J1" s="31"/>
      <c r="K1" s="26"/>
    </row>
    <row r="2" spans="1:11" ht="14.7" thickBot="1" x14ac:dyDescent="0.55000000000000004">
      <c r="A2" s="41" t="s">
        <v>13</v>
      </c>
      <c r="B2" s="42">
        <f ca="1">IF(Ver_Datos=_OK,L_,"Longitud")</f>
        <v>20</v>
      </c>
      <c r="C2" s="31" t="s">
        <v>1</v>
      </c>
      <c r="D2" s="29" t="s">
        <v>3</v>
      </c>
      <c r="F2" s="24" t="s">
        <v>70</v>
      </c>
      <c r="G2" s="24" t="s">
        <v>67</v>
      </c>
      <c r="I2" s="25" t="s">
        <v>23</v>
      </c>
      <c r="J2" s="37">
        <v>11111</v>
      </c>
      <c r="K2" s="26"/>
    </row>
    <row r="3" spans="1:11" x14ac:dyDescent="0.5">
      <c r="A3" s="43" t="s">
        <v>14</v>
      </c>
      <c r="B3" s="44">
        <f ca="1">IF(Ver_Datos=_OK,h_,"h")</f>
        <v>5</v>
      </c>
      <c r="C3" t="s">
        <v>1</v>
      </c>
      <c r="D3" s="29" t="s">
        <v>3</v>
      </c>
      <c r="F3" s="52" t="s">
        <v>65</v>
      </c>
      <c r="G3" s="52" t="s">
        <v>68</v>
      </c>
      <c r="I3" s="32" t="s">
        <v>24</v>
      </c>
      <c r="J3" s="33">
        <v>111111</v>
      </c>
      <c r="K3" s="29"/>
    </row>
    <row r="4" spans="1:11" ht="14.7" thickBot="1" x14ac:dyDescent="0.55000000000000004">
      <c r="A4" s="43" t="s">
        <v>15</v>
      </c>
      <c r="B4" s="44">
        <f ca="1">IF(Ver_Datos=_OK,d_,"d")</f>
        <v>5</v>
      </c>
      <c r="C4" t="s">
        <v>1</v>
      </c>
      <c r="D4" s="29" t="s">
        <v>3</v>
      </c>
      <c r="F4" s="53" t="s">
        <v>66</v>
      </c>
      <c r="G4" s="53" t="s">
        <v>69</v>
      </c>
      <c r="I4" s="32" t="s">
        <v>25</v>
      </c>
      <c r="J4" s="34">
        <v>111111</v>
      </c>
      <c r="K4" s="29"/>
    </row>
    <row r="5" spans="1:11" ht="14.7" thickBot="1" x14ac:dyDescent="0.55000000000000004">
      <c r="A5" s="43" t="s">
        <v>585</v>
      </c>
      <c r="B5" s="49">
        <f ca="1">IF(Ver_Resultados=_OK,Perimetro,"")</f>
        <v>50</v>
      </c>
      <c r="C5" t="s">
        <v>586</v>
      </c>
      <c r="D5" s="29" t="s">
        <v>3</v>
      </c>
      <c r="F5" s="5"/>
      <c r="G5" s="5"/>
      <c r="I5" s="27" t="s">
        <v>27</v>
      </c>
      <c r="J5" s="35"/>
      <c r="K5" s="36"/>
    </row>
    <row r="6" spans="1:11" x14ac:dyDescent="0.5">
      <c r="A6" s="43" t="s">
        <v>41</v>
      </c>
      <c r="B6" s="28">
        <f ca="1">IF(Ver_Resultados=_OK,Area,"")</f>
        <v>100</v>
      </c>
      <c r="C6" t="s">
        <v>4</v>
      </c>
      <c r="D6" s="29" t="s">
        <v>3</v>
      </c>
    </row>
    <row r="7" spans="1:11" ht="14.7" thickBot="1" x14ac:dyDescent="0.55000000000000004">
      <c r="A7" s="45" t="s">
        <v>16</v>
      </c>
      <c r="B7" s="46">
        <f ca="1">IF(Ver_Resultados=_OK,Volumen,"")</f>
        <v>500</v>
      </c>
      <c r="C7" s="35" t="s">
        <v>5</v>
      </c>
      <c r="D7" s="36" t="s">
        <v>2</v>
      </c>
    </row>
    <row r="14" spans="1:11" x14ac:dyDescent="0.5">
      <c r="A14" s="7" t="s">
        <v>22</v>
      </c>
    </row>
    <row r="15" spans="1:11" x14ac:dyDescent="0.5">
      <c r="B15" s="13" t="str">
        <f ca="1">IFERROR(_xlfn.CONCAT(A2:D4),B18)</f>
        <v xml:space="preserve">L = 20 cm ; h = 5 cm ; d = 5 cm ; </v>
      </c>
      <c r="C15" s="14"/>
      <c r="D15" s="14"/>
      <c r="E15" s="14"/>
      <c r="F15" s="15"/>
      <c r="G15" s="54" t="s">
        <v>82</v>
      </c>
    </row>
    <row r="16" spans="1:11" x14ac:dyDescent="0.5">
      <c r="B16" s="8" t="str">
        <f ca="1">CONCATENATE(A2,B2,C2,D2)</f>
        <v xml:space="preserve">L = 20 cm ; </v>
      </c>
      <c r="C16" s="9"/>
      <c r="D16" s="9"/>
      <c r="E16" s="9"/>
      <c r="F16" s="10"/>
      <c r="G16" s="54" t="s">
        <v>83</v>
      </c>
    </row>
    <row r="17" spans="2:6" x14ac:dyDescent="0.5">
      <c r="B17" s="11" t="str">
        <f ca="1">CONCATENATE(A3,B3,C3,D3)</f>
        <v xml:space="preserve">h = 5 cm ; </v>
      </c>
      <c r="F17" s="12"/>
    </row>
    <row r="18" spans="2:6" x14ac:dyDescent="0.5">
      <c r="B18" s="11" t="str">
        <f ca="1">CONCATENATE(A4,B4,C4,D4)</f>
        <v xml:space="preserve">d = 5 cm ; </v>
      </c>
      <c r="F18" s="12"/>
    </row>
    <row r="19" spans="2:6" x14ac:dyDescent="0.5">
      <c r="B19" s="16" t="str">
        <f ca="1">CONCATENATE(B16,B17,B18)</f>
        <v xml:space="preserve">L = 20 cm ; h = 5 cm ; d = 5 cm ; </v>
      </c>
      <c r="C19" s="17"/>
      <c r="D19" s="17"/>
      <c r="E19" s="17"/>
      <c r="F19" s="18"/>
    </row>
  </sheetData>
  <conditionalFormatting sqref="B2">
    <cfRule type="cellIs" dxfId="0" priority="1" operator="greaterThan">
      <formula>35</formula>
    </cfRule>
  </conditionalFormatting>
  <pageMargins left="0.7" right="0.7" top="0.75" bottom="0.75" header="0.3" footer="0.3"/>
  <pageSetup paperSize="9"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27E7-B4BC-4307-BE3B-A86A99DE94DE}">
  <sheetPr published="0" codeName="Hoja1"/>
  <dimension ref="A1:E275"/>
  <sheetViews>
    <sheetView workbookViewId="0">
      <pane xSplit="1" ySplit="1" topLeftCell="B43" activePane="bottomRight" state="frozen"/>
      <selection pane="topRight" activeCell="B1" sqref="B1"/>
      <selection pane="bottomLeft" activeCell="A2" sqref="A2"/>
      <selection pane="bottomRight" activeCell="D58" sqref="D58"/>
    </sheetView>
  </sheetViews>
  <sheetFormatPr baseColWidth="10" defaultRowHeight="14.35" x14ac:dyDescent="0.5"/>
  <cols>
    <col min="1" max="1" width="15.3515625" bestFit="1" customWidth="1"/>
    <col min="2" max="2" width="6.05859375" bestFit="1" customWidth="1"/>
    <col min="3" max="4" width="50.64453125" customWidth="1"/>
    <col min="5" max="5" width="15.9375" bestFit="1" customWidth="1"/>
  </cols>
  <sheetData>
    <row r="1" spans="1:5" x14ac:dyDescent="0.5">
      <c r="A1" t="s">
        <v>141</v>
      </c>
      <c r="B1" t="s">
        <v>142</v>
      </c>
      <c r="C1" t="s">
        <v>143</v>
      </c>
      <c r="D1" t="s">
        <v>144</v>
      </c>
      <c r="E1" t="s">
        <v>145</v>
      </c>
    </row>
    <row r="2" spans="1:5" x14ac:dyDescent="0.5">
      <c r="A2" t="s">
        <v>146</v>
      </c>
      <c r="B2" t="s">
        <v>147</v>
      </c>
      <c r="C2" s="92" t="s">
        <v>504</v>
      </c>
      <c r="E2" t="s">
        <v>148</v>
      </c>
    </row>
    <row r="3" spans="1:5" x14ac:dyDescent="0.5">
      <c r="A3" t="s">
        <v>146</v>
      </c>
      <c r="B3" t="s">
        <v>149</v>
      </c>
      <c r="C3" s="92" t="s">
        <v>150</v>
      </c>
      <c r="E3" t="s">
        <v>151</v>
      </c>
    </row>
    <row r="4" spans="1:5" x14ac:dyDescent="0.5">
      <c r="A4" t="s">
        <v>146</v>
      </c>
      <c r="B4" t="s">
        <v>152</v>
      </c>
      <c r="C4" s="92" t="s">
        <v>153</v>
      </c>
      <c r="E4" t="s">
        <v>154</v>
      </c>
    </row>
    <row r="5" spans="1:5" x14ac:dyDescent="0.5">
      <c r="A5" t="s">
        <v>146</v>
      </c>
      <c r="B5" t="s">
        <v>155</v>
      </c>
      <c r="C5" s="92" t="s">
        <v>156</v>
      </c>
      <c r="E5" t="s">
        <v>157</v>
      </c>
    </row>
    <row r="6" spans="1:5" x14ac:dyDescent="0.5">
      <c r="A6" t="s">
        <v>146</v>
      </c>
      <c r="B6" t="s">
        <v>158</v>
      </c>
      <c r="C6" s="92" t="s">
        <v>159</v>
      </c>
      <c r="E6" t="s">
        <v>160</v>
      </c>
    </row>
    <row r="7" spans="1:5" x14ac:dyDescent="0.5">
      <c r="A7" t="s">
        <v>146</v>
      </c>
      <c r="B7" t="s">
        <v>161</v>
      </c>
      <c r="D7" t="s">
        <v>0</v>
      </c>
    </row>
    <row r="8" spans="1:5" x14ac:dyDescent="0.5">
      <c r="A8" t="s">
        <v>146</v>
      </c>
      <c r="B8" t="s">
        <v>162</v>
      </c>
      <c r="D8" t="s">
        <v>10</v>
      </c>
    </row>
    <row r="9" spans="1:5" x14ac:dyDescent="0.5">
      <c r="A9" t="s">
        <v>146</v>
      </c>
      <c r="B9" t="s">
        <v>163</v>
      </c>
      <c r="D9" t="s">
        <v>11</v>
      </c>
    </row>
    <row r="10" spans="1:5" x14ac:dyDescent="0.5">
      <c r="A10" t="s">
        <v>146</v>
      </c>
      <c r="B10" t="s">
        <v>164</v>
      </c>
      <c r="D10" t="s">
        <v>12</v>
      </c>
    </row>
    <row r="11" spans="1:5" x14ac:dyDescent="0.5">
      <c r="A11" t="s">
        <v>146</v>
      </c>
      <c r="B11" t="s">
        <v>165</v>
      </c>
      <c r="C11" s="92" t="s">
        <v>166</v>
      </c>
    </row>
    <row r="12" spans="1:5" x14ac:dyDescent="0.5">
      <c r="A12" t="s">
        <v>146</v>
      </c>
      <c r="B12" t="s">
        <v>167</v>
      </c>
      <c r="D12" t="s">
        <v>42</v>
      </c>
    </row>
    <row r="13" spans="1:5" x14ac:dyDescent="0.5">
      <c r="A13" t="s">
        <v>146</v>
      </c>
      <c r="B13" t="s">
        <v>168</v>
      </c>
      <c r="C13" s="92" t="s">
        <v>169</v>
      </c>
    </row>
    <row r="14" spans="1:5" x14ac:dyDescent="0.5">
      <c r="A14" t="s">
        <v>146</v>
      </c>
      <c r="B14" t="s">
        <v>170</v>
      </c>
      <c r="D14" t="s">
        <v>43</v>
      </c>
    </row>
    <row r="15" spans="1:5" x14ac:dyDescent="0.5">
      <c r="A15" t="s">
        <v>146</v>
      </c>
      <c r="B15" t="s">
        <v>171</v>
      </c>
      <c r="C15" s="92" t="s">
        <v>172</v>
      </c>
    </row>
    <row r="16" spans="1:5" x14ac:dyDescent="0.5">
      <c r="A16" t="s">
        <v>146</v>
      </c>
      <c r="B16" t="s">
        <v>173</v>
      </c>
      <c r="D16" t="s">
        <v>119</v>
      </c>
    </row>
    <row r="17" spans="1:5" x14ac:dyDescent="0.5">
      <c r="A17" t="s">
        <v>146</v>
      </c>
      <c r="B17" t="s">
        <v>174</v>
      </c>
      <c r="C17" s="92" t="s">
        <v>505</v>
      </c>
      <c r="E17" t="s">
        <v>175</v>
      </c>
    </row>
    <row r="18" spans="1:5" x14ac:dyDescent="0.5">
      <c r="A18" t="s">
        <v>146</v>
      </c>
      <c r="B18" t="s">
        <v>176</v>
      </c>
      <c r="C18" s="92" t="s">
        <v>506</v>
      </c>
      <c r="E18" t="s">
        <v>177</v>
      </c>
    </row>
    <row r="19" spans="1:5" x14ac:dyDescent="0.5">
      <c r="A19" t="s">
        <v>146</v>
      </c>
      <c r="B19" t="s">
        <v>178</v>
      </c>
      <c r="C19" s="92" t="s">
        <v>507</v>
      </c>
      <c r="E19" t="s">
        <v>179</v>
      </c>
    </row>
    <row r="20" spans="1:5" x14ac:dyDescent="0.5">
      <c r="A20" t="s">
        <v>146</v>
      </c>
      <c r="B20" t="s">
        <v>180</v>
      </c>
      <c r="C20" s="92" t="s">
        <v>181</v>
      </c>
    </row>
    <row r="21" spans="1:5" x14ac:dyDescent="0.5">
      <c r="A21" t="s">
        <v>146</v>
      </c>
      <c r="B21" t="s">
        <v>182</v>
      </c>
      <c r="C21" s="92" t="s">
        <v>183</v>
      </c>
    </row>
    <row r="22" spans="1:5" x14ac:dyDescent="0.5">
      <c r="A22" t="s">
        <v>146</v>
      </c>
      <c r="B22" t="s">
        <v>184</v>
      </c>
      <c r="C22" s="92" t="s">
        <v>508</v>
      </c>
    </row>
    <row r="23" spans="1:5" x14ac:dyDescent="0.5">
      <c r="A23" t="s">
        <v>146</v>
      </c>
      <c r="B23" t="s">
        <v>185</v>
      </c>
      <c r="C23" s="92" t="s">
        <v>186</v>
      </c>
      <c r="E23" t="s">
        <v>187</v>
      </c>
    </row>
    <row r="24" spans="1:5" x14ac:dyDescent="0.5">
      <c r="A24" t="s">
        <v>146</v>
      </c>
      <c r="B24" t="s">
        <v>188</v>
      </c>
      <c r="C24" s="92" t="s">
        <v>189</v>
      </c>
      <c r="E24" t="s">
        <v>190</v>
      </c>
    </row>
    <row r="25" spans="1:5" x14ac:dyDescent="0.5">
      <c r="A25" t="s">
        <v>146</v>
      </c>
      <c r="B25" t="s">
        <v>191</v>
      </c>
      <c r="C25" s="92" t="s">
        <v>192</v>
      </c>
      <c r="E25" t="s">
        <v>37</v>
      </c>
    </row>
    <row r="26" spans="1:5" x14ac:dyDescent="0.5">
      <c r="A26" t="s">
        <v>146</v>
      </c>
      <c r="B26" t="s">
        <v>193</v>
      </c>
      <c r="D26" t="s">
        <v>131</v>
      </c>
    </row>
    <row r="27" spans="1:5" x14ac:dyDescent="0.5">
      <c r="A27" t="s">
        <v>146</v>
      </c>
      <c r="B27" t="s">
        <v>194</v>
      </c>
      <c r="D27" t="s">
        <v>127</v>
      </c>
    </row>
    <row r="28" spans="1:5" x14ac:dyDescent="0.5">
      <c r="A28" t="s">
        <v>146</v>
      </c>
      <c r="B28" t="s">
        <v>195</v>
      </c>
      <c r="D28" t="s">
        <v>128</v>
      </c>
    </row>
    <row r="29" spans="1:5" x14ac:dyDescent="0.5">
      <c r="A29" t="s">
        <v>146</v>
      </c>
      <c r="B29" t="s">
        <v>196</v>
      </c>
      <c r="D29" t="s">
        <v>129</v>
      </c>
    </row>
    <row r="30" spans="1:5" x14ac:dyDescent="0.5">
      <c r="A30" t="s">
        <v>146</v>
      </c>
      <c r="B30" t="s">
        <v>197</v>
      </c>
      <c r="D30" t="s">
        <v>130</v>
      </c>
    </row>
    <row r="31" spans="1:5" x14ac:dyDescent="0.5">
      <c r="A31" t="s">
        <v>146</v>
      </c>
      <c r="B31" t="s">
        <v>198</v>
      </c>
      <c r="D31" t="s">
        <v>132</v>
      </c>
    </row>
    <row r="32" spans="1:5" x14ac:dyDescent="0.5">
      <c r="A32" t="s">
        <v>146</v>
      </c>
      <c r="B32" t="s">
        <v>199</v>
      </c>
      <c r="D32" t="s">
        <v>81</v>
      </c>
    </row>
    <row r="33" spans="1:5" x14ac:dyDescent="0.5">
      <c r="A33" t="s">
        <v>146</v>
      </c>
      <c r="B33" t="s">
        <v>200</v>
      </c>
      <c r="C33" s="92" t="s">
        <v>509</v>
      </c>
      <c r="E33" t="s">
        <v>201</v>
      </c>
    </row>
    <row r="34" spans="1:5" x14ac:dyDescent="0.5">
      <c r="A34" t="s">
        <v>146</v>
      </c>
      <c r="B34" t="s">
        <v>202</v>
      </c>
      <c r="C34" s="92" t="s">
        <v>510</v>
      </c>
      <c r="E34" t="s">
        <v>203</v>
      </c>
    </row>
    <row r="35" spans="1:5" x14ac:dyDescent="0.5">
      <c r="A35" t="s">
        <v>146</v>
      </c>
      <c r="B35" t="s">
        <v>204</v>
      </c>
      <c r="C35" s="92" t="s">
        <v>511</v>
      </c>
      <c r="E35" t="s">
        <v>205</v>
      </c>
    </row>
    <row r="36" spans="1:5" x14ac:dyDescent="0.5">
      <c r="A36" t="s">
        <v>146</v>
      </c>
      <c r="B36" t="s">
        <v>206</v>
      </c>
      <c r="D36" t="s">
        <v>69</v>
      </c>
      <c r="E36" t="s">
        <v>207</v>
      </c>
    </row>
    <row r="37" spans="1:5" x14ac:dyDescent="0.5">
      <c r="A37" t="s">
        <v>146</v>
      </c>
      <c r="B37" t="s">
        <v>208</v>
      </c>
      <c r="D37" t="s">
        <v>68</v>
      </c>
      <c r="E37" t="s">
        <v>209</v>
      </c>
    </row>
    <row r="38" spans="1:5" x14ac:dyDescent="0.5">
      <c r="A38" t="s">
        <v>146</v>
      </c>
      <c r="B38" t="s">
        <v>210</v>
      </c>
      <c r="D38" t="s">
        <v>68</v>
      </c>
      <c r="E38" t="s">
        <v>211</v>
      </c>
    </row>
    <row r="39" spans="1:5" x14ac:dyDescent="0.5">
      <c r="A39" t="s">
        <v>146</v>
      </c>
      <c r="B39" t="s">
        <v>212</v>
      </c>
      <c r="D39" t="s">
        <v>140</v>
      </c>
      <c r="E39" t="s">
        <v>213</v>
      </c>
    </row>
    <row r="40" spans="1:5" x14ac:dyDescent="0.5">
      <c r="A40" t="s">
        <v>146</v>
      </c>
      <c r="B40" t="s">
        <v>214</v>
      </c>
      <c r="D40">
        <v>4</v>
      </c>
      <c r="E40" t="s">
        <v>215</v>
      </c>
    </row>
    <row r="41" spans="1:5" x14ac:dyDescent="0.5">
      <c r="A41" t="s">
        <v>146</v>
      </c>
      <c r="B41" t="s">
        <v>216</v>
      </c>
      <c r="D41" t="s">
        <v>73</v>
      </c>
    </row>
    <row r="42" spans="1:5" x14ac:dyDescent="0.5">
      <c r="A42" t="s">
        <v>146</v>
      </c>
      <c r="B42" t="s">
        <v>217</v>
      </c>
      <c r="D42">
        <v>100</v>
      </c>
    </row>
    <row r="43" spans="1:5" x14ac:dyDescent="0.5">
      <c r="A43" t="s">
        <v>146</v>
      </c>
      <c r="B43" t="s">
        <v>218</v>
      </c>
      <c r="D43">
        <v>15</v>
      </c>
    </row>
    <row r="44" spans="1:5" x14ac:dyDescent="0.5">
      <c r="A44" t="s">
        <v>146</v>
      </c>
      <c r="B44" t="s">
        <v>219</v>
      </c>
      <c r="D44">
        <v>5</v>
      </c>
    </row>
    <row r="45" spans="1:5" x14ac:dyDescent="0.5">
      <c r="A45" t="s">
        <v>146</v>
      </c>
      <c r="B45" t="s">
        <v>220</v>
      </c>
      <c r="D45" t="s">
        <v>78</v>
      </c>
      <c r="E45" t="s">
        <v>221</v>
      </c>
    </row>
    <row r="46" spans="1:5" x14ac:dyDescent="0.5">
      <c r="A46" t="s">
        <v>146</v>
      </c>
      <c r="B46" t="s">
        <v>222</v>
      </c>
      <c r="D46" t="s">
        <v>139</v>
      </c>
    </row>
    <row r="47" spans="1:5" x14ac:dyDescent="0.5">
      <c r="A47" t="s">
        <v>146</v>
      </c>
      <c r="B47" t="s">
        <v>223</v>
      </c>
      <c r="D47">
        <v>10</v>
      </c>
      <c r="E47" t="s">
        <v>224</v>
      </c>
    </row>
    <row r="48" spans="1:5" x14ac:dyDescent="0.5">
      <c r="A48" t="s">
        <v>146</v>
      </c>
      <c r="B48" t="s">
        <v>225</v>
      </c>
      <c r="C48" s="92" t="s">
        <v>85</v>
      </c>
    </row>
    <row r="49" spans="1:5" x14ac:dyDescent="0.5">
      <c r="A49" t="s">
        <v>146</v>
      </c>
      <c r="B49" t="s">
        <v>226</v>
      </c>
      <c r="C49" s="92" t="s">
        <v>84</v>
      </c>
      <c r="E49" t="s">
        <v>227</v>
      </c>
    </row>
    <row r="50" spans="1:5" x14ac:dyDescent="0.5">
      <c r="A50" t="s">
        <v>146</v>
      </c>
      <c r="B50" t="s">
        <v>228</v>
      </c>
      <c r="D50">
        <v>4</v>
      </c>
      <c r="E50" t="s">
        <v>229</v>
      </c>
    </row>
    <row r="51" spans="1:5" x14ac:dyDescent="0.5">
      <c r="A51" t="s">
        <v>146</v>
      </c>
      <c r="B51" t="s">
        <v>230</v>
      </c>
      <c r="D51" t="s">
        <v>74</v>
      </c>
    </row>
    <row r="52" spans="1:5" x14ac:dyDescent="0.5">
      <c r="A52" t="s">
        <v>146</v>
      </c>
      <c r="B52" t="s">
        <v>231</v>
      </c>
      <c r="D52">
        <v>600</v>
      </c>
    </row>
    <row r="53" spans="1:5" x14ac:dyDescent="0.5">
      <c r="A53" t="s">
        <v>146</v>
      </c>
      <c r="B53" t="s">
        <v>232</v>
      </c>
      <c r="C53" s="92" t="s">
        <v>233</v>
      </c>
    </row>
    <row r="54" spans="1:5" x14ac:dyDescent="0.5">
      <c r="A54" t="s">
        <v>146</v>
      </c>
      <c r="B54" t="s">
        <v>234</v>
      </c>
      <c r="C54" s="92" t="s">
        <v>235</v>
      </c>
    </row>
    <row r="55" spans="1:5" x14ac:dyDescent="0.5">
      <c r="A55" t="s">
        <v>146</v>
      </c>
      <c r="B55" t="s">
        <v>236</v>
      </c>
    </row>
    <row r="56" spans="1:5" x14ac:dyDescent="0.5">
      <c r="A56" t="s">
        <v>146</v>
      </c>
      <c r="B56" t="s">
        <v>237</v>
      </c>
    </row>
    <row r="57" spans="1:5" x14ac:dyDescent="0.5">
      <c r="A57" t="s">
        <v>146</v>
      </c>
      <c r="B57" t="s">
        <v>238</v>
      </c>
      <c r="D57" s="92" t="s">
        <v>34</v>
      </c>
    </row>
    <row r="58" spans="1:5" x14ac:dyDescent="0.5">
      <c r="A58" t="s">
        <v>146</v>
      </c>
      <c r="B58" t="s">
        <v>239</v>
      </c>
      <c r="D58" t="s">
        <v>75</v>
      </c>
    </row>
    <row r="59" spans="1:5" x14ac:dyDescent="0.5">
      <c r="A59" t="s">
        <v>146</v>
      </c>
      <c r="B59" t="s">
        <v>240</v>
      </c>
      <c r="D59">
        <v>2</v>
      </c>
    </row>
    <row r="60" spans="1:5" x14ac:dyDescent="0.5">
      <c r="A60" t="s">
        <v>146</v>
      </c>
      <c r="B60" t="s">
        <v>241</v>
      </c>
      <c r="D60">
        <v>10</v>
      </c>
    </row>
    <row r="61" spans="1:5" x14ac:dyDescent="0.5">
      <c r="A61" t="s">
        <v>146</v>
      </c>
      <c r="B61" t="s">
        <v>242</v>
      </c>
      <c r="D61">
        <v>5</v>
      </c>
    </row>
    <row r="62" spans="1:5" x14ac:dyDescent="0.5">
      <c r="A62" t="s">
        <v>243</v>
      </c>
      <c r="B62" t="s">
        <v>147</v>
      </c>
      <c r="D62" t="s">
        <v>21</v>
      </c>
    </row>
    <row r="63" spans="1:5" x14ac:dyDescent="0.5">
      <c r="A63" t="s">
        <v>243</v>
      </c>
      <c r="B63" t="s">
        <v>244</v>
      </c>
      <c r="D63" t="s">
        <v>13</v>
      </c>
    </row>
    <row r="64" spans="1:5" x14ac:dyDescent="0.5">
      <c r="A64" t="s">
        <v>243</v>
      </c>
      <c r="B64" t="s">
        <v>245</v>
      </c>
      <c r="D64" t="s">
        <v>14</v>
      </c>
    </row>
    <row r="65" spans="1:5" x14ac:dyDescent="0.5">
      <c r="A65" t="s">
        <v>243</v>
      </c>
      <c r="B65" t="s">
        <v>246</v>
      </c>
      <c r="D65" t="s">
        <v>15</v>
      </c>
    </row>
    <row r="66" spans="1:5" x14ac:dyDescent="0.5">
      <c r="A66" t="s">
        <v>243</v>
      </c>
      <c r="B66" t="s">
        <v>247</v>
      </c>
      <c r="D66" t="s">
        <v>41</v>
      </c>
    </row>
    <row r="67" spans="1:5" x14ac:dyDescent="0.5">
      <c r="A67" t="s">
        <v>243</v>
      </c>
      <c r="B67" t="s">
        <v>248</v>
      </c>
      <c r="D67" t="s">
        <v>16</v>
      </c>
    </row>
    <row r="68" spans="1:5" x14ac:dyDescent="0.5">
      <c r="A68" t="s">
        <v>243</v>
      </c>
      <c r="B68" t="s">
        <v>249</v>
      </c>
      <c r="D68" t="s">
        <v>22</v>
      </c>
    </row>
    <row r="69" spans="1:5" x14ac:dyDescent="0.5">
      <c r="A69" t="s">
        <v>243</v>
      </c>
      <c r="B69" t="s">
        <v>149</v>
      </c>
      <c r="C69" s="92" t="s">
        <v>512</v>
      </c>
      <c r="E69" t="s">
        <v>250</v>
      </c>
    </row>
    <row r="70" spans="1:5" x14ac:dyDescent="0.5">
      <c r="A70" t="s">
        <v>243</v>
      </c>
      <c r="B70" t="s">
        <v>152</v>
      </c>
      <c r="C70" s="92" t="s">
        <v>513</v>
      </c>
      <c r="E70" t="s">
        <v>251</v>
      </c>
    </row>
    <row r="71" spans="1:5" x14ac:dyDescent="0.5">
      <c r="A71" t="s">
        <v>243</v>
      </c>
      <c r="B71" t="s">
        <v>155</v>
      </c>
      <c r="C71" s="92" t="s">
        <v>514</v>
      </c>
      <c r="E71" t="s">
        <v>252</v>
      </c>
    </row>
    <row r="72" spans="1:5" x14ac:dyDescent="0.5">
      <c r="A72" t="s">
        <v>243</v>
      </c>
      <c r="B72" t="s">
        <v>158</v>
      </c>
      <c r="C72" s="92" t="s">
        <v>515</v>
      </c>
      <c r="E72" t="s">
        <v>253</v>
      </c>
    </row>
    <row r="73" spans="1:5" x14ac:dyDescent="0.5">
      <c r="A73" t="s">
        <v>243</v>
      </c>
      <c r="B73" t="s">
        <v>254</v>
      </c>
      <c r="C73" s="92" t="s">
        <v>516</v>
      </c>
      <c r="E73" t="s">
        <v>255</v>
      </c>
    </row>
    <row r="74" spans="1:5" x14ac:dyDescent="0.5">
      <c r="A74" t="s">
        <v>243</v>
      </c>
      <c r="B74" t="s">
        <v>256</v>
      </c>
      <c r="C74" s="92" t="s">
        <v>257</v>
      </c>
    </row>
    <row r="75" spans="1:5" x14ac:dyDescent="0.5">
      <c r="A75" t="s">
        <v>243</v>
      </c>
      <c r="B75" t="s">
        <v>258</v>
      </c>
      <c r="C75" s="92" t="s">
        <v>517</v>
      </c>
    </row>
    <row r="76" spans="1:5" x14ac:dyDescent="0.5">
      <c r="A76" t="s">
        <v>243</v>
      </c>
      <c r="B76" t="s">
        <v>165</v>
      </c>
      <c r="C76" s="92" t="s">
        <v>518</v>
      </c>
    </row>
    <row r="77" spans="1:5" x14ac:dyDescent="0.5">
      <c r="A77" t="s">
        <v>243</v>
      </c>
      <c r="B77" t="s">
        <v>167</v>
      </c>
      <c r="C77" s="92" t="s">
        <v>519</v>
      </c>
    </row>
    <row r="78" spans="1:5" x14ac:dyDescent="0.5">
      <c r="A78" t="s">
        <v>243</v>
      </c>
      <c r="B78" t="s">
        <v>259</v>
      </c>
      <c r="C78" s="92" t="s">
        <v>520</v>
      </c>
    </row>
    <row r="79" spans="1:5" x14ac:dyDescent="0.5">
      <c r="A79" t="s">
        <v>243</v>
      </c>
      <c r="B79" t="s">
        <v>260</v>
      </c>
      <c r="D79" t="s">
        <v>1</v>
      </c>
    </row>
    <row r="80" spans="1:5" x14ac:dyDescent="0.5">
      <c r="A80" t="s">
        <v>243</v>
      </c>
      <c r="B80" t="s">
        <v>261</v>
      </c>
      <c r="D80" t="s">
        <v>1</v>
      </c>
    </row>
    <row r="81" spans="1:5" x14ac:dyDescent="0.5">
      <c r="A81" t="s">
        <v>243</v>
      </c>
      <c r="B81" t="s">
        <v>262</v>
      </c>
      <c r="D81" t="s">
        <v>1</v>
      </c>
    </row>
    <row r="82" spans="1:5" x14ac:dyDescent="0.5">
      <c r="A82" t="s">
        <v>243</v>
      </c>
      <c r="B82" t="s">
        <v>263</v>
      </c>
      <c r="D82" t="s">
        <v>4</v>
      </c>
    </row>
    <row r="83" spans="1:5" x14ac:dyDescent="0.5">
      <c r="A83" t="s">
        <v>243</v>
      </c>
      <c r="B83" t="s">
        <v>264</v>
      </c>
      <c r="D83" t="s">
        <v>5</v>
      </c>
    </row>
    <row r="84" spans="1:5" x14ac:dyDescent="0.5">
      <c r="A84" t="s">
        <v>243</v>
      </c>
      <c r="B84" t="s">
        <v>265</v>
      </c>
      <c r="D84" t="s">
        <v>3</v>
      </c>
    </row>
    <row r="85" spans="1:5" x14ac:dyDescent="0.5">
      <c r="A85" t="s">
        <v>243</v>
      </c>
      <c r="B85" t="s">
        <v>266</v>
      </c>
      <c r="D85" t="s">
        <v>3</v>
      </c>
    </row>
    <row r="86" spans="1:5" x14ac:dyDescent="0.5">
      <c r="A86" t="s">
        <v>243</v>
      </c>
      <c r="B86" t="s">
        <v>267</v>
      </c>
      <c r="D86" t="s">
        <v>3</v>
      </c>
    </row>
    <row r="87" spans="1:5" x14ac:dyDescent="0.5">
      <c r="A87" t="s">
        <v>243</v>
      </c>
      <c r="B87" t="s">
        <v>268</v>
      </c>
      <c r="D87" t="s">
        <v>3</v>
      </c>
    </row>
    <row r="88" spans="1:5" x14ac:dyDescent="0.5">
      <c r="A88" t="s">
        <v>243</v>
      </c>
      <c r="B88" t="s">
        <v>269</v>
      </c>
      <c r="D88" t="s">
        <v>2</v>
      </c>
    </row>
    <row r="89" spans="1:5" x14ac:dyDescent="0.5">
      <c r="A89" t="s">
        <v>243</v>
      </c>
      <c r="B89" t="s">
        <v>270</v>
      </c>
      <c r="D89" t="s">
        <v>71</v>
      </c>
    </row>
    <row r="90" spans="1:5" x14ac:dyDescent="0.5">
      <c r="A90" t="s">
        <v>243</v>
      </c>
      <c r="B90" t="s">
        <v>271</v>
      </c>
      <c r="D90" t="s">
        <v>70</v>
      </c>
    </row>
    <row r="91" spans="1:5" x14ac:dyDescent="0.5">
      <c r="A91" t="s">
        <v>243</v>
      </c>
      <c r="B91" t="s">
        <v>272</v>
      </c>
      <c r="D91" t="s">
        <v>65</v>
      </c>
    </row>
    <row r="92" spans="1:5" x14ac:dyDescent="0.5">
      <c r="A92" t="s">
        <v>243</v>
      </c>
      <c r="B92" t="s">
        <v>273</v>
      </c>
      <c r="D92" t="s">
        <v>66</v>
      </c>
    </row>
    <row r="93" spans="1:5" x14ac:dyDescent="0.5">
      <c r="A93" t="s">
        <v>243</v>
      </c>
      <c r="B93" t="s">
        <v>274</v>
      </c>
      <c r="D93" t="s">
        <v>82</v>
      </c>
    </row>
    <row r="94" spans="1:5" x14ac:dyDescent="0.5">
      <c r="A94" t="s">
        <v>243</v>
      </c>
      <c r="B94" t="s">
        <v>275</v>
      </c>
      <c r="D94" t="s">
        <v>83</v>
      </c>
    </row>
    <row r="95" spans="1:5" x14ac:dyDescent="0.5">
      <c r="A95" t="s">
        <v>243</v>
      </c>
      <c r="B95" t="s">
        <v>276</v>
      </c>
      <c r="D95" t="s">
        <v>67</v>
      </c>
    </row>
    <row r="96" spans="1:5" x14ac:dyDescent="0.5">
      <c r="A96" t="s">
        <v>243</v>
      </c>
      <c r="B96" t="s">
        <v>277</v>
      </c>
      <c r="D96" t="s">
        <v>68</v>
      </c>
      <c r="E96" t="s">
        <v>278</v>
      </c>
    </row>
    <row r="97" spans="1:5" x14ac:dyDescent="0.5">
      <c r="A97" t="s">
        <v>243</v>
      </c>
      <c r="B97" t="s">
        <v>279</v>
      </c>
      <c r="D97" t="s">
        <v>69</v>
      </c>
      <c r="E97" t="s">
        <v>280</v>
      </c>
    </row>
    <row r="98" spans="1:5" x14ac:dyDescent="0.5">
      <c r="A98" t="s">
        <v>243</v>
      </c>
      <c r="B98" t="s">
        <v>281</v>
      </c>
      <c r="D98" t="s">
        <v>26</v>
      </c>
    </row>
    <row r="99" spans="1:5" x14ac:dyDescent="0.5">
      <c r="A99" t="s">
        <v>243</v>
      </c>
      <c r="B99" t="s">
        <v>282</v>
      </c>
      <c r="D99" t="s">
        <v>23</v>
      </c>
    </row>
    <row r="100" spans="1:5" x14ac:dyDescent="0.5">
      <c r="A100" t="s">
        <v>243</v>
      </c>
      <c r="B100" t="s">
        <v>283</v>
      </c>
      <c r="D100" t="s">
        <v>24</v>
      </c>
    </row>
    <row r="101" spans="1:5" x14ac:dyDescent="0.5">
      <c r="A101" t="s">
        <v>243</v>
      </c>
      <c r="B101" t="s">
        <v>284</v>
      </c>
      <c r="D101" t="s">
        <v>25</v>
      </c>
    </row>
    <row r="102" spans="1:5" x14ac:dyDescent="0.5">
      <c r="A102" t="s">
        <v>243</v>
      </c>
      <c r="B102" t="s">
        <v>285</v>
      </c>
      <c r="D102" t="s">
        <v>27</v>
      </c>
    </row>
    <row r="103" spans="1:5" x14ac:dyDescent="0.5">
      <c r="A103" t="s">
        <v>243</v>
      </c>
      <c r="B103" t="s">
        <v>286</v>
      </c>
      <c r="D103">
        <v>11111</v>
      </c>
    </row>
    <row r="104" spans="1:5" x14ac:dyDescent="0.5">
      <c r="A104" t="s">
        <v>243</v>
      </c>
      <c r="B104" t="s">
        <v>287</v>
      </c>
      <c r="D104">
        <v>111111</v>
      </c>
    </row>
    <row r="105" spans="1:5" x14ac:dyDescent="0.5">
      <c r="A105" t="s">
        <v>243</v>
      </c>
      <c r="B105" t="s">
        <v>288</v>
      </c>
      <c r="D105">
        <v>111111</v>
      </c>
    </row>
    <row r="106" spans="1:5" x14ac:dyDescent="0.5">
      <c r="A106" t="s">
        <v>289</v>
      </c>
      <c r="B106" t="s">
        <v>147</v>
      </c>
      <c r="D106" t="s">
        <v>9</v>
      </c>
    </row>
    <row r="107" spans="1:5" x14ac:dyDescent="0.5">
      <c r="A107" t="s">
        <v>289</v>
      </c>
      <c r="B107" t="s">
        <v>244</v>
      </c>
      <c r="D107">
        <v>1</v>
      </c>
    </row>
    <row r="108" spans="1:5" x14ac:dyDescent="0.5">
      <c r="A108" t="s">
        <v>289</v>
      </c>
      <c r="B108" t="s">
        <v>245</v>
      </c>
      <c r="C108" s="92" t="s">
        <v>521</v>
      </c>
    </row>
    <row r="109" spans="1:5" x14ac:dyDescent="0.5">
      <c r="A109" t="s">
        <v>289</v>
      </c>
      <c r="B109" t="s">
        <v>246</v>
      </c>
      <c r="D109" t="s">
        <v>9</v>
      </c>
    </row>
    <row r="110" spans="1:5" x14ac:dyDescent="0.5">
      <c r="A110" t="s">
        <v>289</v>
      </c>
      <c r="B110" t="s">
        <v>247</v>
      </c>
      <c r="C110" s="92" t="s">
        <v>522</v>
      </c>
    </row>
    <row r="111" spans="1:5" x14ac:dyDescent="0.5">
      <c r="A111" t="s">
        <v>289</v>
      </c>
      <c r="B111" t="s">
        <v>248</v>
      </c>
      <c r="C111" s="92" t="s">
        <v>523</v>
      </c>
    </row>
    <row r="112" spans="1:5" x14ac:dyDescent="0.5">
      <c r="A112" t="s">
        <v>289</v>
      </c>
      <c r="B112" t="s">
        <v>290</v>
      </c>
      <c r="C112" s="92" t="s">
        <v>524</v>
      </c>
    </row>
    <row r="113" spans="1:4" x14ac:dyDescent="0.5">
      <c r="A113" t="s">
        <v>289</v>
      </c>
      <c r="B113" t="s">
        <v>291</v>
      </c>
      <c r="C113" s="92" t="s">
        <v>525</v>
      </c>
    </row>
    <row r="114" spans="1:4" x14ac:dyDescent="0.5">
      <c r="A114" t="s">
        <v>289</v>
      </c>
      <c r="B114" t="s">
        <v>292</v>
      </c>
      <c r="C114" s="92" t="s">
        <v>526</v>
      </c>
    </row>
    <row r="115" spans="1:4" x14ac:dyDescent="0.5">
      <c r="A115" t="s">
        <v>289</v>
      </c>
      <c r="B115" t="s">
        <v>293</v>
      </c>
      <c r="C115" s="92" t="s">
        <v>527</v>
      </c>
    </row>
    <row r="116" spans="1:4" x14ac:dyDescent="0.5">
      <c r="A116" t="s">
        <v>289</v>
      </c>
      <c r="B116" t="s">
        <v>294</v>
      </c>
      <c r="C116" s="92" t="s">
        <v>528</v>
      </c>
    </row>
    <row r="117" spans="1:4" x14ac:dyDescent="0.5">
      <c r="A117" t="s">
        <v>289</v>
      </c>
      <c r="B117" t="s">
        <v>295</v>
      </c>
      <c r="C117" s="92" t="s">
        <v>529</v>
      </c>
    </row>
    <row r="118" spans="1:4" x14ac:dyDescent="0.5">
      <c r="A118" t="s">
        <v>289</v>
      </c>
      <c r="B118" t="s">
        <v>249</v>
      </c>
      <c r="C118" s="92" t="s">
        <v>530</v>
      </c>
    </row>
    <row r="119" spans="1:4" x14ac:dyDescent="0.5">
      <c r="A119" t="s">
        <v>289</v>
      </c>
      <c r="B119" t="s">
        <v>296</v>
      </c>
      <c r="C119" s="92" t="s">
        <v>531</v>
      </c>
    </row>
    <row r="120" spans="1:4" x14ac:dyDescent="0.5">
      <c r="A120" t="s">
        <v>289</v>
      </c>
      <c r="B120" t="s">
        <v>297</v>
      </c>
      <c r="C120" s="92" t="s">
        <v>532</v>
      </c>
    </row>
    <row r="121" spans="1:4" x14ac:dyDescent="0.5">
      <c r="A121" t="s">
        <v>289</v>
      </c>
      <c r="B121" t="s">
        <v>298</v>
      </c>
      <c r="C121" s="92" t="s">
        <v>533</v>
      </c>
    </row>
    <row r="122" spans="1:4" x14ac:dyDescent="0.5">
      <c r="A122" t="s">
        <v>289</v>
      </c>
      <c r="B122" t="s">
        <v>299</v>
      </c>
      <c r="C122" s="92" t="s">
        <v>534</v>
      </c>
    </row>
    <row r="123" spans="1:4" x14ac:dyDescent="0.5">
      <c r="A123" t="s">
        <v>289</v>
      </c>
      <c r="B123" t="s">
        <v>300</v>
      </c>
      <c r="D123" t="s">
        <v>10</v>
      </c>
    </row>
    <row r="124" spans="1:4" x14ac:dyDescent="0.5">
      <c r="A124" t="s">
        <v>289</v>
      </c>
      <c r="B124" t="s">
        <v>149</v>
      </c>
      <c r="D124">
        <v>2</v>
      </c>
    </row>
    <row r="125" spans="1:4" x14ac:dyDescent="0.5">
      <c r="A125" t="s">
        <v>289</v>
      </c>
      <c r="B125" t="s">
        <v>152</v>
      </c>
      <c r="C125" s="92" t="s">
        <v>535</v>
      </c>
    </row>
    <row r="126" spans="1:4" x14ac:dyDescent="0.5">
      <c r="A126" t="s">
        <v>289</v>
      </c>
      <c r="B126" t="s">
        <v>155</v>
      </c>
      <c r="D126" t="s">
        <v>6</v>
      </c>
    </row>
    <row r="127" spans="1:4" x14ac:dyDescent="0.5">
      <c r="A127" t="s">
        <v>289</v>
      </c>
      <c r="B127" t="s">
        <v>158</v>
      </c>
      <c r="D127">
        <v>20</v>
      </c>
    </row>
    <row r="128" spans="1:4" x14ac:dyDescent="0.5">
      <c r="A128" t="s">
        <v>289</v>
      </c>
      <c r="B128" t="s">
        <v>254</v>
      </c>
      <c r="D128">
        <v>20</v>
      </c>
    </row>
    <row r="129" spans="1:4" x14ac:dyDescent="0.5">
      <c r="A129" t="s">
        <v>289</v>
      </c>
      <c r="B129" t="s">
        <v>301</v>
      </c>
      <c r="D129">
        <v>30</v>
      </c>
    </row>
    <row r="130" spans="1:4" x14ac:dyDescent="0.5">
      <c r="A130" t="s">
        <v>289</v>
      </c>
      <c r="B130" t="s">
        <v>161</v>
      </c>
      <c r="D130">
        <v>40</v>
      </c>
    </row>
    <row r="131" spans="1:4" x14ac:dyDescent="0.5">
      <c r="A131" t="s">
        <v>289</v>
      </c>
      <c r="B131" t="s">
        <v>162</v>
      </c>
      <c r="D131">
        <v>50</v>
      </c>
    </row>
    <row r="132" spans="1:4" x14ac:dyDescent="0.5">
      <c r="A132" t="s">
        <v>289</v>
      </c>
      <c r="B132" t="s">
        <v>163</v>
      </c>
      <c r="D132">
        <v>50</v>
      </c>
    </row>
    <row r="133" spans="1:4" x14ac:dyDescent="0.5">
      <c r="A133" t="s">
        <v>289</v>
      </c>
      <c r="B133" t="s">
        <v>164</v>
      </c>
      <c r="D133">
        <v>60</v>
      </c>
    </row>
    <row r="134" spans="1:4" x14ac:dyDescent="0.5">
      <c r="A134" t="s">
        <v>289</v>
      </c>
      <c r="B134" t="s">
        <v>302</v>
      </c>
      <c r="D134">
        <v>60</v>
      </c>
    </row>
    <row r="135" spans="1:4" x14ac:dyDescent="0.5">
      <c r="A135" t="s">
        <v>289</v>
      </c>
      <c r="B135" t="s">
        <v>303</v>
      </c>
      <c r="D135">
        <v>70</v>
      </c>
    </row>
    <row r="136" spans="1:4" x14ac:dyDescent="0.5">
      <c r="A136" t="s">
        <v>289</v>
      </c>
      <c r="B136" t="s">
        <v>256</v>
      </c>
      <c r="D136">
        <v>70</v>
      </c>
    </row>
    <row r="137" spans="1:4" x14ac:dyDescent="0.5">
      <c r="A137" t="s">
        <v>289</v>
      </c>
      <c r="B137" t="s">
        <v>258</v>
      </c>
      <c r="D137">
        <v>80</v>
      </c>
    </row>
    <row r="138" spans="1:4" x14ac:dyDescent="0.5">
      <c r="A138" t="s">
        <v>289</v>
      </c>
      <c r="B138" t="s">
        <v>165</v>
      </c>
      <c r="D138">
        <v>90</v>
      </c>
    </row>
    <row r="139" spans="1:4" x14ac:dyDescent="0.5">
      <c r="A139" t="s">
        <v>289</v>
      </c>
      <c r="B139" t="s">
        <v>167</v>
      </c>
      <c r="D139">
        <v>100</v>
      </c>
    </row>
    <row r="140" spans="1:4" x14ac:dyDescent="0.5">
      <c r="A140" t="s">
        <v>289</v>
      </c>
      <c r="B140" t="s">
        <v>304</v>
      </c>
      <c r="D140" t="s">
        <v>11</v>
      </c>
    </row>
    <row r="141" spans="1:4" x14ac:dyDescent="0.5">
      <c r="A141" t="s">
        <v>289</v>
      </c>
      <c r="B141" t="s">
        <v>260</v>
      </c>
      <c r="D141">
        <v>3</v>
      </c>
    </row>
    <row r="142" spans="1:4" x14ac:dyDescent="0.5">
      <c r="A142" t="s">
        <v>289</v>
      </c>
      <c r="B142" t="s">
        <v>261</v>
      </c>
      <c r="C142" s="92" t="s">
        <v>536</v>
      </c>
    </row>
    <row r="143" spans="1:4" x14ac:dyDescent="0.5">
      <c r="A143" t="s">
        <v>289</v>
      </c>
      <c r="B143" t="s">
        <v>262</v>
      </c>
      <c r="D143" t="s">
        <v>7</v>
      </c>
    </row>
    <row r="144" spans="1:4" x14ac:dyDescent="0.5">
      <c r="A144" t="s">
        <v>289</v>
      </c>
      <c r="B144" t="s">
        <v>263</v>
      </c>
      <c r="D144">
        <v>5</v>
      </c>
    </row>
    <row r="145" spans="1:4" x14ac:dyDescent="0.5">
      <c r="A145" t="s">
        <v>289</v>
      </c>
      <c r="B145" t="s">
        <v>264</v>
      </c>
      <c r="D145">
        <v>15</v>
      </c>
    </row>
    <row r="146" spans="1:4" x14ac:dyDescent="0.5">
      <c r="A146" t="s">
        <v>289</v>
      </c>
      <c r="B146" t="s">
        <v>305</v>
      </c>
      <c r="D146">
        <v>20</v>
      </c>
    </row>
    <row r="147" spans="1:4" x14ac:dyDescent="0.5">
      <c r="A147" t="s">
        <v>289</v>
      </c>
      <c r="B147" t="s">
        <v>306</v>
      </c>
      <c r="D147">
        <v>5</v>
      </c>
    </row>
    <row r="148" spans="1:4" x14ac:dyDescent="0.5">
      <c r="A148" t="s">
        <v>289</v>
      </c>
      <c r="B148" t="s">
        <v>174</v>
      </c>
      <c r="D148">
        <v>10</v>
      </c>
    </row>
    <row r="149" spans="1:4" x14ac:dyDescent="0.5">
      <c r="A149" t="s">
        <v>289</v>
      </c>
      <c r="B149" t="s">
        <v>176</v>
      </c>
      <c r="D149">
        <v>30</v>
      </c>
    </row>
    <row r="150" spans="1:4" x14ac:dyDescent="0.5">
      <c r="A150" t="s">
        <v>289</v>
      </c>
      <c r="B150" t="s">
        <v>178</v>
      </c>
      <c r="D150">
        <v>5</v>
      </c>
    </row>
    <row r="151" spans="1:4" x14ac:dyDescent="0.5">
      <c r="A151" t="s">
        <v>289</v>
      </c>
      <c r="B151" t="s">
        <v>307</v>
      </c>
      <c r="D151">
        <v>45</v>
      </c>
    </row>
    <row r="152" spans="1:4" x14ac:dyDescent="0.5">
      <c r="A152" t="s">
        <v>289</v>
      </c>
      <c r="B152" t="s">
        <v>308</v>
      </c>
      <c r="D152">
        <v>5</v>
      </c>
    </row>
    <row r="153" spans="1:4" x14ac:dyDescent="0.5">
      <c r="A153" t="s">
        <v>289</v>
      </c>
      <c r="B153" t="s">
        <v>309</v>
      </c>
      <c r="D153">
        <v>50</v>
      </c>
    </row>
    <row r="154" spans="1:4" x14ac:dyDescent="0.5">
      <c r="A154" t="s">
        <v>289</v>
      </c>
      <c r="B154" t="s">
        <v>310</v>
      </c>
      <c r="D154">
        <v>50</v>
      </c>
    </row>
    <row r="155" spans="1:4" x14ac:dyDescent="0.5">
      <c r="A155" t="s">
        <v>289</v>
      </c>
      <c r="B155" t="s">
        <v>311</v>
      </c>
      <c r="D155">
        <v>10</v>
      </c>
    </row>
    <row r="156" spans="1:4" x14ac:dyDescent="0.5">
      <c r="A156" t="s">
        <v>289</v>
      </c>
      <c r="B156" t="s">
        <v>312</v>
      </c>
      <c r="D156">
        <v>70</v>
      </c>
    </row>
    <row r="157" spans="1:4" x14ac:dyDescent="0.5">
      <c r="A157" t="s">
        <v>289</v>
      </c>
      <c r="B157" t="s">
        <v>313</v>
      </c>
      <c r="D157" t="s">
        <v>12</v>
      </c>
    </row>
    <row r="158" spans="1:4" x14ac:dyDescent="0.5">
      <c r="A158" t="s">
        <v>289</v>
      </c>
      <c r="B158" t="s">
        <v>265</v>
      </c>
      <c r="D158">
        <v>4</v>
      </c>
    </row>
    <row r="159" spans="1:4" x14ac:dyDescent="0.5">
      <c r="A159" t="s">
        <v>289</v>
      </c>
      <c r="B159" t="s">
        <v>266</v>
      </c>
      <c r="C159" s="92" t="s">
        <v>537</v>
      </c>
    </row>
    <row r="160" spans="1:4" x14ac:dyDescent="0.5">
      <c r="A160" t="s">
        <v>289</v>
      </c>
      <c r="B160" t="s">
        <v>267</v>
      </c>
      <c r="D160" t="s">
        <v>8</v>
      </c>
    </row>
    <row r="161" spans="1:5" x14ac:dyDescent="0.5">
      <c r="A161" t="s">
        <v>289</v>
      </c>
      <c r="B161" t="s">
        <v>268</v>
      </c>
      <c r="D161">
        <v>5</v>
      </c>
    </row>
    <row r="162" spans="1:5" x14ac:dyDescent="0.5">
      <c r="A162" t="s">
        <v>289</v>
      </c>
      <c r="B162" t="s">
        <v>269</v>
      </c>
      <c r="D162">
        <v>10</v>
      </c>
    </row>
    <row r="163" spans="1:5" x14ac:dyDescent="0.5">
      <c r="A163" t="s">
        <v>289</v>
      </c>
      <c r="B163" t="s">
        <v>314</v>
      </c>
      <c r="D163">
        <v>10</v>
      </c>
    </row>
    <row r="164" spans="1:5" x14ac:dyDescent="0.5">
      <c r="A164" t="s">
        <v>289</v>
      </c>
      <c r="B164" t="s">
        <v>315</v>
      </c>
      <c r="D164">
        <v>5</v>
      </c>
    </row>
    <row r="165" spans="1:5" x14ac:dyDescent="0.5">
      <c r="A165" t="s">
        <v>289</v>
      </c>
      <c r="B165" t="s">
        <v>316</v>
      </c>
      <c r="D165">
        <v>10</v>
      </c>
    </row>
    <row r="166" spans="1:5" x14ac:dyDescent="0.5">
      <c r="A166" t="s">
        <v>289</v>
      </c>
      <c r="B166" t="s">
        <v>317</v>
      </c>
      <c r="D166">
        <v>20</v>
      </c>
    </row>
    <row r="167" spans="1:5" x14ac:dyDescent="0.5">
      <c r="A167" t="s">
        <v>289</v>
      </c>
      <c r="B167" t="s">
        <v>318</v>
      </c>
      <c r="D167">
        <v>5</v>
      </c>
    </row>
    <row r="168" spans="1:5" x14ac:dyDescent="0.5">
      <c r="A168" t="s">
        <v>289</v>
      </c>
      <c r="B168" t="s">
        <v>319</v>
      </c>
      <c r="D168">
        <v>25</v>
      </c>
    </row>
    <row r="169" spans="1:5" x14ac:dyDescent="0.5">
      <c r="A169" t="s">
        <v>289</v>
      </c>
      <c r="B169" t="s">
        <v>320</v>
      </c>
      <c r="D169">
        <v>5</v>
      </c>
    </row>
    <row r="170" spans="1:5" x14ac:dyDescent="0.5">
      <c r="A170" t="s">
        <v>289</v>
      </c>
      <c r="B170" t="s">
        <v>321</v>
      </c>
      <c r="D170">
        <v>35</v>
      </c>
    </row>
    <row r="171" spans="1:5" x14ac:dyDescent="0.5">
      <c r="A171" t="s">
        <v>289</v>
      </c>
      <c r="B171" t="s">
        <v>322</v>
      </c>
      <c r="D171">
        <v>5</v>
      </c>
    </row>
    <row r="172" spans="1:5" x14ac:dyDescent="0.5">
      <c r="A172" t="s">
        <v>289</v>
      </c>
      <c r="B172" t="s">
        <v>323</v>
      </c>
      <c r="D172">
        <v>10</v>
      </c>
    </row>
    <row r="173" spans="1:5" x14ac:dyDescent="0.5">
      <c r="A173" t="s">
        <v>289</v>
      </c>
      <c r="B173" t="s">
        <v>324</v>
      </c>
      <c r="D173">
        <v>15</v>
      </c>
    </row>
    <row r="174" spans="1:5" x14ac:dyDescent="0.5">
      <c r="A174" t="s">
        <v>289</v>
      </c>
      <c r="B174" t="s">
        <v>270</v>
      </c>
      <c r="D174" t="s">
        <v>38</v>
      </c>
    </row>
    <row r="175" spans="1:5" x14ac:dyDescent="0.5">
      <c r="A175" t="s">
        <v>289</v>
      </c>
      <c r="B175" t="s">
        <v>325</v>
      </c>
      <c r="D175">
        <v>5</v>
      </c>
    </row>
    <row r="176" spans="1:5" x14ac:dyDescent="0.5">
      <c r="A176" t="s">
        <v>289</v>
      </c>
      <c r="B176" t="s">
        <v>326</v>
      </c>
      <c r="C176" s="92" t="s">
        <v>327</v>
      </c>
      <c r="E176" t="s">
        <v>328</v>
      </c>
    </row>
    <row r="177" spans="1:4" x14ac:dyDescent="0.5">
      <c r="A177" t="s">
        <v>289</v>
      </c>
      <c r="B177" t="s">
        <v>329</v>
      </c>
      <c r="D177" t="s">
        <v>35</v>
      </c>
    </row>
    <row r="178" spans="1:4" x14ac:dyDescent="0.5">
      <c r="A178" t="s">
        <v>289</v>
      </c>
      <c r="B178" t="s">
        <v>330</v>
      </c>
      <c r="D178">
        <v>50</v>
      </c>
    </row>
    <row r="179" spans="1:4" x14ac:dyDescent="0.5">
      <c r="A179" t="s">
        <v>289</v>
      </c>
      <c r="B179" t="s">
        <v>331</v>
      </c>
      <c r="D179">
        <v>70</v>
      </c>
    </row>
    <row r="180" spans="1:4" x14ac:dyDescent="0.5">
      <c r="A180" t="s">
        <v>289</v>
      </c>
      <c r="B180" t="s">
        <v>332</v>
      </c>
      <c r="D180">
        <v>100</v>
      </c>
    </row>
    <row r="181" spans="1:4" x14ac:dyDescent="0.5">
      <c r="A181" t="s">
        <v>289</v>
      </c>
      <c r="B181" t="s">
        <v>333</v>
      </c>
      <c r="D181">
        <v>90</v>
      </c>
    </row>
    <row r="182" spans="1:4" x14ac:dyDescent="0.5">
      <c r="A182" t="s">
        <v>289</v>
      </c>
      <c r="B182" t="s">
        <v>334</v>
      </c>
      <c r="D182">
        <v>120</v>
      </c>
    </row>
    <row r="183" spans="1:4" x14ac:dyDescent="0.5">
      <c r="A183" t="s">
        <v>289</v>
      </c>
      <c r="B183" t="s">
        <v>335</v>
      </c>
      <c r="D183">
        <v>160</v>
      </c>
    </row>
    <row r="184" spans="1:4" x14ac:dyDescent="0.5">
      <c r="A184" t="s">
        <v>289</v>
      </c>
      <c r="B184" t="s">
        <v>336</v>
      </c>
      <c r="D184">
        <v>130</v>
      </c>
    </row>
    <row r="185" spans="1:4" x14ac:dyDescent="0.5">
      <c r="A185" t="s">
        <v>289</v>
      </c>
      <c r="B185" t="s">
        <v>337</v>
      </c>
      <c r="D185">
        <v>210</v>
      </c>
    </row>
    <row r="186" spans="1:4" x14ac:dyDescent="0.5">
      <c r="A186" t="s">
        <v>289</v>
      </c>
      <c r="B186" t="s">
        <v>338</v>
      </c>
      <c r="D186">
        <v>150</v>
      </c>
    </row>
    <row r="187" spans="1:4" x14ac:dyDescent="0.5">
      <c r="A187" t="s">
        <v>289</v>
      </c>
      <c r="B187" t="s">
        <v>339</v>
      </c>
      <c r="D187">
        <v>240</v>
      </c>
    </row>
    <row r="188" spans="1:4" x14ac:dyDescent="0.5">
      <c r="A188" t="s">
        <v>289</v>
      </c>
      <c r="B188" t="s">
        <v>340</v>
      </c>
      <c r="D188">
        <v>260</v>
      </c>
    </row>
    <row r="189" spans="1:4" x14ac:dyDescent="0.5">
      <c r="A189" t="s">
        <v>289</v>
      </c>
      <c r="B189" t="s">
        <v>341</v>
      </c>
      <c r="D189">
        <v>200</v>
      </c>
    </row>
    <row r="190" spans="1:4" x14ac:dyDescent="0.5">
      <c r="A190" t="s">
        <v>289</v>
      </c>
      <c r="B190" t="s">
        <v>342</v>
      </c>
      <c r="D190">
        <v>340</v>
      </c>
    </row>
    <row r="191" spans="1:4" x14ac:dyDescent="0.5">
      <c r="A191" t="s">
        <v>289</v>
      </c>
      <c r="B191" t="s">
        <v>343</v>
      </c>
      <c r="D191" t="s">
        <v>39</v>
      </c>
    </row>
    <row r="192" spans="1:4" x14ac:dyDescent="0.5">
      <c r="A192" t="s">
        <v>289</v>
      </c>
      <c r="B192" t="s">
        <v>271</v>
      </c>
      <c r="D192">
        <v>6</v>
      </c>
    </row>
    <row r="193" spans="1:4" x14ac:dyDescent="0.5">
      <c r="A193" t="s">
        <v>289</v>
      </c>
      <c r="B193" t="s">
        <v>272</v>
      </c>
      <c r="C193" s="92" t="s">
        <v>344</v>
      </c>
    </row>
    <row r="194" spans="1:4" x14ac:dyDescent="0.5">
      <c r="A194" t="s">
        <v>289</v>
      </c>
      <c r="B194" t="s">
        <v>273</v>
      </c>
      <c r="D194" t="s">
        <v>36</v>
      </c>
    </row>
    <row r="195" spans="1:4" x14ac:dyDescent="0.5">
      <c r="A195" t="s">
        <v>289</v>
      </c>
      <c r="B195" t="s">
        <v>345</v>
      </c>
      <c r="D195">
        <v>100</v>
      </c>
    </row>
    <row r="196" spans="1:4" x14ac:dyDescent="0.5">
      <c r="A196" t="s">
        <v>289</v>
      </c>
      <c r="B196" t="s">
        <v>346</v>
      </c>
      <c r="D196">
        <v>300</v>
      </c>
    </row>
    <row r="197" spans="1:4" x14ac:dyDescent="0.5">
      <c r="A197" t="s">
        <v>289</v>
      </c>
      <c r="B197" t="s">
        <v>347</v>
      </c>
      <c r="D197">
        <v>600</v>
      </c>
    </row>
    <row r="198" spans="1:4" x14ac:dyDescent="0.5">
      <c r="A198" t="s">
        <v>289</v>
      </c>
      <c r="B198" t="s">
        <v>348</v>
      </c>
      <c r="D198">
        <v>200</v>
      </c>
    </row>
    <row r="199" spans="1:4" x14ac:dyDescent="0.5">
      <c r="A199" t="s">
        <v>289</v>
      </c>
      <c r="B199" t="s">
        <v>349</v>
      </c>
      <c r="D199">
        <v>500</v>
      </c>
    </row>
    <row r="200" spans="1:4" x14ac:dyDescent="0.5">
      <c r="A200" t="s">
        <v>289</v>
      </c>
      <c r="B200" t="s">
        <v>350</v>
      </c>
      <c r="D200">
        <v>1500</v>
      </c>
    </row>
    <row r="201" spans="1:4" x14ac:dyDescent="0.5">
      <c r="A201" t="s">
        <v>289</v>
      </c>
      <c r="B201" t="s">
        <v>351</v>
      </c>
      <c r="D201">
        <v>300</v>
      </c>
    </row>
    <row r="202" spans="1:4" x14ac:dyDescent="0.5">
      <c r="A202" t="s">
        <v>289</v>
      </c>
      <c r="B202" t="s">
        <v>352</v>
      </c>
      <c r="D202">
        <v>2700</v>
      </c>
    </row>
    <row r="203" spans="1:4" x14ac:dyDescent="0.5">
      <c r="A203" t="s">
        <v>289</v>
      </c>
      <c r="B203" t="s">
        <v>353</v>
      </c>
      <c r="D203">
        <v>350</v>
      </c>
    </row>
    <row r="204" spans="1:4" x14ac:dyDescent="0.5">
      <c r="A204" t="s">
        <v>289</v>
      </c>
      <c r="B204" t="s">
        <v>274</v>
      </c>
      <c r="D204">
        <v>3500</v>
      </c>
    </row>
    <row r="205" spans="1:4" x14ac:dyDescent="0.5">
      <c r="A205" t="s">
        <v>289</v>
      </c>
      <c r="B205" t="s">
        <v>275</v>
      </c>
      <c r="D205">
        <v>4000</v>
      </c>
    </row>
    <row r="206" spans="1:4" x14ac:dyDescent="0.5">
      <c r="A206" t="s">
        <v>289</v>
      </c>
      <c r="B206" t="s">
        <v>354</v>
      </c>
      <c r="D206">
        <v>900</v>
      </c>
    </row>
    <row r="207" spans="1:4" x14ac:dyDescent="0.5">
      <c r="A207" t="s">
        <v>289</v>
      </c>
      <c r="B207" t="s">
        <v>355</v>
      </c>
      <c r="D207">
        <v>7000</v>
      </c>
    </row>
    <row r="208" spans="1:4" x14ac:dyDescent="0.5">
      <c r="A208" t="s">
        <v>289</v>
      </c>
      <c r="B208" t="s">
        <v>356</v>
      </c>
      <c r="D208" t="s">
        <v>40</v>
      </c>
    </row>
    <row r="209" spans="1:4" x14ac:dyDescent="0.5">
      <c r="A209" t="s">
        <v>289</v>
      </c>
      <c r="B209" t="s">
        <v>276</v>
      </c>
      <c r="D209">
        <v>7</v>
      </c>
    </row>
    <row r="210" spans="1:4" x14ac:dyDescent="0.5">
      <c r="A210" t="s">
        <v>289</v>
      </c>
      <c r="B210" t="s">
        <v>277</v>
      </c>
      <c r="C210" s="92" t="s">
        <v>357</v>
      </c>
    </row>
    <row r="211" spans="1:4" x14ac:dyDescent="0.5">
      <c r="A211" t="s">
        <v>289</v>
      </c>
      <c r="B211" t="s">
        <v>279</v>
      </c>
      <c r="D211" t="s">
        <v>37</v>
      </c>
    </row>
    <row r="212" spans="1:4" x14ac:dyDescent="0.5">
      <c r="A212" t="s">
        <v>289</v>
      </c>
      <c r="B212" t="s">
        <v>358</v>
      </c>
      <c r="D212">
        <v>500</v>
      </c>
    </row>
    <row r="213" spans="1:4" x14ac:dyDescent="0.5">
      <c r="A213" t="s">
        <v>289</v>
      </c>
      <c r="B213" t="s">
        <v>359</v>
      </c>
      <c r="D213">
        <v>3000</v>
      </c>
    </row>
    <row r="214" spans="1:4" x14ac:dyDescent="0.5">
      <c r="A214" t="s">
        <v>289</v>
      </c>
      <c r="B214" t="s">
        <v>360</v>
      </c>
      <c r="D214">
        <v>6000</v>
      </c>
    </row>
    <row r="215" spans="1:4" x14ac:dyDescent="0.5">
      <c r="A215" t="s">
        <v>289</v>
      </c>
      <c r="B215" t="s">
        <v>361</v>
      </c>
      <c r="D215">
        <v>1000</v>
      </c>
    </row>
    <row r="216" spans="1:4" x14ac:dyDescent="0.5">
      <c r="A216" t="s">
        <v>289</v>
      </c>
      <c r="B216" t="s">
        <v>362</v>
      </c>
      <c r="D216">
        <v>5000</v>
      </c>
    </row>
    <row r="217" spans="1:4" x14ac:dyDescent="0.5">
      <c r="A217" t="s">
        <v>289</v>
      </c>
      <c r="B217" t="s">
        <v>363</v>
      </c>
      <c r="D217">
        <v>30000</v>
      </c>
    </row>
    <row r="218" spans="1:4" x14ac:dyDescent="0.5">
      <c r="A218" t="s">
        <v>289</v>
      </c>
      <c r="B218" t="s">
        <v>364</v>
      </c>
      <c r="D218">
        <v>1500</v>
      </c>
    </row>
    <row r="219" spans="1:4" x14ac:dyDescent="0.5">
      <c r="A219" t="s">
        <v>289</v>
      </c>
      <c r="B219" t="s">
        <v>365</v>
      </c>
      <c r="D219">
        <v>67500</v>
      </c>
    </row>
    <row r="220" spans="1:4" x14ac:dyDescent="0.5">
      <c r="A220" t="s">
        <v>289</v>
      </c>
      <c r="B220" t="s">
        <v>366</v>
      </c>
      <c r="D220">
        <v>1750</v>
      </c>
    </row>
    <row r="221" spans="1:4" x14ac:dyDescent="0.5">
      <c r="A221" t="s">
        <v>289</v>
      </c>
      <c r="B221" t="s">
        <v>367</v>
      </c>
      <c r="D221">
        <v>122500</v>
      </c>
    </row>
    <row r="222" spans="1:4" x14ac:dyDescent="0.5">
      <c r="A222" t="s">
        <v>289</v>
      </c>
      <c r="B222" t="s">
        <v>368</v>
      </c>
      <c r="D222">
        <v>20000</v>
      </c>
    </row>
    <row r="223" spans="1:4" x14ac:dyDescent="0.5">
      <c r="A223" t="s">
        <v>289</v>
      </c>
      <c r="B223" t="s">
        <v>369</v>
      </c>
      <c r="D223">
        <v>9000</v>
      </c>
    </row>
    <row r="224" spans="1:4" x14ac:dyDescent="0.5">
      <c r="A224" t="s">
        <v>289</v>
      </c>
      <c r="B224" t="s">
        <v>370</v>
      </c>
      <c r="D224">
        <v>105000</v>
      </c>
    </row>
    <row r="225" spans="1:5" x14ac:dyDescent="0.5">
      <c r="A225" t="s">
        <v>289</v>
      </c>
      <c r="B225" t="s">
        <v>371</v>
      </c>
      <c r="D225" t="s">
        <v>76</v>
      </c>
    </row>
    <row r="226" spans="1:5" x14ac:dyDescent="0.5">
      <c r="A226" t="s">
        <v>289</v>
      </c>
      <c r="B226" t="s">
        <v>372</v>
      </c>
      <c r="D226">
        <v>8</v>
      </c>
    </row>
    <row r="227" spans="1:5" x14ac:dyDescent="0.5">
      <c r="A227" t="s">
        <v>289</v>
      </c>
      <c r="B227" t="s">
        <v>373</v>
      </c>
      <c r="D227" t="s">
        <v>77</v>
      </c>
    </row>
    <row r="228" spans="1:5" x14ac:dyDescent="0.5">
      <c r="A228" t="s">
        <v>289</v>
      </c>
      <c r="B228" t="s">
        <v>281</v>
      </c>
      <c r="D228" t="s">
        <v>138</v>
      </c>
      <c r="E228" t="s">
        <v>374</v>
      </c>
    </row>
    <row r="229" spans="1:5" x14ac:dyDescent="0.5">
      <c r="A229" t="s">
        <v>289</v>
      </c>
      <c r="B229" t="s">
        <v>282</v>
      </c>
      <c r="D229" t="s">
        <v>126</v>
      </c>
      <c r="E229" t="s">
        <v>375</v>
      </c>
    </row>
    <row r="230" spans="1:5" x14ac:dyDescent="0.5">
      <c r="A230" t="s">
        <v>289</v>
      </c>
      <c r="B230" t="s">
        <v>283</v>
      </c>
      <c r="C230" s="92" t="s">
        <v>538</v>
      </c>
      <c r="E230" t="s">
        <v>376</v>
      </c>
    </row>
    <row r="231" spans="1:5" x14ac:dyDescent="0.5">
      <c r="A231" t="s">
        <v>289</v>
      </c>
      <c r="B231" t="s">
        <v>284</v>
      </c>
      <c r="D231" t="s">
        <v>135</v>
      </c>
    </row>
    <row r="232" spans="1:5" x14ac:dyDescent="0.5">
      <c r="A232" t="s">
        <v>289</v>
      </c>
      <c r="B232" t="s">
        <v>285</v>
      </c>
      <c r="D232" t="s">
        <v>136</v>
      </c>
    </row>
    <row r="233" spans="1:5" x14ac:dyDescent="0.5">
      <c r="A233" t="s">
        <v>289</v>
      </c>
      <c r="B233" t="s">
        <v>377</v>
      </c>
      <c r="D233" t="s">
        <v>136</v>
      </c>
    </row>
    <row r="234" spans="1:5" x14ac:dyDescent="0.5">
      <c r="A234" t="s">
        <v>289</v>
      </c>
      <c r="B234" t="s">
        <v>378</v>
      </c>
      <c r="D234" t="s">
        <v>136</v>
      </c>
    </row>
    <row r="235" spans="1:5" x14ac:dyDescent="0.5">
      <c r="A235" t="s">
        <v>289</v>
      </c>
      <c r="B235" t="s">
        <v>379</v>
      </c>
      <c r="D235" t="s">
        <v>136</v>
      </c>
    </row>
    <row r="236" spans="1:5" x14ac:dyDescent="0.5">
      <c r="A236" t="s">
        <v>289</v>
      </c>
      <c r="B236" t="s">
        <v>380</v>
      </c>
      <c r="D236">
        <v>2.5</v>
      </c>
      <c r="E236" t="s">
        <v>381</v>
      </c>
    </row>
    <row r="237" spans="1:5" x14ac:dyDescent="0.5">
      <c r="A237" t="s">
        <v>289</v>
      </c>
      <c r="B237" t="s">
        <v>286</v>
      </c>
      <c r="D237" t="s">
        <v>69</v>
      </c>
      <c r="E237" t="s">
        <v>382</v>
      </c>
    </row>
    <row r="238" spans="1:5" x14ac:dyDescent="0.5">
      <c r="A238" t="s">
        <v>289</v>
      </c>
      <c r="B238" t="s">
        <v>287</v>
      </c>
      <c r="C238" s="92" t="s">
        <v>383</v>
      </c>
      <c r="E238" t="s">
        <v>384</v>
      </c>
    </row>
    <row r="239" spans="1:5" x14ac:dyDescent="0.5">
      <c r="A239" t="s">
        <v>289</v>
      </c>
      <c r="B239" t="s">
        <v>288</v>
      </c>
      <c r="D239" t="s">
        <v>137</v>
      </c>
    </row>
    <row r="240" spans="1:5" x14ac:dyDescent="0.5">
      <c r="A240" t="s">
        <v>289</v>
      </c>
      <c r="B240" t="s">
        <v>385</v>
      </c>
      <c r="C240" s="92" t="s">
        <v>539</v>
      </c>
    </row>
    <row r="241" spans="1:4" x14ac:dyDescent="0.5">
      <c r="A241" t="s">
        <v>289</v>
      </c>
      <c r="B241" t="s">
        <v>386</v>
      </c>
      <c r="C241" s="92" t="s">
        <v>540</v>
      </c>
    </row>
    <row r="242" spans="1:4" x14ac:dyDescent="0.5">
      <c r="A242" t="s">
        <v>289</v>
      </c>
      <c r="B242" t="s">
        <v>387</v>
      </c>
      <c r="C242" s="92" t="s">
        <v>541</v>
      </c>
    </row>
    <row r="243" spans="1:4" x14ac:dyDescent="0.5">
      <c r="A243" t="s">
        <v>289</v>
      </c>
      <c r="B243" t="s">
        <v>388</v>
      </c>
      <c r="C243" s="92" t="s">
        <v>542</v>
      </c>
    </row>
    <row r="244" spans="1:4" x14ac:dyDescent="0.5">
      <c r="A244" t="s">
        <v>289</v>
      </c>
      <c r="B244" t="s">
        <v>389</v>
      </c>
      <c r="C244" s="92" t="s">
        <v>543</v>
      </c>
    </row>
    <row r="245" spans="1:4" x14ac:dyDescent="0.5">
      <c r="A245" t="s">
        <v>289</v>
      </c>
      <c r="B245" t="s">
        <v>390</v>
      </c>
      <c r="C245" s="92" t="s">
        <v>544</v>
      </c>
    </row>
    <row r="246" spans="1:4" x14ac:dyDescent="0.5">
      <c r="A246" t="s">
        <v>289</v>
      </c>
      <c r="B246" t="s">
        <v>391</v>
      </c>
      <c r="C246" s="92" t="s">
        <v>545</v>
      </c>
    </row>
    <row r="247" spans="1:4" x14ac:dyDescent="0.5">
      <c r="A247" t="s">
        <v>289</v>
      </c>
      <c r="B247" t="s">
        <v>392</v>
      </c>
      <c r="C247" s="92" t="s">
        <v>546</v>
      </c>
    </row>
    <row r="248" spans="1:4" x14ac:dyDescent="0.5">
      <c r="A248" t="s">
        <v>289</v>
      </c>
      <c r="B248" t="s">
        <v>393</v>
      </c>
      <c r="C248" s="92" t="s">
        <v>547</v>
      </c>
    </row>
    <row r="249" spans="1:4" x14ac:dyDescent="0.5">
      <c r="A249" t="s">
        <v>289</v>
      </c>
      <c r="B249" t="s">
        <v>394</v>
      </c>
      <c r="C249" s="92" t="s">
        <v>548</v>
      </c>
    </row>
    <row r="250" spans="1:4" x14ac:dyDescent="0.5">
      <c r="A250" t="s">
        <v>289</v>
      </c>
      <c r="B250" t="s">
        <v>395</v>
      </c>
      <c r="C250" s="92" t="s">
        <v>549</v>
      </c>
    </row>
    <row r="251" spans="1:4" x14ac:dyDescent="0.5">
      <c r="A251" t="s">
        <v>289</v>
      </c>
      <c r="B251" t="s">
        <v>396</v>
      </c>
      <c r="C251" s="92" t="s">
        <v>550</v>
      </c>
    </row>
    <row r="252" spans="1:4" x14ac:dyDescent="0.5">
      <c r="A252" t="s">
        <v>289</v>
      </c>
      <c r="B252" t="s">
        <v>397</v>
      </c>
      <c r="C252" s="92" t="s">
        <v>551</v>
      </c>
    </row>
    <row r="253" spans="1:4" x14ac:dyDescent="0.5">
      <c r="A253" t="s">
        <v>398</v>
      </c>
      <c r="B253" t="s">
        <v>147</v>
      </c>
      <c r="D253" t="s">
        <v>72</v>
      </c>
    </row>
    <row r="254" spans="1:4" x14ac:dyDescent="0.5">
      <c r="A254" t="s">
        <v>398</v>
      </c>
      <c r="B254" t="s">
        <v>244</v>
      </c>
      <c r="C254" s="92" t="s">
        <v>399</v>
      </c>
    </row>
    <row r="255" spans="1:4" x14ac:dyDescent="0.5">
      <c r="A255" t="s">
        <v>398</v>
      </c>
      <c r="B255" t="s">
        <v>245</v>
      </c>
      <c r="C255" s="92" t="s">
        <v>400</v>
      </c>
    </row>
    <row r="256" spans="1:4" x14ac:dyDescent="0.5">
      <c r="A256" t="s">
        <v>398</v>
      </c>
      <c r="B256" t="s">
        <v>300</v>
      </c>
      <c r="D256" t="s">
        <v>19</v>
      </c>
    </row>
    <row r="257" spans="1:5" x14ac:dyDescent="0.5">
      <c r="A257" t="s">
        <v>398</v>
      </c>
      <c r="B257" t="s">
        <v>149</v>
      </c>
      <c r="C257" s="92" t="s">
        <v>401</v>
      </c>
      <c r="E257" t="s">
        <v>402</v>
      </c>
    </row>
    <row r="258" spans="1:5" x14ac:dyDescent="0.5">
      <c r="A258" t="s">
        <v>398</v>
      </c>
      <c r="B258" t="s">
        <v>152</v>
      </c>
      <c r="C258" s="92" t="s">
        <v>403</v>
      </c>
      <c r="E258" t="s">
        <v>404</v>
      </c>
    </row>
    <row r="259" spans="1:5" x14ac:dyDescent="0.5">
      <c r="A259" t="s">
        <v>398</v>
      </c>
      <c r="B259" t="s">
        <v>155</v>
      </c>
      <c r="C259" s="92" t="s">
        <v>405</v>
      </c>
      <c r="E259" t="s">
        <v>406</v>
      </c>
    </row>
    <row r="260" spans="1:5" x14ac:dyDescent="0.5">
      <c r="A260" t="s">
        <v>398</v>
      </c>
      <c r="B260" t="s">
        <v>158</v>
      </c>
      <c r="C260" s="92" t="s">
        <v>407</v>
      </c>
      <c r="E260" t="s">
        <v>408</v>
      </c>
    </row>
    <row r="261" spans="1:5" x14ac:dyDescent="0.5">
      <c r="A261" t="s">
        <v>398</v>
      </c>
      <c r="B261" t="s">
        <v>304</v>
      </c>
      <c r="C261" s="92" t="s">
        <v>552</v>
      </c>
      <c r="E261" t="s">
        <v>409</v>
      </c>
    </row>
    <row r="262" spans="1:5" x14ac:dyDescent="0.5">
      <c r="A262" t="s">
        <v>398</v>
      </c>
      <c r="B262" t="s">
        <v>261</v>
      </c>
      <c r="C262" s="92" t="s">
        <v>410</v>
      </c>
      <c r="E262" t="s">
        <v>411</v>
      </c>
    </row>
    <row r="263" spans="1:5" x14ac:dyDescent="0.5">
      <c r="A263" t="s">
        <v>398</v>
      </c>
      <c r="B263" t="s">
        <v>262</v>
      </c>
      <c r="C263" s="92" t="s">
        <v>412</v>
      </c>
      <c r="E263" t="s">
        <v>413</v>
      </c>
    </row>
    <row r="264" spans="1:5" x14ac:dyDescent="0.5">
      <c r="A264" t="s">
        <v>398</v>
      </c>
      <c r="B264" t="s">
        <v>263</v>
      </c>
      <c r="C264" s="92" t="s">
        <v>414</v>
      </c>
      <c r="E264" t="s">
        <v>415</v>
      </c>
    </row>
    <row r="265" spans="1:5" x14ac:dyDescent="0.5">
      <c r="A265" t="s">
        <v>416</v>
      </c>
      <c r="B265" t="s">
        <v>147</v>
      </c>
      <c r="D265" t="s">
        <v>9</v>
      </c>
    </row>
    <row r="266" spans="1:5" x14ac:dyDescent="0.5">
      <c r="A266" t="s">
        <v>416</v>
      </c>
      <c r="B266" t="s">
        <v>244</v>
      </c>
      <c r="D266" t="s">
        <v>19</v>
      </c>
    </row>
    <row r="267" spans="1:5" x14ac:dyDescent="0.5">
      <c r="A267" t="s">
        <v>416</v>
      </c>
      <c r="B267" t="s">
        <v>300</v>
      </c>
      <c r="D267" t="s">
        <v>18</v>
      </c>
    </row>
    <row r="268" spans="1:5" x14ac:dyDescent="0.5">
      <c r="A268" t="s">
        <v>416</v>
      </c>
      <c r="B268" t="s">
        <v>149</v>
      </c>
      <c r="D268" t="s">
        <v>17</v>
      </c>
    </row>
    <row r="269" spans="1:5" x14ac:dyDescent="0.5">
      <c r="A269" t="s">
        <v>416</v>
      </c>
      <c r="B269" t="s">
        <v>304</v>
      </c>
      <c r="D269" t="s">
        <v>20</v>
      </c>
    </row>
    <row r="270" spans="1:5" x14ac:dyDescent="0.5">
      <c r="A270" t="s">
        <v>416</v>
      </c>
      <c r="B270" t="s">
        <v>260</v>
      </c>
      <c r="C270" s="92" t="s">
        <v>553</v>
      </c>
    </row>
    <row r="271" spans="1:5" x14ac:dyDescent="0.5">
      <c r="A271" t="s">
        <v>416</v>
      </c>
      <c r="B271" t="s">
        <v>313</v>
      </c>
      <c r="D271" t="s">
        <v>31</v>
      </c>
    </row>
    <row r="272" spans="1:5" x14ac:dyDescent="0.5">
      <c r="A272" t="s">
        <v>416</v>
      </c>
      <c r="B272" t="s">
        <v>265</v>
      </c>
      <c r="D272">
        <v>300</v>
      </c>
    </row>
    <row r="273" spans="1:4" x14ac:dyDescent="0.5">
      <c r="A273" t="s">
        <v>416</v>
      </c>
      <c r="B273" t="s">
        <v>270</v>
      </c>
      <c r="D273" t="s">
        <v>32</v>
      </c>
    </row>
    <row r="274" spans="1:4" x14ac:dyDescent="0.5">
      <c r="A274" t="s">
        <v>416</v>
      </c>
      <c r="B274" t="s">
        <v>343</v>
      </c>
      <c r="D274" t="s">
        <v>33</v>
      </c>
    </row>
    <row r="275" spans="1:4" x14ac:dyDescent="0.5">
      <c r="A275" t="s">
        <v>416</v>
      </c>
      <c r="B275" t="s">
        <v>271</v>
      </c>
      <c r="C275" s="92" t="s">
        <v>417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B9561-BBCF-49D9-8158-1E24BA17147E}">
  <sheetPr published="0" codeName="Hoja2"/>
  <dimension ref="A1:D65"/>
  <sheetViews>
    <sheetView showRowColHeaders="0" workbookViewId="0">
      <pane xSplit="1" ySplit="1" topLeftCell="B42" activePane="bottomRight" state="frozen"/>
      <selection pane="topRight" activeCell="B1" sqref="B1"/>
      <selection pane="bottomLeft" activeCell="A2" sqref="A2"/>
      <selection pane="bottomRight" activeCell="B2" sqref="B2"/>
    </sheetView>
  </sheetViews>
  <sheetFormatPr baseColWidth="10" defaultRowHeight="14.35" x14ac:dyDescent="0.5"/>
  <cols>
    <col min="1" max="1" width="23.29296875" bestFit="1" customWidth="1"/>
    <col min="2" max="3" width="50.64453125" customWidth="1"/>
    <col min="4" max="4" width="5.64453125" bestFit="1" customWidth="1"/>
  </cols>
  <sheetData>
    <row r="1" spans="1:4" x14ac:dyDescent="0.5">
      <c r="A1" t="s">
        <v>418</v>
      </c>
      <c r="B1" t="s">
        <v>419</v>
      </c>
      <c r="C1" t="s">
        <v>420</v>
      </c>
      <c r="D1" t="s">
        <v>421</v>
      </c>
    </row>
    <row r="2" spans="1:4" x14ac:dyDescent="0.5">
      <c r="A2" t="s">
        <v>280</v>
      </c>
      <c r="B2" s="92" t="s">
        <v>422</v>
      </c>
      <c r="C2" s="92" t="s">
        <v>69</v>
      </c>
      <c r="D2" t="s">
        <v>423</v>
      </c>
    </row>
    <row r="3" spans="1:4" x14ac:dyDescent="0.5">
      <c r="A3" t="s">
        <v>278</v>
      </c>
      <c r="B3" s="92" t="s">
        <v>424</v>
      </c>
      <c r="C3" s="92" t="s">
        <v>68</v>
      </c>
      <c r="D3" t="s">
        <v>423</v>
      </c>
    </row>
    <row r="4" spans="1:4" x14ac:dyDescent="0.5">
      <c r="A4" t="s">
        <v>190</v>
      </c>
      <c r="B4" s="92" t="s">
        <v>425</v>
      </c>
      <c r="C4" s="92" t="s">
        <v>189</v>
      </c>
      <c r="D4" t="s">
        <v>423</v>
      </c>
    </row>
    <row r="5" spans="1:4" x14ac:dyDescent="0.5">
      <c r="A5" t="s">
        <v>469</v>
      </c>
      <c r="B5" s="92" t="s">
        <v>470</v>
      </c>
      <c r="D5" t="s">
        <v>423</v>
      </c>
    </row>
    <row r="6" spans="1:4" x14ac:dyDescent="0.5">
      <c r="A6" t="s">
        <v>471</v>
      </c>
      <c r="B6" s="92" t="s">
        <v>472</v>
      </c>
      <c r="D6" t="s">
        <v>423</v>
      </c>
    </row>
    <row r="7" spans="1:4" x14ac:dyDescent="0.5">
      <c r="A7" t="s">
        <v>253</v>
      </c>
      <c r="B7" s="92" t="s">
        <v>426</v>
      </c>
      <c r="C7" s="92" t="s">
        <v>515</v>
      </c>
      <c r="D7" t="s">
        <v>423</v>
      </c>
    </row>
    <row r="8" spans="1:4" x14ac:dyDescent="0.5">
      <c r="A8" t="s">
        <v>179</v>
      </c>
      <c r="B8" s="92" t="s">
        <v>427</v>
      </c>
      <c r="C8" s="92" t="s">
        <v>507</v>
      </c>
      <c r="D8" t="s">
        <v>423</v>
      </c>
    </row>
    <row r="9" spans="1:4" x14ac:dyDescent="0.5">
      <c r="A9" t="s">
        <v>205</v>
      </c>
      <c r="B9" s="92" t="s">
        <v>428</v>
      </c>
      <c r="C9" s="92" t="s">
        <v>511</v>
      </c>
      <c r="D9" t="s">
        <v>423</v>
      </c>
    </row>
    <row r="10" spans="1:4" x14ac:dyDescent="0.5">
      <c r="A10" t="s">
        <v>211</v>
      </c>
      <c r="B10" s="92" t="s">
        <v>429</v>
      </c>
      <c r="C10" s="92" t="s">
        <v>68</v>
      </c>
      <c r="D10" t="s">
        <v>423</v>
      </c>
    </row>
    <row r="11" spans="1:4" x14ac:dyDescent="0.5">
      <c r="A11" t="s">
        <v>384</v>
      </c>
      <c r="B11" s="92" t="s">
        <v>430</v>
      </c>
      <c r="C11" s="92" t="s">
        <v>383</v>
      </c>
      <c r="D11" t="s">
        <v>423</v>
      </c>
    </row>
    <row r="12" spans="1:4" x14ac:dyDescent="0.5">
      <c r="A12" t="s">
        <v>252</v>
      </c>
      <c r="B12" s="92" t="s">
        <v>431</v>
      </c>
      <c r="C12" s="92" t="s">
        <v>514</v>
      </c>
      <c r="D12" t="s">
        <v>423</v>
      </c>
    </row>
    <row r="13" spans="1:4" x14ac:dyDescent="0.5">
      <c r="A13" t="s">
        <v>227</v>
      </c>
      <c r="B13" s="92" t="s">
        <v>432</v>
      </c>
      <c r="C13" s="92" t="s">
        <v>84</v>
      </c>
      <c r="D13" t="s">
        <v>423</v>
      </c>
    </row>
    <row r="14" spans="1:4" x14ac:dyDescent="0.5">
      <c r="A14" t="s">
        <v>151</v>
      </c>
      <c r="B14" s="92" t="s">
        <v>433</v>
      </c>
      <c r="C14" s="92" t="s">
        <v>150</v>
      </c>
      <c r="D14" t="s">
        <v>423</v>
      </c>
    </row>
    <row r="15" spans="1:4" x14ac:dyDescent="0.5">
      <c r="A15" t="s">
        <v>402</v>
      </c>
      <c r="B15" s="92" t="s">
        <v>434</v>
      </c>
      <c r="C15" s="92" t="s">
        <v>401</v>
      </c>
      <c r="D15" t="s">
        <v>423</v>
      </c>
    </row>
    <row r="16" spans="1:4" x14ac:dyDescent="0.5">
      <c r="A16" t="s">
        <v>177</v>
      </c>
      <c r="B16" s="92" t="s">
        <v>435</v>
      </c>
      <c r="C16" s="92" t="s">
        <v>506</v>
      </c>
      <c r="D16" t="s">
        <v>423</v>
      </c>
    </row>
    <row r="17" spans="1:4" x14ac:dyDescent="0.5">
      <c r="A17" t="s">
        <v>203</v>
      </c>
      <c r="B17" s="92" t="s">
        <v>436</v>
      </c>
      <c r="C17" s="92" t="s">
        <v>510</v>
      </c>
      <c r="D17" t="s">
        <v>423</v>
      </c>
    </row>
    <row r="18" spans="1:4" x14ac:dyDescent="0.5">
      <c r="A18" t="s">
        <v>251</v>
      </c>
      <c r="B18" s="92" t="s">
        <v>437</v>
      </c>
      <c r="C18" s="92" t="s">
        <v>513</v>
      </c>
      <c r="D18" t="s">
        <v>423</v>
      </c>
    </row>
    <row r="19" spans="1:4" x14ac:dyDescent="0.5">
      <c r="A19" t="s">
        <v>76</v>
      </c>
      <c r="B19" s="92" t="s">
        <v>554</v>
      </c>
    </row>
    <row r="20" spans="1:4" x14ac:dyDescent="0.5">
      <c r="A20" t="s">
        <v>409</v>
      </c>
      <c r="B20" s="92" t="s">
        <v>438</v>
      </c>
      <c r="C20" s="92" t="s">
        <v>552</v>
      </c>
      <c r="D20" t="s">
        <v>423</v>
      </c>
    </row>
    <row r="21" spans="1:4" x14ac:dyDescent="0.5">
      <c r="A21" t="s">
        <v>382</v>
      </c>
      <c r="B21" s="92" t="s">
        <v>439</v>
      </c>
      <c r="C21" s="92" t="s">
        <v>69</v>
      </c>
      <c r="D21" t="s">
        <v>423</v>
      </c>
    </row>
    <row r="22" spans="1:4" x14ac:dyDescent="0.5">
      <c r="A22" t="s">
        <v>175</v>
      </c>
      <c r="B22" s="92" t="s">
        <v>440</v>
      </c>
      <c r="C22" s="92" t="s">
        <v>505</v>
      </c>
      <c r="D22" t="s">
        <v>423</v>
      </c>
    </row>
    <row r="23" spans="1:4" x14ac:dyDescent="0.5">
      <c r="A23" t="s">
        <v>201</v>
      </c>
      <c r="B23" s="92" t="s">
        <v>441</v>
      </c>
      <c r="C23" s="92" t="s">
        <v>509</v>
      </c>
      <c r="D23" t="s">
        <v>423</v>
      </c>
    </row>
    <row r="24" spans="1:4" x14ac:dyDescent="0.5">
      <c r="A24" t="s">
        <v>250</v>
      </c>
      <c r="B24" s="92" t="s">
        <v>442</v>
      </c>
      <c r="C24" s="92" t="s">
        <v>512</v>
      </c>
      <c r="D24" t="s">
        <v>423</v>
      </c>
    </row>
    <row r="25" spans="1:4" x14ac:dyDescent="0.5">
      <c r="A25" t="s">
        <v>443</v>
      </c>
      <c r="B25" s="92" t="s">
        <v>444</v>
      </c>
      <c r="D25" t="s">
        <v>423</v>
      </c>
    </row>
    <row r="26" spans="1:4" x14ac:dyDescent="0.5">
      <c r="A26" t="s">
        <v>445</v>
      </c>
      <c r="B26" s="92" t="s">
        <v>446</v>
      </c>
      <c r="C26" s="92" t="s">
        <v>19</v>
      </c>
      <c r="D26" t="s">
        <v>423</v>
      </c>
    </row>
    <row r="27" spans="1:4" x14ac:dyDescent="0.5">
      <c r="A27" t="s">
        <v>381</v>
      </c>
      <c r="B27" s="92" t="s">
        <v>447</v>
      </c>
      <c r="C27" s="92" t="s">
        <v>448</v>
      </c>
      <c r="D27" t="s">
        <v>423</v>
      </c>
    </row>
    <row r="28" spans="1:4" x14ac:dyDescent="0.5">
      <c r="A28" t="s">
        <v>221</v>
      </c>
      <c r="B28" s="92" t="s">
        <v>449</v>
      </c>
      <c r="C28" s="92" t="s">
        <v>78</v>
      </c>
      <c r="D28" t="s">
        <v>423</v>
      </c>
    </row>
    <row r="29" spans="1:4" x14ac:dyDescent="0.5">
      <c r="A29" t="s">
        <v>450</v>
      </c>
      <c r="B29" s="92" t="s">
        <v>555</v>
      </c>
    </row>
    <row r="30" spans="1:4" x14ac:dyDescent="0.5">
      <c r="A30" t="s">
        <v>451</v>
      </c>
      <c r="B30" s="92" t="s">
        <v>556</v>
      </c>
    </row>
    <row r="31" spans="1:4" x14ac:dyDescent="0.5">
      <c r="A31" t="s">
        <v>224</v>
      </c>
      <c r="B31" s="92" t="s">
        <v>452</v>
      </c>
      <c r="C31" s="92" t="s">
        <v>453</v>
      </c>
      <c r="D31" t="s">
        <v>423</v>
      </c>
    </row>
    <row r="32" spans="1:4" x14ac:dyDescent="0.5">
      <c r="A32" t="s">
        <v>229</v>
      </c>
      <c r="B32" s="92" t="s">
        <v>454</v>
      </c>
      <c r="C32" s="92" t="s">
        <v>455</v>
      </c>
      <c r="D32" t="s">
        <v>423</v>
      </c>
    </row>
    <row r="33" spans="1:4" x14ac:dyDescent="0.5">
      <c r="A33" t="s">
        <v>215</v>
      </c>
      <c r="B33" s="92" t="s">
        <v>456</v>
      </c>
      <c r="C33" s="92" t="s">
        <v>455</v>
      </c>
      <c r="D33" t="s">
        <v>423</v>
      </c>
    </row>
    <row r="34" spans="1:4" x14ac:dyDescent="0.5">
      <c r="A34" t="s">
        <v>457</v>
      </c>
      <c r="B34" s="92" t="s">
        <v>557</v>
      </c>
    </row>
    <row r="35" spans="1:4" x14ac:dyDescent="0.5">
      <c r="A35" t="s">
        <v>458</v>
      </c>
      <c r="B35" s="92" t="s">
        <v>558</v>
      </c>
    </row>
    <row r="36" spans="1:4" x14ac:dyDescent="0.5">
      <c r="A36" t="s">
        <v>375</v>
      </c>
      <c r="B36" s="92" t="s">
        <v>459</v>
      </c>
      <c r="C36" s="92" t="s">
        <v>126</v>
      </c>
      <c r="D36" t="s">
        <v>423</v>
      </c>
    </row>
    <row r="37" spans="1:4" x14ac:dyDescent="0.5">
      <c r="A37" t="s">
        <v>213</v>
      </c>
      <c r="B37" s="92" t="s">
        <v>460</v>
      </c>
      <c r="C37" s="92" t="s">
        <v>140</v>
      </c>
      <c r="D37" t="s">
        <v>423</v>
      </c>
    </row>
    <row r="38" spans="1:4" x14ac:dyDescent="0.5">
      <c r="A38" t="s">
        <v>148</v>
      </c>
      <c r="B38" s="92" t="s">
        <v>461</v>
      </c>
      <c r="C38" s="92" t="s">
        <v>504</v>
      </c>
      <c r="D38" t="s">
        <v>423</v>
      </c>
    </row>
    <row r="39" spans="1:4" x14ac:dyDescent="0.5">
      <c r="A39" t="s">
        <v>187</v>
      </c>
      <c r="B39" s="92" t="s">
        <v>462</v>
      </c>
      <c r="C39" s="92" t="s">
        <v>186</v>
      </c>
      <c r="D39" t="s">
        <v>423</v>
      </c>
    </row>
    <row r="40" spans="1:4" x14ac:dyDescent="0.5">
      <c r="A40" t="s">
        <v>154</v>
      </c>
      <c r="B40" s="92" t="s">
        <v>463</v>
      </c>
      <c r="C40" s="92" t="s">
        <v>153</v>
      </c>
      <c r="D40" t="s">
        <v>423</v>
      </c>
    </row>
    <row r="41" spans="1:4" x14ac:dyDescent="0.5">
      <c r="A41" t="s">
        <v>404</v>
      </c>
      <c r="B41" s="92" t="s">
        <v>464</v>
      </c>
      <c r="C41" s="92" t="s">
        <v>403</v>
      </c>
      <c r="D41" t="s">
        <v>423</v>
      </c>
    </row>
    <row r="42" spans="1:4" x14ac:dyDescent="0.5">
      <c r="A42" t="s">
        <v>157</v>
      </c>
      <c r="B42" s="92" t="s">
        <v>465</v>
      </c>
      <c r="C42" s="92" t="s">
        <v>156</v>
      </c>
      <c r="D42" t="s">
        <v>423</v>
      </c>
    </row>
    <row r="43" spans="1:4" x14ac:dyDescent="0.5">
      <c r="A43" t="s">
        <v>406</v>
      </c>
      <c r="B43" s="92" t="s">
        <v>466</v>
      </c>
      <c r="C43" s="92" t="s">
        <v>405</v>
      </c>
      <c r="D43" t="s">
        <v>423</v>
      </c>
    </row>
    <row r="44" spans="1:4" x14ac:dyDescent="0.5">
      <c r="A44" t="s">
        <v>160</v>
      </c>
      <c r="B44" s="92" t="s">
        <v>467</v>
      </c>
      <c r="C44" s="92" t="s">
        <v>159</v>
      </c>
      <c r="D44" t="s">
        <v>423</v>
      </c>
    </row>
    <row r="45" spans="1:4" x14ac:dyDescent="0.5">
      <c r="A45" t="s">
        <v>408</v>
      </c>
      <c r="B45" s="92" t="s">
        <v>468</v>
      </c>
      <c r="C45" s="92" t="s">
        <v>407</v>
      </c>
      <c r="D45" t="s">
        <v>423</v>
      </c>
    </row>
    <row r="46" spans="1:4" x14ac:dyDescent="0.5">
      <c r="A46" t="s">
        <v>411</v>
      </c>
      <c r="B46" s="92" t="s">
        <v>479</v>
      </c>
      <c r="C46" s="92" t="s">
        <v>410</v>
      </c>
      <c r="D46" t="s">
        <v>423</v>
      </c>
    </row>
    <row r="47" spans="1:4" x14ac:dyDescent="0.5">
      <c r="A47" t="s">
        <v>413</v>
      </c>
      <c r="B47" s="92" t="s">
        <v>480</v>
      </c>
      <c r="C47" s="92" t="s">
        <v>412</v>
      </c>
      <c r="D47" t="s">
        <v>423</v>
      </c>
    </row>
    <row r="48" spans="1:4" x14ac:dyDescent="0.5">
      <c r="A48" t="s">
        <v>415</v>
      </c>
      <c r="B48" s="92" t="s">
        <v>481</v>
      </c>
      <c r="C48" s="92" t="s">
        <v>414</v>
      </c>
      <c r="D48" t="s">
        <v>423</v>
      </c>
    </row>
    <row r="49" spans="1:4" x14ac:dyDescent="0.5">
      <c r="A49" t="s">
        <v>376</v>
      </c>
      <c r="B49" s="92" t="s">
        <v>482</v>
      </c>
      <c r="C49" s="92" t="s">
        <v>538</v>
      </c>
      <c r="D49" t="s">
        <v>423</v>
      </c>
    </row>
    <row r="50" spans="1:4" x14ac:dyDescent="0.5">
      <c r="A50" t="s">
        <v>483</v>
      </c>
      <c r="B50" s="92" t="s">
        <v>484</v>
      </c>
      <c r="C50" s="92" t="s">
        <v>485</v>
      </c>
      <c r="D50" t="s">
        <v>423</v>
      </c>
    </row>
    <row r="51" spans="1:4" x14ac:dyDescent="0.5">
      <c r="A51" t="s">
        <v>486</v>
      </c>
      <c r="B51" s="92" t="s">
        <v>487</v>
      </c>
      <c r="D51" t="s">
        <v>423</v>
      </c>
    </row>
    <row r="52" spans="1:4" x14ac:dyDescent="0.5">
      <c r="A52" t="s">
        <v>488</v>
      </c>
      <c r="B52" s="92" t="s">
        <v>489</v>
      </c>
      <c r="D52" t="s">
        <v>423</v>
      </c>
    </row>
    <row r="53" spans="1:4" x14ac:dyDescent="0.5">
      <c r="A53" t="s">
        <v>328</v>
      </c>
      <c r="B53" s="92" t="s">
        <v>490</v>
      </c>
      <c r="C53" s="92" t="s">
        <v>327</v>
      </c>
      <c r="D53" t="s">
        <v>423</v>
      </c>
    </row>
    <row r="54" spans="1:4" x14ac:dyDescent="0.5">
      <c r="A54" t="s">
        <v>374</v>
      </c>
      <c r="B54" s="92" t="s">
        <v>491</v>
      </c>
      <c r="C54" s="92" t="s">
        <v>138</v>
      </c>
      <c r="D54" t="s">
        <v>423</v>
      </c>
    </row>
    <row r="55" spans="1:4" x14ac:dyDescent="0.5">
      <c r="A55" s="92" t="s">
        <v>473</v>
      </c>
      <c r="B55" s="92" t="s">
        <v>474</v>
      </c>
    </row>
    <row r="56" spans="1:4" x14ac:dyDescent="0.5">
      <c r="A56" t="s">
        <v>475</v>
      </c>
      <c r="B56" s="92" t="s">
        <v>476</v>
      </c>
      <c r="D56" t="s">
        <v>423</v>
      </c>
    </row>
    <row r="57" spans="1:4" x14ac:dyDescent="0.5">
      <c r="A57" t="s">
        <v>477</v>
      </c>
      <c r="B57" s="92" t="s">
        <v>478</v>
      </c>
      <c r="D57" t="s">
        <v>423</v>
      </c>
    </row>
    <row r="58" spans="1:4" x14ac:dyDescent="0.5">
      <c r="A58" t="s">
        <v>492</v>
      </c>
      <c r="B58" s="92" t="s">
        <v>493</v>
      </c>
    </row>
    <row r="59" spans="1:4" x14ac:dyDescent="0.5">
      <c r="A59" t="s">
        <v>494</v>
      </c>
      <c r="B59" s="92" t="s">
        <v>495</v>
      </c>
    </row>
    <row r="60" spans="1:4" x14ac:dyDescent="0.5">
      <c r="A60" t="s">
        <v>496</v>
      </c>
      <c r="B60" s="92" t="s">
        <v>497</v>
      </c>
    </row>
    <row r="61" spans="1:4" x14ac:dyDescent="0.5">
      <c r="A61" t="s">
        <v>498</v>
      </c>
      <c r="B61" s="92" t="s">
        <v>499</v>
      </c>
    </row>
    <row r="62" spans="1:4" x14ac:dyDescent="0.5">
      <c r="A62" t="s">
        <v>207</v>
      </c>
      <c r="B62" s="92" t="s">
        <v>500</v>
      </c>
      <c r="C62" s="92" t="s">
        <v>69</v>
      </c>
      <c r="D62" t="s">
        <v>423</v>
      </c>
    </row>
    <row r="63" spans="1:4" x14ac:dyDescent="0.5">
      <c r="A63" t="s">
        <v>209</v>
      </c>
      <c r="B63" s="92" t="s">
        <v>501</v>
      </c>
      <c r="C63" s="92" t="s">
        <v>68</v>
      </c>
      <c r="D63" t="s">
        <v>423</v>
      </c>
    </row>
    <row r="64" spans="1:4" x14ac:dyDescent="0.5">
      <c r="A64" t="s">
        <v>37</v>
      </c>
      <c r="B64" s="92" t="s">
        <v>502</v>
      </c>
      <c r="C64" s="92" t="s">
        <v>192</v>
      </c>
      <c r="D64" t="s">
        <v>423</v>
      </c>
    </row>
    <row r="65" spans="1:4" x14ac:dyDescent="0.5">
      <c r="A65" t="s">
        <v>255</v>
      </c>
      <c r="B65" s="92" t="s">
        <v>503</v>
      </c>
      <c r="C65" s="92" t="s">
        <v>516</v>
      </c>
      <c r="D65" t="s">
        <v>423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e_Imagenes"/>
  <dimension ref="A1"/>
  <sheetViews>
    <sheetView showGridLines="0" showRowColHeaders="0" workbookViewId="0">
      <selection activeCell="G6" sqref="G6"/>
    </sheetView>
  </sheetViews>
  <sheetFormatPr baseColWidth="10" defaultColWidth="10.8203125" defaultRowHeight="14.35" x14ac:dyDescent="0.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_Enlaces_Imagenes">
    <tabColor rgb="FF005877"/>
  </sheetPr>
  <dimension ref="A1:F2"/>
  <sheetViews>
    <sheetView showGridLines="0" showRowColHeaders="0" workbookViewId="0">
      <selection activeCell="C2" sqref="C2"/>
    </sheetView>
  </sheetViews>
  <sheetFormatPr baseColWidth="10" defaultColWidth="10.8203125" defaultRowHeight="14.35" x14ac:dyDescent="0.5"/>
  <cols>
    <col min="1" max="1" width="24.703125" bestFit="1" customWidth="1"/>
    <col min="2" max="2" width="16.5859375" customWidth="1"/>
    <col min="3" max="3" width="39.87890625" bestFit="1" customWidth="1"/>
    <col min="6" max="6" width="41.703125" customWidth="1"/>
  </cols>
  <sheetData>
    <row r="1" spans="1:6" x14ac:dyDescent="0.5">
      <c r="A1" s="7" t="s">
        <v>9</v>
      </c>
      <c r="B1" s="7" t="s">
        <v>18</v>
      </c>
      <c r="C1" s="7" t="s">
        <v>593</v>
      </c>
      <c r="D1" s="7" t="s">
        <v>31</v>
      </c>
      <c r="E1" s="7" t="s">
        <v>32</v>
      </c>
      <c r="F1" s="7" t="s">
        <v>33</v>
      </c>
    </row>
    <row r="2" spans="1:6" x14ac:dyDescent="0.5">
      <c r="A2" s="74" t="s">
        <v>19</v>
      </c>
      <c r="B2" s="77" t="s">
        <v>592</v>
      </c>
      <c r="C2" s="75" t="str">
        <f>MID(B2,26,33)</f>
        <v>Prisma-rectangular.png</v>
      </c>
      <c r="D2" s="76">
        <v>300</v>
      </c>
      <c r="E2" s="76"/>
      <c r="F2" t="str">
        <f>URL_I&amp;T_DATOS_IMAGENES[[#This Row],[Enlace]]&amp;URL_W&amp;T_DATOS_IMAGENES[[#This Row],[Ancho]]&amp;URL_ALTO&amp;T_DATOS_IMAGENES[[#This Row],[Alto]]&amp;URL_F</f>
        <v>&lt;img src="https://i.ibb.co/qMW1Ssz/Prisma-rectangular.png" width="300" height=""&gt;</v>
      </c>
    </row>
  </sheetData>
  <hyperlinks>
    <hyperlink ref="B2" r:id="rId1" xr:uid="{3ECFE786-AA2F-4CF4-89D0-C628626AA99D}"/>
  </hyperlinks>
  <pageMargins left="0.7" right="0.7" top="0.75" bottom="0.75" header="0.3" footer="0.3"/>
  <pageSetup paperSize="9" orientation="portrait" horizontalDpi="4294967295" verticalDpi="4294967295"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68</vt:i4>
      </vt:variant>
    </vt:vector>
  </HeadingPairs>
  <TitlesOfParts>
    <vt:vector size="77" baseType="lpstr">
      <vt:lpstr>INSTRUCCIONES</vt:lpstr>
      <vt:lpstr>PROBLEMA</vt:lpstr>
      <vt:lpstr>DATOS FIJOS</vt:lpstr>
      <vt:lpstr>RESULTADOS - FTP</vt:lpstr>
      <vt:lpstr>OCULTOS</vt:lpstr>
      <vt:lpstr>FORMULAS</vt:lpstr>
      <vt:lpstr>NOMBRES</vt:lpstr>
      <vt:lpstr>IMAGENES</vt:lpstr>
      <vt:lpstr>ENLACES</vt:lpstr>
      <vt:lpstr>_NO</vt:lpstr>
      <vt:lpstr>_OK</vt:lpstr>
      <vt:lpstr>Area</vt:lpstr>
      <vt:lpstr>INSTRUCCIONES!Área_de_impresión</vt:lpstr>
      <vt:lpstr>PROBLEMA!Área_de_impresión</vt:lpstr>
      <vt:lpstr>Area_Ver</vt:lpstr>
      <vt:lpstr>d_</vt:lpstr>
      <vt:lpstr>d_Ale</vt:lpstr>
      <vt:lpstr>D_Fijos</vt:lpstr>
      <vt:lpstr>D_Imprimir</vt:lpstr>
      <vt:lpstr>d_Ver</vt:lpstr>
      <vt:lpstr>Dato_FTP</vt:lpstr>
      <vt:lpstr>Descripcion_FTP</vt:lpstr>
      <vt:lpstr>Enunciado</vt:lpstr>
      <vt:lpstr>Enunciado_FTP</vt:lpstr>
      <vt:lpstr>Facil</vt:lpstr>
      <vt:lpstr>h_</vt:lpstr>
      <vt:lpstr>h_Ale</vt:lpstr>
      <vt:lpstr>h_Ver</vt:lpstr>
      <vt:lpstr>IMAGEN</vt:lpstr>
      <vt:lpstr>Imagen_FTP</vt:lpstr>
      <vt:lpstr>Imp_OK</vt:lpstr>
      <vt:lpstr>L_</vt:lpstr>
      <vt:lpstr>L_Ale</vt:lpstr>
      <vt:lpstr>L_Ver</vt:lpstr>
      <vt:lpstr>Lista_Datos</vt:lpstr>
      <vt:lpstr>Lista_Imagenes</vt:lpstr>
      <vt:lpstr>Multiplo_Img</vt:lpstr>
      <vt:lpstr>N_Figura</vt:lpstr>
      <vt:lpstr>N_Ini_D_FIjos</vt:lpstr>
      <vt:lpstr>N_Pb_Ale</vt:lpstr>
      <vt:lpstr>N_Preg_D_Fijos</vt:lpstr>
      <vt:lpstr>N_Preg_FTP</vt:lpstr>
      <vt:lpstr>N_Preg_FTP_Inicial</vt:lpstr>
      <vt:lpstr>Nombre_Archivo</vt:lpstr>
      <vt:lpstr>Nombre_Datos</vt:lpstr>
      <vt:lpstr>Nombre_FTP</vt:lpstr>
      <vt:lpstr>Nombre_Pb</vt:lpstr>
      <vt:lpstr>Nombre_Variable</vt:lpstr>
      <vt:lpstr>Perimetro</vt:lpstr>
      <vt:lpstr>Perimetro_Ver</vt:lpstr>
      <vt:lpstr>Preg_1</vt:lpstr>
      <vt:lpstr>Preg_1_FTP</vt:lpstr>
      <vt:lpstr>Preg_2</vt:lpstr>
      <vt:lpstr>Preg_2_FTP</vt:lpstr>
      <vt:lpstr>Preg_3</vt:lpstr>
      <vt:lpstr>Preg_3_FTP</vt:lpstr>
      <vt:lpstr>Preg_4</vt:lpstr>
      <vt:lpstr>Preg_4_FTP</vt:lpstr>
      <vt:lpstr>Resultado_1_FTP</vt:lpstr>
      <vt:lpstr>Resultado_2_FTP</vt:lpstr>
      <vt:lpstr>Resultado_3_FTP</vt:lpstr>
      <vt:lpstr>Resultado_4_FTP</vt:lpstr>
      <vt:lpstr>Resultados</vt:lpstr>
      <vt:lpstr>Salto</vt:lpstr>
      <vt:lpstr>SALTOS_FTP</vt:lpstr>
      <vt:lpstr>SALTOS_FTP_</vt:lpstr>
      <vt:lpstr>SI_NO</vt:lpstr>
      <vt:lpstr>Solu_ini</vt:lpstr>
      <vt:lpstr>SUB_CARPETA</vt:lpstr>
      <vt:lpstr>'DATOS FIJOS'!Títulos_a_imprimir</vt:lpstr>
      <vt:lpstr>INSTRUCCIONES!Títulos_a_imprimir</vt:lpstr>
      <vt:lpstr>PROBLEMA!Títulos_a_imprimir</vt:lpstr>
      <vt:lpstr>Ver_Datos</vt:lpstr>
      <vt:lpstr>Ver_Resultados</vt:lpstr>
      <vt:lpstr>Version</vt:lpstr>
      <vt:lpstr>Volumen</vt:lpstr>
      <vt:lpstr>Volumen_Ver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Milagros [Alazne] Huerta Gómez de Merodio</dc:creator>
  <cp:lastModifiedBy>Alazne Huerta Gómez de Merodio</cp:lastModifiedBy>
  <cp:lastPrinted>2024-01-05T19:33:26Z</cp:lastPrinted>
  <dcterms:created xsi:type="dcterms:W3CDTF">2023-06-22T15:17:01Z</dcterms:created>
  <dcterms:modified xsi:type="dcterms:W3CDTF">2024-12-28T12:31:27Z</dcterms:modified>
</cp:coreProperties>
</file>