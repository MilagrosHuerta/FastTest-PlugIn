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2"/>
  <workbookPr codeName="ThisWorkbook" defaultThemeVersion="166925"/>
  <mc:AlternateContent xmlns:mc="http://schemas.openxmlformats.org/markup-compatibility/2006">
    <mc:Choice Requires="x15">
      <x15ac:absPath xmlns:x15ac="http://schemas.microsoft.com/office/spreadsheetml/2010/11/ac" url="C:\AHGM\0. GITHUB\FTP_Privado\"/>
    </mc:Choice>
  </mc:AlternateContent>
  <xr:revisionPtr revIDLastSave="0" documentId="13_ncr:1_{69FBC280-EFF9-446E-A200-FE8A5C948A71}" xr6:coauthVersionLast="47" xr6:coauthVersionMax="47" xr10:uidLastSave="{00000000-0000-0000-0000-000000000000}"/>
  <bookViews>
    <workbookView xWindow="-93" yWindow="-93" windowWidth="19386" windowHeight="12986" tabRatio="891" activeTab="1" xr2:uid="{00000000-000D-0000-FFFF-FFFF00000000}"/>
  </bookViews>
  <sheets>
    <sheet name="INSTRUCTIONS" sheetId="7" r:id="rId1"/>
    <sheet name="PROBLEM" sheetId="1" r:id="rId2"/>
    <sheet name="FIXED DATA" sheetId="3" r:id="rId3"/>
    <sheet name="RESULTS - FTP" sheetId="5" r:id="rId4"/>
    <sheet name="HIDDEN" sheetId="2" r:id="rId5"/>
    <sheet name="FORMULA" sheetId="37" state="hidden" r:id="rId6"/>
    <sheet name="NAMES" sheetId="38" state="hidden" r:id="rId7"/>
    <sheet name="IMAGES" sheetId="4" state="hidden" r:id="rId8"/>
    <sheet name="LINKS" sheetId="6" state="hidden" r:id="rId9"/>
  </sheets>
  <definedNames>
    <definedName name="_NO">HIDDEN!$G$4</definedName>
    <definedName name="_OK">HIDDEN!$G$3</definedName>
    <definedName name="Area">PROBLEM!$M$4</definedName>
    <definedName name="_xlnm.Print_Area" localSheetId="0">INSTRUCTIONS!$A:$C</definedName>
    <definedName name="_xlnm.Print_Area" localSheetId="1">PROBLEM!$A:$N</definedName>
    <definedName name="Area_See">HIDDEN!$B$6</definedName>
    <definedName name="Break_FTP">HIDDEN!$F$3:$F$4</definedName>
    <definedName name="d_">PROBLEM!$C$11</definedName>
    <definedName name="D_Fijos">PROBLEM!$P$4</definedName>
    <definedName name="D_Fixed">PROBLEM!$P$4</definedName>
    <definedName name="D_Print">'FIXED DATA'!$K$3</definedName>
    <definedName name="d_Random">PROBLEM!$U$11</definedName>
    <definedName name="d_See">HIDDEN!$B$4</definedName>
    <definedName name="Data_FTP" comment="First row of data to be exported to FTP">PROBLEM!$U$6</definedName>
    <definedName name="Description">PROBLEM!$U$5</definedName>
    <definedName name="Easy">PROBLEM!$M$6</definedName>
    <definedName name="FIle_Name">PROBLEM!$P$1</definedName>
    <definedName name="h_">PROBLEM!$C$10</definedName>
    <definedName name="h_Random">PROBLEM!$U$10</definedName>
    <definedName name="h_See">HIDDEN!$B$3</definedName>
    <definedName name="IMAGE">T_D_FIXED[[#Headers],[Image]]</definedName>
    <definedName name="Image_FTP">'RESULTS - FTP'!$B$1</definedName>
    <definedName name="L_">PROBLEM!$C$9</definedName>
    <definedName name="L_Random">PROBLEM!$U$9</definedName>
    <definedName name="L_See">HIDDEN!$B$2</definedName>
    <definedName name="Line_Break">PROBLEM!$P$8</definedName>
    <definedName name="List_Data">T_D_FIXED[NAME]</definedName>
    <definedName name="List_Image">T_D_IMAGE[NAME]</definedName>
    <definedName name="Multiple_Img">'FIXED DATA'!$K$1</definedName>
    <definedName name="N_Figure">PROBLEM!$O$1</definedName>
    <definedName name="N_Path_Data">CELL("filename",T_D_FIXED[#All])</definedName>
    <definedName name="N_Path_Pb">CELL("filename",Statement)</definedName>
    <definedName name="N_Pb_Random">PROBLEM!$P$5</definedName>
    <definedName name="N_Preg_D_Fijos">'FIXED DATA'!$A$1</definedName>
    <definedName name="N_Question_FTP">PROBLEM!$Q$7</definedName>
    <definedName name="N_Question_FTP_Initial">PROBLEM!$P$7</definedName>
    <definedName name="N_Sheet_Data" comment="The name of the FIXED DATA SHEET in case someone changes it, for the IMAGES macro.">MID(N_Path_Data,FIND("]",N_Path_Data,1)+1,100)</definedName>
    <definedName name="N_Sheet_Pb">MID(N_Path_Pb,FIND("]",N_Path_Pb,1)+1,100)</definedName>
    <definedName name="N_Start_D_FIxed">PROBLEM!$S$8</definedName>
    <definedName name="Name_Data">PROBLEM!$P$6</definedName>
    <definedName name="Name_FTP">PROBLEM!$Q$4</definedName>
    <definedName name="Name_Pb">PROBLEM!$A$1</definedName>
    <definedName name="Name_Variable">'FIXED DATA'!$B$3</definedName>
    <definedName name="Nombre_FTP">PROBLEM!$Q$4</definedName>
    <definedName name="Perimeter">PROBLEM!$M$3</definedName>
    <definedName name="Perimeter_See">HIDDEN!$B$5</definedName>
    <definedName name="Print_OK">'FIXED DATA'!$M$4</definedName>
    <definedName name="Question_1">PROBLEM!$B$3</definedName>
    <definedName name="Question_1_FTP">'RESULTS - FTP'!$B$4</definedName>
    <definedName name="Question_2">PROBLEM!$B$4</definedName>
    <definedName name="Question_2_FTP">'RESULTS - FTP'!$B$5</definedName>
    <definedName name="Question_3">PROBLEM!$B$5</definedName>
    <definedName name="Question_3_FTP">'RESULTS - FTP'!$B$6</definedName>
    <definedName name="Question_4">PROBLEM!$B$6</definedName>
    <definedName name="Question_4_FTP">'RESULTS - FTP'!$B$7</definedName>
    <definedName name="Result_1_FTP">'RESULTS - FTP'!$C$4</definedName>
    <definedName name="Result_2_FTP">'RESULTS - FTP'!$C$5</definedName>
    <definedName name="Result_3_FTP">'RESULTS - FTP'!$C$6</definedName>
    <definedName name="Result_4_FTP">'RESULTS - FTP'!$C$7</definedName>
    <definedName name="Results">'FIXED DATA'!$J$3</definedName>
    <definedName name="Salto">PROBLEM!$P$8</definedName>
    <definedName name="SALTOS_FTP">HIDDEN!$F$3:$F$4</definedName>
    <definedName name="SALTOS_FTP_">#REF!</definedName>
    <definedName name="See_Data">PROBLEM!$P$2</definedName>
    <definedName name="See_Results">PROBLEM!$P$3</definedName>
    <definedName name="Solu_ini">'FIXED DATA'!$F$3</definedName>
    <definedName name="Statement">PROBLEM!$B$2</definedName>
    <definedName name="Statement_FTP">'RESULTS - FTP'!$B$3</definedName>
    <definedName name="SUB_FOLDER">PROBLEM!$Q$1</definedName>
    <definedName name="_xlnm.Print_Titles" localSheetId="2">'FIXED DATA'!$B:$B,'FIXED DATA'!$4:$4</definedName>
    <definedName name="_xlnm.Print_Titles" localSheetId="0">INSTRUCTIONS!$1:$1</definedName>
    <definedName name="_xlnm.Print_Titles" localSheetId="1">PROBLEM!$1:$1</definedName>
    <definedName name="URL_F" comment="End of the URL for FTP image">"""&gt;"</definedName>
    <definedName name="URL_Height" comment="Height for URL image in FTP">""" height="""</definedName>
    <definedName name="URL_I" comment="Initial URL for image in FTP">"&lt;img src="""</definedName>
    <definedName name="URL_W" comment="Width of the image for FTP URL">""" width="""</definedName>
    <definedName name="Version">'RESULTS - FTP'!$A$4</definedName>
    <definedName name="Volumen">PROBLEM!$M$5</definedName>
    <definedName name="Volumen_See">HIDDEN!$B$7</definedName>
    <definedName name="YES_NO">HIDDEN!$G$3:$G$4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 l="1" a="1"/>
  <c r="C11" i="1" s="1"/>
  <c r="C10" i="1" a="1"/>
  <c r="C10" i="1" s="1"/>
  <c r="C9" i="1" a="1"/>
  <c r="C9" i="1" s="1"/>
  <c r="C7" i="5"/>
  <c r="B7" i="5"/>
  <c r="H27" i="1"/>
  <c r="B25" i="1"/>
  <c r="M6" i="1"/>
  <c r="B5" i="5"/>
  <c r="B4" i="5"/>
  <c r="F2" i="6"/>
  <c r="C2" i="6"/>
  <c r="A1" i="7"/>
  <c r="Q7" i="1" a="1"/>
  <c r="Q7" i="1" s="1"/>
  <c r="U6" i="1" s="1" a="1"/>
  <c r="U6" i="1" s="1"/>
  <c r="N4" i="3"/>
  <c r="A5" i="3"/>
  <c r="A1" i="3" s="1"/>
  <c r="A6" i="3"/>
  <c r="A7" i="3"/>
  <c r="A8" i="3"/>
  <c r="A9" i="3"/>
  <c r="A10" i="3"/>
  <c r="A11" i="3"/>
  <c r="A12" i="3"/>
  <c r="A13" i="3"/>
  <c r="A14" i="3"/>
  <c r="A15" i="3"/>
  <c r="A16" i="3"/>
  <c r="A17" i="3"/>
  <c r="R1" i="1"/>
  <c r="K11" i="3"/>
  <c r="K5" i="3"/>
  <c r="K6" i="3"/>
  <c r="K7" i="3"/>
  <c r="K8" i="3"/>
  <c r="K9" i="3"/>
  <c r="K10" i="3"/>
  <c r="K12" i="3"/>
  <c r="K13" i="3"/>
  <c r="K14" i="3"/>
  <c r="K15" i="3"/>
  <c r="K16" i="3"/>
  <c r="K17" i="3"/>
  <c r="J3" i="3"/>
  <c r="B5" i="3"/>
  <c r="B6" i="3"/>
  <c r="B7" i="3"/>
  <c r="B8" i="3"/>
  <c r="B9" i="3"/>
  <c r="B10" i="3"/>
  <c r="B11" i="3"/>
  <c r="B12" i="3"/>
  <c r="B13" i="3"/>
  <c r="B14" i="3"/>
  <c r="B15" i="3"/>
  <c r="B16" i="3"/>
  <c r="B17" i="3"/>
  <c r="A3" i="5"/>
  <c r="A2" i="5"/>
  <c r="Q2" i="1" l="1"/>
  <c r="K3" i="3"/>
  <c r="U9" i="1" l="1"/>
  <c r="C3" i="3" a="1"/>
  <c r="C3" i="3" l="1"/>
  <c r="W10" i="1"/>
  <c r="B1" i="5" l="1"/>
  <c r="B2" i="2"/>
  <c r="B16" i="1"/>
  <c r="B19" i="1"/>
  <c r="U10" i="1" l="1"/>
  <c r="D3" i="3" a="1"/>
  <c r="B2" i="1" l="1"/>
  <c r="D3" i="3"/>
  <c r="W11" i="1"/>
  <c r="B15" i="2"/>
  <c r="M4" i="1" l="1"/>
  <c r="B3" i="2"/>
  <c r="M3" i="1"/>
  <c r="C4" i="5" s="1" a="1"/>
  <c r="C4" i="5" s="1"/>
  <c r="U11" i="1"/>
  <c r="E3" i="3" a="1"/>
  <c r="C5" i="5" l="1" a="1"/>
  <c r="C5" i="5" s="1"/>
  <c r="B5" i="1"/>
  <c r="H18" i="1"/>
  <c r="H21" i="1"/>
  <c r="B5" i="2"/>
  <c r="E3" i="3"/>
  <c r="B16" i="2"/>
  <c r="G3" i="3"/>
  <c r="B3" i="5"/>
  <c r="F3" i="3"/>
  <c r="B6" i="2"/>
  <c r="B6" i="5" l="1"/>
  <c r="B3" i="3"/>
  <c r="M5" i="1"/>
  <c r="B4" i="2"/>
  <c r="B14" i="2" s="1"/>
  <c r="C6" i="5" l="1" a="1"/>
  <c r="C6" i="5" s="1"/>
  <c r="B2" i="5" s="1"/>
  <c r="U5" i="1"/>
  <c r="A1" i="1"/>
  <c r="H24" i="1"/>
  <c r="H3" i="3"/>
  <c r="B22" i="1"/>
  <c r="B7" i="2"/>
  <c r="B17" i="2"/>
  <c r="B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Alazne Huerta Gómez de Merodio</author>
  </authors>
  <commentList>
    <comment ref="D1" authorId="0" shapeId="0" xr:uid="{D0C0152C-E389-4F87-A5C1-313049B1EB8D}">
      <text>
        <r>
          <rPr>
            <b/>
            <sz val="9"/>
            <color indexed="81"/>
            <rFont val="Tahoma"/>
            <family val="2"/>
          </rPr>
          <t>INDEX</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<sst xmlns="http://schemas.openxmlformats.org/spreadsheetml/2006/main" count="1203" uniqueCount="601">
  <si>
    <t xml:space="preserve"> cm </t>
  </si>
  <si>
    <t>.</t>
  </si>
  <si>
    <t xml:space="preserve">; </t>
  </si>
  <si>
    <t xml:space="preserve"> cm²</t>
  </si>
  <si>
    <t xml:space="preserve"> cm³</t>
  </si>
  <si>
    <t>L</t>
  </si>
  <si>
    <t>h</t>
  </si>
  <si>
    <t>d</t>
  </si>
  <si>
    <t xml:space="preserve">L = </t>
  </si>
  <si>
    <t xml:space="preserve">h = </t>
  </si>
  <si>
    <t xml:space="preserve">d = </t>
  </si>
  <si>
    <t>https://drive.google.com/file/d/1Pu7uZeNFGBEa8bnXxwqWxPcElTiA4Nd0/view?usp=drive_link</t>
  </si>
  <si>
    <t>ID</t>
  </si>
  <si>
    <t xml:space="preserve"> m²</t>
  </si>
  <si>
    <t xml:space="preserve"> m³</t>
  </si>
  <si>
    <t>m⁴</t>
  </si>
  <si>
    <t>↻ ↺ ↶ ↷ ← → ↖ ↗ ↑ ↓ ↕  ▽ ◁ ◀ ⁹  ⁶</t>
  </si>
  <si>
    <t>='[FastTest PlugIn.xlsm]Datos CL'!H1</t>
  </si>
  <si>
    <t>Volumen</t>
  </si>
  <si>
    <t>P</t>
  </si>
  <si>
    <t>A</t>
  </si>
  <si>
    <t>V</t>
  </si>
  <si>
    <t>SECC RECTANG</t>
  </si>
  <si>
    <t>1.1.</t>
  </si>
  <si>
    <t>1.3.</t>
  </si>
  <si>
    <t>1.8.</t>
  </si>
  <si>
    <t>1.2.</t>
  </si>
  <si>
    <t>1.4.</t>
  </si>
  <si>
    <t>1.5.</t>
  </si>
  <si>
    <t>1.6.</t>
  </si>
  <si>
    <t>1.7.</t>
  </si>
  <si>
    <t>1.9.</t>
  </si>
  <si>
    <t>2.1.</t>
  </si>
  <si>
    <t>2.2.</t>
  </si>
  <si>
    <t>2.3.</t>
  </si>
  <si>
    <t>3.1.</t>
  </si>
  <si>
    <t>3.2.</t>
  </si>
  <si>
    <t>3.3.</t>
  </si>
  <si>
    <t>3.4.</t>
  </si>
  <si>
    <t>4.1.</t>
  </si>
  <si>
    <t>5.1.</t>
  </si>
  <si>
    <t>6.1.</t>
  </si>
  <si>
    <t>6.2.</t>
  </si>
  <si>
    <t>&lt;br&gt;</t>
  </si>
  <si>
    <t>&lt;p&gt;</t>
  </si>
  <si>
    <t>Nº Ini Prg. FTP:</t>
  </si>
  <si>
    <t>Min</t>
  </si>
  <si>
    <t>Max</t>
  </si>
  <si>
    <t>IMAGEN</t>
  </si>
  <si>
    <t>_NO</t>
  </si>
  <si>
    <t>_OK</t>
  </si>
  <si>
    <t>Area</t>
  </si>
  <si>
    <t>d_</t>
  </si>
  <si>
    <t>h_</t>
  </si>
  <si>
    <t>L_</t>
  </si>
  <si>
    <t>Solu_ini</t>
  </si>
  <si>
    <t>URL_F</t>
  </si>
  <si>
    <t>URL_I</t>
  </si>
  <si>
    <t>URL_W</t>
  </si>
  <si>
    <t/>
  </si>
  <si>
    <t>=L_*h_</t>
  </si>
  <si>
    <t>=(L_+h_)*2</t>
  </si>
  <si>
    <t>=""" height="""</t>
  </si>
  <si>
    <t>="""&gt;"</t>
  </si>
  <si>
    <t>="&lt;img src=""http://drive.google.com/uc?export=view&amp;id="</t>
  </si>
  <si>
    <t>=""" width="""</t>
  </si>
  <si>
    <t>=Area*d_</t>
  </si>
  <si>
    <t>7.1.</t>
  </si>
  <si>
    <t>7.2.</t>
  </si>
  <si>
    <t>Range</t>
  </si>
  <si>
    <t>2,5</t>
  </si>
  <si>
    <t>4</t>
  </si>
  <si>
    <t>$A$1</t>
  </si>
  <si>
    <t>$A$2</t>
  </si>
  <si>
    <t>$A$3</t>
  </si>
  <si>
    <t>$A$4</t>
  </si>
  <si>
    <t>$A$5</t>
  </si>
  <si>
    <t>$A$6</t>
  </si>
  <si>
    <t>$A$7</t>
  </si>
  <si>
    <t>$A$8</t>
  </si>
  <si>
    <t>$A$9</t>
  </si>
  <si>
    <t>$A$10</t>
  </si>
  <si>
    <t>$A$11</t>
  </si>
  <si>
    <t>$A$12</t>
  </si>
  <si>
    <t>$A$13</t>
  </si>
  <si>
    <t>$A$14</t>
  </si>
  <si>
    <t>$A$15</t>
  </si>
  <si>
    <t>$A$16</t>
  </si>
  <si>
    <t>$A$17</t>
  </si>
  <si>
    <t>$B$3</t>
  </si>
  <si>
    <t>$B$4</t>
  </si>
  <si>
    <t>$B$5</t>
  </si>
  <si>
    <t>$B$6</t>
  </si>
  <si>
    <t>$B$7</t>
  </si>
  <si>
    <t>$B$8</t>
  </si>
  <si>
    <t>$B$9</t>
  </si>
  <si>
    <t>$B$10</t>
  </si>
  <si>
    <t>$B$11</t>
  </si>
  <si>
    <t>$B$13</t>
  </si>
  <si>
    <t>$B$14</t>
  </si>
  <si>
    <t>$B$15</t>
  </si>
  <si>
    <t>$B$17</t>
  </si>
  <si>
    <t>$B$18</t>
  </si>
  <si>
    <t>$B$19</t>
  </si>
  <si>
    <t>$B$22</t>
  </si>
  <si>
    <t>$B$1</t>
  </si>
  <si>
    <t>$B$2</t>
  </si>
  <si>
    <t>$B$16</t>
  </si>
  <si>
    <t>$C$8</t>
  </si>
  <si>
    <t>$C$9</t>
  </si>
  <si>
    <t>$C$10</t>
  </si>
  <si>
    <t>$M$3</t>
  </si>
  <si>
    <t>$M$4</t>
  </si>
  <si>
    <t>$O$2</t>
  </si>
  <si>
    <t>$O$3</t>
  </si>
  <si>
    <t>$O$4</t>
  </si>
  <si>
    <t>$O$5</t>
  </si>
  <si>
    <t>$O$6</t>
  </si>
  <si>
    <t>$O$7</t>
  </si>
  <si>
    <t>$O$8</t>
  </si>
  <si>
    <t>$O$9</t>
  </si>
  <si>
    <t>$O$10</t>
  </si>
  <si>
    <t>$P$2</t>
  </si>
  <si>
    <t>$P$5</t>
  </si>
  <si>
    <t>$P$6</t>
  </si>
  <si>
    <t>$P$7</t>
  </si>
  <si>
    <t>$P$8</t>
  </si>
  <si>
    <t>$P$9</t>
  </si>
  <si>
    <t>$P$10</t>
  </si>
  <si>
    <t>$Q$5</t>
  </si>
  <si>
    <t>$Q$6</t>
  </si>
  <si>
    <t>$Q$7</t>
  </si>
  <si>
    <t>$Q$8</t>
  </si>
  <si>
    <t>$Q$9</t>
  </si>
  <si>
    <t>$Q$10</t>
  </si>
  <si>
    <t>$C$2</t>
  </si>
  <si>
    <t>$C$3</t>
  </si>
  <si>
    <t>$C$4</t>
  </si>
  <si>
    <t>$C$5</t>
  </si>
  <si>
    <t>$C$6</t>
  </si>
  <si>
    <t>$D$2</t>
  </si>
  <si>
    <t>$D$3</t>
  </si>
  <si>
    <t>$D$4</t>
  </si>
  <si>
    <t>$D$5</t>
  </si>
  <si>
    <t>$D$6</t>
  </si>
  <si>
    <t>$E$1</t>
  </si>
  <si>
    <t>$F$2</t>
  </si>
  <si>
    <t>$F$3</t>
  </si>
  <si>
    <t>$F$4</t>
  </si>
  <si>
    <t>$F$14</t>
  </si>
  <si>
    <t>$F$15</t>
  </si>
  <si>
    <t>$G$2</t>
  </si>
  <si>
    <t>$G$3</t>
  </si>
  <si>
    <t>$G$4</t>
  </si>
  <si>
    <t>$I$1</t>
  </si>
  <si>
    <t>$I$2</t>
  </si>
  <si>
    <t>$I$3</t>
  </si>
  <si>
    <t>$I$4</t>
  </si>
  <si>
    <t>$I$5</t>
  </si>
  <si>
    <t>$J$2</t>
  </si>
  <si>
    <t>$J$3</t>
  </si>
  <si>
    <t>$J$4</t>
  </si>
  <si>
    <t>$B$12</t>
  </si>
  <si>
    <t>$C$1</t>
  </si>
  <si>
    <t>$C$7</t>
  </si>
  <si>
    <t>$C$11</t>
  </si>
  <si>
    <t>$C$12</t>
  </si>
  <si>
    <t>$C$13</t>
  </si>
  <si>
    <t>$C$14</t>
  </si>
  <si>
    <t>$C$15</t>
  </si>
  <si>
    <t>$C$16</t>
  </si>
  <si>
    <t>$C$17</t>
  </si>
  <si>
    <t>$D$1</t>
  </si>
  <si>
    <t>$D$7</t>
  </si>
  <si>
    <t>$D$8</t>
  </si>
  <si>
    <t>$D$9</t>
  </si>
  <si>
    <t>$D$10</t>
  </si>
  <si>
    <t>$D$11</t>
  </si>
  <si>
    <t>$D$12</t>
  </si>
  <si>
    <t>$D$13</t>
  </si>
  <si>
    <t>$D$14</t>
  </si>
  <si>
    <t>$D$15</t>
  </si>
  <si>
    <t>$D$16</t>
  </si>
  <si>
    <t>$D$17</t>
  </si>
  <si>
    <t>$E$2</t>
  </si>
  <si>
    <t>$E$3</t>
  </si>
  <si>
    <t>$E$4</t>
  </si>
  <si>
    <t>$E$5</t>
  </si>
  <si>
    <t>$E$6</t>
  </si>
  <si>
    <t>$E$7</t>
  </si>
  <si>
    <t>$E$8</t>
  </si>
  <si>
    <t>$E$9</t>
  </si>
  <si>
    <t>$E$10</t>
  </si>
  <si>
    <t>$E$11</t>
  </si>
  <si>
    <t>$E$12</t>
  </si>
  <si>
    <t>$E$13</t>
  </si>
  <si>
    <t>$E$14</t>
  </si>
  <si>
    <t>$E$15</t>
  </si>
  <si>
    <t>$E$16</t>
  </si>
  <si>
    <t>$E$17</t>
  </si>
  <si>
    <t>$F$1</t>
  </si>
  <si>
    <t>$F$5</t>
  </si>
  <si>
    <t>$F$6</t>
  </si>
  <si>
    <t>$F$7</t>
  </si>
  <si>
    <t>$F$8</t>
  </si>
  <si>
    <t>$F$9</t>
  </si>
  <si>
    <t>$F$10</t>
  </si>
  <si>
    <t>$F$11</t>
  </si>
  <si>
    <t>$F$12</t>
  </si>
  <si>
    <t>$F$13</t>
  </si>
  <si>
    <t>$F$16</t>
  </si>
  <si>
    <t>$F$17</t>
  </si>
  <si>
    <t>$G$1</t>
  </si>
  <si>
    <t>$G$5</t>
  </si>
  <si>
    <t>$G$6</t>
  </si>
  <si>
    <t>$G$7</t>
  </si>
  <si>
    <t>$G$8</t>
  </si>
  <si>
    <t>$G$9</t>
  </si>
  <si>
    <t>$G$10</t>
  </si>
  <si>
    <t>$G$11</t>
  </si>
  <si>
    <t>$G$12</t>
  </si>
  <si>
    <t>$G$13</t>
  </si>
  <si>
    <t>$G$14</t>
  </si>
  <si>
    <t>$G$15</t>
  </si>
  <si>
    <t>$G$16</t>
  </si>
  <si>
    <t>$G$17</t>
  </si>
  <si>
    <t>$H$1</t>
  </si>
  <si>
    <t>$H$2</t>
  </si>
  <si>
    <t>$H$4</t>
  </si>
  <si>
    <t>$J$1</t>
  </si>
  <si>
    <t>8.1.</t>
  </si>
  <si>
    <t>8.2.</t>
  </si>
  <si>
    <t>=" "&amp;L_&amp;" cm · "&amp;h_&amp;" cm = "&amp;Area&amp;" cm²"</t>
  </si>
  <si>
    <t>=CONCAT(A2:D4)</t>
  </si>
  <si>
    <t>=Area</t>
  </si>
  <si>
    <t>=Volumen</t>
  </si>
  <si>
    <t>3.5.</t>
  </si>
  <si>
    <t>4.2.</t>
  </si>
  <si>
    <t>1. PROBLEM</t>
  </si>
  <si>
    <t>2. HIDDEN</t>
  </si>
  <si>
    <t>3. FIXED DATA</t>
  </si>
  <si>
    <t>On this sheet, you will enter data and formulas that are not essential to have on the problem sheet.</t>
  </si>
  <si>
    <t>This sheet also contains the most "typical" formats that we will use in these types of problems, in case someone does not remember how to do them, as they can be taken from this sheet.</t>
  </si>
  <si>
    <t>5. IMAGES (hidden, in case you want to save a copy of the problem image)</t>
  </si>
  <si>
    <t>This sheet is for inserting any necessary images as a backup, allowing them to be reused as many times as necessary.</t>
  </si>
  <si>
    <t>6. LINKS (hidden, for saving the links where the images have been shared)</t>
  </si>
  <si>
    <t>7. NAMES (hidden, a list of the defined names in the sheet)</t>
  </si>
  <si>
    <t>8. FORMULAS (hidden, list of formulas and text containing the ENTIRE file)</t>
  </si>
  <si>
    <t>NOTE: ADD AS MANY SHEETS AS NECESSARY TO INCLUDE WHAT IS NOT CONTEMPLATED IN THESE INSTRUCTIONS.</t>
  </si>
  <si>
    <t>YES / NO</t>
  </si>
  <si>
    <t>YES</t>
  </si>
  <si>
    <t>NO</t>
  </si>
  <si>
    <t xml:space="preserve">Area = </t>
  </si>
  <si>
    <t xml:space="preserve">Volume = </t>
  </si>
  <si>
    <t>Random</t>
  </si>
  <si>
    <t>Multiple</t>
  </si>
  <si>
    <t>Data:</t>
  </si>
  <si>
    <t>The perimeter of the rectangle's face is the sum of its sides.</t>
  </si>
  <si>
    <t>The area of the rectangle's face is the product of its sides.</t>
  </si>
  <si>
    <t>The volume of the rectangle is the product of its area, multiplied by its depth.</t>
  </si>
  <si>
    <t>=HIDDEN!$G$4</t>
  </si>
  <si>
    <t>=HIDDEN!$G$3</t>
  </si>
  <si>
    <t>=PROBLEM!$M$3</t>
  </si>
  <si>
    <t>INSTRUCTIONS!Print_Area</t>
  </si>
  <si>
    <t>=INSTRUCTIONS!$A:$C</t>
  </si>
  <si>
    <t>PROBLEM!Print_Area</t>
  </si>
  <si>
    <t>Area_See</t>
  </si>
  <si>
    <t>=HIDDEN!$B$5</t>
  </si>
  <si>
    <t>Break_FTP</t>
  </si>
  <si>
    <t>=HIDDEN!$F$3:$F$4</t>
  </si>
  <si>
    <t>=PROBLEM!$C$10</t>
  </si>
  <si>
    <t>D_Fixed</t>
  </si>
  <si>
    <t>=PROBLEM!$P$4</t>
  </si>
  <si>
    <t>d_Random</t>
  </si>
  <si>
    <t>=PROBLEM!$O$10</t>
  </si>
  <si>
    <t>d_See</t>
  </si>
  <si>
    <t>=HIDDEN!$B$4</t>
  </si>
  <si>
    <t>=PROBLEM!$C$9</t>
  </si>
  <si>
    <t>h_Random</t>
  </si>
  <si>
    <t>=PROBLEM!$O$9</t>
  </si>
  <si>
    <t>h_See</t>
  </si>
  <si>
    <t>=HIDDEN!$B$3</t>
  </si>
  <si>
    <t>='RESULTS - FTP'!$C$1</t>
  </si>
  <si>
    <t>L_Random</t>
  </si>
  <si>
    <t>L_See</t>
  </si>
  <si>
    <t>=HIDDEN!$B$2</t>
  </si>
  <si>
    <t>Line_Break</t>
  </si>
  <si>
    <t>=PROBLEM!$P$3</t>
  </si>
  <si>
    <t>List_Data</t>
  </si>
  <si>
    <t>Multiple_Img</t>
  </si>
  <si>
    <t>='FIXED DATA'!$J$1</t>
  </si>
  <si>
    <t>N_Question_FTP</t>
  </si>
  <si>
    <t>=PROBLEM!$Q$6</t>
  </si>
  <si>
    <t>N_Question_FTP_Initial</t>
  </si>
  <si>
    <t>=PROBLEM!$P$6</t>
  </si>
  <si>
    <t>N_Sheet_Data</t>
  </si>
  <si>
    <t>N_Sheet_Pb</t>
  </si>
  <si>
    <t>Name_Data</t>
  </si>
  <si>
    <t>=PROBLEM!$P$5</t>
  </si>
  <si>
    <t>Perimeter</t>
  </si>
  <si>
    <t>Question_1</t>
  </si>
  <si>
    <t>=PROBLEM!$B$2</t>
  </si>
  <si>
    <t>=Line_Break&amp;"1) The perimeter of one face of the front rectangle."</t>
  </si>
  <si>
    <t>Question_1_FTP</t>
  </si>
  <si>
    <t>='RESULTS - FTP'!$B$3</t>
  </si>
  <si>
    <t>=Question_1&amp;" "</t>
  </si>
  <si>
    <t>Question_2</t>
  </si>
  <si>
    <t>=PROBLEM!$B$3</t>
  </si>
  <si>
    <t>=Line_Break&amp;"2) The area of the front rectangle face."</t>
  </si>
  <si>
    <t>Question_2_FTP</t>
  </si>
  <si>
    <t>='RESULTS - FTP'!$B$4</t>
  </si>
  <si>
    <t>=Question_2&amp;" "</t>
  </si>
  <si>
    <t>Question_3</t>
  </si>
  <si>
    <t>=PROBLEM!$B$4</t>
  </si>
  <si>
    <t>=Line_Break&amp;"3) The volume of the rectangular prism if it has a depth of d = "&amp;d_&amp;" cm."</t>
  </si>
  <si>
    <t>Question_3_FTP</t>
  </si>
  <si>
    <t>='RESULTS - FTP'!$B$5</t>
  </si>
  <si>
    <t>=Question_3&amp;" "</t>
  </si>
  <si>
    <t>Question_4</t>
  </si>
  <si>
    <t>Result_1_FTP</t>
  </si>
  <si>
    <t>='RESULTS - FTP'!$C$3</t>
  </si>
  <si>
    <t>Result_2_FTP</t>
  </si>
  <si>
    <t>='RESULTS - FTP'!$C$4</t>
  </si>
  <si>
    <t>Result_3_FTP</t>
  </si>
  <si>
    <t>='RESULTS - FTP'!$C$5</t>
  </si>
  <si>
    <t>See_Data</t>
  </si>
  <si>
    <t>See_Results</t>
  </si>
  <si>
    <t>=PROBLEM!$P$2</t>
  </si>
  <si>
    <t>='FIXED DATA'!$E$3</t>
  </si>
  <si>
    <t>=Perimeter</t>
  </si>
  <si>
    <t>Statement</t>
  </si>
  <si>
    <t>="To practice geometry data, solve the following exercise. We have a rectangle with a length L =  "&amp;L_&amp;" cm and height h = "&amp;h_&amp;" cm. "&amp;Line_Break&amp;"
Calculate the following:"</t>
  </si>
  <si>
    <t>Statement_FTP</t>
  </si>
  <si>
    <t>='RESULTS - FTP'!$B$2</t>
  </si>
  <si>
    <t>=Statement</t>
  </si>
  <si>
    <t>SUB_FOLDER</t>
  </si>
  <si>
    <t>='FIXED DATA'!$I$1</t>
  </si>
  <si>
    <t>FIXED DATA'!Print_Titles</t>
  </si>
  <si>
    <t>='FIXED DATA'!$A:$A;'FIXED DATA'!$4:$4</t>
  </si>
  <si>
    <t>INSTRUCTIONS!Print_Titles</t>
  </si>
  <si>
    <t>=INSTRUCTIONS!$1:$1</t>
  </si>
  <si>
    <t>URL_Height</t>
  </si>
  <si>
    <t>=PROBLEM!$M$4</t>
  </si>
  <si>
    <t>Volumen_See</t>
  </si>
  <si>
    <t>=HIDDEN!$B$6</t>
  </si>
  <si>
    <t>YES_NO</t>
  </si>
  <si>
    <t>=HIDDEN!$G$3:$G$4</t>
  </si>
  <si>
    <t>📃</t>
  </si>
  <si>
    <r>
      <t xml:space="preserve">Write the </t>
    </r>
    <r>
      <rPr>
        <b/>
        <sz val="11"/>
        <color rgb="FF005877"/>
        <rFont val="Calibri"/>
        <family val="2"/>
        <scheme val="minor"/>
      </rPr>
      <t xml:space="preserve">STATEMENT </t>
    </r>
    <r>
      <rPr>
        <sz val="11"/>
        <color rgb="FF005877"/>
        <rFont val="Calibri"/>
        <family val="2"/>
        <scheme val="minor"/>
      </rPr>
      <t xml:space="preserve">with the data from the same data sheet as the problem. In cell B1, named "Statement," combine the cells in the row. To manage cell names, press </t>
    </r>
    <r>
      <rPr>
        <b/>
        <sz val="11"/>
        <color rgb="FF005877"/>
        <rFont val="Calibri"/>
        <family val="2"/>
        <scheme val="minor"/>
      </rPr>
      <t>Ctrl + F3</t>
    </r>
    <r>
      <rPr>
        <sz val="11"/>
        <color rgb="FF005877"/>
        <rFont val="Calibri"/>
        <family val="2"/>
        <scheme val="minor"/>
      </rPr>
      <t>.</t>
    </r>
  </si>
  <si>
    <r>
      <t xml:space="preserve">If the problem has multiple </t>
    </r>
    <r>
      <rPr>
        <b/>
        <sz val="11"/>
        <color rgb="FF005877"/>
        <rFont val="Calibri"/>
        <family val="2"/>
        <scheme val="minor"/>
      </rPr>
      <t>QUESTIONS</t>
    </r>
    <r>
      <rPr>
        <sz val="11"/>
        <color rgb="FF005877"/>
        <rFont val="Calibri"/>
        <family val="2"/>
        <scheme val="minor"/>
      </rPr>
      <t xml:space="preserve">, write them in the corresponding cells (B2, B3, ...) and give them the </t>
    </r>
    <r>
      <rPr>
        <b/>
        <sz val="11"/>
        <color rgb="FF005877"/>
        <rFont val="Calibri"/>
        <family val="2"/>
        <scheme val="minor"/>
      </rPr>
      <t>consecutive names</t>
    </r>
    <r>
      <rPr>
        <sz val="11"/>
        <color rgb="FF005877"/>
        <rFont val="Calibri"/>
        <family val="2"/>
        <scheme val="minor"/>
      </rPr>
      <t xml:space="preserve"> "Question_1," "Question_2," etc. Insert as many rows as necessary. These cells should be merged across the entire row, except for the last cell, which will be used to indicate the result (and named accordingly).</t>
    </r>
  </si>
  <si>
    <r>
      <t xml:space="preserve">To the right of each question, enter the </t>
    </r>
    <r>
      <rPr>
        <b/>
        <sz val="11"/>
        <color rgb="FF005877"/>
        <rFont val="Calibri"/>
        <family val="2"/>
        <scheme val="minor"/>
      </rPr>
      <t>RESULT</t>
    </r>
    <r>
      <rPr>
        <sz val="11"/>
        <color rgb="FF005877"/>
        <rFont val="Calibri"/>
        <family val="2"/>
        <scheme val="minor"/>
      </rPr>
      <t xml:space="preserve"> if the answer to the question is a single result. If the formula is simple, enter it in the same cell; if not, make it equal to the cell where the result is located.</t>
    </r>
  </si>
  <si>
    <r>
      <t xml:space="preserve">This sheet is prepared with a </t>
    </r>
    <r>
      <rPr>
        <b/>
        <sz val="11"/>
        <color rgb="FF005877"/>
        <rFont val="Calibri"/>
        <family val="2"/>
        <scheme val="minor"/>
      </rPr>
      <t xml:space="preserve">first and last column </t>
    </r>
    <r>
      <rPr>
        <sz val="11"/>
        <color rgb="FF005877"/>
        <rFont val="Calibri"/>
        <family val="2"/>
        <scheme val="minor"/>
      </rPr>
      <t xml:space="preserve">to adjust the total size. It then has </t>
    </r>
    <r>
      <rPr>
        <b/>
        <sz val="11"/>
        <color rgb="FF005877"/>
        <rFont val="Calibri"/>
        <family val="2"/>
        <scheme val="minor"/>
      </rPr>
      <t xml:space="preserve">10 intermediate columns </t>
    </r>
    <r>
      <rPr>
        <sz val="11"/>
        <color rgb="FF005877"/>
        <rFont val="Calibri"/>
        <family val="2"/>
        <scheme val="minor"/>
      </rPr>
      <t>of equal dimensions to play with the format, combining cells.</t>
    </r>
  </si>
  <si>
    <t>FIGURE_PROBLEM</t>
  </si>
  <si>
    <r>
      <t xml:space="preserve">Next, enter the </t>
    </r>
    <r>
      <rPr>
        <b/>
        <sz val="11"/>
        <color rgb="FF005877"/>
        <rFont val="Calibri"/>
        <family val="2"/>
        <scheme val="minor"/>
      </rPr>
      <t>calculations</t>
    </r>
    <r>
      <rPr>
        <sz val="11"/>
        <color rgb="FF005877"/>
        <rFont val="Calibri"/>
        <family val="2"/>
        <scheme val="minor"/>
      </rPr>
      <t xml:space="preserve">, explanations, the </t>
    </r>
    <r>
      <rPr>
        <b/>
        <sz val="11"/>
        <color rgb="FF005877"/>
        <rFont val="Calibri"/>
        <family val="2"/>
        <scheme val="minor"/>
      </rPr>
      <t>Figure</t>
    </r>
    <r>
      <rPr>
        <sz val="11"/>
        <color rgb="FF005877"/>
        <rFont val="Calibri"/>
        <family val="2"/>
        <scheme val="minor"/>
      </rPr>
      <t xml:space="preserve"> (named "FIGURE_PROBLEM" once grouped), and everything </t>
    </r>
    <r>
      <rPr>
        <b/>
        <sz val="11"/>
        <color rgb="FF005877"/>
        <rFont val="Calibri"/>
        <family val="2"/>
        <scheme val="minor"/>
      </rPr>
      <t>necessary</t>
    </r>
    <r>
      <rPr>
        <sz val="11"/>
        <color rgb="FF005877"/>
        <rFont val="Calibri"/>
        <family val="2"/>
        <scheme val="minor"/>
      </rPr>
      <t xml:space="preserve"> to </t>
    </r>
    <r>
      <rPr>
        <b/>
        <sz val="11"/>
        <color rgb="FF005877"/>
        <rFont val="Calibri"/>
        <family val="2"/>
        <scheme val="minor"/>
      </rPr>
      <t>solve the problem</t>
    </r>
    <r>
      <rPr>
        <sz val="11"/>
        <color rgb="FF005877"/>
        <rFont val="Calibri"/>
        <family val="2"/>
        <scheme val="minor"/>
      </rPr>
      <t xml:space="preserve">. Intermediate data that does not need to be shown on this sheet should be indicated in the </t>
    </r>
    <r>
      <rPr>
        <b/>
        <sz val="11"/>
        <color rgb="FF005877"/>
        <rFont val="Calibri"/>
        <family val="2"/>
        <scheme val="minor"/>
      </rPr>
      <t>HIDDEN</t>
    </r>
    <r>
      <rPr>
        <sz val="11"/>
        <color rgb="FF005877"/>
        <rFont val="Calibri"/>
        <family val="2"/>
        <scheme val="minor"/>
      </rPr>
      <t xml:space="preserve"> sheet. Rows for each section should be grouped for easy hiding. All </t>
    </r>
    <r>
      <rPr>
        <b/>
        <sz val="11"/>
        <color rgb="FF005877"/>
        <rFont val="Calibri"/>
        <family val="2"/>
        <scheme val="minor"/>
      </rPr>
      <t>rows</t>
    </r>
    <r>
      <rPr>
        <sz val="11"/>
        <color rgb="FF005877"/>
        <rFont val="Calibri"/>
        <family val="2"/>
        <scheme val="minor"/>
      </rPr>
      <t xml:space="preserve"> for the problem should be </t>
    </r>
    <r>
      <rPr>
        <b/>
        <sz val="11"/>
        <color rgb="FF005877"/>
        <rFont val="Calibri"/>
        <family val="2"/>
        <scheme val="minor"/>
      </rPr>
      <t>grouped</t>
    </r>
    <r>
      <rPr>
        <sz val="11"/>
        <color rgb="FF005877"/>
        <rFont val="Calibri"/>
        <family val="2"/>
        <scheme val="minor"/>
      </rPr>
      <t xml:space="preserve"> as well.</t>
    </r>
  </si>
  <si>
    <r>
      <t xml:space="preserve">The cells </t>
    </r>
    <r>
      <rPr>
        <b/>
        <sz val="11"/>
        <color rgb="FF005877"/>
        <rFont val="Calibri"/>
        <family val="2"/>
        <scheme val="minor"/>
      </rPr>
      <t>See Data/See Result</t>
    </r>
    <r>
      <rPr>
        <sz val="11"/>
        <color rgb="FF005877"/>
        <rFont val="Calibri"/>
        <family val="2"/>
        <scheme val="minor"/>
      </rPr>
      <t xml:space="preserve"> (YES/NO) are to indicate whether to display the data/results in the Figure of the problem (which must be named "</t>
    </r>
    <r>
      <rPr>
        <b/>
        <sz val="11"/>
        <color rgb="FF005877"/>
        <rFont val="Calibri"/>
        <family val="2"/>
        <scheme val="minor"/>
      </rPr>
      <t>FIGURE_PROBLEM</t>
    </r>
    <r>
      <rPr>
        <sz val="11"/>
        <color rgb="FF005877"/>
        <rFont val="Calibri"/>
        <family val="2"/>
        <scheme val="minor"/>
      </rPr>
      <t>" to save them in the DATA table). For this, the Figure's data must reference the cell in the HIDDEN sheet. These values will have a formula to show or hide the results, depending on the option selected in the "See_Results" cell.</t>
    </r>
  </si>
  <si>
    <r>
      <t xml:space="preserve">The </t>
    </r>
    <r>
      <rPr>
        <b/>
        <sz val="11"/>
        <color rgb="FF005877"/>
        <rFont val="Calibri"/>
        <family val="2"/>
        <scheme val="minor"/>
      </rPr>
      <t>Fixed Data</t>
    </r>
    <r>
      <rPr>
        <sz val="11"/>
        <color rgb="FF005877"/>
        <rFont val="Calibri"/>
        <family val="2"/>
        <scheme val="minor"/>
      </rPr>
      <t xml:space="preserve"> cell (YES/NO) indicates whether the data should be FIXED from the FIXED DATA sheet or if RANDOM VALUES configured for the problem should be used. For fixed values, fill in the data in the </t>
    </r>
    <r>
      <rPr>
        <b/>
        <sz val="11"/>
        <color rgb="FF005877"/>
        <rFont val="Calibri"/>
        <family val="2"/>
        <scheme val="minor"/>
      </rPr>
      <t xml:space="preserve">FIXED DATA </t>
    </r>
    <r>
      <rPr>
        <sz val="11"/>
        <color rgb="FF005877"/>
        <rFont val="Calibri"/>
        <family val="2"/>
        <scheme val="minor"/>
      </rPr>
      <t xml:space="preserve">sheet's TABLE, and </t>
    </r>
    <r>
      <rPr>
        <b/>
        <sz val="11"/>
        <color rgb="FF005877"/>
        <rFont val="Calibri"/>
        <family val="2"/>
        <scheme val="minor"/>
      </rPr>
      <t>select</t>
    </r>
    <r>
      <rPr>
        <sz val="11"/>
        <color rgb="FF005877"/>
        <rFont val="Calibri"/>
        <family val="2"/>
        <scheme val="minor"/>
      </rPr>
      <t xml:space="preserve"> the data to work with from the drop-down list "Lista Datos." The cell is named "</t>
    </r>
    <r>
      <rPr>
        <i/>
        <sz val="11"/>
        <color rgb="FF005877"/>
        <rFont val="Calibri"/>
        <family val="2"/>
        <scheme val="minor"/>
      </rPr>
      <t>Name_Data</t>
    </r>
    <r>
      <rPr>
        <sz val="11"/>
        <color rgb="FF005877"/>
        <rFont val="Calibri"/>
        <family val="2"/>
        <scheme val="minor"/>
      </rPr>
      <t>". If random data is desired, indicate "NO" in "Fixed Data" and enter the value intervals to use. Cells for random data will have the same name as the variable but ending in "_Random".</t>
    </r>
  </si>
  <si>
    <r>
      <t xml:space="preserve">If line breaks for </t>
    </r>
    <r>
      <rPr>
        <b/>
        <sz val="11"/>
        <color rgb="FF005877"/>
        <rFont val="Calibri"/>
        <family val="2"/>
        <scheme val="minor"/>
      </rPr>
      <t xml:space="preserve">FastTest PlugIn </t>
    </r>
    <r>
      <rPr>
        <sz val="11"/>
        <color rgb="FF005877"/>
        <rFont val="Calibri"/>
        <family val="2"/>
        <scheme val="minor"/>
      </rPr>
      <t xml:space="preserve">are desired in the statement, select the </t>
    </r>
    <r>
      <rPr>
        <b/>
        <sz val="11"/>
        <color rgb="FF005877"/>
        <rFont val="Calibri"/>
        <family val="2"/>
        <scheme val="minor"/>
      </rPr>
      <t>line break</t>
    </r>
    <r>
      <rPr>
        <sz val="11"/>
        <color rgb="FF005877"/>
        <rFont val="Calibri"/>
        <family val="2"/>
        <scheme val="minor"/>
      </rPr>
      <t xml:space="preserve"> type (&lt;br&gt; for a small break and &lt;p&gt; for a large break) in the "</t>
    </r>
    <r>
      <rPr>
        <b/>
        <sz val="11"/>
        <color rgb="FF005877"/>
        <rFont val="Calibri"/>
        <family val="2"/>
        <scheme val="minor"/>
      </rPr>
      <t>Line_Break</t>
    </r>
    <r>
      <rPr>
        <sz val="11"/>
        <color rgb="FF005877"/>
        <rFont val="Calibri"/>
        <family val="2"/>
        <scheme val="minor"/>
      </rPr>
      <t>" cell. Concatenate this cell in the statement. If line breaks were added but not wanted in the PDF, simply delete the data in the "Line_Break" cell.</t>
    </r>
  </si>
  <si>
    <r>
      <t>To export all the stored data to FastTest PlugIn, enter "=</t>
    </r>
    <r>
      <rPr>
        <i/>
        <sz val="11"/>
        <color rgb="FF005877"/>
        <rFont val="Calibri"/>
        <family val="2"/>
        <scheme val="minor"/>
      </rPr>
      <t>Data_FTP</t>
    </r>
    <r>
      <rPr>
        <sz val="11"/>
        <color rgb="FF005877"/>
        <rFont val="Calibri"/>
        <family val="2"/>
        <scheme val="minor"/>
      </rPr>
      <t xml:space="preserve">" in the </t>
    </r>
    <r>
      <rPr>
        <b/>
        <sz val="11"/>
        <color rgb="FF005877"/>
        <rFont val="Calibri"/>
        <family val="2"/>
        <scheme val="minor"/>
      </rPr>
      <t>Fixed_Data</t>
    </r>
    <r>
      <rPr>
        <sz val="11"/>
        <color rgb="FF005877"/>
        <rFont val="Calibri"/>
        <family val="2"/>
        <scheme val="minor"/>
      </rPr>
      <t xml:space="preserve"> cell (to display the corresponding data) and write the initial FTP question number in </t>
    </r>
    <r>
      <rPr>
        <b/>
        <sz val="11"/>
        <color rgb="FF005877"/>
        <rFont val="Calibri"/>
        <family val="2"/>
        <scheme val="minor"/>
      </rPr>
      <t>N_Preg_FTP_Initial</t>
    </r>
    <r>
      <rPr>
        <sz val="11"/>
        <color rgb="FF005877"/>
        <rFont val="Calibri"/>
        <family val="2"/>
        <scheme val="minor"/>
      </rPr>
      <t xml:space="preserve"> to make it a </t>
    </r>
    <r>
      <rPr>
        <b/>
        <sz val="11"/>
        <color rgb="FF005877"/>
        <rFont val="Calibri"/>
        <family val="2"/>
        <scheme val="minor"/>
      </rPr>
      <t>constant value</t>
    </r>
    <r>
      <rPr>
        <sz val="11"/>
        <color rgb="FF005877"/>
        <rFont val="Calibri"/>
        <family val="2"/>
        <scheme val="minor"/>
      </rPr>
      <t>. The first value would be the one in the right cell.</t>
    </r>
  </si>
  <si>
    <t>The data shown in the figures should be placed in cells with the same name as the result that will be displayed but with the suffix "_See".</t>
  </si>
  <si>
    <r>
      <rPr>
        <b/>
        <sz val="11"/>
        <color rgb="FF005877"/>
        <rFont val="Calibri"/>
        <family val="2"/>
        <scheme val="minor"/>
      </rPr>
      <t xml:space="preserve">Row 2 </t>
    </r>
    <r>
      <rPr>
        <sz val="11"/>
        <color rgb="FF005877"/>
        <rFont val="Calibri"/>
        <family val="2"/>
        <scheme val="minor"/>
      </rPr>
      <t xml:space="preserve">indicates the </t>
    </r>
    <r>
      <rPr>
        <b/>
        <sz val="11"/>
        <color rgb="FF005877"/>
        <rFont val="Calibri"/>
        <family val="2"/>
        <scheme val="minor"/>
      </rPr>
      <t xml:space="preserve">COLUMN </t>
    </r>
    <r>
      <rPr>
        <sz val="11"/>
        <color rgb="FF005877"/>
        <rFont val="Calibri"/>
        <family val="2"/>
        <scheme val="minor"/>
      </rPr>
      <t>where the data will be searched when the PROBLEM sheet specifies that the data should be FIXED, and one is selected from the drop-down list. A consecutive number starting from 1.</t>
    </r>
  </si>
  <si>
    <r>
      <rPr>
        <b/>
        <sz val="11"/>
        <color rgb="FF005877"/>
        <rFont val="Calibri"/>
        <family val="2"/>
        <scheme val="minor"/>
      </rPr>
      <t>Row 3</t>
    </r>
    <r>
      <rPr>
        <sz val="11"/>
        <color rgb="FF005877"/>
        <rFont val="Calibri"/>
        <family val="2"/>
        <scheme val="minor"/>
      </rPr>
      <t>, for the data columns, refers to the cells with random data in the PROBLEM sheet. If the names of the random data cells are configured correctly, the formula is the same for all variable data. Then, the columns with the results are equal to the result of each section. This is assuming you want to visualize the results based on the input data.</t>
    </r>
  </si>
  <si>
    <r>
      <rPr>
        <b/>
        <sz val="11"/>
        <color rgb="FF005877"/>
        <rFont val="Calibri"/>
        <family val="2"/>
        <scheme val="minor"/>
      </rPr>
      <t>Rows 1 to 3</t>
    </r>
    <r>
      <rPr>
        <sz val="11"/>
        <color rgb="FF005877"/>
        <rFont val="Calibri"/>
        <family val="2"/>
        <scheme val="minor"/>
      </rPr>
      <t xml:space="preserve"> will be hidden once the table with the necessary data for the data table is configured.</t>
    </r>
  </si>
  <si>
    <r>
      <t xml:space="preserve">This sheet is for inserting the necessary codes to transfer the problem to Moodle using </t>
    </r>
    <r>
      <rPr>
        <b/>
        <sz val="11"/>
        <color rgb="FFE87B00"/>
        <rFont val="Calibri"/>
        <family val="2"/>
        <scheme val="minor"/>
      </rPr>
      <t>FastTest PlugIn</t>
    </r>
    <r>
      <rPr>
        <sz val="11"/>
        <color rgb="FF005877"/>
        <rFont val="Calibri"/>
        <family val="2"/>
        <scheme val="minor"/>
      </rPr>
      <t>. It will be used primarily when there is a lot of data, and it is not easy to do it directly with FTP. Many identical problems with different images can be created.</t>
    </r>
  </si>
  <si>
    <t>Data for the figures</t>
  </si>
  <si>
    <t>Data for dropdown menus</t>
  </si>
  <si>
    <t>Formats / Special Symbols</t>
  </si>
  <si>
    <t>Concatenation of data when there are many in the statement.</t>
  </si>
  <si>
    <t>For versions from 2019 onwards (included)</t>
  </si>
  <si>
    <t>For versions before 2016 (included)</t>
  </si>
  <si>
    <t>BREAK</t>
  </si>
  <si>
    <t>NAME</t>
  </si>
  <si>
    <t>Side</t>
  </si>
  <si>
    <t>Height</t>
  </si>
  <si>
    <t>Depth</t>
  </si>
  <si>
    <t>Volume</t>
  </si>
  <si>
    <t>Image</t>
  </si>
  <si>
    <t>IMAGE →</t>
  </si>
  <si>
    <t>Rectangular Prism</t>
  </si>
  <si>
    <t>Link</t>
  </si>
  <si>
    <t>Width</t>
  </si>
  <si>
    <t>FTP URL</t>
  </si>
  <si>
    <t>Data_FTP</t>
  </si>
  <si>
    <t>IMAGE</t>
  </si>
  <si>
    <t>Image_FTP</t>
  </si>
  <si>
    <t>=T_DATA_FIXED[NAME]</t>
  </si>
  <si>
    <t>List_Image</t>
  </si>
  <si>
    <t>=T_DATA_IMAGE[NAME]</t>
  </si>
  <si>
    <t>N_Path_Data</t>
  </si>
  <si>
    <t>N_Path_Pb</t>
  </si>
  <si>
    <t>="{1:NM:~%100%"&amp;Perimeter&amp;":"&amp;MIN(Perimeter*2/100;5)&amp;"#¡Very well!}"&amp;" cm"</t>
  </si>
  <si>
    <t>="{1:NM:~%100%"&amp;Area&amp;":"&amp;MIN(Area*2/100;10)&amp;"#¡Very well!}"&amp;" cm²"</t>
  </si>
  <si>
    <t>="{1:NM:~%100%"&amp;Volumen&amp;":"&amp;MIN(Volumen*2/100;10)&amp;"#¡Very well!}"&amp;" cm³"</t>
  </si>
  <si>
    <t>PROBLEM</t>
  </si>
  <si>
    <t>=Question_1</t>
  </si>
  <si>
    <t>=Question_2</t>
  </si>
  <si>
    <t>=Question_3</t>
  </si>
  <si>
    <t>=" ("&amp;L_&amp;" cm + "&amp;h_&amp;" cm) · 2 = "&amp;Perimeter&amp;" cm"</t>
  </si>
  <si>
    <t>=L_Random*0,9</t>
  </si>
  <si>
    <t>=h_Random/4</t>
  </si>
  <si>
    <t>HIDDEN</t>
  </si>
  <si>
    <t>FIXED DATA</t>
  </si>
  <si>
    <t>RESULTS - FTP</t>
  </si>
  <si>
    <t>="Fixed Data: "&amp;D_Fixed</t>
  </si>
  <si>
    <t>="Break: "&amp;Line_Break</t>
  </si>
  <si>
    <t>LINKS</t>
  </si>
  <si>
    <t>=URL_I&amp;[@ID]&amp;URL_W&amp;[@Width]&amp;URL_Height&amp;[@Height]&amp;URL_F</t>
  </si>
  <si>
    <t>Defined Name</t>
  </si>
  <si>
    <t>TEXT Reference</t>
  </si>
  <si>
    <t>TEXT Formula</t>
  </si>
  <si>
    <t>Type</t>
  </si>
  <si>
    <t>N_Figure</t>
  </si>
  <si>
    <t>Sheet</t>
  </si>
  <si>
    <t>Cell</t>
  </si>
  <si>
    <t>Formula</t>
  </si>
  <si>
    <t>Value</t>
  </si>
  <si>
    <t>Cell Name</t>
  </si>
  <si>
    <t>4. RESULTADOS FTP</t>
  </si>
  <si>
    <t>5. IMAGES</t>
  </si>
  <si>
    <t>6. LINKS</t>
  </si>
  <si>
    <t>7. NAMES</t>
  </si>
  <si>
    <t>8. FORMULA</t>
  </si>
  <si>
    <t>4. RESULTS - FTP (for preparing problems for Moodle with FastTest PlugIn)</t>
  </si>
  <si>
    <r>
      <rPr>
        <b/>
        <sz val="11"/>
        <color rgb="FF005877"/>
        <rFont val="Calibri"/>
        <family val="2"/>
        <scheme val="minor"/>
      </rPr>
      <t xml:space="preserve">Row 1 </t>
    </r>
    <r>
      <rPr>
        <sz val="11"/>
        <color rgb="FF005877"/>
        <rFont val="Calibri"/>
        <family val="2"/>
        <scheme val="minor"/>
      </rPr>
      <t xml:space="preserve">will have the </t>
    </r>
    <r>
      <rPr>
        <b/>
        <sz val="11"/>
        <color rgb="FF005877"/>
        <rFont val="Calibri"/>
        <family val="2"/>
        <scheme val="minor"/>
      </rPr>
      <t xml:space="preserve">SYMBOLS </t>
    </r>
    <r>
      <rPr>
        <sz val="11"/>
        <color rgb="FF005877"/>
        <rFont val="Calibri"/>
        <family val="2"/>
        <scheme val="minor"/>
      </rPr>
      <t>of the data located to the left of the cell containing the data to be displayed (without the "=" sign). In the "</t>
    </r>
    <r>
      <rPr>
        <b/>
        <i/>
        <sz val="11"/>
        <color rgb="FFE87B00"/>
        <rFont val="Calibri"/>
        <family val="2"/>
        <scheme val="minor"/>
      </rPr>
      <t>SUB_FOLDER</t>
    </r>
    <r>
      <rPr>
        <sz val="11"/>
        <color rgb="FF005877"/>
        <rFont val="Calibri"/>
        <family val="2"/>
        <scheme val="minor"/>
      </rPr>
      <t>" cell, on the far right of row 1 and in yellow, write the name of the subfolder in which you want to save the images (in case you want to use the corresponding macro ""). The next cell, "</t>
    </r>
    <r>
      <rPr>
        <b/>
        <i/>
        <sz val="11"/>
        <color rgb="FFE87B00"/>
        <rFont val="Calibri"/>
        <family val="2"/>
        <scheme val="minor"/>
      </rPr>
      <t>Multiple_Img</t>
    </r>
    <r>
      <rPr>
        <i/>
        <sz val="11"/>
        <color rgb="FFE87B00"/>
        <rFont val="Calibri"/>
        <family val="2"/>
        <scheme val="minor"/>
      </rPr>
      <t>,</t>
    </r>
    <r>
      <rPr>
        <sz val="11"/>
        <color rgb="FF005877"/>
        <rFont val="Calibri"/>
        <family val="2"/>
        <scheme val="minor"/>
      </rPr>
      <t>" indicates the scale at which you want to export the image. Conduct tests to determine the appropriate size. To save the images, run the "</t>
    </r>
    <r>
      <rPr>
        <b/>
        <i/>
        <sz val="11"/>
        <color rgb="FFE87B00"/>
        <rFont val="Calibri"/>
        <family val="2"/>
        <scheme val="minor"/>
      </rPr>
      <t>Images_Save_Fixed_Data</t>
    </r>
    <r>
      <rPr>
        <sz val="11"/>
        <color rgb="FF005877"/>
        <rFont val="Calibri"/>
        <family val="2"/>
        <scheme val="minor"/>
      </rPr>
      <t>" macro.</t>
    </r>
  </si>
  <si>
    <r>
      <t xml:space="preserve">Insert as many columns as necessary. For </t>
    </r>
    <r>
      <rPr>
        <b/>
        <sz val="11"/>
        <color rgb="FF005877"/>
        <rFont val="Calibri"/>
        <family val="2"/>
        <scheme val="minor"/>
      </rPr>
      <t>DATA</t>
    </r>
    <r>
      <rPr>
        <sz val="11"/>
        <color rgb="FF005877"/>
        <rFont val="Calibri"/>
        <family val="2"/>
        <scheme val="minor"/>
      </rPr>
      <t xml:space="preserve"> columns, </t>
    </r>
    <r>
      <rPr>
        <b/>
        <sz val="11"/>
        <color rgb="FF005877"/>
        <rFont val="Calibri"/>
        <family val="2"/>
        <scheme val="minor"/>
      </rPr>
      <t xml:space="preserve">insert </t>
    </r>
    <r>
      <rPr>
        <sz val="11"/>
        <color rgb="FF005877"/>
        <rFont val="Calibri"/>
        <family val="2"/>
        <scheme val="minor"/>
      </rPr>
      <t xml:space="preserve">columns </t>
    </r>
    <r>
      <rPr>
        <b/>
        <sz val="11"/>
        <color rgb="FF005877"/>
        <rFont val="Calibri"/>
        <family val="2"/>
        <scheme val="minor"/>
      </rPr>
      <t xml:space="preserve">before column D </t>
    </r>
    <r>
      <rPr>
        <sz val="11"/>
        <color rgb="FF005877"/>
        <rFont val="Calibri"/>
        <family val="2"/>
        <scheme val="minor"/>
      </rPr>
      <t xml:space="preserve">(the last one in DATA). For </t>
    </r>
    <r>
      <rPr>
        <b/>
        <sz val="11"/>
        <color rgb="FF005877"/>
        <rFont val="Calibri"/>
        <family val="2"/>
        <scheme val="minor"/>
      </rPr>
      <t xml:space="preserve">SOLUTIONS </t>
    </r>
    <r>
      <rPr>
        <sz val="11"/>
        <color rgb="FF005877"/>
        <rFont val="Calibri"/>
        <family val="2"/>
        <scheme val="minor"/>
      </rPr>
      <t xml:space="preserve">columns, insert them </t>
    </r>
    <r>
      <rPr>
        <b/>
        <sz val="11"/>
        <color rgb="FF005877"/>
        <rFont val="Calibri"/>
        <family val="2"/>
        <scheme val="minor"/>
      </rPr>
      <t xml:space="preserve">before column G </t>
    </r>
    <r>
      <rPr>
        <sz val="11"/>
        <color rgb="FF005877"/>
        <rFont val="Calibri"/>
        <family val="2"/>
        <scheme val="minor"/>
      </rPr>
      <t>(the last one before the IMAGE column). SOLUTIONS should preferably be in formulas in case any data changes. If the formulas with the calculations are in row 3, you can paste the results using the "</t>
    </r>
    <r>
      <rPr>
        <b/>
        <i/>
        <sz val="11"/>
        <color rgb="FFE87B00"/>
        <rFont val="Calibri"/>
        <family val="2"/>
        <scheme val="minor"/>
      </rPr>
      <t>Paste_Results</t>
    </r>
    <r>
      <rPr>
        <sz val="11"/>
        <color rgb="FF005877"/>
        <rFont val="Calibri"/>
        <family val="2"/>
        <scheme val="minor"/>
      </rPr>
      <t>" macro.</t>
    </r>
  </si>
  <si>
    <r>
      <t>The names of the cells where the statement, questions, and answers are located should be named the same but ending in "</t>
    </r>
    <r>
      <rPr>
        <b/>
        <i/>
        <sz val="11"/>
        <color rgb="FFE87B00"/>
        <rFont val="Calibri"/>
        <family val="2"/>
        <scheme val="minor"/>
      </rPr>
      <t>_FTP</t>
    </r>
    <r>
      <rPr>
        <sz val="11"/>
        <color rgb="FF005877"/>
        <rFont val="Calibri"/>
        <family val="2"/>
        <scheme val="minor"/>
      </rPr>
      <t xml:space="preserve">". To generate codes for CLOZE-type questions, if you are unsure about the encoding, you can use the code generator provided by the </t>
    </r>
    <r>
      <rPr>
        <b/>
        <i/>
        <sz val="11"/>
        <color rgb="FFE87B00"/>
        <rFont val="Calibri"/>
        <family val="2"/>
        <scheme val="minor"/>
      </rPr>
      <t xml:space="preserve">FastTest PlugIn </t>
    </r>
    <r>
      <rPr>
        <sz val="11"/>
        <color rgb="FF005877"/>
        <rFont val="Calibri"/>
        <family val="2"/>
        <scheme val="minor"/>
      </rPr>
      <t>application.</t>
    </r>
  </si>
  <si>
    <r>
      <t xml:space="preserve">This sheet is for </t>
    </r>
    <r>
      <rPr>
        <b/>
        <sz val="11"/>
        <color rgb="FF005877"/>
        <rFont val="Calibri"/>
        <family val="2"/>
        <scheme val="minor"/>
      </rPr>
      <t xml:space="preserve">INSERTING THE NAMES </t>
    </r>
    <r>
      <rPr>
        <sz val="11"/>
        <color rgb="FF005877"/>
        <rFont val="Calibri"/>
        <family val="2"/>
        <scheme val="minor"/>
      </rPr>
      <t>that are defined in the file, using the macro called "</t>
    </r>
    <r>
      <rPr>
        <b/>
        <i/>
        <sz val="11"/>
        <color rgb="FFE87B00"/>
        <rFont val="Calibri"/>
        <family val="2"/>
        <scheme val="minor"/>
      </rPr>
      <t>List_Defined_Names</t>
    </r>
    <r>
      <rPr>
        <sz val="11"/>
        <color rgb="FF005877"/>
        <rFont val="Calibri"/>
        <family val="2"/>
        <scheme val="minor"/>
      </rPr>
      <t>". It displays the name, the cell it references, and the formula or text it contains. Some names are mandatory for everything to work properly. It is advisable not to change them, and they CANNOT BE DELETED. If they were deleted, they can be recovered with the corresponding macro. Other names created for each sheet can also be generated with another macro. Macros are recommended to be in each individual's personal sheet to avoid having them in all files of this type that are generated. If defined names have been deleted, you can recover them with the "</t>
    </r>
    <r>
      <rPr>
        <b/>
        <i/>
        <sz val="11"/>
        <color rgb="FFE87B00"/>
        <rFont val="Calibri"/>
        <family val="2"/>
        <scheme val="minor"/>
      </rPr>
      <t>Create_Defined_Names_from_Sheet</t>
    </r>
    <r>
      <rPr>
        <sz val="11"/>
        <color rgb="FF005877"/>
        <rFont val="Calibri"/>
        <family val="2"/>
        <scheme val="minor"/>
      </rPr>
      <t>" macro, as long as they haven't been deleted on this sheet.</t>
    </r>
  </si>
  <si>
    <r>
      <t xml:space="preserve">Names that do not have "Range" in </t>
    </r>
    <r>
      <rPr>
        <b/>
        <sz val="11"/>
        <color rgb="FF005877"/>
        <rFont val="Calibri"/>
        <family val="2"/>
        <scheme val="minor"/>
      </rPr>
      <t>TYPE</t>
    </r>
    <r>
      <rPr>
        <sz val="11"/>
        <color rgb="FF005877"/>
        <rFont val="Calibri"/>
        <family val="2"/>
        <scheme val="minor"/>
      </rPr>
      <t xml:space="preserve"> are not referenced to any cell or table in the sheet; they are </t>
    </r>
    <r>
      <rPr>
        <b/>
        <sz val="11"/>
        <color rgb="FF005877"/>
        <rFont val="Calibri"/>
        <family val="2"/>
        <scheme val="minor"/>
      </rPr>
      <t xml:space="preserve">INTERNAL DATA </t>
    </r>
    <r>
      <rPr>
        <sz val="11"/>
        <color rgb="FF005877"/>
        <rFont val="Calibri"/>
        <family val="2"/>
        <scheme val="minor"/>
      </rPr>
      <t xml:space="preserve">in the file and </t>
    </r>
    <r>
      <rPr>
        <b/>
        <sz val="11"/>
        <color rgb="FF005877"/>
        <rFont val="Calibri"/>
        <family val="2"/>
        <scheme val="minor"/>
      </rPr>
      <t>CANNOT BE DELETED</t>
    </r>
    <r>
      <rPr>
        <sz val="11"/>
        <color rgb="FF005877"/>
        <rFont val="Calibri"/>
        <family val="2"/>
        <scheme val="minor"/>
      </rPr>
      <t>.</t>
    </r>
  </si>
  <si>
    <r>
      <t xml:space="preserve">This sheet is for </t>
    </r>
    <r>
      <rPr>
        <b/>
        <sz val="11"/>
        <color rgb="FF005877"/>
        <rFont val="Calibri"/>
        <family val="2"/>
        <scheme val="minor"/>
      </rPr>
      <t xml:space="preserve">INSERTING THE FORMULAS </t>
    </r>
    <r>
      <rPr>
        <sz val="11"/>
        <color rgb="FF005877"/>
        <rFont val="Calibri"/>
        <family val="2"/>
        <scheme val="minor"/>
      </rPr>
      <t>contained in this workbook. It shows the sheet, the cell it references, and the formula or text it contains. This way, if any formula or text is deleted, it can be recovered. With the macro "</t>
    </r>
    <r>
      <rPr>
        <b/>
        <i/>
        <sz val="11"/>
        <color rgb="FFE87B00"/>
        <rFont val="Calibri"/>
        <family val="2"/>
        <scheme val="minor"/>
      </rPr>
      <t>Save_Formulas_Values</t>
    </r>
    <r>
      <rPr>
        <sz val="11"/>
        <color rgb="FF005877"/>
        <rFont val="Calibri"/>
        <family val="2"/>
        <scheme val="minor"/>
      </rPr>
      <t xml:space="preserve">", the formulas/data created are updated and saved when the file is modified. </t>
    </r>
  </si>
  <si>
    <r>
      <t>The macro "</t>
    </r>
    <r>
      <rPr>
        <b/>
        <i/>
        <sz val="11"/>
        <color rgb="FFE87B00"/>
        <rFont val="Calibri"/>
        <family val="2"/>
        <scheme val="minor"/>
      </rPr>
      <t>Last_Cell_per_SHEETS</t>
    </r>
    <r>
      <rPr>
        <sz val="11"/>
        <color rgb="FF005877"/>
        <rFont val="Calibri"/>
        <family val="2"/>
        <scheme val="minor"/>
      </rPr>
      <t xml:space="preserve">" is used to find the last cell with content in each sheet of the workbook. If the cell is in a row or column far from the last data, it is advisable to fix it to make the file take up less space and avoid any problems. </t>
    </r>
  </si>
  <si>
    <t>View Results</t>
  </si>
  <si>
    <t>Line Break</t>
  </si>
  <si>
    <t>Fixed Data</t>
  </si>
  <si>
    <t>Data List</t>
  </si>
  <si>
    <t>View Data</t>
  </si>
  <si>
    <t xml:space="preserve">Prism_Rec </t>
  </si>
  <si>
    <t>3.6.</t>
  </si>
  <si>
    <r>
      <t>If you want to convert all the problems with the data on this sheet to PDF, you can do so using the "</t>
    </r>
    <r>
      <rPr>
        <b/>
        <i/>
        <sz val="11"/>
        <color rgb="FFE87B00"/>
        <rFont val="Calibri"/>
        <family val="2"/>
        <scheme val="minor"/>
      </rPr>
      <t>PRINT_PDF</t>
    </r>
    <r>
      <rPr>
        <sz val="11"/>
        <color rgb="FF005877"/>
        <rFont val="Calibri"/>
        <family val="2"/>
        <scheme val="minor"/>
      </rPr>
      <t xml:space="preserve">" macro. The name of the file you want it to be saved with should be entered in the </t>
    </r>
    <r>
      <rPr>
        <b/>
        <sz val="11"/>
        <color rgb="FF005877"/>
        <rFont val="Calibri"/>
        <family val="2"/>
        <scheme val="minor"/>
      </rPr>
      <t>File_Name</t>
    </r>
    <r>
      <rPr>
        <sz val="11"/>
        <color rgb="FF005877"/>
        <rFont val="Calibri"/>
        <family val="2"/>
        <scheme val="minor"/>
      </rPr>
      <t xml:space="preserve"> cell.</t>
    </r>
  </si>
  <si>
    <t>PRINT</t>
  </si>
  <si>
    <t>N_Pb</t>
  </si>
  <si>
    <t>Prism_Rec 050x10x10</t>
  </si>
  <si>
    <t>$B$20</t>
  </si>
  <si>
    <t>$B$23</t>
  </si>
  <si>
    <t>$H$18</t>
  </si>
  <si>
    <t>$H$21</t>
  </si>
  <si>
    <t>$H$24</t>
  </si>
  <si>
    <t>$M$5</t>
  </si>
  <si>
    <t>$O$11</t>
  </si>
  <si>
    <t>$P$3</t>
  </si>
  <si>
    <t>$P$11</t>
  </si>
  <si>
    <t>$Q$2</t>
  </si>
  <si>
    <t>$Q$11</t>
  </si>
  <si>
    <t>$R$5</t>
  </si>
  <si>
    <t>$R$6</t>
  </si>
  <si>
    <t>$R$7</t>
  </si>
  <si>
    <t>$R$8</t>
  </si>
  <si>
    <t>$R$9</t>
  </si>
  <si>
    <t>$R$10</t>
  </si>
  <si>
    <t>$R$11</t>
  </si>
  <si>
    <t>FIle_Name</t>
  </si>
  <si>
    <t>Results</t>
  </si>
  <si>
    <t>$I$9</t>
  </si>
  <si>
    <t>Print_OK</t>
  </si>
  <si>
    <t>=MAX(T_DATA_FIXED[N_Pb])</t>
  </si>
  <si>
    <t>D_Print</t>
  </si>
  <si>
    <t>$J$5</t>
  </si>
  <si>
    <t>$J$6</t>
  </si>
  <si>
    <t>$J$7</t>
  </si>
  <si>
    <t>$J$8</t>
  </si>
  <si>
    <t>$J$9</t>
  </si>
  <si>
    <t>$J$10</t>
  </si>
  <si>
    <t>$J$11</t>
  </si>
  <si>
    <t>$J$12</t>
  </si>
  <si>
    <t>$J$13</t>
  </si>
  <si>
    <t>$J$14</t>
  </si>
  <si>
    <t>$J$15</t>
  </si>
  <si>
    <t>$J$16</t>
  </si>
  <si>
    <t>$J$17</t>
  </si>
  <si>
    <t>=PROBLEM!$A:$N</t>
  </si>
  <si>
    <t>=PROBLEM!$C$11</t>
  </si>
  <si>
    <t>='FIXED DATA'!$J$3</t>
  </si>
  <si>
    <t>=PROBLEM!$O$11</t>
  </si>
  <si>
    <t>='FIXED DATA'!$I$2</t>
  </si>
  <si>
    <t>=PROBLEM!$Q$2</t>
  </si>
  <si>
    <t>=PROBLEM!$Q$7</t>
  </si>
  <si>
    <t>=PROBLEM!$P$7</t>
  </si>
  <si>
    <t>Nombre_Datos</t>
  </si>
  <si>
    <t>='FIXED DATA'!$J$2</t>
  </si>
  <si>
    <t>=PROBLEM!$B$5</t>
  </si>
  <si>
    <t>='FIXED DATA'!$I$3</t>
  </si>
  <si>
    <t>PROBLEM!Print_Titles</t>
  </si>
  <si>
    <t>=PROBLEM!$1:$1</t>
  </si>
  <si>
    <t>=PROBLEM!$M$5</t>
  </si>
  <si>
    <t>X</t>
  </si>
  <si>
    <t>Nº Random</t>
  </si>
  <si>
    <t>=IF(D_Fixed=_OK;TEXT(VLOOKUP(Name_Data;T_DATA_FIXED;COLUMN(T_DATA_FIXED[[#Headers];[N_Pb]]);0);IF(D_Print&gt;99;"000";IF(D_Print&gt;9;"00";"0")))&amp;" - "&amp;Name_Data;"Aleatory - "&amp;'FIXED DATA'!A3)</t>
  </si>
  <si>
    <t>Name_Pb</t>
  </si>
  <si>
    <t>=IF(D_Fixed=_OK;VLOOKUP(Name_Data;T_DATA_FIXED;HLOOKUP(B9;'FIXED DATA'!$1:$2;2;0);0);O9)</t>
  </si>
  <si>
    <t>=IF(D_Fixed=_OK;VLOOKUP(Name_Data;T_DATA_FIXED;HLOOKUP(B10;'FIXED DATA'!$1:$2;2;0);0);O10)</t>
  </si>
  <si>
    <t>=IF(D_Fixed=_OK;VLOOKUP(Name_Data;T_DATA_FIXED;HLOOKUP(B11;'FIXED DATA'!$1:$2;2;0);0);O11)</t>
  </si>
  <si>
    <t>=" "&amp;Area&amp;" cm² · "&amp;d_&amp;" cm = "&amp;TEXT(Volumen;"#.###")&amp;" cm³"</t>
  </si>
  <si>
    <t>=MROUND(RANDBETWEEN(P9;Q9);R9)</t>
  </si>
  <si>
    <t>=MROUND(RANDBETWEEN(P10;Q10);R10)</t>
  </si>
  <si>
    <t>=MROUND(RANDBETWEEN(P11;Q11);R11)</t>
  </si>
  <si>
    <t>$Q$3</t>
  </si>
  <si>
    <t>$Q$4</t>
  </si>
  <si>
    <t>N_Pb_Random</t>
  </si>
  <si>
    <t>=IF(D_Fixed=_NO;'FIXED DATA'!A3;"")</t>
  </si>
  <si>
    <t>=INDEX(T_DATA_FIXED[NAME];N_Question_FTP-N_Question_FTP_Initial+1)</t>
  </si>
  <si>
    <t>=FORMULATEXT(Data_FTP)</t>
  </si>
  <si>
    <t>=IF(See_Data=_OK;L_;"Longitud")</t>
  </si>
  <si>
    <t>=IF(See_Data=_OK;h_;"h")</t>
  </si>
  <si>
    <t>=IF(See_Data=_OK;d_;"d")</t>
  </si>
  <si>
    <t>=IF(See_Results=_OK;Area;"")</t>
  </si>
  <si>
    <t>=IF(See_Results=_OK;Volumen;"")</t>
  </si>
  <si>
    <t>=CONCATENATE(A2;B2;C2;D2)</t>
  </si>
  <si>
    <t>=CONCATENATE(A3;B3;C3;D3)</t>
  </si>
  <si>
    <t>=CONCATENATE(A4;B4;C4;D4)</t>
  </si>
  <si>
    <t>=CONCATENATE(B15;B16;B17)</t>
  </si>
  <si>
    <t>=FIle_Name&amp;TEXT(B3;"000")&amp;"x"&amp;TEXT(C3;"00")&amp;"x"&amp;TEXT(D3;"00")</t>
  </si>
  <si>
    <t>=FIle_Name&amp;TEXT(B5;"000")&amp;"x"&amp;TEXT(C5;"00")&amp;"x"&amp;TEXT(D5;"00")</t>
  </si>
  <si>
    <t>=FIle_Name&amp;TEXT(B6;"000")&amp;"x"&amp;TEXT(C6;"00")&amp;"x"&amp;TEXT(D6;"00")</t>
  </si>
  <si>
    <t>=FIle_Name&amp;TEXT(B7;"000")&amp;"x"&amp;TEXT(C7;"00")&amp;"x"&amp;TEXT(D7;"00")</t>
  </si>
  <si>
    <t>=FIle_Name&amp;TEXT(B8;"000")&amp;"x"&amp;TEXT(C8;"00")&amp;"x"&amp;TEXT(D8;"00")</t>
  </si>
  <si>
    <t>=FIle_Name&amp;TEXT(B9;"000")&amp;"x"&amp;TEXT(C9;"00")&amp;"x"&amp;TEXT(D9;"00")</t>
  </si>
  <si>
    <t>=FIle_Name&amp;TEXT(B10;"000")&amp;"x"&amp;TEXT(C10;"00")&amp;"x"&amp;TEXT(D10;"00")</t>
  </si>
  <si>
    <t>=FIle_Name&amp;TEXT(B11;"000")&amp;"x"&amp;TEXT(C11;"00")&amp;"x"&amp;TEXT(D11;"00")</t>
  </si>
  <si>
    <t>=FIle_Name&amp;TEXT(B12;"000")&amp;"x"&amp;TEXT(C12;"00")&amp;"x"&amp;TEXT(D12;"00")</t>
  </si>
  <si>
    <t>=FIle_Name&amp;TEXT(B13;"000")&amp;"x"&amp;TEXT(C13;"00")&amp;"x"&amp;TEXT(D13;"00")</t>
  </si>
  <si>
    <t>=FIle_Name&amp;TEXT(B14;"000")&amp;"x"&amp;TEXT(C14;"00")&amp;"x"&amp;TEXT(D14;"00")</t>
  </si>
  <si>
    <t>=FIle_Name&amp;TEXT(B15;"000")&amp;"x"&amp;TEXT(C15;"00")&amp;"x"&amp;TEXT(D15;"00")</t>
  </si>
  <si>
    <t>=FIle_Name&amp;TEXT(B16;"000")&amp;"x"&amp;TEXT(C16;"00")&amp;"x"&amp;TEXT(D16;"00")</t>
  </si>
  <si>
    <t>=FIle_Name&amp;TEXT(B17;"000")&amp;"x"&amp;TEXT(C17;"00")&amp;"x"&amp;TEXT(D17;"00")</t>
  </si>
  <si>
    <t>=INDIRECT(B1&amp;"_Random")</t>
  </si>
  <si>
    <t>=INDIRECT(C1&amp;"_Random")</t>
  </si>
  <si>
    <t>=INDIRECT(D1&amp;"_Random")</t>
  </si>
  <si>
    <t>=IF(See_Results=_OK;PROBLEM!O3;"NO "&amp;PROBLEM!O3)</t>
  </si>
  <si>
    <t>=IF($J$2=_OK;ROW()-ROW(T_DATA_FIXED[[#Headers];[N_Pb]]);IF([@PRINT]="";0;COUNTA($I$5:I5)))</t>
  </si>
  <si>
    <t>=IF($J$2=_OK;ROW()-ROW(T_DATA_FIXED[[#Headers];[N_Pb]]);IF([@PRINT]="";0;COUNTA($I$5:I6)))</t>
  </si>
  <si>
    <t>=IF($J$2=_OK;ROW()-ROW(T_DATA_FIXED[[#Headers];[N_Pb]]);IF([@PRINT]="";0;COUNTA($I$5:I7)))</t>
  </si>
  <si>
    <t>=IF($J$2=_OK;ROW()-ROW(T_DATA_FIXED[[#Headers];[N_Pb]]);IF([@PRINT]="";0;COUNTA($I$5:I8)))</t>
  </si>
  <si>
    <t>=IF($J$2=_OK;ROW()-ROW(T_DATA_FIXED[[#Headers];[N_Pb]]);IF([@PRINT]="";0;COUNTA($I$5:I9)))</t>
  </si>
  <si>
    <t>=IF($J$2=_OK;ROW()-ROW(T_DATA_FIXED[[#Headers];[N_Pb]]);IF([@PRINT]="";0;COUNTA($I$5:I10)))</t>
  </si>
  <si>
    <t>=IF($J$2=_OK;ROW()-ROW(T_DATA_FIXED[[#Headers];[N_Pb]]);IF([@PRINT]="";0;COUNTA($I$5:I11)))</t>
  </si>
  <si>
    <t>=IF($J$2=_OK;ROW()-ROW(T_DATA_FIXED[[#Headers];[N_Pb]]);IF([@PRINT]="";0;COUNTA($I$5:I12)))</t>
  </si>
  <si>
    <t>=IF($J$2=_OK;ROW()-ROW(T_DATA_FIXED[[#Headers];[N_Pb]]);IF([@PRINT]="";0;COUNTA($I$5:I13)))</t>
  </si>
  <si>
    <t>=IF($J$2=_OK;ROW()-ROW(T_DATA_FIXED[[#Headers];[N_Pb]]);IF([@PRINT]="";0;COUNTA($I$5:I14)))</t>
  </si>
  <si>
    <t>=IF($J$2=_OK;ROW()-ROW(T_DATA_FIXED[[#Headers];[N_Pb]]);IF([@PRINT]="";0;COUNTA($I$5:I15)))</t>
  </si>
  <si>
    <t>=IF($J$2=_OK;ROW()-ROW(T_DATA_FIXED[[#Headers];[N_Pb]]);IF([@PRINT]="";0;COUNTA($I$5:I16)))</t>
  </si>
  <si>
    <t>=IF($J$2=_OK;ROW()-ROW(T_DATA_FIXED[[#Headers];[N_Pb]]);IF([@PRINT]="";0;COUNTA($I$5:I17)))</t>
  </si>
  <si>
    <t>=IFERROR(VLOOKUP(B1;T_DATA_IMAGE;COLUMNS(T_DATA_IMAGE);0);"")</t>
  </si>
  <si>
    <t>=MID(B2;33;33)</t>
  </si>
  <si>
    <t>=T_DATA_FIXED[[#Headers];[Image]]</t>
  </si>
  <si>
    <t>=CELL("filename";T_DATA_FIXED[#All])</t>
  </si>
  <si>
    <t>=CELL("filename";Statement)</t>
  </si>
  <si>
    <t>=PROBLEM!$Q$4</t>
  </si>
  <si>
    <t>10</t>
  </si>
  <si>
    <t>=MID(N_Path_Data;FIND("]";N_Path_Data;1)+1;100)</t>
  </si>
  <si>
    <t>=MID(N_Path_Pb;FIND("]";N_Path_Pb;1)+1;100)</t>
  </si>
  <si>
    <t>=PROBLEM!$A$1</t>
  </si>
  <si>
    <t>=PROBLEM!#REF!</t>
  </si>
  <si>
    <t>Perimeter =</t>
  </si>
  <si>
    <t xml:space="preserve"> cm</t>
  </si>
  <si>
    <t>V1.2</t>
  </si>
  <si>
    <t>Nº Pb Random to print</t>
  </si>
  <si>
    <t>FastTest PlugIn</t>
  </si>
  <si>
    <t>Nº</t>
  </si>
  <si>
    <t>Name</t>
  </si>
  <si>
    <t>Nº Start Prg. FTP:</t>
  </si>
  <si>
    <t>Initial Number to Export of FIXED DATA</t>
  </si>
  <si>
    <t>Prism_Rec 020x05x05</t>
  </si>
  <si>
    <t>https://i.ibb.co/qMW1Ssz/Prisma-rectangular.png</t>
  </si>
  <si>
    <r>
      <t xml:space="preserve">The data to enter includes: </t>
    </r>
    <r>
      <rPr>
        <b/>
        <sz val="11"/>
        <color rgb="FF005877"/>
        <rFont val="Calibri"/>
        <family val="2"/>
        <scheme val="minor"/>
      </rPr>
      <t>NAME</t>
    </r>
    <r>
      <rPr>
        <sz val="11"/>
        <color rgb="FF005877"/>
        <rFont val="Calibri"/>
        <family val="2"/>
        <scheme val="minor"/>
      </rPr>
      <t xml:space="preserve">, </t>
    </r>
    <r>
      <rPr>
        <b/>
        <sz val="11"/>
        <color rgb="FF005877"/>
        <rFont val="Calibri"/>
        <family val="2"/>
        <scheme val="minor"/>
      </rPr>
      <t xml:space="preserve">URL </t>
    </r>
    <r>
      <rPr>
        <sz val="11"/>
        <color rgb="FF005877"/>
        <rFont val="Calibri"/>
        <family val="2"/>
        <scheme val="minor"/>
      </rPr>
      <t xml:space="preserve">of the image in the IMGBB account and SIZES . For the image size, it is advisable to enter only the </t>
    </r>
    <r>
      <rPr>
        <b/>
        <sz val="11"/>
        <color rgb="FF005877"/>
        <rFont val="Calibri"/>
        <family val="2"/>
        <scheme val="minor"/>
      </rPr>
      <t>WIDTH</t>
    </r>
    <r>
      <rPr>
        <sz val="11"/>
        <color rgb="FF005877"/>
        <rFont val="Calibri"/>
        <family val="2"/>
        <scheme val="minor"/>
      </rPr>
      <t xml:space="preserve"> or </t>
    </r>
    <r>
      <rPr>
        <b/>
        <sz val="11"/>
        <color rgb="FF005877"/>
        <rFont val="Calibri"/>
        <family val="2"/>
        <scheme val="minor"/>
      </rPr>
      <t>HEIGHT</t>
    </r>
    <r>
      <rPr>
        <sz val="11"/>
        <color rgb="FF005877"/>
        <rFont val="Calibri"/>
        <family val="2"/>
        <scheme val="minor"/>
      </rPr>
      <t>. If one of the two is left blank, the other value defaults, and the image is not distorted.</t>
    </r>
  </si>
  <si>
    <t>Name_Image</t>
  </si>
  <si>
    <t>%100%</t>
  </si>
  <si>
    <t>~%95%</t>
  </si>
  <si>
    <t>~%85%</t>
  </si>
  <si>
    <t>~%-10%</t>
  </si>
  <si>
    <t xml:space="preserve"> </t>
  </si>
  <si>
    <t>NM</t>
  </si>
  <si>
    <t>cm</t>
  </si>
  <si>
    <t>cm²</t>
  </si>
  <si>
    <t>cm³</t>
  </si>
  <si>
    <t>MC</t>
  </si>
  <si>
    <t>#¡Very good!</t>
  </si>
  <si>
    <t>#Good, but be careful with rounding.</t>
  </si>
  <si>
    <t>#Approximate value, but not exact.</t>
  </si>
  <si>
    <t>#Incorrect, check the calculations.</t>
  </si>
  <si>
    <t>⇐ FEEDBACK</t>
  </si>
  <si>
    <t>NAME VALUE</t>
  </si>
  <si>
    <t>% tolerance</t>
  </si>
  <si>
    <t>⇐ % NUMERICAL SCORES</t>
  </si>
  <si>
    <t>TOLERANCE
2</t>
  </si>
  <si>
    <t>TOLERANCE
3</t>
  </si>
  <si>
    <t>TOLERANCE
1</t>
  </si>
  <si>
    <t>REST
ERROR</t>
  </si>
  <si>
    <t>POINTS
section
⇓</t>
  </si>
  <si>
    <t>1) The perimeter of one face of the front rectangle.</t>
  </si>
  <si>
    <t>2) The area of the front rectangle face.</t>
  </si>
  <si>
    <t>This question is an example to use Multichoice option.</t>
  </si>
  <si>
    <t>4) This problem is very easy.</t>
  </si>
  <si>
    <r>
      <t xml:space="preserve">This sheet is for inserting the links to the </t>
    </r>
    <r>
      <rPr>
        <b/>
        <sz val="11"/>
        <color rgb="FF005877"/>
        <rFont val="Calibri"/>
        <family val="2"/>
        <scheme val="minor"/>
      </rPr>
      <t xml:space="preserve">IMAGES </t>
    </r>
    <r>
      <rPr>
        <sz val="11"/>
        <color rgb="FF005877"/>
        <rFont val="Calibri"/>
        <family val="2"/>
        <scheme val="minor"/>
      </rPr>
      <t>needed for the specific problem. The images must be stored in a IMGBB (</t>
    </r>
    <r>
      <rPr>
        <b/>
        <sz val="11"/>
        <color rgb="FFFF0000"/>
        <rFont val="Calibri"/>
        <family val="2"/>
        <scheme val="minor"/>
      </rPr>
      <t>https://imgbb.com/</t>
    </r>
    <r>
      <rPr>
        <sz val="11"/>
        <color rgb="FF005877"/>
        <rFont val="Calibri"/>
        <family val="2"/>
        <scheme val="minor"/>
      </rPr>
      <t xml:space="preserve">) account; it is recommended to create a folder called </t>
    </r>
    <r>
      <rPr>
        <b/>
        <sz val="11"/>
        <color rgb="FF005877"/>
        <rFont val="Calibri"/>
        <family val="2"/>
        <scheme val="minor"/>
      </rPr>
      <t xml:space="preserve">SHARED IMAGES </t>
    </r>
    <r>
      <rPr>
        <sz val="11"/>
        <color rgb="FF005877"/>
        <rFont val="Calibri"/>
        <family val="2"/>
        <scheme val="minor"/>
      </rPr>
      <t>to be viewed by anyone with the link. The Name is generated with the formula on the right."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</si>
</sst>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 &quot;cm&quot;"/>
    <numFmt numFmtId="165" formatCode="#,###\ &quot;cm³&quot;"/>
    <numFmt numFmtId="166" formatCode="#,###\ &quot;cm²&quot;"/>
    <numFmt numFmtId="167" formatCode="@&quot; =&quot;"/>
    <numFmt numFmtId="168" formatCode="#,###\ &quot;m⁴&quot;"/>
    <numFmt numFmtId="169" formatCode="#,###\ &quot;m³&quot;"/>
    <numFmt numFmtId="170" formatCode="#,###\ &quot;m²&quot;"/>
    <numFmt numFmtId="171" formatCode="#,###\ &quot;cm&quot;"/>
    <numFmt numFmtId="172" formatCode="&quot;N. problemas FTP:  &quot;\ 0"/>
  </numFmts>
  <fonts count="34" x14ac:knownFonts="1">
    <font>
      <sz val="11"/>
      <color theme="1"/>
      <name val="Calibri"/>
      <family val="2"/>
      <scheme val="minor"/>
    </font>
    <font>
      <b/>
      <sz val="11"/>
      <color theme="1"/>
      <name val="Calibri"/>
      <family val="2"/>
      <scheme val="minor"/>
    </font>
    <font>
      <u/>
      <sz val="11"/>
      <color theme="1"/>
      <name val="Calibri"/>
      <family val="2"/>
      <scheme val="minor"/>
    </font>
    <font>
      <b/>
      <sz val="11"/>
      <color rgb="FFFF0000"/>
      <name val="Calibri"/>
      <family val="2"/>
      <scheme val="minor"/>
    </font>
    <font>
      <b/>
      <sz val="11"/>
      <color theme="0"/>
      <name val="Calibri"/>
      <family val="2"/>
      <scheme val="minor"/>
    </font>
    <font>
      <b/>
      <sz val="9"/>
      <color theme="0"/>
      <name val="Calibri"/>
      <family val="2"/>
      <scheme val="minor"/>
    </font>
    <font>
      <i/>
      <sz val="11"/>
      <color theme="1"/>
      <name val="Calibri"/>
      <family val="2"/>
      <scheme val="minor"/>
    </font>
    <font>
      <sz val="11"/>
      <color theme="1"/>
      <name val="Courier New"/>
      <family val="3"/>
    </font>
    <font>
      <sz val="10"/>
      <name val="Arial"/>
      <family val="2"/>
    </font>
    <font>
      <sz val="11"/>
      <name val="Calibri"/>
      <family val="2"/>
      <scheme val="minor"/>
    </font>
    <font>
      <b/>
      <sz val="11"/>
      <color theme="4" tint="-0.249977111117893"/>
      <name val="Calibri"/>
      <family val="2"/>
      <scheme val="minor"/>
    </font>
    <font>
      <b/>
      <sz val="11"/>
      <color rgb="FF005877"/>
      <name val="Calibri"/>
      <family val="2"/>
      <scheme val="minor"/>
    </font>
    <font>
      <sz val="11"/>
      <color rgb="FF005877"/>
      <name val="Calibri"/>
      <family val="2"/>
      <scheme val="minor"/>
    </font>
    <font>
      <sz val="11"/>
      <color rgb="FFFF0000"/>
      <name val="Calibri"/>
      <family val="2"/>
      <scheme val="minor"/>
    </font>
    <font>
      <u/>
      <sz val="11"/>
      <color theme="10"/>
      <name val="Calibri"/>
      <family val="2"/>
      <scheme val="minor"/>
    </font>
    <font>
      <u/>
      <sz val="16"/>
      <color rgb="FFE87B00"/>
      <name val="Calibri"/>
      <family val="2"/>
      <scheme val="minor"/>
    </font>
    <font>
      <b/>
      <u/>
      <sz val="11"/>
      <color theme="0"/>
      <name val="Calibri"/>
      <family val="2"/>
      <scheme val="minor"/>
    </font>
    <font>
      <b/>
      <sz val="9"/>
      <color indexed="81"/>
      <name val="Tahoma"/>
      <family val="2"/>
    </font>
    <font>
      <i/>
      <sz val="11"/>
      <color rgb="FF005877"/>
      <name val="Calibri"/>
      <family val="2"/>
      <scheme val="minor"/>
    </font>
    <font>
      <b/>
      <sz val="11"/>
      <color rgb="FFE87B00"/>
      <name val="Calibri"/>
      <family val="2"/>
      <scheme val="minor"/>
    </font>
    <font>
      <b/>
      <i/>
      <sz val="11"/>
      <color rgb="FFE87B00"/>
      <name val="Calibri"/>
      <family val="2"/>
      <scheme val="minor"/>
    </font>
    <font>
      <b/>
      <u/>
      <sz val="14"/>
      <color rgb="FFE87B00"/>
      <name val="Calibri"/>
      <family val="2"/>
      <scheme val="minor"/>
    </font>
    <font>
      <i/>
      <sz val="11"/>
      <color rgb="FFE87B00"/>
      <name val="Calibri"/>
      <family val="2"/>
      <scheme val="minor"/>
    </font>
    <font>
      <sz val="11"/>
      <color theme="1"/>
      <name val="Calibri"/>
      <family val="2"/>
      <scheme val="minor"/>
    </font>
    <font>
      <b/>
      <sz val="14"/>
      <color theme="0"/>
      <name val="Calibri"/>
      <family val="2"/>
      <scheme val="minor"/>
    </font>
    <font>
      <b/>
      <sz val="8"/>
      <color rgb="FFFF0000"/>
      <name val="Calibri"/>
      <family val="2"/>
      <scheme val="minor"/>
    </font>
    <font>
      <b/>
      <sz val="10"/>
      <color rgb="FFFF0000"/>
      <name val="Calibri"/>
      <family val="2"/>
      <scheme val="minor"/>
    </font>
    <font>
      <sz val="8"/>
      <color theme="1"/>
      <name val="Calibri"/>
      <family val="2"/>
      <scheme val="minor"/>
    </font>
    <font>
      <b/>
      <sz val="18"/>
      <color rgb="FF005877"/>
      <name val="Calibri"/>
      <family val="2"/>
      <scheme val="minor"/>
    </font>
    <font>
      <b/>
      <sz val="12"/>
      <color theme="1"/>
      <name val="Calibri"/>
      <family val="2"/>
      <scheme val="minor"/>
    </font>
    <font>
      <b/>
      <sz val="16"/>
      <color theme="0"/>
      <name val="Calibri"/>
      <family val="2"/>
      <scheme val="minor"/>
    </font>
    <font>
      <b/>
      <sz val="16"/>
      <color rgb="FF005877"/>
      <name val="Calibri"/>
      <family val="2"/>
      <scheme val="minor"/>
    </font>
    <font>
      <sz val="10"/>
      <color theme="1"/>
      <name val="Calibri"/>
      <family val="2"/>
      <scheme val="minor"/>
    </font>
    <font>
      <b/>
      <i/>
      <sz val="11"/>
      <color theme="1"/>
      <name val="Calibri"/>
      <family val="2"/>
      <scheme val="minor"/>
    </font>
  </fonts>
  <fills count="12">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4"/>
        <bgColor theme="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005877"/>
        <bgColor indexed="64"/>
      </patternFill>
    </fill>
    <fill>
      <patternFill patternType="solid">
        <fgColor rgb="FFE87B00"/>
        <bgColor indexed="64"/>
      </patternFill>
    </fill>
    <fill>
      <patternFill patternType="solid">
        <fgColor theme="5"/>
        <bgColor indexed="64"/>
      </patternFill>
    </fill>
  </fills>
  <borders count="5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double">
        <color indexed="64"/>
      </bottom>
      <diagonal/>
    </border>
    <border>
      <left style="thin">
        <color indexed="64"/>
      </left>
      <right style="thin">
        <color indexed="64"/>
      </right>
      <top/>
      <bottom style="thin">
        <color indexed="64"/>
      </bottom>
      <diagonal/>
    </border>
    <border>
      <left style="thick">
        <color rgb="FF005877"/>
      </left>
      <right style="thick">
        <color rgb="FF005877"/>
      </right>
      <top style="thick">
        <color rgb="FF005877"/>
      </top>
      <bottom/>
      <diagonal/>
    </border>
    <border>
      <left style="thick">
        <color rgb="FF005877"/>
      </left>
      <right style="thick">
        <color rgb="FF005877"/>
      </right>
      <top/>
      <bottom/>
      <diagonal/>
    </border>
    <border>
      <left style="thick">
        <color rgb="FF005877"/>
      </left>
      <right style="thick">
        <color rgb="FF005877"/>
      </right>
      <top/>
      <bottom style="thick">
        <color rgb="FF005877"/>
      </bottom>
      <diagonal/>
    </border>
    <border>
      <left style="thick">
        <color rgb="FF005877"/>
      </left>
      <right/>
      <top style="thick">
        <color rgb="FF005877"/>
      </top>
      <bottom/>
      <diagonal/>
    </border>
    <border>
      <left/>
      <right/>
      <top style="thick">
        <color rgb="FF005877"/>
      </top>
      <bottom/>
      <diagonal/>
    </border>
    <border>
      <left/>
      <right style="thick">
        <color rgb="FF005877"/>
      </right>
      <top style="thick">
        <color rgb="FF005877"/>
      </top>
      <bottom/>
      <diagonal/>
    </border>
    <border>
      <left style="thick">
        <color rgb="FF005877"/>
      </left>
      <right/>
      <top/>
      <bottom/>
      <diagonal/>
    </border>
    <border>
      <left/>
      <right style="thick">
        <color rgb="FF005877"/>
      </right>
      <top/>
      <bottom/>
      <diagonal/>
    </border>
    <border>
      <left style="thick">
        <color rgb="FF005877"/>
      </left>
      <right/>
      <top/>
      <bottom style="thick">
        <color rgb="FF005877"/>
      </bottom>
      <diagonal/>
    </border>
    <border>
      <left/>
      <right/>
      <top/>
      <bottom style="thick">
        <color rgb="FF005877"/>
      </bottom>
      <diagonal/>
    </border>
    <border>
      <left/>
      <right style="thick">
        <color rgb="FF005877"/>
      </right>
      <top/>
      <bottom style="thick">
        <color rgb="FF005877"/>
      </bottom>
      <diagonal/>
    </border>
    <border>
      <left style="thick">
        <color theme="0"/>
      </left>
      <right style="thick">
        <color theme="0"/>
      </right>
      <top style="thick">
        <color theme="0"/>
      </top>
      <bottom style="thick">
        <color theme="0"/>
      </bottom>
      <diagonal/>
    </border>
    <border>
      <left style="thick">
        <color theme="0"/>
      </left>
      <right/>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rgb="FF005877"/>
      </left>
      <right style="thick">
        <color rgb="FF005877"/>
      </right>
      <top style="thick">
        <color rgb="FF005877"/>
      </top>
      <bottom style="thick">
        <color rgb="FF005877"/>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s>
  <cellStyleXfs count="4">
    <xf numFmtId="0" fontId="0" fillId="0" borderId="0"/>
    <xf numFmtId="0" fontId="8" fillId="0" borderId="0"/>
    <xf numFmtId="0" fontId="14" fillId="0" borderId="0" applyNumberFormat="0" applyFill="0" applyBorder="0" applyAlignment="0" applyProtection="0"/>
    <xf numFmtId="9" fontId="23" fillId="0" borderId="0" applyFont="0" applyFill="0" applyBorder="0" applyAlignment="0" applyProtection="0"/>
  </cellStyleXfs>
  <cellXfs count="159">
    <xf numFmtId="0" fontId="0" fillId="0" borderId="0" xfId="0"/>
    <xf numFmtId="0" fontId="2" fillId="0" borderId="0" xfId="0" applyFont="1"/>
    <xf numFmtId="0" fontId="4" fillId="4" borderId="1" xfId="0" applyFont="1" applyFill="1" applyBorder="1" applyAlignment="1">
      <alignment horizont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0" fillId="0" borderId="0" xfId="0" applyAlignment="1">
      <alignment horizontal="center" vertical="center"/>
    </xf>
    <xf numFmtId="167" fontId="0" fillId="0" borderId="0" xfId="0" applyNumberFormat="1" applyAlignment="1">
      <alignment horizontal="right" indent="1"/>
    </xf>
    <xf numFmtId="0" fontId="1" fillId="0" borderId="0" xfId="0" applyFont="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 fillId="0" borderId="4" xfId="0" applyFont="1" applyBorder="1"/>
    <xf numFmtId="0" fontId="1" fillId="0" borderId="5" xfId="0" applyFont="1" applyBorder="1"/>
    <xf numFmtId="0" fontId="1" fillId="0" borderId="6" xfId="0" applyFont="1" applyBorder="1"/>
    <xf numFmtId="0" fontId="1" fillId="0" borderId="13" xfId="0" applyFont="1" applyBorder="1"/>
    <xf numFmtId="0" fontId="1" fillId="0" borderId="7" xfId="0" applyFont="1" applyBorder="1"/>
    <xf numFmtId="0" fontId="1" fillId="0" borderId="14" xfId="0" applyFont="1" applyBorder="1"/>
    <xf numFmtId="0" fontId="4" fillId="4" borderId="0" xfId="0" applyFont="1" applyFill="1" applyAlignment="1">
      <alignment vertical="center"/>
    </xf>
    <xf numFmtId="0" fontId="4" fillId="4" borderId="0" xfId="0" applyFont="1" applyFill="1" applyAlignment="1">
      <alignment horizontal="center" vertical="center"/>
    </xf>
    <xf numFmtId="0" fontId="10" fillId="7" borderId="0" xfId="0" applyFont="1" applyFill="1" applyAlignment="1">
      <alignment horizontal="center" vertical="center"/>
    </xf>
    <xf numFmtId="0" fontId="10" fillId="7" borderId="16" xfId="0" applyFont="1" applyFill="1" applyBorder="1" applyAlignment="1">
      <alignment horizontal="center" vertical="center"/>
    </xf>
    <xf numFmtId="0" fontId="10" fillId="3" borderId="19" xfId="0" applyFont="1" applyFill="1" applyBorder="1" applyAlignment="1">
      <alignment horizontal="center" vertical="center" shrinkToFit="1"/>
    </xf>
    <xf numFmtId="0" fontId="1" fillId="0" borderId="1" xfId="0" applyFont="1" applyBorder="1" applyAlignment="1">
      <alignment horizontal="center" vertical="center"/>
    </xf>
    <xf numFmtId="0" fontId="0" fillId="0" borderId="21" xfId="0" applyBorder="1"/>
    <xf numFmtId="0" fontId="0" fillId="0" borderId="22" xfId="0" applyBorder="1"/>
    <xf numFmtId="0" fontId="0" fillId="0" borderId="20" xfId="0" applyBorder="1"/>
    <xf numFmtId="166" fontId="0" fillId="0" borderId="0" xfId="0" applyNumberFormat="1" applyAlignment="1">
      <alignment horizontal="right" indent="1" shrinkToFit="1"/>
    </xf>
    <xf numFmtId="0" fontId="0" fillId="0" borderId="25" xfId="0" applyBorder="1"/>
    <xf numFmtId="0" fontId="1" fillId="0" borderId="21" xfId="0" applyFont="1" applyBorder="1"/>
    <xf numFmtId="0" fontId="0" fillId="0" borderId="26" xfId="0" applyBorder="1"/>
    <xf numFmtId="0" fontId="0" fillId="0" borderId="24" xfId="0" applyBorder="1"/>
    <xf numFmtId="169" fontId="0" fillId="0" borderId="0" xfId="0" applyNumberFormat="1" applyAlignment="1">
      <alignment horizontal="right" indent="1"/>
    </xf>
    <xf numFmtId="168" fontId="0" fillId="0" borderId="0" xfId="0" applyNumberFormat="1" applyAlignment="1">
      <alignment horizontal="right" indent="1"/>
    </xf>
    <xf numFmtId="0" fontId="0" fillId="0" borderId="27" xfId="0" applyBorder="1"/>
    <xf numFmtId="0" fontId="0" fillId="0" borderId="23" xfId="0" applyBorder="1"/>
    <xf numFmtId="170" fontId="0" fillId="0" borderId="26" xfId="0" applyNumberFormat="1" applyBorder="1" applyAlignment="1">
      <alignment horizontal="right" indent="1"/>
    </xf>
    <xf numFmtId="0" fontId="1" fillId="0" borderId="28" xfId="0" applyFont="1" applyBorder="1"/>
    <xf numFmtId="0" fontId="0" fillId="0" borderId="29" xfId="0" applyBorder="1"/>
    <xf numFmtId="0" fontId="0" fillId="0" borderId="30" xfId="0" applyBorder="1"/>
    <xf numFmtId="0" fontId="0" fillId="0" borderId="21" xfId="0" applyBorder="1" applyAlignment="1">
      <alignment horizontal="right" indent="1"/>
    </xf>
    <xf numFmtId="0" fontId="0" fillId="0" borderId="24" xfId="0" applyBorder="1" applyAlignment="1">
      <alignment horizontal="right" indent="1"/>
    </xf>
    <xf numFmtId="0" fontId="0" fillId="0" borderId="20" xfId="0" applyBorder="1" applyAlignment="1">
      <alignment horizontal="right" indent="1"/>
    </xf>
    <xf numFmtId="165" fontId="0" fillId="0" borderId="27" xfId="0" applyNumberFormat="1" applyBorder="1" applyAlignment="1">
      <alignment horizontal="right" indent="1" shrinkToFit="1"/>
    </xf>
    <xf numFmtId="0" fontId="0" fillId="0" borderId="18" xfId="0" applyBorder="1" applyAlignment="1">
      <alignment horizontal="center" vertical="center"/>
    </xf>
    <xf numFmtId="3" fontId="0" fillId="0" borderId="18" xfId="0" applyNumberFormat="1" applyBorder="1" applyAlignment="1">
      <alignment horizontal="center" vertical="center"/>
    </xf>
    <xf numFmtId="171" fontId="0" fillId="0" borderId="0" xfId="0" applyNumberFormat="1" applyAlignment="1">
      <alignment horizontal="right" indent="1" shrinkToFit="1"/>
    </xf>
    <xf numFmtId="166" fontId="0" fillId="0" borderId="0" xfId="0" applyNumberFormat="1" applyAlignment="1">
      <alignment horizontal="right" shrinkToFit="1"/>
    </xf>
    <xf numFmtId="165" fontId="0" fillId="0" borderId="0" xfId="0" applyNumberFormat="1" applyAlignment="1">
      <alignment horizontal="right" shrinkToFit="1"/>
    </xf>
    <xf numFmtId="0" fontId="0" fillId="0" borderId="31" xfId="0" applyBorder="1" applyAlignment="1">
      <alignment horizontal="center" vertical="center"/>
    </xf>
    <xf numFmtId="0" fontId="0" fillId="0" borderId="32" xfId="0" applyBorder="1" applyAlignment="1">
      <alignment horizontal="center" vertical="center"/>
    </xf>
    <xf numFmtId="0" fontId="3" fillId="0" borderId="0" xfId="0" applyFont="1"/>
    <xf numFmtId="0" fontId="0" fillId="0" borderId="7" xfId="0" applyBorder="1" applyAlignment="1">
      <alignment horizontal="center" shrinkToFit="1"/>
    </xf>
    <xf numFmtId="0" fontId="11" fillId="5" borderId="0" xfId="0" applyFont="1" applyFill="1" applyAlignment="1">
      <alignment horizontal="left" vertical="center" shrinkToFit="1"/>
    </xf>
    <xf numFmtId="0" fontId="13" fillId="0" borderId="0" xfId="0" applyFont="1" applyAlignment="1">
      <alignment horizontal="center" vertical="center"/>
    </xf>
    <xf numFmtId="0" fontId="3" fillId="0" borderId="0" xfId="0" applyFont="1" applyAlignment="1">
      <alignment horizontal="center" vertical="center" shrinkToFit="1"/>
    </xf>
    <xf numFmtId="0" fontId="10" fillId="6" borderId="5" xfId="0" applyFont="1" applyFill="1" applyBorder="1" applyAlignment="1">
      <alignment horizontal="center" vertical="center" shrinkToFit="1"/>
    </xf>
    <xf numFmtId="0" fontId="11" fillId="5" borderId="0" xfId="0" quotePrefix="1" applyFont="1" applyFill="1" applyAlignment="1">
      <alignment horizontal="center" vertical="center" shrinkToFit="1"/>
    </xf>
    <xf numFmtId="0" fontId="0" fillId="0" borderId="0" xfId="0" applyAlignment="1">
      <alignment horizontal="center" shrinkToFit="1"/>
    </xf>
    <xf numFmtId="0" fontId="10" fillId="6" borderId="6" xfId="0" applyFont="1" applyFill="1" applyBorder="1" applyAlignment="1">
      <alignment horizontal="center" vertical="center" shrinkToFit="1"/>
    </xf>
    <xf numFmtId="0" fontId="0" fillId="0" borderId="12" xfId="0" applyBorder="1" applyAlignment="1">
      <alignment horizontal="center" shrinkToFit="1"/>
    </xf>
    <xf numFmtId="0" fontId="0" fillId="0" borderId="14" xfId="0" applyBorder="1" applyAlignment="1">
      <alignment horizontal="center" shrinkToFit="1"/>
    </xf>
    <xf numFmtId="0" fontId="10" fillId="6" borderId="16" xfId="0" applyFont="1" applyFill="1" applyBorder="1" applyAlignment="1">
      <alignment horizontal="center" vertical="center" shrinkToFit="1"/>
    </xf>
    <xf numFmtId="0" fontId="0" fillId="0" borderId="19" xfId="0" applyBorder="1" applyAlignment="1">
      <alignment horizontal="center" vertical="center" shrinkToFit="1"/>
    </xf>
    <xf numFmtId="0" fontId="0" fillId="0" borderId="34" xfId="0" applyBorder="1" applyAlignment="1">
      <alignment horizontal="center" vertical="center" shrinkToFit="1"/>
    </xf>
    <xf numFmtId="0" fontId="0" fillId="0" borderId="17" xfId="0" applyBorder="1" applyAlignment="1">
      <alignment vertical="center"/>
    </xf>
    <xf numFmtId="0" fontId="0" fillId="0" borderId="15" xfId="0" applyBorder="1" applyAlignment="1">
      <alignment vertical="center"/>
    </xf>
    <xf numFmtId="0" fontId="0" fillId="0" borderId="15" xfId="0" applyBorder="1" applyAlignment="1">
      <alignment horizontal="center" vertical="center"/>
    </xf>
    <xf numFmtId="3" fontId="0" fillId="0" borderId="15" xfId="0" applyNumberFormat="1" applyBorder="1" applyAlignment="1">
      <alignment horizontal="center" vertical="center"/>
    </xf>
    <xf numFmtId="0" fontId="1" fillId="0" borderId="0" xfId="0" applyFont="1" applyProtection="1">
      <protection locked="0"/>
    </xf>
    <xf numFmtId="0" fontId="7" fillId="0" borderId="0" xfId="0" applyFont="1"/>
    <xf numFmtId="0" fontId="1" fillId="0" borderId="0" xfId="0" applyFont="1" applyAlignment="1" applyProtection="1">
      <alignment horizontal="center"/>
      <protection locked="0"/>
    </xf>
    <xf numFmtId="0" fontId="14" fillId="0" borderId="0" xfId="2" applyProtection="1">
      <protection locked="0"/>
    </xf>
    <xf numFmtId="0" fontId="15" fillId="0" borderId="0" xfId="2" applyFont="1" applyAlignment="1">
      <alignment horizontal="center" vertical="center"/>
    </xf>
    <xf numFmtId="0" fontId="11" fillId="0" borderId="0" xfId="0" applyFont="1" applyAlignment="1">
      <alignment vertical="top"/>
    </xf>
    <xf numFmtId="0" fontId="12" fillId="0" borderId="0" xfId="0" applyFont="1" applyAlignment="1">
      <alignment horizontal="justify" vertical="top" wrapText="1"/>
    </xf>
    <xf numFmtId="0" fontId="12" fillId="0" borderId="0" xfId="0" applyFont="1"/>
    <xf numFmtId="0" fontId="11" fillId="0" borderId="41" xfId="0" applyFont="1" applyBorder="1" applyAlignment="1">
      <alignment vertical="top"/>
    </xf>
    <xf numFmtId="0" fontId="12" fillId="0" borderId="42" xfId="0" applyFont="1" applyBorder="1"/>
    <xf numFmtId="0" fontId="11" fillId="0" borderId="43" xfId="0" applyFont="1" applyBorder="1" applyAlignment="1">
      <alignment vertical="top"/>
    </xf>
    <xf numFmtId="0" fontId="12" fillId="0" borderId="44" xfId="0" applyFont="1" applyBorder="1" applyAlignment="1">
      <alignment horizontal="justify" vertical="top" wrapText="1"/>
    </xf>
    <xf numFmtId="0" fontId="12" fillId="0" borderId="45" xfId="0" applyFont="1" applyBorder="1"/>
    <xf numFmtId="0" fontId="10" fillId="0" borderId="19" xfId="0" applyFont="1" applyBorder="1" applyAlignment="1">
      <alignment horizontal="center" vertical="center" shrinkToFit="1"/>
    </xf>
    <xf numFmtId="3" fontId="0" fillId="0" borderId="0" xfId="0" applyNumberFormat="1" applyAlignment="1">
      <alignment horizontal="center" vertical="center"/>
    </xf>
    <xf numFmtId="0" fontId="1" fillId="0" borderId="0" xfId="0" applyFont="1" applyAlignment="1">
      <alignment horizontal="center"/>
    </xf>
    <xf numFmtId="0" fontId="0" fillId="0" borderId="0" xfId="0" quotePrefix="1"/>
    <xf numFmtId="0" fontId="24" fillId="10" borderId="46" xfId="0" applyFont="1" applyFill="1" applyBorder="1" applyAlignment="1" applyProtection="1">
      <alignment horizontal="center" vertical="center" shrinkToFit="1"/>
      <protection locked="0"/>
    </xf>
    <xf numFmtId="0" fontId="25" fillId="5" borderId="46" xfId="0" applyFont="1" applyFill="1" applyBorder="1" applyAlignment="1">
      <alignment horizontal="left" shrinkToFit="1"/>
    </xf>
    <xf numFmtId="0" fontId="25" fillId="5" borderId="46" xfId="0" applyFont="1" applyFill="1" applyBorder="1" applyAlignment="1">
      <alignment horizontal="left" vertical="center" shrinkToFit="1"/>
    </xf>
    <xf numFmtId="0" fontId="4" fillId="9" borderId="0" xfId="0" applyFont="1" applyFill="1" applyAlignment="1">
      <alignment horizontal="center" vertical="center"/>
    </xf>
    <xf numFmtId="0" fontId="25" fillId="5" borderId="0" xfId="0" applyFont="1" applyFill="1" applyAlignment="1">
      <alignment horizontal="left" vertical="center" shrinkToFit="1"/>
    </xf>
    <xf numFmtId="0" fontId="25" fillId="5" borderId="46" xfId="0" applyFont="1" applyFill="1" applyBorder="1" applyAlignment="1">
      <alignment horizontal="left" vertical="center" wrapText="1" shrinkToFit="1"/>
    </xf>
    <xf numFmtId="0" fontId="10" fillId="7" borderId="17" xfId="0" applyFont="1" applyFill="1" applyBorder="1" applyAlignment="1">
      <alignment horizontal="center" vertical="center"/>
    </xf>
    <xf numFmtId="0" fontId="4" fillId="4" borderId="20" xfId="0" applyFont="1" applyFill="1" applyBorder="1" applyAlignment="1">
      <alignment horizontal="center"/>
    </xf>
    <xf numFmtId="0" fontId="4" fillId="9" borderId="0" xfId="0" applyFont="1" applyFill="1" applyAlignment="1">
      <alignment vertical="center" textRotation="90"/>
    </xf>
    <xf numFmtId="0" fontId="0" fillId="0" borderId="0" xfId="0" applyAlignment="1">
      <alignment vertical="center"/>
    </xf>
    <xf numFmtId="0" fontId="30" fillId="10" borderId="46" xfId="0" applyFont="1" applyFill="1" applyBorder="1" applyAlignment="1" applyProtection="1">
      <alignment horizontal="center" vertical="center" shrinkToFit="1"/>
      <protection locked="0"/>
    </xf>
    <xf numFmtId="0" fontId="4" fillId="10" borderId="46" xfId="0" applyFont="1" applyFill="1" applyBorder="1" applyAlignment="1" applyProtection="1">
      <alignment horizontal="center" shrinkToFit="1"/>
      <protection locked="0"/>
    </xf>
    <xf numFmtId="0" fontId="4" fillId="10" borderId="46" xfId="0" applyFont="1" applyFill="1" applyBorder="1" applyAlignment="1" applyProtection="1">
      <alignment horizontal="center" vertical="center" shrinkToFit="1"/>
      <protection locked="0"/>
    </xf>
    <xf numFmtId="0" fontId="4" fillId="10" borderId="51" xfId="0" applyFont="1" applyFill="1" applyBorder="1" applyAlignment="1" applyProtection="1">
      <alignment horizontal="center" vertical="center" shrinkToFit="1"/>
      <protection locked="0"/>
    </xf>
    <xf numFmtId="0" fontId="4" fillId="10" borderId="19" xfId="0" applyFont="1" applyFill="1" applyBorder="1" applyAlignment="1" applyProtection="1">
      <alignment horizontal="center" vertical="center" shrinkToFit="1"/>
      <protection locked="0"/>
    </xf>
    <xf numFmtId="0" fontId="24" fillId="11" borderId="0" xfId="0" applyFont="1" applyFill="1" applyAlignment="1">
      <alignment horizontal="right" vertical="center" shrinkToFit="1"/>
    </xf>
    <xf numFmtId="0" fontId="31" fillId="0" borderId="52" xfId="0" applyFont="1" applyBorder="1" applyAlignment="1">
      <alignment horizontal="center" vertical="center" shrinkToFit="1"/>
    </xf>
    <xf numFmtId="0" fontId="11" fillId="0" borderId="0" xfId="0" applyFont="1" applyAlignment="1">
      <alignment vertical="center" shrinkToFit="1"/>
    </xf>
    <xf numFmtId="0" fontId="11" fillId="8" borderId="0" xfId="0" applyFont="1" applyFill="1" applyAlignment="1">
      <alignment vertical="center" shrinkToFit="1"/>
    </xf>
    <xf numFmtId="0" fontId="26" fillId="0" borderId="0" xfId="0" applyFont="1" applyAlignment="1">
      <alignment horizontal="center" wrapText="1"/>
    </xf>
    <xf numFmtId="0" fontId="32" fillId="0" borderId="0" xfId="0" applyFont="1"/>
    <xf numFmtId="0" fontId="26" fillId="0" borderId="0" xfId="0" applyFont="1" applyAlignment="1">
      <alignment horizontal="center" vertical="top"/>
    </xf>
    <xf numFmtId="0" fontId="26" fillId="0" borderId="0" xfId="0" applyFont="1" applyAlignment="1">
      <alignment horizontal="left" vertical="top" wrapText="1"/>
    </xf>
    <xf numFmtId="0" fontId="3" fillId="0" borderId="0" xfId="0" applyFont="1" applyAlignment="1">
      <alignment horizontal="center" vertical="center" wrapText="1"/>
    </xf>
    <xf numFmtId="0" fontId="26" fillId="0" borderId="0" xfId="0" applyFont="1" applyAlignment="1">
      <alignment horizontal="left" wrapText="1"/>
    </xf>
    <xf numFmtId="0" fontId="0" fillId="0" borderId="0" xfId="0" applyAlignment="1">
      <alignment vertical="top" shrinkToFit="1"/>
    </xf>
    <xf numFmtId="0" fontId="4" fillId="11" borderId="53" xfId="0" applyFont="1" applyFill="1" applyBorder="1" applyAlignment="1" applyProtection="1">
      <alignment horizontal="center" vertical="top"/>
      <protection locked="0"/>
    </xf>
    <xf numFmtId="9" fontId="4" fillId="11" borderId="54" xfId="3" applyFont="1" applyFill="1" applyBorder="1" applyAlignment="1" applyProtection="1">
      <alignment horizontal="center" vertical="top"/>
      <protection locked="0"/>
    </xf>
    <xf numFmtId="9" fontId="4" fillId="11" borderId="55" xfId="3" applyFont="1" applyFill="1" applyBorder="1" applyAlignment="1" applyProtection="1">
      <alignment horizontal="center" vertical="top"/>
      <protection locked="0"/>
    </xf>
    <xf numFmtId="0" fontId="1" fillId="0" borderId="0" xfId="0" applyFont="1" applyAlignment="1">
      <alignment horizontal="left" vertical="top" wrapText="1"/>
    </xf>
    <xf numFmtId="0" fontId="0" fillId="0" borderId="0" xfId="0" applyAlignment="1">
      <alignment horizontal="left"/>
    </xf>
    <xf numFmtId="0" fontId="11" fillId="0" borderId="0" xfId="0" applyFont="1" applyAlignment="1">
      <alignment horizontal="center" wrapText="1" shrinkToFit="1"/>
    </xf>
    <xf numFmtId="0" fontId="0" fillId="0" borderId="0" xfId="0" applyAlignment="1">
      <alignment wrapText="1"/>
    </xf>
    <xf numFmtId="0" fontId="0" fillId="0" borderId="0" xfId="0" applyAlignment="1">
      <alignment vertical="top" wrapText="1"/>
    </xf>
    <xf numFmtId="0" fontId="21" fillId="0" borderId="0" xfId="2" applyFont="1" applyAlignment="1">
      <alignment horizontal="center" vertical="center" wrapText="1"/>
    </xf>
    <xf numFmtId="0" fontId="16" fillId="9" borderId="33" xfId="2" applyFont="1" applyFill="1" applyBorder="1" applyAlignment="1">
      <alignment horizontal="left"/>
    </xf>
    <xf numFmtId="0" fontId="11" fillId="2" borderId="33" xfId="0" applyFont="1" applyFill="1" applyBorder="1" applyAlignment="1">
      <alignment horizontal="left" shrinkToFit="1"/>
    </xf>
    <xf numFmtId="0" fontId="16" fillId="9" borderId="38" xfId="2" applyFont="1" applyFill="1" applyBorder="1" applyAlignment="1">
      <alignment horizontal="left"/>
    </xf>
    <xf numFmtId="0" fontId="16" fillId="9" borderId="39" xfId="2" applyFont="1" applyFill="1" applyBorder="1" applyAlignment="1">
      <alignment horizontal="left"/>
    </xf>
    <xf numFmtId="0" fontId="16" fillId="9" borderId="40" xfId="2" applyFont="1" applyFill="1" applyBorder="1" applyAlignment="1">
      <alignment horizontal="left"/>
    </xf>
    <xf numFmtId="0" fontId="11" fillId="0" borderId="35" xfId="0" applyFont="1" applyBorder="1" applyAlignment="1">
      <alignment horizontal="center" vertical="center" textRotation="90" shrinkToFit="1"/>
    </xf>
    <xf numFmtId="0" fontId="11" fillId="0" borderId="37" xfId="0" applyFont="1" applyBorder="1" applyAlignment="1">
      <alignment horizontal="center" vertical="center" textRotation="90" shrinkToFit="1"/>
    </xf>
    <xf numFmtId="0" fontId="11" fillId="0" borderId="36" xfId="0" applyFont="1" applyBorder="1" applyAlignment="1">
      <alignment horizontal="center" vertical="center" textRotation="90" shrinkToFit="1"/>
    </xf>
    <xf numFmtId="0" fontId="26" fillId="5" borderId="48" xfId="0" applyFont="1" applyFill="1" applyBorder="1" applyAlignment="1">
      <alignment horizontal="right" vertical="center" wrapText="1" indent="1" shrinkToFit="1"/>
    </xf>
    <xf numFmtId="0" fontId="26" fillId="5" borderId="50" xfId="0" applyFont="1" applyFill="1" applyBorder="1" applyAlignment="1">
      <alignment horizontal="right" vertical="center" wrapText="1" indent="1" shrinkToFit="1"/>
    </xf>
    <xf numFmtId="0" fontId="4" fillId="9" borderId="11" xfId="0" applyFont="1" applyFill="1" applyBorder="1" applyAlignment="1">
      <alignment horizontal="center" vertical="center"/>
    </xf>
    <xf numFmtId="0" fontId="4" fillId="9" borderId="0" xfId="0" applyFont="1" applyFill="1" applyAlignment="1">
      <alignment horizontal="center" vertical="center"/>
    </xf>
    <xf numFmtId="0" fontId="27" fillId="0" borderId="0" xfId="0" applyFont="1" applyAlignment="1">
      <alignment horizontal="center" wrapText="1"/>
    </xf>
    <xf numFmtId="0" fontId="28" fillId="5" borderId="47" xfId="0" applyFont="1" applyFill="1" applyBorder="1" applyAlignment="1" applyProtection="1">
      <alignment horizontal="center" vertical="center" shrinkToFit="1"/>
      <protection locked="0"/>
    </xf>
    <xf numFmtId="0" fontId="28" fillId="5" borderId="0" xfId="0" applyFont="1" applyFill="1" applyAlignment="1" applyProtection="1">
      <alignment horizontal="center" vertical="center" shrinkToFit="1"/>
      <protection locked="0"/>
    </xf>
    <xf numFmtId="0" fontId="4" fillId="10" borderId="48" xfId="0" applyFont="1" applyFill="1" applyBorder="1" applyAlignment="1" applyProtection="1">
      <alignment horizontal="center" vertical="center" wrapText="1" shrinkToFit="1"/>
      <protection locked="0"/>
    </xf>
    <xf numFmtId="0" fontId="4" fillId="10" borderId="49" xfId="0" applyFont="1" applyFill="1" applyBorder="1" applyAlignment="1" applyProtection="1">
      <alignment horizontal="center" vertical="center" wrapText="1" shrinkToFit="1"/>
      <protection locked="0"/>
    </xf>
    <xf numFmtId="0" fontId="4" fillId="10" borderId="50" xfId="0" applyFont="1" applyFill="1" applyBorder="1" applyAlignment="1" applyProtection="1">
      <alignment horizontal="center" vertical="center" wrapText="1" shrinkToFit="1"/>
      <protection locked="0"/>
    </xf>
    <xf numFmtId="172" fontId="29" fillId="5" borderId="48" xfId="0" quotePrefix="1" applyNumberFormat="1" applyFont="1" applyFill="1" applyBorder="1" applyAlignment="1">
      <alignment horizontal="left" vertical="center" indent="1" shrinkToFit="1"/>
    </xf>
    <xf numFmtId="172" fontId="29" fillId="5" borderId="49" xfId="0" quotePrefix="1" applyNumberFormat="1" applyFont="1" applyFill="1" applyBorder="1" applyAlignment="1">
      <alignment horizontal="left" vertical="center" indent="1" shrinkToFit="1"/>
    </xf>
    <xf numFmtId="172" fontId="29" fillId="5" borderId="50" xfId="0" quotePrefix="1" applyNumberFormat="1" applyFont="1" applyFill="1" applyBorder="1" applyAlignment="1">
      <alignment horizontal="left" vertical="center" indent="1" shrinkToFit="1"/>
    </xf>
    <xf numFmtId="164" fontId="6" fillId="0" borderId="0" xfId="0" applyNumberFormat="1" applyFont="1" applyAlignment="1">
      <alignment horizontal="left" vertical="center"/>
    </xf>
    <xf numFmtId="0" fontId="0" fillId="0" borderId="0" xfId="0" applyAlignment="1">
      <alignment horizontal="justify" vertical="top" wrapText="1"/>
    </xf>
    <xf numFmtId="0" fontId="0" fillId="5" borderId="7" xfId="0" applyFill="1" applyBorder="1" applyAlignment="1">
      <alignment horizontal="justify" vertical="top" wrapText="1"/>
    </xf>
    <xf numFmtId="164" fontId="9" fillId="2" borderId="0" xfId="0" applyNumberFormat="1" applyFont="1" applyFill="1" applyAlignment="1">
      <alignment horizontal="center" vertical="center" shrinkToFit="1"/>
    </xf>
    <xf numFmtId="0" fontId="0" fillId="0" borderId="0" xfId="0" applyAlignment="1">
      <alignment horizontal="left" indent="3"/>
    </xf>
    <xf numFmtId="0" fontId="0" fillId="0" borderId="0" xfId="0" applyAlignment="1">
      <alignment horizontal="left" wrapText="1" indent="3"/>
    </xf>
    <xf numFmtId="0" fontId="1" fillId="0" borderId="7" xfId="0" applyFont="1" applyBorder="1" applyAlignment="1">
      <alignment horizontal="left"/>
    </xf>
    <xf numFmtId="0" fontId="0" fillId="0" borderId="0" xfId="0" applyAlignment="1">
      <alignment horizontal="justify" wrapText="1"/>
    </xf>
    <xf numFmtId="0" fontId="0" fillId="0" borderId="0" xfId="0" applyAlignment="1">
      <alignment horizontal="left" wrapText="1"/>
    </xf>
    <xf numFmtId="0" fontId="12" fillId="0" borderId="0" xfId="2" applyFont="1" applyAlignment="1">
      <alignment horizontal="justify" vertical="top" wrapText="1"/>
    </xf>
    <xf numFmtId="0" fontId="11" fillId="0" borderId="35" xfId="2" applyFont="1" applyBorder="1" applyAlignment="1">
      <alignment horizontal="center" vertical="center" textRotation="90" shrinkToFit="1"/>
    </xf>
    <xf numFmtId="0" fontId="11" fillId="0" borderId="36" xfId="2" applyFont="1" applyBorder="1" applyAlignment="1">
      <alignment horizontal="center" vertical="center" textRotation="90" shrinkToFit="1"/>
    </xf>
    <xf numFmtId="0" fontId="11" fillId="0" borderId="37" xfId="2" applyFont="1" applyBorder="1" applyAlignment="1">
      <alignment horizontal="center" vertical="center" textRotation="90" shrinkToFit="1"/>
    </xf>
    <xf numFmtId="0" fontId="0" fillId="0" borderId="0" xfId="0" applyAlignment="1">
      <alignment horizontal="center"/>
    </xf>
    <xf numFmtId="0" fontId="0" fillId="0" borderId="0" xfId="0" applyAlignment="1">
      <alignment horizontal="right"/>
    </xf>
    <xf numFmtId="164" fontId="33" fillId="0" borderId="0" xfId="0" applyNumberFormat="1" applyFont="1" applyAlignment="1">
      <alignment horizontal="left" vertical="center"/>
    </xf>
  </cellXfs>
  <cellStyles count="4">
    <cellStyle name="Hipervínculo" xfId="2" builtinId="8"/>
    <cellStyle name="Normal" xfId="0" builtinId="0"/>
    <cellStyle name="Normal 2" xfId="1" xr:uid="{00000000-0005-0000-0000-000001000000}"/>
    <cellStyle name="Porcentaje" xfId="3" builtinId="5"/>
  </cellStyles>
  <dxfs count="45">
    <dxf>
      <font>
        <color theme="0"/>
      </font>
      <fill>
        <patternFill>
          <bgColor theme="0"/>
        </patternFill>
      </fill>
    </dxf>
    <dxf>
      <font>
        <b/>
        <i val="0"/>
        <color theme="0"/>
      </font>
      <fill>
        <patternFill>
          <fgColor theme="0"/>
          <bgColor theme="0"/>
        </patternFill>
      </fill>
    </dxf>
    <dxf>
      <font>
        <color theme="0"/>
      </font>
      <fill>
        <patternFill>
          <bgColor theme="0"/>
        </patternFill>
      </fill>
    </dxf>
    <dxf>
      <font>
        <color theme="0"/>
      </font>
      <fill>
        <patternFill>
          <bgColor theme="0"/>
        </patternFill>
      </fill>
    </dxf>
    <dxf>
      <font>
        <b/>
        <i val="0"/>
        <color theme="0"/>
      </font>
      <fill>
        <patternFill>
          <fgColor theme="0"/>
          <bgColor theme="0"/>
        </patternFill>
      </fill>
    </dxf>
    <dxf>
      <font>
        <color theme="0"/>
      </font>
      <fill>
        <patternFill>
          <bgColor theme="0"/>
        </patternFill>
      </fill>
    </dxf>
    <dxf>
      <font>
        <color theme="0"/>
      </font>
      <fill>
        <patternFill>
          <bgColor theme="0"/>
        </patternFill>
      </fill>
    </dxf>
    <dxf>
      <font>
        <color rgb="FF9C0006"/>
      </font>
      <fill>
        <patternFill>
          <bgColor rgb="FFFFC7CE"/>
        </patternFill>
      </fill>
    </dxf>
    <dxf>
      <font>
        <b/>
        <i val="0"/>
        <color theme="0"/>
      </font>
      <fill>
        <patternFill>
          <fgColor theme="0"/>
          <bgColor theme="0"/>
        </patternFill>
      </fill>
    </dxf>
    <dxf>
      <font>
        <color theme="0"/>
      </font>
      <fill>
        <patternFill>
          <bgColor theme="0"/>
        </patternFill>
      </fill>
    </dxf>
    <dxf>
      <font>
        <color rgb="FF9C0006"/>
      </font>
      <fill>
        <patternFill>
          <bgColor rgb="FFFFC7CE"/>
        </patternFill>
      </fill>
    </dxf>
    <dxf>
      <font>
        <color rgb="FF9C0006"/>
      </font>
      <fill>
        <patternFill>
          <bgColor rgb="FFFFC7CE"/>
        </patternFill>
      </fill>
    </dxf>
    <dxf>
      <font>
        <b/>
        <i val="0"/>
        <color theme="0"/>
      </font>
      <fill>
        <patternFill>
          <fgColor theme="0"/>
          <bgColor theme="0"/>
        </patternFill>
      </fill>
    </dxf>
    <dxf>
      <font>
        <b/>
        <i val="0"/>
        <color theme="0"/>
      </font>
      <fill>
        <patternFill>
          <fgColor theme="0"/>
          <bgColor theme="0"/>
        </patternFill>
      </fill>
    </dxf>
    <dxf>
      <font>
        <color theme="0"/>
      </font>
      <fill>
        <patternFill>
          <bgColor theme="0"/>
        </patternFill>
      </fill>
    </dxf>
    <dxf>
      <font>
        <b/>
        <i val="0"/>
        <color theme="0"/>
      </font>
      <fill>
        <patternFill>
          <fgColor theme="0"/>
          <bgColor theme="0"/>
        </patternFill>
      </fill>
    </dxf>
    <dxf>
      <font>
        <color theme="0"/>
      </font>
      <fill>
        <patternFill>
          <bgColor theme="0"/>
        </patternFill>
      </fill>
    </dxf>
    <dxf>
      <font>
        <color theme="0"/>
      </font>
      <fill>
        <patternFill>
          <bgColor theme="0"/>
        </patternFill>
      </fill>
    </dxf>
    <dxf>
      <font>
        <color theme="0"/>
      </font>
    </dxf>
    <dxf>
      <font>
        <b/>
        <i val="0"/>
        <strike val="0"/>
        <color rgb="FFFF0000"/>
      </font>
      <fill>
        <patternFill>
          <bgColor rgb="FFFFFF00"/>
        </patternFill>
      </fill>
    </dxf>
    <dxf>
      <font>
        <strike val="0"/>
        <color rgb="FFFF0000"/>
      </font>
      <fill>
        <patternFill>
          <bgColor rgb="FFFFFF00"/>
        </patternFill>
      </fill>
    </dxf>
    <dxf>
      <font>
        <b/>
        <i val="0"/>
        <strike/>
        <color rgb="FFFF0000"/>
      </font>
    </dxf>
    <dxf>
      <font>
        <color rgb="FF9C0006"/>
      </font>
      <fill>
        <patternFill>
          <bgColor rgb="FFFFC7CE"/>
        </patternFill>
      </fill>
    </dxf>
    <dxf>
      <fill>
        <patternFill patternType="none">
          <fgColor indexed="64"/>
          <bgColor auto="1"/>
        </patternFill>
      </fill>
    </dxf>
    <dxf>
      <font>
        <b/>
      </font>
      <fill>
        <patternFill patternType="none">
          <fgColor indexed="64"/>
          <bgColor auto="1"/>
        </patternFill>
      </fill>
      <alignment horizontal="center" vertical="bottom" textRotation="0" wrapText="0" indent="0" justifyLastLine="0" shrinkToFit="0" readingOrder="0"/>
      <protection locked="0" hidden="0"/>
    </dxf>
    <dxf>
      <font>
        <b/>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ourier New"/>
        <scheme val="none"/>
      </font>
      <fill>
        <patternFill patternType="none">
          <fgColor indexed="64"/>
          <bgColor auto="1"/>
        </patternFill>
      </fill>
    </dxf>
    <dxf>
      <fill>
        <patternFill patternType="none">
          <fgColor indexed="64"/>
          <bgColor auto="1"/>
        </patternFill>
      </fill>
      <protection locked="0" hidden="0"/>
    </dxf>
    <dxf>
      <font>
        <b/>
      </font>
      <fill>
        <patternFill patternType="none">
          <fgColor indexed="64"/>
          <bgColor auto="1"/>
        </patternFill>
      </fill>
      <protection locked="0" hidden="0"/>
    </dxf>
    <dxf>
      <fill>
        <patternFill patternType="none">
          <fgColor indexed="64"/>
          <bgColor auto="1"/>
        </patternFill>
      </fill>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4"/>
        <color theme="0"/>
        <name val="Calibri"/>
        <family val="2"/>
        <scheme val="minor"/>
      </font>
      <numFmt numFmtId="0" formatCode="General"/>
      <fill>
        <patternFill patternType="solid">
          <fgColor indexed="64"/>
          <bgColor theme="5"/>
        </patternFill>
      </fill>
      <alignment horizontal="right" vertical="center" textRotation="0" wrapText="0" indent="0" justifyLastLine="0" shrinkToFit="1"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4" tint="-0.249977111117893"/>
        <name val="Calibri"/>
        <scheme val="minor"/>
      </font>
      <fill>
        <patternFill patternType="solid">
          <fgColor indexed="64"/>
          <bgColor theme="0"/>
        </patternFill>
      </fill>
      <alignment horizontal="center" vertical="center" textRotation="0" wrapText="0" indent="0" justifyLastLine="0" shrinkToFit="0" readingOrder="0"/>
    </dxf>
  </dxfs>
  <tableStyles count="0" defaultTableStyle="TableStyleMedium2" defaultPivotStyle="PivotStyleLight16"/>
  <colors>
    <mruColors>
      <color rgb="FF005877"/>
      <color rgb="FFE87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88799</xdr:colOff>
      <xdr:row>17</xdr:row>
      <xdr:rowOff>42950</xdr:rowOff>
    </xdr:from>
    <xdr:to>
      <xdr:col>7</xdr:col>
      <xdr:colOff>1</xdr:colOff>
      <xdr:row>17</xdr:row>
      <xdr:rowOff>321028</xdr:rowOff>
    </xdr:to>
    <mc:AlternateContent xmlns:mc="http://schemas.openxmlformats.org/markup-compatibility/2006">
      <mc:Choice xmlns:a14="http://schemas.microsoft.com/office/drawing/2010/main" Requires="a14">
        <xdr:sp macro="" textlink="">
          <xdr:nvSpPr>
            <xdr:cNvPr id="2" name="Formula_Perimetro">
              <a:extLst>
                <a:ext uri="{FF2B5EF4-FFF2-40B4-BE49-F238E27FC236}">
                  <a16:creationId xmlns:a16="http://schemas.microsoft.com/office/drawing/2014/main" id="{DFBCD38E-EC7B-E879-212F-5EC53002163E}"/>
                </a:ext>
              </a:extLst>
            </xdr:cNvPr>
            <xdr:cNvSpPr txBox="1"/>
          </xdr:nvSpPr>
          <xdr:spPr>
            <a:xfrm>
              <a:off x="88799" y="3881173"/>
              <a:ext cx="2451202" cy="278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14:m>
                <m:oMathPara xmlns:m="http://schemas.openxmlformats.org/officeDocument/2006/math">
                  <m:oMathParaPr>
                    <m:jc m:val="right"/>
                  </m:oMathParaPr>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𝐿</m:t>
                        </m:r>
                        <m:r>
                          <a:rPr lang="es-ES" sz="1100" b="0" i="1">
                            <a:latin typeface="Cambria Math" panose="02040503050406030204" pitchFamily="18" charset="0"/>
                          </a:rPr>
                          <m:t>+</m:t>
                        </m:r>
                        <m:r>
                          <a:rPr lang="es-ES" sz="1100" b="0" i="1">
                            <a:latin typeface="Cambria Math" panose="02040503050406030204" pitchFamily="18" charset="0"/>
                          </a:rPr>
                          <m:t>h</m:t>
                        </m:r>
                      </m:e>
                    </m:d>
                    <m:r>
                      <a:rPr lang="es-ES" sz="1100" b="0" i="1">
                        <a:latin typeface="Cambria Math" panose="02040503050406030204" pitchFamily="18" charset="0"/>
                      </a:rPr>
                      <m:t>·2=</m:t>
                    </m:r>
                  </m:oMath>
                </m:oMathPara>
              </a14:m>
              <a:endParaRPr lang="es-ES" sz="1100"/>
            </a:p>
          </xdr:txBody>
        </xdr:sp>
      </mc:Choice>
      <mc:Fallback>
        <xdr:sp macro="" textlink="">
          <xdr:nvSpPr>
            <xdr:cNvPr id="2" name="Formula_Perimetro">
              <a:extLst>
                <a:ext uri="{FF2B5EF4-FFF2-40B4-BE49-F238E27FC236}">
                  <a16:creationId xmlns:a16="http://schemas.microsoft.com/office/drawing/2014/main" id="{DFBCD38E-EC7B-E879-212F-5EC53002163E}"/>
                </a:ext>
              </a:extLst>
            </xdr:cNvPr>
            <xdr:cNvSpPr txBox="1"/>
          </xdr:nvSpPr>
          <xdr:spPr>
            <a:xfrm>
              <a:off x="88799" y="3881173"/>
              <a:ext cx="2451202" cy="278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r>
                <a:rPr lang="es-ES" sz="1100" b="0" i="0">
                  <a:latin typeface="Cambria Math" panose="02040503050406030204" pitchFamily="18" charset="0"/>
                </a:rPr>
                <a:t>𝑃=(𝐿+ℎ)·2=</a:t>
              </a:r>
              <a:endParaRPr lang="es-ES" sz="1100"/>
            </a:p>
          </xdr:txBody>
        </xdr:sp>
      </mc:Fallback>
    </mc:AlternateContent>
    <xdr:clientData/>
  </xdr:twoCellAnchor>
  <xdr:twoCellAnchor>
    <xdr:from>
      <xdr:col>0</xdr:col>
      <xdr:colOff>115818</xdr:colOff>
      <xdr:row>20</xdr:row>
      <xdr:rowOff>42333</xdr:rowOff>
    </xdr:from>
    <xdr:to>
      <xdr:col>6</xdr:col>
      <xdr:colOff>334986</xdr:colOff>
      <xdr:row>20</xdr:row>
      <xdr:rowOff>317499</xdr:rowOff>
    </xdr:to>
    <mc:AlternateContent xmlns:mc="http://schemas.openxmlformats.org/markup-compatibility/2006">
      <mc:Choice xmlns:a14="http://schemas.microsoft.com/office/drawing/2010/main" Requires="a14">
        <xdr:sp macro="" textlink="">
          <xdr:nvSpPr>
            <xdr:cNvPr id="3" name="Formula_Area">
              <a:extLst>
                <a:ext uri="{FF2B5EF4-FFF2-40B4-BE49-F238E27FC236}">
                  <a16:creationId xmlns:a16="http://schemas.microsoft.com/office/drawing/2014/main" id="{F80C19E0-1422-4ED7-A863-7B889341D951}"/>
                </a:ext>
              </a:extLst>
            </xdr:cNvPr>
            <xdr:cNvSpPr txBox="1"/>
          </xdr:nvSpPr>
          <xdr:spPr>
            <a:xfrm>
              <a:off x="115818" y="4635500"/>
              <a:ext cx="2420501" cy="2751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r"/>
              <a:r>
                <a:rPr lang="es-ES" sz="1100" b="0"/>
                <a:t>A</a:t>
              </a:r>
              <a14:m>
                <m:oMath xmlns:m="http://schemas.openxmlformats.org/officeDocument/2006/math">
                  <m:r>
                    <a:rPr lang="es-ES" sz="1100" b="0" i="0">
                      <a:latin typeface="Cambria Math" panose="02040503050406030204" pitchFamily="18" charset="0"/>
                    </a:rPr>
                    <m:t> </m:t>
                  </m:r>
                  <m:r>
                    <a:rPr lang="es-ES" sz="1100" b="0" i="1">
                      <a:latin typeface="Cambria Math" panose="02040503050406030204" pitchFamily="18" charset="0"/>
                    </a:rPr>
                    <m:t>=</m:t>
                  </m:r>
                  <m:r>
                    <a:rPr lang="es-ES" sz="1100" b="0" i="1">
                      <a:solidFill>
                        <a:schemeClr val="tx1"/>
                      </a:solidFill>
                      <a:effectLst/>
                      <a:latin typeface="Cambria Math" panose="02040503050406030204" pitchFamily="18" charset="0"/>
                      <a:ea typeface="+mn-ea"/>
                      <a:cs typeface="+mn-cs"/>
                    </a:rPr>
                    <m:t>𝐿</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h</m:t>
                  </m:r>
                  <m:r>
                    <a:rPr lang="es-ES" sz="1100" b="0" i="1">
                      <a:latin typeface="Cambria Math" panose="02040503050406030204" pitchFamily="18" charset="0"/>
                    </a:rPr>
                    <m:t>=</m:t>
                  </m:r>
                </m:oMath>
              </a14:m>
              <a:endParaRPr lang="es-ES" sz="1100"/>
            </a:p>
          </xdr:txBody>
        </xdr:sp>
      </mc:Choice>
      <mc:Fallback>
        <xdr:sp macro="" textlink="">
          <xdr:nvSpPr>
            <xdr:cNvPr id="3" name="Formula_Area">
              <a:extLst>
                <a:ext uri="{FF2B5EF4-FFF2-40B4-BE49-F238E27FC236}">
                  <a16:creationId xmlns:a16="http://schemas.microsoft.com/office/drawing/2014/main" id="{F80C19E0-1422-4ED7-A863-7B889341D951}"/>
                </a:ext>
              </a:extLst>
            </xdr:cNvPr>
            <xdr:cNvSpPr txBox="1"/>
          </xdr:nvSpPr>
          <xdr:spPr>
            <a:xfrm>
              <a:off x="115818" y="4635500"/>
              <a:ext cx="2420501" cy="2751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r"/>
              <a:r>
                <a:rPr lang="es-ES" sz="1100" b="0"/>
                <a:t>A</a:t>
              </a:r>
              <a:r>
                <a:rPr lang="es-ES" sz="1100" b="0" i="0">
                  <a:latin typeface="Cambria Math" panose="02040503050406030204" pitchFamily="18" charset="0"/>
                </a:rPr>
                <a:t> =</a:t>
              </a:r>
              <a:r>
                <a:rPr lang="es-ES" sz="1100" b="0" i="0">
                  <a:solidFill>
                    <a:schemeClr val="tx1"/>
                  </a:solidFill>
                  <a:effectLst/>
                  <a:latin typeface="Cambria Math" panose="02040503050406030204" pitchFamily="18" charset="0"/>
                  <a:ea typeface="+mn-ea"/>
                  <a:cs typeface="+mn-cs"/>
                </a:rPr>
                <a:t>𝐿· ℎ</a:t>
              </a:r>
              <a:r>
                <a:rPr lang="es-ES" sz="1100" b="0" i="0">
                  <a:latin typeface="Cambria Math" panose="02040503050406030204" pitchFamily="18" charset="0"/>
                </a:rPr>
                <a:t>=</a:t>
              </a:r>
              <a:endParaRPr lang="es-ES" sz="1100"/>
            </a:p>
          </xdr:txBody>
        </xdr:sp>
      </mc:Fallback>
    </mc:AlternateContent>
    <xdr:clientData/>
  </xdr:twoCellAnchor>
  <xdr:twoCellAnchor>
    <xdr:from>
      <xdr:col>1</xdr:col>
      <xdr:colOff>7988</xdr:colOff>
      <xdr:row>23</xdr:row>
      <xdr:rowOff>24694</xdr:rowOff>
    </xdr:from>
    <xdr:to>
      <xdr:col>6</xdr:col>
      <xdr:colOff>312899</xdr:colOff>
      <xdr:row>23</xdr:row>
      <xdr:rowOff>321027</xdr:rowOff>
    </xdr:to>
    <mc:AlternateContent xmlns:mc="http://schemas.openxmlformats.org/markup-compatibility/2006">
      <mc:Choice xmlns:a14="http://schemas.microsoft.com/office/drawing/2010/main" Requires="a14">
        <xdr:sp macro="" textlink="">
          <xdr:nvSpPr>
            <xdr:cNvPr id="6" name="Formula_Volumen">
              <a:extLst>
                <a:ext uri="{FF2B5EF4-FFF2-40B4-BE49-F238E27FC236}">
                  <a16:creationId xmlns:a16="http://schemas.microsoft.com/office/drawing/2014/main" id="{1026DA3D-E088-4C6C-8111-839CFBBDD507}"/>
                </a:ext>
              </a:extLst>
            </xdr:cNvPr>
            <xdr:cNvSpPr txBox="1"/>
          </xdr:nvSpPr>
          <xdr:spPr>
            <a:xfrm>
              <a:off x="131461" y="5563305"/>
              <a:ext cx="2382771" cy="29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r"/>
              <a:r>
                <a:rPr lang="es-ES" sz="1100" b="0" i="0">
                  <a:latin typeface="+mn-lt"/>
                </a:rPr>
                <a:t>V</a:t>
              </a:r>
              <a14:m>
                <m:oMath xmlns:m="http://schemas.openxmlformats.org/officeDocument/2006/math">
                  <m:r>
                    <a:rPr lang="es-ES" sz="1100" b="0" i="0">
                      <a:latin typeface="Cambria Math" panose="02040503050406030204" pitchFamily="18" charset="0"/>
                    </a:rPr>
                    <m:t> </m:t>
                  </m:r>
                  <m:r>
                    <a:rPr lang="es-ES" sz="1100" b="0" i="1">
                      <a:latin typeface="Cambria Math" panose="02040503050406030204" pitchFamily="18" charset="0"/>
                    </a:rPr>
                    <m:t>=</m:t>
                  </m:r>
                  <m:r>
                    <a:rPr lang="es-ES" sz="1100" b="0" i="1">
                      <a:latin typeface="Cambria Math" panose="02040503050406030204" pitchFamily="18" charset="0"/>
                    </a:rPr>
                    <m:t>𝐴</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𝑑</m:t>
                  </m:r>
                  <m:r>
                    <a:rPr lang="es-ES" sz="1100" b="0" i="1">
                      <a:latin typeface="Cambria Math" panose="02040503050406030204" pitchFamily="18" charset="0"/>
                    </a:rPr>
                    <m:t>=</m:t>
                  </m:r>
                </m:oMath>
              </a14:m>
              <a:endParaRPr lang="es-ES" sz="1100"/>
            </a:p>
          </xdr:txBody>
        </xdr:sp>
      </mc:Choice>
      <mc:Fallback>
        <xdr:sp macro="" textlink="">
          <xdr:nvSpPr>
            <xdr:cNvPr id="6" name="Formula_Volumen">
              <a:extLst>
                <a:ext uri="{FF2B5EF4-FFF2-40B4-BE49-F238E27FC236}">
                  <a16:creationId xmlns:a16="http://schemas.microsoft.com/office/drawing/2014/main" id="{1026DA3D-E088-4C6C-8111-839CFBBDD507}"/>
                </a:ext>
              </a:extLst>
            </xdr:cNvPr>
            <xdr:cNvSpPr txBox="1"/>
          </xdr:nvSpPr>
          <xdr:spPr>
            <a:xfrm>
              <a:off x="131461" y="5563305"/>
              <a:ext cx="2382771" cy="29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r"/>
              <a:r>
                <a:rPr lang="es-ES" sz="1100" b="0" i="0">
                  <a:latin typeface="+mn-lt"/>
                </a:rPr>
                <a:t>V</a:t>
              </a:r>
              <a:r>
                <a:rPr lang="es-ES" sz="1100" b="0" i="0">
                  <a:latin typeface="Cambria Math" panose="02040503050406030204" pitchFamily="18" charset="0"/>
                </a:rPr>
                <a:t> =𝐴</a:t>
              </a:r>
              <a:r>
                <a:rPr lang="es-ES" sz="1100" b="0" i="0">
                  <a:solidFill>
                    <a:schemeClr val="tx1"/>
                  </a:solidFill>
                  <a:effectLst/>
                  <a:latin typeface="Cambria Math" panose="02040503050406030204" pitchFamily="18" charset="0"/>
                  <a:ea typeface="+mn-ea"/>
                  <a:cs typeface="+mn-cs"/>
                </a:rPr>
                <a:t>· 𝑑</a:t>
              </a:r>
              <a:r>
                <a:rPr lang="es-ES" sz="1100" b="0" i="0">
                  <a:latin typeface="Cambria Math" panose="02040503050406030204" pitchFamily="18" charset="0"/>
                </a:rPr>
                <a:t>=</a:t>
              </a:r>
              <a:endParaRPr lang="es-ES" sz="1100"/>
            </a:p>
          </xdr:txBody>
        </xdr:sp>
      </mc:Fallback>
    </mc:AlternateContent>
    <xdr:clientData/>
  </xdr:twoCellAnchor>
  <xdr:twoCellAnchor>
    <xdr:from>
      <xdr:col>4</xdr:col>
      <xdr:colOff>126942</xdr:colOff>
      <xdr:row>7</xdr:row>
      <xdr:rowOff>67442</xdr:rowOff>
    </xdr:from>
    <xdr:to>
      <xdr:col>12</xdr:col>
      <xdr:colOff>471294</xdr:colOff>
      <xdr:row>14</xdr:row>
      <xdr:rowOff>145781</xdr:rowOff>
    </xdr:to>
    <xdr:grpSp>
      <xdr:nvGrpSpPr>
        <xdr:cNvPr id="18" name="FIGURE_PROBLEM">
          <a:extLst>
            <a:ext uri="{FF2B5EF4-FFF2-40B4-BE49-F238E27FC236}">
              <a16:creationId xmlns:a16="http://schemas.microsoft.com/office/drawing/2014/main" id="{6D9ABFAC-3900-2150-887C-92BEA2EFCB68}"/>
            </a:ext>
          </a:extLst>
        </xdr:cNvPr>
        <xdr:cNvGrpSpPr/>
      </xdr:nvGrpSpPr>
      <xdr:grpSpPr>
        <a:xfrm>
          <a:off x="1650942" y="1972442"/>
          <a:ext cx="2771463" cy="1454172"/>
          <a:chOff x="1650942" y="1901886"/>
          <a:chExt cx="2771463" cy="1362451"/>
        </a:xfrm>
      </xdr:grpSpPr>
      <xdr:grpSp>
        <xdr:nvGrpSpPr>
          <xdr:cNvPr id="20" name="Figura">
            <a:extLst>
              <a:ext uri="{FF2B5EF4-FFF2-40B4-BE49-F238E27FC236}">
                <a16:creationId xmlns:a16="http://schemas.microsoft.com/office/drawing/2014/main" id="{3003B99E-D421-E325-88BC-E967D63AD7FA}"/>
              </a:ext>
            </a:extLst>
          </xdr:cNvPr>
          <xdr:cNvGrpSpPr/>
        </xdr:nvGrpSpPr>
        <xdr:grpSpPr>
          <a:xfrm>
            <a:off x="1650942" y="1901886"/>
            <a:ext cx="2771463" cy="1362451"/>
            <a:chOff x="1354793" y="1758369"/>
            <a:chExt cx="2733353" cy="1363831"/>
          </a:xfrm>
        </xdr:grpSpPr>
        <xdr:grpSp>
          <xdr:nvGrpSpPr>
            <xdr:cNvPr id="23" name="Cota_L">
              <a:extLst>
                <a:ext uri="{FF2B5EF4-FFF2-40B4-BE49-F238E27FC236}">
                  <a16:creationId xmlns:a16="http://schemas.microsoft.com/office/drawing/2014/main" id="{C0AEB517-5E0A-5E00-EB18-DF574E2B676D}"/>
                </a:ext>
              </a:extLst>
            </xdr:cNvPr>
            <xdr:cNvGrpSpPr/>
          </xdr:nvGrpSpPr>
          <xdr:grpSpPr>
            <a:xfrm>
              <a:off x="1688344" y="2824770"/>
              <a:ext cx="1691347" cy="297430"/>
              <a:chOff x="2361784" y="2266434"/>
              <a:chExt cx="1743380" cy="305697"/>
            </a:xfrm>
          </xdr:grpSpPr>
          <xdr:grpSp>
            <xdr:nvGrpSpPr>
              <xdr:cNvPr id="11" name="Grupo 10">
                <a:extLst>
                  <a:ext uri="{FF2B5EF4-FFF2-40B4-BE49-F238E27FC236}">
                    <a16:creationId xmlns:a16="http://schemas.microsoft.com/office/drawing/2014/main" id="{F5E4E955-6192-F280-3F09-54CCEBCA9A16}"/>
                  </a:ext>
                </a:extLst>
              </xdr:cNvPr>
              <xdr:cNvGrpSpPr/>
            </xdr:nvGrpSpPr>
            <xdr:grpSpPr>
              <a:xfrm>
                <a:off x="2361784" y="2283374"/>
                <a:ext cx="1743380" cy="288757"/>
                <a:chOff x="2366433" y="2476552"/>
                <a:chExt cx="1749177" cy="287848"/>
              </a:xfrm>
            </xdr:grpSpPr>
            <xdr:cxnSp macro="">
              <xdr:nvCxnSpPr>
                <xdr:cNvPr id="4" name="Conector recto de flecha 3">
                  <a:extLst>
                    <a:ext uri="{FF2B5EF4-FFF2-40B4-BE49-F238E27FC236}">
                      <a16:creationId xmlns:a16="http://schemas.microsoft.com/office/drawing/2014/main" id="{1477FDDA-C2FC-44E7-6A58-C0977ADC08BB}"/>
                    </a:ext>
                  </a:extLst>
                </xdr:cNvPr>
                <xdr:cNvCxnSpPr/>
              </xdr:nvCxnSpPr>
              <xdr:spPr>
                <a:xfrm flipV="1">
                  <a:off x="2366433" y="2666605"/>
                  <a:ext cx="1737640" cy="3530"/>
                </a:xfrm>
                <a:prstGeom prst="straightConnector1">
                  <a:avLst/>
                </a:prstGeom>
                <a:ln w="12700">
                  <a:solidFill>
                    <a:schemeClr val="tx1"/>
                  </a:solidFill>
                  <a:headEnd type="triangle" w="lg" len="lg"/>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7" name="Conector recto 6">
                  <a:extLst>
                    <a:ext uri="{FF2B5EF4-FFF2-40B4-BE49-F238E27FC236}">
                      <a16:creationId xmlns:a16="http://schemas.microsoft.com/office/drawing/2014/main" id="{D6A9370D-2586-0F3E-0C9B-3C2A3E544E95}"/>
                    </a:ext>
                  </a:extLst>
                </xdr:cNvPr>
                <xdr:cNvCxnSpPr/>
              </xdr:nvCxnSpPr>
              <xdr:spPr>
                <a:xfrm>
                  <a:off x="2370668" y="2476552"/>
                  <a:ext cx="0" cy="27938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ector recto 7">
                  <a:extLst>
                    <a:ext uri="{FF2B5EF4-FFF2-40B4-BE49-F238E27FC236}">
                      <a16:creationId xmlns:a16="http://schemas.microsoft.com/office/drawing/2014/main" id="{9A14D740-8E8D-4AB0-BCFB-D286787B35A9}"/>
                    </a:ext>
                  </a:extLst>
                </xdr:cNvPr>
                <xdr:cNvCxnSpPr/>
              </xdr:nvCxnSpPr>
              <xdr:spPr>
                <a:xfrm>
                  <a:off x="4115610" y="2485019"/>
                  <a:ext cx="0" cy="27938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L_See">
            <xdr:nvSpPr>
              <xdr:cNvPr id="13" name="CuadroTexto 12">
                <a:extLst>
                  <a:ext uri="{FF2B5EF4-FFF2-40B4-BE49-F238E27FC236}">
                    <a16:creationId xmlns:a16="http://schemas.microsoft.com/office/drawing/2014/main" id="{1583F822-3ACC-2EFB-C2D2-0AF8828658E9}"/>
                  </a:ext>
                </a:extLst>
              </xdr:cNvPr>
              <xdr:cNvSpPr txBox="1"/>
            </xdr:nvSpPr>
            <xdr:spPr>
              <a:xfrm>
                <a:off x="2378718" y="2266434"/>
                <a:ext cx="1725079" cy="250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6D52FC-35A4-47CF-9AE7-F5DF3B337974}" type="TxLink">
                  <a:rPr lang="en-US" sz="1100" b="0" i="0" u="none" strike="noStrike">
                    <a:solidFill>
                      <a:srgbClr val="000000"/>
                    </a:solidFill>
                    <a:latin typeface="Calibri"/>
                    <a:ea typeface="Calibri"/>
                    <a:cs typeface="Calibri"/>
                  </a:rPr>
                  <a:pPr algn="ctr"/>
                  <a:t>20 cm</a:t>
                </a:fld>
                <a:endParaRPr lang="es-ES" sz="1100"/>
              </a:p>
            </xdr:txBody>
          </xdr:sp>
        </xdr:grpSp>
        <xdr:grpSp>
          <xdr:nvGrpSpPr>
            <xdr:cNvPr id="15" name="Cota_h">
              <a:extLst>
                <a:ext uri="{FF2B5EF4-FFF2-40B4-BE49-F238E27FC236}">
                  <a16:creationId xmlns:a16="http://schemas.microsoft.com/office/drawing/2014/main" id="{7B1F4E72-85AC-FEE7-9964-EE7555220EBA}"/>
                </a:ext>
              </a:extLst>
            </xdr:cNvPr>
            <xdr:cNvGrpSpPr/>
          </xdr:nvGrpSpPr>
          <xdr:grpSpPr>
            <a:xfrm>
              <a:off x="1354793" y="2024878"/>
              <a:ext cx="316685" cy="766516"/>
              <a:chOff x="4412710" y="1312619"/>
              <a:chExt cx="326428" cy="923661"/>
            </a:xfrm>
          </xdr:grpSpPr>
          <xdr:grpSp>
            <xdr:nvGrpSpPr>
              <xdr:cNvPr id="12" name="Grupo 11">
                <a:extLst>
                  <a:ext uri="{FF2B5EF4-FFF2-40B4-BE49-F238E27FC236}">
                    <a16:creationId xmlns:a16="http://schemas.microsoft.com/office/drawing/2014/main" id="{BB2FEDE1-4837-BD71-2ABB-010DA434C156}"/>
                  </a:ext>
                </a:extLst>
              </xdr:cNvPr>
              <xdr:cNvGrpSpPr/>
            </xdr:nvGrpSpPr>
            <xdr:grpSpPr>
              <a:xfrm>
                <a:off x="4545152" y="1312619"/>
                <a:ext cx="193986" cy="913077"/>
                <a:chOff x="4557367" y="1509179"/>
                <a:chExt cx="194511" cy="910171"/>
              </a:xfrm>
            </xdr:grpSpPr>
            <xdr:cxnSp macro="">
              <xdr:nvCxnSpPr>
                <xdr:cNvPr id="5" name="Conector recto de flecha 4">
                  <a:extLst>
                    <a:ext uri="{FF2B5EF4-FFF2-40B4-BE49-F238E27FC236}">
                      <a16:creationId xmlns:a16="http://schemas.microsoft.com/office/drawing/2014/main" id="{CB7B1C3E-0C01-4EAC-9F18-F68F6FFE1C06}"/>
                    </a:ext>
                  </a:extLst>
                </xdr:cNvPr>
                <xdr:cNvCxnSpPr/>
              </xdr:nvCxnSpPr>
              <xdr:spPr>
                <a:xfrm rot="5400000">
                  <a:off x="4205782" y="1967233"/>
                  <a:ext cx="900000" cy="0"/>
                </a:xfrm>
                <a:prstGeom prst="straightConnector1">
                  <a:avLst/>
                </a:prstGeom>
                <a:ln w="12700">
                  <a:solidFill>
                    <a:schemeClr val="tx1"/>
                  </a:solidFill>
                  <a:headEnd type="triangle" w="lg" len="lg"/>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9" name="Conector recto 8">
                  <a:extLst>
                    <a:ext uri="{FF2B5EF4-FFF2-40B4-BE49-F238E27FC236}">
                      <a16:creationId xmlns:a16="http://schemas.microsoft.com/office/drawing/2014/main" id="{FEB67EBB-61C8-4FDC-82DE-F99F09AAF2EE}"/>
                    </a:ext>
                  </a:extLst>
                </xdr:cNvPr>
                <xdr:cNvCxnSpPr/>
              </xdr:nvCxnSpPr>
              <xdr:spPr>
                <a:xfrm rot="5400000">
                  <a:off x="4650387" y="2326330"/>
                  <a:ext cx="0" cy="18604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ector recto 9">
                  <a:extLst>
                    <a:ext uri="{FF2B5EF4-FFF2-40B4-BE49-F238E27FC236}">
                      <a16:creationId xmlns:a16="http://schemas.microsoft.com/office/drawing/2014/main" id="{9A7766BE-CEE9-4FA5-AFEF-00CEA6ADC68A}"/>
                    </a:ext>
                  </a:extLst>
                </xdr:cNvPr>
                <xdr:cNvCxnSpPr/>
              </xdr:nvCxnSpPr>
              <xdr:spPr>
                <a:xfrm rot="5400000">
                  <a:off x="4658858" y="1416158"/>
                  <a:ext cx="0" cy="18604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h_See">
            <xdr:nvSpPr>
              <xdr:cNvPr id="14" name="CuadroTexto 13">
                <a:extLst>
                  <a:ext uri="{FF2B5EF4-FFF2-40B4-BE49-F238E27FC236}">
                    <a16:creationId xmlns:a16="http://schemas.microsoft.com/office/drawing/2014/main" id="{8377A615-0643-4C5D-AACD-4FB876C4FF7A}"/>
                  </a:ext>
                </a:extLst>
              </xdr:cNvPr>
              <xdr:cNvSpPr txBox="1"/>
            </xdr:nvSpPr>
            <xdr:spPr>
              <a:xfrm rot="16200000">
                <a:off x="4076328" y="1651126"/>
                <a:ext cx="921536" cy="248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3423D1-2FE2-4B8E-941D-1CE1AACE7DD7}" type="TxLink">
                  <a:rPr lang="en-US" sz="1100" b="0" i="0" u="none" strike="noStrike" baseline="0">
                    <a:solidFill>
                      <a:srgbClr val="000000"/>
                    </a:solidFill>
                    <a:latin typeface="Calibri"/>
                    <a:ea typeface="Calibri"/>
                    <a:cs typeface="Calibri"/>
                  </a:rPr>
                  <a:pPr algn="ctr"/>
                  <a:t>5 cm</a:t>
                </a:fld>
                <a:endParaRPr lang="es-ES" sz="1100"/>
              </a:p>
            </xdr:txBody>
          </xdr:sp>
        </xdr:grpSp>
        <xdr:sp macro="" textlink="">
          <xdr:nvSpPr>
            <xdr:cNvPr id="16" name="Cubo">
              <a:extLst>
                <a:ext uri="{FF2B5EF4-FFF2-40B4-BE49-F238E27FC236}">
                  <a16:creationId xmlns:a16="http://schemas.microsoft.com/office/drawing/2014/main" id="{CCEC8C49-8767-35D9-8BBD-35DD97CBC886}"/>
                </a:ext>
              </a:extLst>
            </xdr:cNvPr>
            <xdr:cNvSpPr/>
          </xdr:nvSpPr>
          <xdr:spPr>
            <a:xfrm>
              <a:off x="1712260" y="1758369"/>
              <a:ext cx="1932701" cy="1018485"/>
            </a:xfrm>
            <a:prstGeom prst="cube">
              <a:avLst>
                <a:gd name="adj" fmla="val 2673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 textlink="d_See">
          <xdr:nvSpPr>
            <xdr:cNvPr id="19" name="Profundidad">
              <a:extLst>
                <a:ext uri="{FF2B5EF4-FFF2-40B4-BE49-F238E27FC236}">
                  <a16:creationId xmlns:a16="http://schemas.microsoft.com/office/drawing/2014/main" id="{425BA2C9-F5A8-0157-4CCA-504AF57C3BA6}"/>
                </a:ext>
              </a:extLst>
            </xdr:cNvPr>
            <xdr:cNvSpPr txBox="1"/>
          </xdr:nvSpPr>
          <xdr:spPr>
            <a:xfrm>
              <a:off x="3481732" y="2569576"/>
              <a:ext cx="606414" cy="24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6F91368-3B73-4ACE-B825-45EC272C74A8}" type="TxLink">
                <a:rPr lang="en-US" sz="1100" b="0" i="0" u="none" strike="noStrike" baseline="0">
                  <a:solidFill>
                    <a:srgbClr val="000000"/>
                  </a:solidFill>
                  <a:latin typeface="Calibri"/>
                  <a:ea typeface="Calibri"/>
                  <a:cs typeface="Calibri"/>
                </a:rPr>
                <a:pPr algn="l"/>
                <a:t>5 cm</a:t>
              </a:fld>
              <a:endParaRPr lang="es-ES" sz="1100"/>
            </a:p>
          </xdr:txBody>
        </xdr:sp>
      </xdr:grpSp>
      <xdr:sp macro="" textlink="Area_See">
        <xdr:nvSpPr>
          <xdr:cNvPr id="31" name="Area">
            <a:extLst>
              <a:ext uri="{FF2B5EF4-FFF2-40B4-BE49-F238E27FC236}">
                <a16:creationId xmlns:a16="http://schemas.microsoft.com/office/drawing/2014/main" id="{8031397C-22E7-4398-98FD-BBE8CE4E4F56}"/>
              </a:ext>
            </a:extLst>
          </xdr:cNvPr>
          <xdr:cNvSpPr txBox="1"/>
        </xdr:nvSpPr>
        <xdr:spPr>
          <a:xfrm>
            <a:off x="2014932" y="2184711"/>
            <a:ext cx="1690261" cy="739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91D056-6232-4C4C-9D18-6B4CAFF28882}" type="TxLink">
              <a:rPr lang="en-US" sz="1100" b="0" i="0" u="none" strike="noStrike">
                <a:solidFill>
                  <a:srgbClr val="000000"/>
                </a:solidFill>
                <a:latin typeface="Calibri"/>
                <a:ea typeface="Calibri"/>
                <a:cs typeface="Calibri"/>
              </a:rPr>
              <a:pPr algn="ctr"/>
              <a:t>100 cm²</a:t>
            </a:fld>
            <a:endParaRPr lang="es-ES" sz="1100"/>
          </a:p>
        </xdr:txBody>
      </xdr:sp>
      <xdr:sp macro="" textlink="Volumen_See">
        <xdr:nvSpPr>
          <xdr:cNvPr id="32" name="Volumen">
            <a:extLst>
              <a:ext uri="{FF2B5EF4-FFF2-40B4-BE49-F238E27FC236}">
                <a16:creationId xmlns:a16="http://schemas.microsoft.com/office/drawing/2014/main" id="{2FB4F721-F28B-4FD1-A386-75126EDC7CB7}"/>
              </a:ext>
            </a:extLst>
          </xdr:cNvPr>
          <xdr:cNvSpPr txBox="1"/>
        </xdr:nvSpPr>
        <xdr:spPr>
          <a:xfrm>
            <a:off x="2471434" y="1944506"/>
            <a:ext cx="1271045" cy="27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33139DF-2A4B-4232-ACC3-E61566034F4D}" type="TxLink">
              <a:rPr lang="en-US" sz="1100" b="0" i="0" u="none" strike="noStrike">
                <a:solidFill>
                  <a:srgbClr val="000000"/>
                </a:solidFill>
                <a:latin typeface="Calibri"/>
                <a:ea typeface="Calibri"/>
                <a:cs typeface="Calibri"/>
              </a:rPr>
              <a:pPr algn="r"/>
              <a:t>500 cm³</a:t>
            </a:fld>
            <a:endParaRPr lang="es-ES" sz="1100"/>
          </a:p>
        </xdr:txBody>
      </xdr:sp>
      <xdr:sp macro="" textlink="Perimeter_See">
        <xdr:nvSpPr>
          <xdr:cNvPr id="17" name="Perimeter">
            <a:extLst>
              <a:ext uri="{FF2B5EF4-FFF2-40B4-BE49-F238E27FC236}">
                <a16:creationId xmlns:a16="http://schemas.microsoft.com/office/drawing/2014/main" id="{38E6E646-6256-4C62-831E-179CA8F643C6}"/>
              </a:ext>
            </a:extLst>
          </xdr:cNvPr>
          <xdr:cNvSpPr txBox="1"/>
        </xdr:nvSpPr>
        <xdr:spPr>
          <a:xfrm>
            <a:off x="2021359" y="2674469"/>
            <a:ext cx="1271045" cy="27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53AAD88-2691-4615-A1BF-8AB3948A9005}" type="TxLink">
              <a:rPr lang="en-US" sz="1100" b="0" i="0" u="none" strike="noStrike">
                <a:solidFill>
                  <a:srgbClr val="000000"/>
                </a:solidFill>
                <a:latin typeface="Calibri"/>
                <a:ea typeface="Calibri"/>
                <a:cs typeface="Calibri"/>
              </a:rPr>
              <a:pPr algn="l"/>
              <a:t>50 cm</a:t>
            </a:fld>
            <a:endParaRPr lang="es-E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1203118</xdr:colOff>
      <xdr:row>4</xdr:row>
      <xdr:rowOff>603250</xdr:rowOff>
    </xdr:to>
    <xdr:pic>
      <xdr:nvPicPr>
        <xdr:cNvPr id="3" name="Prism_Rec 020x05x05">
          <a:extLst>
            <a:ext uri="{FF2B5EF4-FFF2-40B4-BE49-F238E27FC236}">
              <a16:creationId xmlns:a16="http://schemas.microsoft.com/office/drawing/2014/main" id="{123ADC4B-E77F-6638-D403-49B66A4DE700}"/>
            </a:ext>
          </a:extLst>
        </xdr:cNvPr>
        <xdr:cNvPicPr>
          <a:picLocks noChangeAspect="1"/>
        </xdr:cNvPicPr>
      </xdr:nvPicPr>
      <xdr:blipFill>
        <a:blip xmlns:r="http://schemas.openxmlformats.org/officeDocument/2006/relationships" r:embed="rId1"/>
        <a:stretch>
          <a:fillRect/>
        </a:stretch>
      </xdr:blipFill>
      <xdr:spPr>
        <a:xfrm>
          <a:off x="7912100" y="732367"/>
          <a:ext cx="1203118" cy="603250"/>
        </a:xfrm>
        <a:prstGeom prst="rect">
          <a:avLst/>
        </a:prstGeom>
      </xdr:spPr>
    </xdr:pic>
    <xdr:clientData/>
  </xdr:twoCellAnchor>
  <xdr:twoCellAnchor editAs="oneCell">
    <xdr:from>
      <xdr:col>8</xdr:col>
      <xdr:colOff>0</xdr:colOff>
      <xdr:row>5</xdr:row>
      <xdr:rowOff>0</xdr:rowOff>
    </xdr:from>
    <xdr:to>
      <xdr:col>8</xdr:col>
      <xdr:colOff>1203119</xdr:colOff>
      <xdr:row>5</xdr:row>
      <xdr:rowOff>603250</xdr:rowOff>
    </xdr:to>
    <xdr:pic>
      <xdr:nvPicPr>
        <xdr:cNvPr id="6" name="Prism_Rec 020x15x10">
          <a:extLst>
            <a:ext uri="{FF2B5EF4-FFF2-40B4-BE49-F238E27FC236}">
              <a16:creationId xmlns:a16="http://schemas.microsoft.com/office/drawing/2014/main" id="{390D593E-F280-17B5-1E30-63C573062A34}"/>
            </a:ext>
          </a:extLst>
        </xdr:cNvPr>
        <xdr:cNvPicPr>
          <a:picLocks noChangeAspect="1"/>
        </xdr:cNvPicPr>
      </xdr:nvPicPr>
      <xdr:blipFill>
        <a:blip xmlns:r="http://schemas.openxmlformats.org/officeDocument/2006/relationships" r:embed="rId2"/>
        <a:stretch>
          <a:fillRect/>
        </a:stretch>
      </xdr:blipFill>
      <xdr:spPr>
        <a:xfrm>
          <a:off x="7912100" y="1367367"/>
          <a:ext cx="1203119" cy="603250"/>
        </a:xfrm>
        <a:prstGeom prst="rect">
          <a:avLst/>
        </a:prstGeom>
      </xdr:spPr>
    </xdr:pic>
    <xdr:clientData/>
  </xdr:twoCellAnchor>
  <xdr:twoCellAnchor editAs="oneCell">
    <xdr:from>
      <xdr:col>8</xdr:col>
      <xdr:colOff>0</xdr:colOff>
      <xdr:row>6</xdr:row>
      <xdr:rowOff>0</xdr:rowOff>
    </xdr:from>
    <xdr:to>
      <xdr:col>8</xdr:col>
      <xdr:colOff>1203118</xdr:colOff>
      <xdr:row>6</xdr:row>
      <xdr:rowOff>603250</xdr:rowOff>
    </xdr:to>
    <xdr:pic>
      <xdr:nvPicPr>
        <xdr:cNvPr id="10" name="Prism_Rec 030x20x10">
          <a:extLst>
            <a:ext uri="{FF2B5EF4-FFF2-40B4-BE49-F238E27FC236}">
              <a16:creationId xmlns:a16="http://schemas.microsoft.com/office/drawing/2014/main" id="{7D83901B-924C-838D-A8CC-AFE3FBD41411}"/>
            </a:ext>
          </a:extLst>
        </xdr:cNvPr>
        <xdr:cNvPicPr>
          <a:picLocks noChangeAspect="1"/>
        </xdr:cNvPicPr>
      </xdr:nvPicPr>
      <xdr:blipFill>
        <a:blip xmlns:r="http://schemas.openxmlformats.org/officeDocument/2006/relationships" r:embed="rId3"/>
        <a:stretch>
          <a:fillRect/>
        </a:stretch>
      </xdr:blipFill>
      <xdr:spPr>
        <a:xfrm>
          <a:off x="7912100" y="2002367"/>
          <a:ext cx="1203118" cy="603250"/>
        </a:xfrm>
        <a:prstGeom prst="rect">
          <a:avLst/>
        </a:prstGeom>
      </xdr:spPr>
    </xdr:pic>
    <xdr:clientData/>
  </xdr:twoCellAnchor>
  <xdr:twoCellAnchor editAs="oneCell">
    <xdr:from>
      <xdr:col>8</xdr:col>
      <xdr:colOff>0</xdr:colOff>
      <xdr:row>7</xdr:row>
      <xdr:rowOff>0</xdr:rowOff>
    </xdr:from>
    <xdr:to>
      <xdr:col>8</xdr:col>
      <xdr:colOff>1203118</xdr:colOff>
      <xdr:row>7</xdr:row>
      <xdr:rowOff>603250</xdr:rowOff>
    </xdr:to>
    <xdr:pic>
      <xdr:nvPicPr>
        <xdr:cNvPr id="13" name="Prism_Rec 030x20x10">
          <a:extLst>
            <a:ext uri="{FF2B5EF4-FFF2-40B4-BE49-F238E27FC236}">
              <a16:creationId xmlns:a16="http://schemas.microsoft.com/office/drawing/2014/main" id="{F2E5EC8E-5278-5811-2872-8B63527C6DBF}"/>
            </a:ext>
          </a:extLst>
        </xdr:cNvPr>
        <xdr:cNvPicPr>
          <a:picLocks noChangeAspect="1"/>
        </xdr:cNvPicPr>
      </xdr:nvPicPr>
      <xdr:blipFill>
        <a:blip xmlns:r="http://schemas.openxmlformats.org/officeDocument/2006/relationships" r:embed="rId3"/>
        <a:stretch>
          <a:fillRect/>
        </a:stretch>
      </xdr:blipFill>
      <xdr:spPr>
        <a:xfrm>
          <a:off x="7912100" y="2637367"/>
          <a:ext cx="1203118" cy="603250"/>
        </a:xfrm>
        <a:prstGeom prst="rect">
          <a:avLst/>
        </a:prstGeom>
      </xdr:spPr>
    </xdr:pic>
    <xdr:clientData/>
  </xdr:twoCellAnchor>
  <xdr:twoCellAnchor editAs="oneCell">
    <xdr:from>
      <xdr:col>8</xdr:col>
      <xdr:colOff>0</xdr:colOff>
      <xdr:row>7</xdr:row>
      <xdr:rowOff>0</xdr:rowOff>
    </xdr:from>
    <xdr:to>
      <xdr:col>8</xdr:col>
      <xdr:colOff>1203119</xdr:colOff>
      <xdr:row>7</xdr:row>
      <xdr:rowOff>603250</xdr:rowOff>
    </xdr:to>
    <xdr:pic>
      <xdr:nvPicPr>
        <xdr:cNvPr id="15" name="Prism_Rec 040x05x05">
          <a:extLst>
            <a:ext uri="{FF2B5EF4-FFF2-40B4-BE49-F238E27FC236}">
              <a16:creationId xmlns:a16="http://schemas.microsoft.com/office/drawing/2014/main" id="{2D608E21-DFD4-686E-6EE5-0630A6C183AB}"/>
            </a:ext>
          </a:extLst>
        </xdr:cNvPr>
        <xdr:cNvPicPr>
          <a:picLocks noChangeAspect="1"/>
        </xdr:cNvPicPr>
      </xdr:nvPicPr>
      <xdr:blipFill>
        <a:blip xmlns:r="http://schemas.openxmlformats.org/officeDocument/2006/relationships" r:embed="rId4"/>
        <a:stretch>
          <a:fillRect/>
        </a:stretch>
      </xdr:blipFill>
      <xdr:spPr>
        <a:xfrm>
          <a:off x="7912100" y="3272367"/>
          <a:ext cx="1203119" cy="603250"/>
        </a:xfrm>
        <a:prstGeom prst="rect">
          <a:avLst/>
        </a:prstGeom>
      </xdr:spPr>
    </xdr:pic>
    <xdr:clientData/>
  </xdr:twoCellAnchor>
  <xdr:twoCellAnchor editAs="oneCell">
    <xdr:from>
      <xdr:col>8</xdr:col>
      <xdr:colOff>0</xdr:colOff>
      <xdr:row>8</xdr:row>
      <xdr:rowOff>0</xdr:rowOff>
    </xdr:from>
    <xdr:to>
      <xdr:col>8</xdr:col>
      <xdr:colOff>1203118</xdr:colOff>
      <xdr:row>8</xdr:row>
      <xdr:rowOff>603250</xdr:rowOff>
    </xdr:to>
    <xdr:pic>
      <xdr:nvPicPr>
        <xdr:cNvPr id="17" name="Prism_Rec 050x10x10">
          <a:extLst>
            <a:ext uri="{FF2B5EF4-FFF2-40B4-BE49-F238E27FC236}">
              <a16:creationId xmlns:a16="http://schemas.microsoft.com/office/drawing/2014/main" id="{0C1F7FE5-DC6E-35B9-356C-5D0300488A66}"/>
            </a:ext>
          </a:extLst>
        </xdr:cNvPr>
        <xdr:cNvPicPr>
          <a:picLocks noChangeAspect="1"/>
        </xdr:cNvPicPr>
      </xdr:nvPicPr>
      <xdr:blipFill>
        <a:blip xmlns:r="http://schemas.openxmlformats.org/officeDocument/2006/relationships" r:embed="rId5"/>
        <a:stretch>
          <a:fillRect/>
        </a:stretch>
      </xdr:blipFill>
      <xdr:spPr>
        <a:xfrm>
          <a:off x="7912100" y="3907367"/>
          <a:ext cx="1203118" cy="603250"/>
        </a:xfrm>
        <a:prstGeom prst="rect">
          <a:avLst/>
        </a:prstGeom>
      </xdr:spPr>
    </xdr:pic>
    <xdr:clientData/>
  </xdr:twoCellAnchor>
  <xdr:twoCellAnchor editAs="oneCell">
    <xdr:from>
      <xdr:col>8</xdr:col>
      <xdr:colOff>0</xdr:colOff>
      <xdr:row>9</xdr:row>
      <xdr:rowOff>0</xdr:rowOff>
    </xdr:from>
    <xdr:to>
      <xdr:col>8</xdr:col>
      <xdr:colOff>1203118</xdr:colOff>
      <xdr:row>9</xdr:row>
      <xdr:rowOff>603250</xdr:rowOff>
    </xdr:to>
    <xdr:pic>
      <xdr:nvPicPr>
        <xdr:cNvPr id="19" name="Prism_Rec 050x30x20">
          <a:extLst>
            <a:ext uri="{FF2B5EF4-FFF2-40B4-BE49-F238E27FC236}">
              <a16:creationId xmlns:a16="http://schemas.microsoft.com/office/drawing/2014/main" id="{803BD43A-AB0B-36CD-54CB-196CF3712FCD}"/>
            </a:ext>
          </a:extLst>
        </xdr:cNvPr>
        <xdr:cNvPicPr>
          <a:picLocks noChangeAspect="1"/>
        </xdr:cNvPicPr>
      </xdr:nvPicPr>
      <xdr:blipFill>
        <a:blip xmlns:r="http://schemas.openxmlformats.org/officeDocument/2006/relationships" r:embed="rId6"/>
        <a:stretch>
          <a:fillRect/>
        </a:stretch>
      </xdr:blipFill>
      <xdr:spPr>
        <a:xfrm>
          <a:off x="7912100" y="4542367"/>
          <a:ext cx="1203118" cy="603250"/>
        </a:xfrm>
        <a:prstGeom prst="rect">
          <a:avLst/>
        </a:prstGeom>
      </xdr:spPr>
    </xdr:pic>
    <xdr:clientData/>
  </xdr:twoCellAnchor>
  <xdr:twoCellAnchor editAs="oneCell">
    <xdr:from>
      <xdr:col>8</xdr:col>
      <xdr:colOff>0</xdr:colOff>
      <xdr:row>10</xdr:row>
      <xdr:rowOff>0</xdr:rowOff>
    </xdr:from>
    <xdr:to>
      <xdr:col>8</xdr:col>
      <xdr:colOff>1203119</xdr:colOff>
      <xdr:row>10</xdr:row>
      <xdr:rowOff>603250</xdr:rowOff>
    </xdr:to>
    <xdr:pic>
      <xdr:nvPicPr>
        <xdr:cNvPr id="22" name="Prism_Rec 060x05x05">
          <a:extLst>
            <a:ext uri="{FF2B5EF4-FFF2-40B4-BE49-F238E27FC236}">
              <a16:creationId xmlns:a16="http://schemas.microsoft.com/office/drawing/2014/main" id="{0CAE4B1B-5A7F-6353-9011-190F56D79EDB}"/>
            </a:ext>
          </a:extLst>
        </xdr:cNvPr>
        <xdr:cNvPicPr>
          <a:picLocks noChangeAspect="1"/>
        </xdr:cNvPicPr>
      </xdr:nvPicPr>
      <xdr:blipFill>
        <a:blip xmlns:r="http://schemas.openxmlformats.org/officeDocument/2006/relationships" r:embed="rId7"/>
        <a:stretch>
          <a:fillRect/>
        </a:stretch>
      </xdr:blipFill>
      <xdr:spPr>
        <a:xfrm>
          <a:off x="7912100" y="5177367"/>
          <a:ext cx="1203119" cy="603250"/>
        </a:xfrm>
        <a:prstGeom prst="rect">
          <a:avLst/>
        </a:prstGeom>
      </xdr:spPr>
    </xdr:pic>
    <xdr:clientData/>
  </xdr:twoCellAnchor>
  <xdr:twoCellAnchor editAs="oneCell">
    <xdr:from>
      <xdr:col>8</xdr:col>
      <xdr:colOff>0</xdr:colOff>
      <xdr:row>11</xdr:row>
      <xdr:rowOff>0</xdr:rowOff>
    </xdr:from>
    <xdr:to>
      <xdr:col>8</xdr:col>
      <xdr:colOff>1203118</xdr:colOff>
      <xdr:row>11</xdr:row>
      <xdr:rowOff>603250</xdr:rowOff>
    </xdr:to>
    <xdr:pic>
      <xdr:nvPicPr>
        <xdr:cNvPr id="26" name="Prism_Rec 060x45x25">
          <a:extLst>
            <a:ext uri="{FF2B5EF4-FFF2-40B4-BE49-F238E27FC236}">
              <a16:creationId xmlns:a16="http://schemas.microsoft.com/office/drawing/2014/main" id="{5631686F-F1FC-F083-5B2A-DE68B530508E}"/>
            </a:ext>
          </a:extLst>
        </xdr:cNvPr>
        <xdr:cNvPicPr>
          <a:picLocks noChangeAspect="1"/>
        </xdr:cNvPicPr>
      </xdr:nvPicPr>
      <xdr:blipFill>
        <a:blip xmlns:r="http://schemas.openxmlformats.org/officeDocument/2006/relationships" r:embed="rId8"/>
        <a:stretch>
          <a:fillRect/>
        </a:stretch>
      </xdr:blipFill>
      <xdr:spPr>
        <a:xfrm>
          <a:off x="7912100" y="5812367"/>
          <a:ext cx="1203118" cy="603250"/>
        </a:xfrm>
        <a:prstGeom prst="rect">
          <a:avLst/>
        </a:prstGeom>
      </xdr:spPr>
    </xdr:pic>
    <xdr:clientData/>
  </xdr:twoCellAnchor>
  <xdr:twoCellAnchor editAs="oneCell">
    <xdr:from>
      <xdr:col>8</xdr:col>
      <xdr:colOff>0</xdr:colOff>
      <xdr:row>12</xdr:row>
      <xdr:rowOff>0</xdr:rowOff>
    </xdr:from>
    <xdr:to>
      <xdr:col>8</xdr:col>
      <xdr:colOff>1203118</xdr:colOff>
      <xdr:row>12</xdr:row>
      <xdr:rowOff>603250</xdr:rowOff>
    </xdr:to>
    <xdr:pic>
      <xdr:nvPicPr>
        <xdr:cNvPr id="28" name="Prism_Rec 070x05x05">
          <a:extLst>
            <a:ext uri="{FF2B5EF4-FFF2-40B4-BE49-F238E27FC236}">
              <a16:creationId xmlns:a16="http://schemas.microsoft.com/office/drawing/2014/main" id="{E410DAFB-EB73-11D3-D320-A4C49826807C}"/>
            </a:ext>
          </a:extLst>
        </xdr:cNvPr>
        <xdr:cNvPicPr>
          <a:picLocks noChangeAspect="1"/>
        </xdr:cNvPicPr>
      </xdr:nvPicPr>
      <xdr:blipFill>
        <a:blip xmlns:r="http://schemas.openxmlformats.org/officeDocument/2006/relationships" r:embed="rId9"/>
        <a:stretch>
          <a:fillRect/>
        </a:stretch>
      </xdr:blipFill>
      <xdr:spPr>
        <a:xfrm>
          <a:off x="7912100" y="6447367"/>
          <a:ext cx="1203118" cy="603250"/>
        </a:xfrm>
        <a:prstGeom prst="rect">
          <a:avLst/>
        </a:prstGeom>
      </xdr:spPr>
    </xdr:pic>
    <xdr:clientData/>
  </xdr:twoCellAnchor>
  <xdr:twoCellAnchor editAs="oneCell">
    <xdr:from>
      <xdr:col>8</xdr:col>
      <xdr:colOff>0</xdr:colOff>
      <xdr:row>13</xdr:row>
      <xdr:rowOff>0</xdr:rowOff>
    </xdr:from>
    <xdr:to>
      <xdr:col>8</xdr:col>
      <xdr:colOff>1203119</xdr:colOff>
      <xdr:row>13</xdr:row>
      <xdr:rowOff>603250</xdr:rowOff>
    </xdr:to>
    <xdr:pic>
      <xdr:nvPicPr>
        <xdr:cNvPr id="32" name="Prism_Rec 070x50x35">
          <a:extLst>
            <a:ext uri="{FF2B5EF4-FFF2-40B4-BE49-F238E27FC236}">
              <a16:creationId xmlns:a16="http://schemas.microsoft.com/office/drawing/2014/main" id="{A4FBAE85-74FC-ED64-DC6A-8CF3AD403C2B}"/>
            </a:ext>
          </a:extLst>
        </xdr:cNvPr>
        <xdr:cNvPicPr>
          <a:picLocks noChangeAspect="1"/>
        </xdr:cNvPicPr>
      </xdr:nvPicPr>
      <xdr:blipFill>
        <a:blip xmlns:r="http://schemas.openxmlformats.org/officeDocument/2006/relationships" r:embed="rId10"/>
        <a:stretch>
          <a:fillRect/>
        </a:stretch>
      </xdr:blipFill>
      <xdr:spPr>
        <a:xfrm>
          <a:off x="7912100" y="7082367"/>
          <a:ext cx="1203119" cy="603250"/>
        </a:xfrm>
        <a:prstGeom prst="rect">
          <a:avLst/>
        </a:prstGeom>
      </xdr:spPr>
    </xdr:pic>
    <xdr:clientData/>
  </xdr:twoCellAnchor>
  <xdr:twoCellAnchor editAs="oneCell">
    <xdr:from>
      <xdr:col>8</xdr:col>
      <xdr:colOff>0</xdr:colOff>
      <xdr:row>14</xdr:row>
      <xdr:rowOff>0</xdr:rowOff>
    </xdr:from>
    <xdr:to>
      <xdr:col>8</xdr:col>
      <xdr:colOff>1203118</xdr:colOff>
      <xdr:row>14</xdr:row>
      <xdr:rowOff>603250</xdr:rowOff>
    </xdr:to>
    <xdr:pic>
      <xdr:nvPicPr>
        <xdr:cNvPr id="34" name="Prism_Rec 080x50x05">
          <a:extLst>
            <a:ext uri="{FF2B5EF4-FFF2-40B4-BE49-F238E27FC236}">
              <a16:creationId xmlns:a16="http://schemas.microsoft.com/office/drawing/2014/main" id="{0DC85114-C0B3-8AF9-2EFC-080B35CE47BE}"/>
            </a:ext>
          </a:extLst>
        </xdr:cNvPr>
        <xdr:cNvPicPr>
          <a:picLocks noChangeAspect="1"/>
        </xdr:cNvPicPr>
      </xdr:nvPicPr>
      <xdr:blipFill>
        <a:blip xmlns:r="http://schemas.openxmlformats.org/officeDocument/2006/relationships" r:embed="rId11"/>
        <a:stretch>
          <a:fillRect/>
        </a:stretch>
      </xdr:blipFill>
      <xdr:spPr>
        <a:xfrm>
          <a:off x="7912100" y="7717367"/>
          <a:ext cx="1203118" cy="603250"/>
        </a:xfrm>
        <a:prstGeom prst="rect">
          <a:avLst/>
        </a:prstGeom>
      </xdr:spPr>
    </xdr:pic>
    <xdr:clientData/>
  </xdr:twoCellAnchor>
  <xdr:twoCellAnchor editAs="oneCell">
    <xdr:from>
      <xdr:col>8</xdr:col>
      <xdr:colOff>0</xdr:colOff>
      <xdr:row>15</xdr:row>
      <xdr:rowOff>0</xdr:rowOff>
    </xdr:from>
    <xdr:to>
      <xdr:col>8</xdr:col>
      <xdr:colOff>1203118</xdr:colOff>
      <xdr:row>15</xdr:row>
      <xdr:rowOff>603250</xdr:rowOff>
    </xdr:to>
    <xdr:pic>
      <xdr:nvPicPr>
        <xdr:cNvPr id="36" name="Prism_Rec 090x10x10">
          <a:extLst>
            <a:ext uri="{FF2B5EF4-FFF2-40B4-BE49-F238E27FC236}">
              <a16:creationId xmlns:a16="http://schemas.microsoft.com/office/drawing/2014/main" id="{B9880524-8221-18F8-FC5E-FD6F12021F37}"/>
            </a:ext>
          </a:extLst>
        </xdr:cNvPr>
        <xdr:cNvPicPr>
          <a:picLocks noChangeAspect="1"/>
        </xdr:cNvPicPr>
      </xdr:nvPicPr>
      <xdr:blipFill>
        <a:blip xmlns:r="http://schemas.openxmlformats.org/officeDocument/2006/relationships" r:embed="rId12"/>
        <a:stretch>
          <a:fillRect/>
        </a:stretch>
      </xdr:blipFill>
      <xdr:spPr>
        <a:xfrm>
          <a:off x="7912100" y="8352367"/>
          <a:ext cx="1203118" cy="603250"/>
        </a:xfrm>
        <a:prstGeom prst="rect">
          <a:avLst/>
        </a:prstGeom>
      </xdr:spPr>
    </xdr:pic>
    <xdr:clientData/>
  </xdr:twoCellAnchor>
  <xdr:twoCellAnchor editAs="oneCell">
    <xdr:from>
      <xdr:col>8</xdr:col>
      <xdr:colOff>0</xdr:colOff>
      <xdr:row>16</xdr:row>
      <xdr:rowOff>0</xdr:rowOff>
    </xdr:from>
    <xdr:to>
      <xdr:col>8</xdr:col>
      <xdr:colOff>1203119</xdr:colOff>
      <xdr:row>16</xdr:row>
      <xdr:rowOff>603250</xdr:rowOff>
    </xdr:to>
    <xdr:pic>
      <xdr:nvPicPr>
        <xdr:cNvPr id="39" name="Prism_Rec 100x70x15">
          <a:extLst>
            <a:ext uri="{FF2B5EF4-FFF2-40B4-BE49-F238E27FC236}">
              <a16:creationId xmlns:a16="http://schemas.microsoft.com/office/drawing/2014/main" id="{12A47D16-E3CF-5C59-3B05-04ECCD248C70}"/>
            </a:ext>
          </a:extLst>
        </xdr:cNvPr>
        <xdr:cNvPicPr>
          <a:picLocks noChangeAspect="1"/>
        </xdr:cNvPicPr>
      </xdr:nvPicPr>
      <xdr:blipFill>
        <a:blip xmlns:r="http://schemas.openxmlformats.org/officeDocument/2006/relationships" r:embed="rId13"/>
        <a:stretch>
          <a:fillRect/>
        </a:stretch>
      </xdr:blipFill>
      <xdr:spPr>
        <a:xfrm>
          <a:off x="7912100" y="8987367"/>
          <a:ext cx="1203119" cy="603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110068</xdr:rowOff>
    </xdr:from>
    <xdr:to>
      <xdr:col>3</xdr:col>
      <xdr:colOff>601727</xdr:colOff>
      <xdr:row>8</xdr:row>
      <xdr:rowOff>129161</xdr:rowOff>
    </xdr:to>
    <xdr:pic>
      <xdr:nvPicPr>
        <xdr:cNvPr id="5" name="Imagen 4">
          <a:extLst>
            <a:ext uri="{FF2B5EF4-FFF2-40B4-BE49-F238E27FC236}">
              <a16:creationId xmlns:a16="http://schemas.microsoft.com/office/drawing/2014/main" id="{9B091343-209A-9B91-805C-0F2FED645574}"/>
            </a:ext>
          </a:extLst>
        </xdr:cNvPr>
        <xdr:cNvPicPr>
          <a:picLocks noChangeAspect="1"/>
        </xdr:cNvPicPr>
      </xdr:nvPicPr>
      <xdr:blipFill>
        <a:blip xmlns:r="http://schemas.openxmlformats.org/officeDocument/2006/relationships" r:embed="rId1"/>
        <a:stretch>
          <a:fillRect/>
        </a:stretch>
      </xdr:blipFill>
      <xdr:spPr>
        <a:xfrm>
          <a:off x="0" y="110068"/>
          <a:ext cx="2938527" cy="14753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D_FIXED" displayName="T_D_FIXED" ref="A4:K17" totalsRowShown="0" headerRowDxfId="44" dataDxfId="43" tableBorderDxfId="42">
  <autoFilter ref="A4:K17" xr:uid="{00000000-0009-0000-0100-000001000000}"/>
  <sortState xmlns:xlrd2="http://schemas.microsoft.com/office/spreadsheetml/2017/richdata2" ref="B5:I5">
    <sortCondition ref="B4:B5"/>
  </sortState>
  <tableColumns count="11">
    <tableColumn id="11" xr3:uid="{340484D6-88F6-46EF-80CB-1AAE5D27C604}" name="Nº" dataDxfId="41">
      <calculatedColumnFormula>ROW()-ROW(T_D_FIXED[[#Headers],[Nº]])</calculatedColumnFormula>
    </tableColumn>
    <tableColumn id="1" xr3:uid="{00000000-0010-0000-0000-000001000000}" name="NAME" dataDxfId="40">
      <calculatedColumnFormula>FIle_Name&amp;TEXT(C5,"000")&amp;"x"&amp;TEXT(D5,"00")&amp;"x"&amp;TEXT(E5,"00")</calculatedColumnFormula>
    </tableColumn>
    <tableColumn id="2" xr3:uid="{00000000-0010-0000-0000-000002000000}" name="Side" dataDxfId="39"/>
    <tableColumn id="3" xr3:uid="{00000000-0010-0000-0000-000003000000}" name="Height" dataDxfId="38"/>
    <tableColumn id="4" xr3:uid="{00000000-0010-0000-0000-000004000000}" name="Depth" dataDxfId="37"/>
    <tableColumn id="5" xr3:uid="{00000000-0010-0000-0000-000005000000}" name="Perimeter" dataDxfId="36"/>
    <tableColumn id="6" xr3:uid="{00000000-0010-0000-0000-000006000000}" name="Area" dataDxfId="35"/>
    <tableColumn id="7" xr3:uid="{00000000-0010-0000-0000-000007000000}" name="Volume" dataDxfId="34"/>
    <tableColumn id="8" xr3:uid="{00000000-0010-0000-0000-000008000000}" name="Image" dataDxfId="33"/>
    <tableColumn id="9" xr3:uid="{EF8F5F1A-467A-4DA6-BFB1-45404ED7E1B4}" name="PRINT" dataDxfId="32"/>
    <tableColumn id="10" xr3:uid="{692C2266-33C7-4A50-AA05-F7F8B9ABD370}" name="N_Pb" dataDxfId="31">
      <calculatedColumnFormula>IF($M$4=_OK,ROW()-ROW(T_D_FIXED[[#Headers],[N_Pb]]),IF(T_D_FIXED[[#This Row],[PRINT]]="",0,COUNTA($J$5:J5)))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D_IMAGE" displayName="T_D_IMAGE" ref="A1:F2" totalsRowShown="0" headerRowDxfId="30" dataDxfId="29">
  <autoFilter ref="A1:F2" xr:uid="{00000000-0009-0000-0100-000002000000}"/>
  <tableColumns count="6">
    <tableColumn id="1" xr3:uid="{00000000-0010-0000-0100-000001000000}" name="NAME" dataDxfId="28"/>
    <tableColumn id="2" xr3:uid="{00000000-0010-0000-0100-000002000000}" name="Link" dataDxfId="27" dataCellStyle="Hipervínculo"/>
    <tableColumn id="3" xr3:uid="{00000000-0010-0000-0100-000003000000}" name="Name_Image" dataDxfId="26">
      <calculatedColumnFormula>MID(B2,26,33)</calculatedColumnFormula>
    </tableColumn>
    <tableColumn id="4" xr3:uid="{00000000-0010-0000-0100-000004000000}" name="Width" dataDxfId="25"/>
    <tableColumn id="5" xr3:uid="{00000000-0010-0000-0100-000005000000}" name="Height" dataDxfId="24"/>
    <tableColumn id="6" xr3:uid="{00000000-0010-0000-0100-000006000000}" name="FTP URL" dataDxfId="23">
      <calculatedColumnFormula>URL_I&amp;T_D_IMAGE[[#This Row],[Link]]&amp;URL_W&amp;T_D_IMAGE[[#This Row],[Width]]&amp;URL_Height&amp;T_D_IMAGE[[#This Row],[Height]]&amp;URL_F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youtu.be/5VUC65zp5EI" TargetMode="External"/><Relationship Id="rId13" Type="http://schemas.openxmlformats.org/officeDocument/2006/relationships/vmlDrawing" Target="../drawings/vmlDrawing1.vml"/><Relationship Id="rId3" Type="http://schemas.openxmlformats.org/officeDocument/2006/relationships/hyperlink" Target="https://youtu.be/swXXdfHLQSk" TargetMode="External"/><Relationship Id="rId7" Type="http://schemas.openxmlformats.org/officeDocument/2006/relationships/hyperlink" Target="https://youtu.be/DyifNHcoqoQ" TargetMode="External"/><Relationship Id="rId12" Type="http://schemas.openxmlformats.org/officeDocument/2006/relationships/printerSettings" Target="../printerSettings/printerSettings1.bin"/><Relationship Id="rId2" Type="http://schemas.openxmlformats.org/officeDocument/2006/relationships/hyperlink" Target="https://www.youtube.com/watch?v=PV3VHzg7Q7A" TargetMode="External"/><Relationship Id="rId1" Type="http://schemas.openxmlformats.org/officeDocument/2006/relationships/hyperlink" Target="https://www.youtube.com/playlist?list=PLacWHbqwaJGx0d_kZfPxNrSQNANQrxdqi" TargetMode="External"/><Relationship Id="rId6" Type="http://schemas.openxmlformats.org/officeDocument/2006/relationships/hyperlink" Target="https://youtu.be/l2Fh57ZF1C8" TargetMode="External"/><Relationship Id="rId11" Type="http://schemas.openxmlformats.org/officeDocument/2006/relationships/hyperlink" Target="https://imgbb.com/" TargetMode="External"/><Relationship Id="rId5" Type="http://schemas.openxmlformats.org/officeDocument/2006/relationships/hyperlink" Target="https://youtu.be/V6cLircQdsI" TargetMode="External"/><Relationship Id="rId10" Type="http://schemas.openxmlformats.org/officeDocument/2006/relationships/hyperlink" Target="https://docs.google.com/spreadsheets/d/13DvMvhVkx12qg-r4tkzOiIfJDa5zrdOtAeIbpwYfeQk/edit" TargetMode="External"/><Relationship Id="rId4" Type="http://schemas.openxmlformats.org/officeDocument/2006/relationships/hyperlink" Target="https://youtu.be/LJ_7Czu-Auw" TargetMode="External"/><Relationship Id="rId9" Type="http://schemas.openxmlformats.org/officeDocument/2006/relationships/hyperlink" Target="https://youtu.be/Yy1iDJji2Gs" TargetMode="Externa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5.bin"/><Relationship Id="rId1" Type="http://schemas.openxmlformats.org/officeDocument/2006/relationships/hyperlink" Target="https://i.ibb.co/qMW1Ssz/Prisma-rectangular.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ublished="0" codeName="a_Instructions">
    <tabColor rgb="FFFFFF00"/>
  </sheetPr>
  <dimension ref="A1:D38"/>
  <sheetViews>
    <sheetView showGridLines="0" showRowColHeaders="0" zoomScale="133" zoomScaleNormal="133" zoomScaleSheetLayoutView="81" workbookViewId="0">
      <pane xSplit="3" ySplit="1" topLeftCell="D2" activePane="bottomRight" state="frozen"/>
      <selection pane="topRight" activeCell="D1" sqref="D1"/>
      <selection pane="bottomLeft" activeCell="A2" sqref="A2"/>
      <selection pane="bottomRight" activeCell="A2" sqref="A2:C2"/>
    </sheetView>
  </sheetViews>
  <sheetFormatPr baseColWidth="10" defaultColWidth="0" defaultRowHeight="14.35" zeroHeight="1" outlineLevelRow="1" x14ac:dyDescent="0.5"/>
  <cols>
    <col min="1" max="1" width="4" customWidth="1"/>
    <col min="2" max="2" width="88.29296875" customWidth="1"/>
    <col min="3" max="3" width="1.703125" customWidth="1"/>
    <col min="4" max="4" width="3.52734375" customWidth="1"/>
    <col min="5" max="16384" width="10.8203125" hidden="1"/>
  </cols>
  <sheetData>
    <row r="1" spans="1:4" ht="21" thickBot="1" x14ac:dyDescent="0.55000000000000004">
      <c r="A1" s="121" t="str">
        <f>"INSTRUCTIONS FOR CREATING AUTOMATED SPREADSHEETS - "&amp;Version</f>
        <v>INSTRUCTIONS FOR CREATING AUTOMATED SPREADSHEETS - V1.2</v>
      </c>
      <c r="B1" s="121"/>
      <c r="C1" s="121"/>
      <c r="D1" s="74" t="s">
        <v>347</v>
      </c>
    </row>
    <row r="2" spans="1:4" ht="15" thickTop="1" thickBot="1" x14ac:dyDescent="0.55000000000000004">
      <c r="A2" s="122" t="s">
        <v>238</v>
      </c>
      <c r="B2" s="122"/>
      <c r="C2" s="122"/>
      <c r="D2" s="153" t="s">
        <v>238</v>
      </c>
    </row>
    <row r="3" spans="1:4" ht="29" outlineLevel="1" thickTop="1" x14ac:dyDescent="0.5">
      <c r="A3" s="75" t="s">
        <v>23</v>
      </c>
      <c r="B3" s="76" t="s">
        <v>348</v>
      </c>
      <c r="C3" s="77"/>
      <c r="D3" s="154"/>
    </row>
    <row r="4" spans="1:4" ht="57.35" outlineLevel="1" x14ac:dyDescent="0.5">
      <c r="A4" s="75" t="s">
        <v>26</v>
      </c>
      <c r="B4" s="76" t="s">
        <v>349</v>
      </c>
      <c r="C4" s="77"/>
      <c r="D4" s="154"/>
    </row>
    <row r="5" spans="1:4" ht="28.7" outlineLevel="1" x14ac:dyDescent="0.5">
      <c r="A5" s="75" t="s">
        <v>24</v>
      </c>
      <c r="B5" s="76" t="s">
        <v>350</v>
      </c>
      <c r="C5" s="77"/>
      <c r="D5" s="154"/>
    </row>
    <row r="6" spans="1:4" ht="28.7" outlineLevel="1" x14ac:dyDescent="0.5">
      <c r="A6" s="75" t="s">
        <v>27</v>
      </c>
      <c r="B6" s="76" t="s">
        <v>351</v>
      </c>
      <c r="C6" s="77"/>
      <c r="D6" s="154"/>
    </row>
    <row r="7" spans="1:4" ht="57.35" outlineLevel="1" x14ac:dyDescent="0.5">
      <c r="A7" s="75" t="s">
        <v>28</v>
      </c>
      <c r="B7" s="76" t="s">
        <v>353</v>
      </c>
      <c r="C7" s="77"/>
      <c r="D7" s="154"/>
    </row>
    <row r="8" spans="1:4" ht="57.35" outlineLevel="1" x14ac:dyDescent="0.5">
      <c r="A8" s="75" t="s">
        <v>29</v>
      </c>
      <c r="B8" s="76" t="s">
        <v>354</v>
      </c>
      <c r="C8" s="77"/>
      <c r="D8" s="154"/>
    </row>
    <row r="9" spans="1:4" ht="71.7" outlineLevel="1" x14ac:dyDescent="0.5">
      <c r="A9" s="75" t="s">
        <v>30</v>
      </c>
      <c r="B9" s="76" t="s">
        <v>355</v>
      </c>
      <c r="C9" s="77"/>
      <c r="D9" s="154"/>
    </row>
    <row r="10" spans="1:4" ht="43" outlineLevel="1" x14ac:dyDescent="0.5">
      <c r="A10" s="75" t="s">
        <v>25</v>
      </c>
      <c r="B10" s="76" t="s">
        <v>356</v>
      </c>
      <c r="C10" s="77"/>
      <c r="D10" s="154"/>
    </row>
    <row r="11" spans="1:4" ht="43.35" outlineLevel="1" thickBot="1" x14ac:dyDescent="0.55000000000000004">
      <c r="A11" s="75" t="s">
        <v>31</v>
      </c>
      <c r="B11" s="76" t="s">
        <v>357</v>
      </c>
      <c r="C11" s="77"/>
      <c r="D11" s="155"/>
    </row>
    <row r="12" spans="1:4" ht="15" thickTop="1" thickBot="1" x14ac:dyDescent="0.55000000000000004">
      <c r="A12" s="122" t="s">
        <v>239</v>
      </c>
      <c r="B12" s="122"/>
      <c r="C12" s="122"/>
      <c r="D12" s="153" t="s">
        <v>239</v>
      </c>
    </row>
    <row r="13" spans="1:4" ht="14.7" outlineLevel="1" thickTop="1" x14ac:dyDescent="0.5">
      <c r="A13" s="75" t="s">
        <v>32</v>
      </c>
      <c r="B13" s="76" t="s">
        <v>241</v>
      </c>
      <c r="C13" s="77"/>
      <c r="D13" s="154"/>
    </row>
    <row r="14" spans="1:4" ht="28.7" outlineLevel="1" x14ac:dyDescent="0.5">
      <c r="A14" s="75" t="s">
        <v>33</v>
      </c>
      <c r="B14" s="76" t="s">
        <v>358</v>
      </c>
      <c r="C14" s="77"/>
      <c r="D14" s="154"/>
    </row>
    <row r="15" spans="1:4" ht="29" outlineLevel="1" thickBot="1" x14ac:dyDescent="0.55000000000000004">
      <c r="A15" s="75" t="s">
        <v>34</v>
      </c>
      <c r="B15" s="76" t="s">
        <v>242</v>
      </c>
      <c r="C15" s="77"/>
      <c r="D15" s="155"/>
    </row>
    <row r="16" spans="1:4" ht="15" customHeight="1" thickTop="1" thickBot="1" x14ac:dyDescent="0.55000000000000004">
      <c r="A16" s="122" t="s">
        <v>240</v>
      </c>
      <c r="B16" s="122"/>
      <c r="C16" s="122"/>
      <c r="D16" s="153" t="s">
        <v>240</v>
      </c>
    </row>
    <row r="17" spans="1:4" ht="72" outlineLevel="1" thickTop="1" x14ac:dyDescent="0.5">
      <c r="A17" s="75" t="s">
        <v>35</v>
      </c>
      <c r="B17" s="76" t="s">
        <v>422</v>
      </c>
      <c r="C17" s="77"/>
      <c r="D17" s="154"/>
    </row>
    <row r="18" spans="1:4" ht="28.7" outlineLevel="1" x14ac:dyDescent="0.5">
      <c r="A18" s="75" t="s">
        <v>36</v>
      </c>
      <c r="B18" s="76" t="s">
        <v>359</v>
      </c>
      <c r="C18" s="77"/>
      <c r="D18" s="154"/>
    </row>
    <row r="19" spans="1:4" ht="57.35" outlineLevel="1" x14ac:dyDescent="0.5">
      <c r="A19" s="75" t="s">
        <v>37</v>
      </c>
      <c r="B19" s="76" t="s">
        <v>360</v>
      </c>
      <c r="C19" s="77"/>
      <c r="D19" s="154"/>
    </row>
    <row r="20" spans="1:4" outlineLevel="1" x14ac:dyDescent="0.5">
      <c r="A20" s="75" t="s">
        <v>38</v>
      </c>
      <c r="B20" s="76" t="s">
        <v>361</v>
      </c>
      <c r="C20" s="77"/>
      <c r="D20" s="154"/>
    </row>
    <row r="21" spans="1:4" ht="57.35" outlineLevel="1" x14ac:dyDescent="0.5">
      <c r="A21" s="75" t="s">
        <v>236</v>
      </c>
      <c r="B21" s="76" t="s">
        <v>423</v>
      </c>
      <c r="C21" s="77"/>
      <c r="D21" s="154"/>
    </row>
    <row r="22" spans="1:4" ht="43.35" outlineLevel="1" thickBot="1" x14ac:dyDescent="0.55000000000000004">
      <c r="A22" s="75" t="s">
        <v>435</v>
      </c>
      <c r="B22" s="76" t="s">
        <v>436</v>
      </c>
      <c r="C22" s="77"/>
      <c r="D22" s="155"/>
    </row>
    <row r="23" spans="1:4" ht="15" thickTop="1" thickBot="1" x14ac:dyDescent="0.55000000000000004">
      <c r="A23" s="122" t="s">
        <v>421</v>
      </c>
      <c r="B23" s="122"/>
      <c r="C23" s="122"/>
      <c r="D23" s="153" t="s">
        <v>416</v>
      </c>
    </row>
    <row r="24" spans="1:4" ht="43.35" outlineLevel="1" thickTop="1" x14ac:dyDescent="0.5">
      <c r="A24" s="75" t="s">
        <v>39</v>
      </c>
      <c r="B24" s="76" t="s">
        <v>362</v>
      </c>
      <c r="C24" s="77"/>
      <c r="D24" s="154"/>
    </row>
    <row r="25" spans="1:4" ht="43.35" outlineLevel="1" thickBot="1" x14ac:dyDescent="0.55000000000000004">
      <c r="A25" s="75" t="s">
        <v>237</v>
      </c>
      <c r="B25" s="76" t="s">
        <v>424</v>
      </c>
      <c r="C25" s="77"/>
      <c r="D25" s="155"/>
    </row>
    <row r="26" spans="1:4" ht="15" thickTop="1" thickBot="1" x14ac:dyDescent="0.55000000000000004">
      <c r="A26" s="122" t="s">
        <v>243</v>
      </c>
      <c r="B26" s="122"/>
      <c r="C26" s="122"/>
      <c r="D26" s="127" t="s">
        <v>417</v>
      </c>
    </row>
    <row r="27" spans="1:4" ht="29.35" outlineLevel="1" thickTop="1" thickBot="1" x14ac:dyDescent="0.55000000000000004">
      <c r="A27" s="75" t="s">
        <v>40</v>
      </c>
      <c r="B27" s="76" t="s">
        <v>244</v>
      </c>
      <c r="C27" s="77"/>
      <c r="D27" s="128"/>
    </row>
    <row r="28" spans="1:4" ht="15" thickTop="1" thickBot="1" x14ac:dyDescent="0.55000000000000004">
      <c r="A28" s="122" t="s">
        <v>245</v>
      </c>
      <c r="B28" s="122"/>
      <c r="C28" s="122"/>
      <c r="D28" s="127" t="s">
        <v>418</v>
      </c>
    </row>
    <row r="29" spans="1:4" ht="43.35" outlineLevel="1" thickTop="1" x14ac:dyDescent="0.5">
      <c r="A29" s="75" t="s">
        <v>41</v>
      </c>
      <c r="B29" s="152" t="s">
        <v>600</v>
      </c>
      <c r="C29" s="77"/>
      <c r="D29" s="129"/>
    </row>
    <row r="30" spans="1:4" ht="43.35" outlineLevel="1" thickBot="1" x14ac:dyDescent="0.55000000000000004">
      <c r="A30" s="75" t="s">
        <v>42</v>
      </c>
      <c r="B30" s="76" t="s">
        <v>571</v>
      </c>
      <c r="C30" s="77"/>
      <c r="D30" s="128"/>
    </row>
    <row r="31" spans="1:4" ht="15" thickTop="1" thickBot="1" x14ac:dyDescent="0.55000000000000004">
      <c r="A31" s="122" t="s">
        <v>246</v>
      </c>
      <c r="B31" s="122"/>
      <c r="C31" s="122"/>
      <c r="D31" s="127" t="s">
        <v>419</v>
      </c>
    </row>
    <row r="32" spans="1:4" ht="115" outlineLevel="1" thickTop="1" x14ac:dyDescent="0.5">
      <c r="A32" s="75" t="s">
        <v>67</v>
      </c>
      <c r="B32" s="76" t="s">
        <v>425</v>
      </c>
      <c r="C32" s="77"/>
      <c r="D32" s="129"/>
    </row>
    <row r="33" spans="1:4" ht="29" outlineLevel="1" thickBot="1" x14ac:dyDescent="0.55000000000000004">
      <c r="A33" s="75" t="s">
        <v>68</v>
      </c>
      <c r="B33" s="76" t="s">
        <v>426</v>
      </c>
      <c r="C33" s="77"/>
      <c r="D33" s="128"/>
    </row>
    <row r="34" spans="1:4" ht="14.7" thickTop="1" x14ac:dyDescent="0.5">
      <c r="A34" s="124" t="s">
        <v>247</v>
      </c>
      <c r="B34" s="125"/>
      <c r="C34" s="126"/>
      <c r="D34" s="127" t="s">
        <v>420</v>
      </c>
    </row>
    <row r="35" spans="1:4" ht="57.35" outlineLevel="1" x14ac:dyDescent="0.5">
      <c r="A35" s="78" t="s">
        <v>230</v>
      </c>
      <c r="B35" s="76" t="s">
        <v>427</v>
      </c>
      <c r="C35" s="79"/>
      <c r="D35" s="129"/>
    </row>
    <row r="36" spans="1:4" ht="43.35" outlineLevel="1" thickBot="1" x14ac:dyDescent="0.55000000000000004">
      <c r="A36" s="80" t="s">
        <v>231</v>
      </c>
      <c r="B36" s="81" t="s">
        <v>428</v>
      </c>
      <c r="C36" s="82"/>
      <c r="D36" s="128"/>
    </row>
    <row r="37" spans="1:4" ht="15" thickTop="1" thickBot="1" x14ac:dyDescent="0.55000000000000004">
      <c r="A37" s="123" t="s">
        <v>248</v>
      </c>
      <c r="B37" s="123"/>
      <c r="C37" s="123"/>
    </row>
    <row r="38" spans="1:4" ht="14.7" hidden="1" thickTop="1" x14ac:dyDescent="0.5"/>
  </sheetData>
  <sheetProtection sheet="1" formatRows="0" selectLockedCells="1"/>
  <mergeCells count="18">
    <mergeCell ref="A31:C31"/>
    <mergeCell ref="A37:C37"/>
    <mergeCell ref="A28:C28"/>
    <mergeCell ref="A34:C34"/>
    <mergeCell ref="D2:D11"/>
    <mergeCell ref="D12:D15"/>
    <mergeCell ref="D23:D25"/>
    <mergeCell ref="D26:D27"/>
    <mergeCell ref="D28:D30"/>
    <mergeCell ref="D31:D33"/>
    <mergeCell ref="D34:D36"/>
    <mergeCell ref="D16:D22"/>
    <mergeCell ref="A1:C1"/>
    <mergeCell ref="A2:C2"/>
    <mergeCell ref="A12:C12"/>
    <mergeCell ref="A16:C16"/>
    <mergeCell ref="A26:C26"/>
    <mergeCell ref="A23:C23"/>
  </mergeCells>
  <hyperlinks>
    <hyperlink ref="A1:C1" r:id="rId1" display="INSTRUCCIONES PARA HACER LAS HOJAS DE CÁLCULO AUTOMATIZADAS" xr:uid="{220F63A4-63E2-497F-82BD-E169F914C31F}"/>
    <hyperlink ref="A2:C2" r:id="rId2" display="1. PROBLEMA" xr:uid="{539AD9D0-DFE7-4C0F-9282-6D09D2F8DE4F}"/>
    <hyperlink ref="A12:C12" r:id="rId3" display="2. OCULTOS" xr:uid="{4C62426D-7B88-41B2-92B2-A3B0BD6D3B67}"/>
    <hyperlink ref="A16:C16" r:id="rId4" display="3. DATOS FIJOS" xr:uid="{351A8BF7-4DDA-4C76-BF4E-5A18129CA934}"/>
    <hyperlink ref="A23:C23" r:id="rId5" display="4. RESULTADOS - FTP (oculta, para preparar problemas para Moodle con FastTest PlugIn)" xr:uid="{6E4AA095-4B90-499E-B94E-06468FC5DE7C}"/>
    <hyperlink ref="A26:C26" r:id="rId6" display="5. IMÁGENES (oculta, por si se quiere guardar una copia de la imagen del problema)" xr:uid="{0A4100E2-7CC3-4B5F-B70C-B6463A4F2E2B}"/>
    <hyperlink ref="A28:C28" r:id="rId7" display="6. ENLACES (oculta, para guardar los enlaces donde se han compartido las imágenes)" xr:uid="{9527735F-D71B-45C5-A7E7-5C672BA14501}"/>
    <hyperlink ref="A31:C31" r:id="rId8" display="7. NOMBRES (oculta, listado de los nombres definidos en la hoja)" xr:uid="{65C015B5-A4C3-47F8-9416-5A82CA680772}"/>
    <hyperlink ref="A34:C34" r:id="rId9" display="8. FORMULAS (oculta, listado de las fórmulas y texto que contiene TODO el archivo)" xr:uid="{E80931C0-5DA6-433F-860A-82340197DB91}"/>
    <hyperlink ref="D1" r:id="rId10" location="gid=592678580&amp;range=C3:D3" xr:uid="{85E31C3A-56A7-438A-A677-B56DEF00338C}"/>
    <hyperlink ref="D2:D11" location="PROBLEM!A1" display="1. PROBLEM" xr:uid="{86FFD1A2-FF0D-4A38-A01F-6973A4CF6D9F}"/>
    <hyperlink ref="D12:D15" location="HIDDEN!A1" display="2. HIDDEN" xr:uid="{E03A52CC-5B7A-4470-A1AF-22B5C03A1C18}"/>
    <hyperlink ref="D16:D21" location="'FIXED DATA'!A1" display="3. FIXED DATA" xr:uid="{88E770A4-5EFD-406E-BBED-534710DF50F6}"/>
    <hyperlink ref="D23:D25" location="'RESULTS - FTP'!A1" display="4. RESULTADOS FTP" xr:uid="{012DDAF3-3691-45E1-9D61-897C63178ECF}"/>
    <hyperlink ref="B29" r:id="rId11" display="This sheet is for inserting the links to the IMAGES needed for the specific problem. The images must be stored in a IMGBB (https://imgbb.com/) account; it is recommended to create a folder called SHARED IMAGES to be viewed by anyone with the link. The Name is generated with the formula on the right.&quot;" xr:uid="{D68450BD-53B0-4B43-ADD6-D8F6187EE079}"/>
  </hyperlinks>
  <printOptions horizontalCentered="1"/>
  <pageMargins left="0.59055118110236227" right="0.39370078740157483" top="0.59055118110236227" bottom="0.59055118110236227" header="0.39370078740157483" footer="0.39370078740157483"/>
  <pageSetup paperSize="9" scale="95" orientation="portrait" horizontalDpi="4294967295" verticalDpi="4294967295" r:id="rId12"/>
  <headerFooter>
    <oddFooter>&amp;R&amp;P / &amp;N</oddFooter>
  </headerFooter>
  <legacy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_Problem">
    <tabColor theme="4" tint="-0.249977111117893"/>
  </sheetPr>
  <dimension ref="A1:Y28"/>
  <sheetViews>
    <sheetView showGridLines="0" showRowColHeaders="0" tabSelected="1" zoomScale="120" zoomScaleNormal="120" workbookViewId="0">
      <pane xSplit="19" ySplit="8" topLeftCell="T9" activePane="bottomRight" state="frozen"/>
      <selection pane="topRight" activeCell="T1" sqref="T1"/>
      <selection pane="bottomLeft" activeCell="A9" sqref="A9"/>
      <selection pane="bottomRight" activeCell="P6" sqref="P6:S6"/>
    </sheetView>
  </sheetViews>
  <sheetFormatPr baseColWidth="10" defaultColWidth="10.8203125" defaultRowHeight="14.35" outlineLevelRow="2" outlineLevelCol="1" x14ac:dyDescent="0.5"/>
  <cols>
    <col min="1" max="1" width="1.703125" customWidth="1"/>
    <col min="2" max="2" width="10.5859375" customWidth="1"/>
    <col min="3" max="3" width="4.703125" customWidth="1"/>
    <col min="4" max="4" width="4.17578125" customWidth="1"/>
    <col min="5" max="8" width="4.703125" customWidth="1"/>
    <col min="9" max="12" width="3.703125" customWidth="1"/>
    <col min="13" max="13" width="10.5859375" customWidth="1"/>
    <col min="14" max="14" width="1.87890625" customWidth="1"/>
    <col min="15" max="15" width="10.703125" customWidth="1"/>
    <col min="16" max="16" width="5.64453125" customWidth="1"/>
    <col min="17" max="17" width="12.64453125" customWidth="1"/>
    <col min="18" max="18" width="4.64453125" customWidth="1"/>
    <col min="19" max="20" width="2.64453125" customWidth="1"/>
    <col min="21" max="24" width="10.8203125" hidden="1" customWidth="1" outlineLevel="1"/>
    <col min="25" max="25" width="10.8203125" collapsed="1"/>
  </cols>
  <sheetData>
    <row r="1" spans="1:24" ht="14.7" thickBot="1" x14ac:dyDescent="0.55000000000000004">
      <c r="A1" s="149" t="str">
        <f>IFERROR(IF(D_Fixed=_OK,TEXT(VLOOKUP(Name_Data,T_D_FIXED[[NAME]:[N_Pb]],COLUMN(T_D_FIXED[[#Headers],[N_Pb]])-1,0),REPT("0",LEN(D_Print)))&amp;" - "&amp;Name_Data,"Random - "&amp;'FIXED DATA'!B3),"SOME ERROR")</f>
        <v>1 - Prism_Rec 020x05x05</v>
      </c>
      <c r="B1" s="149"/>
      <c r="C1" s="149"/>
      <c r="D1" s="149"/>
      <c r="E1" s="149"/>
      <c r="F1" s="149"/>
      <c r="G1" s="149"/>
      <c r="H1" s="149"/>
      <c r="I1" s="149"/>
      <c r="J1" s="149"/>
      <c r="K1" s="149"/>
      <c r="L1" s="149"/>
      <c r="M1" s="17"/>
      <c r="N1" s="17"/>
      <c r="O1" s="56" t="s">
        <v>352</v>
      </c>
      <c r="P1" s="23" t="s">
        <v>434</v>
      </c>
      <c r="Q1" s="101" t="s">
        <v>22</v>
      </c>
      <c r="R1" s="132" t="str">
        <f>Version</f>
        <v>V1.2</v>
      </c>
      <c r="S1" s="133"/>
    </row>
    <row r="2" spans="1:24" ht="43.7" customHeight="1" thickTop="1" thickBot="1" x14ac:dyDescent="0.55000000000000004">
      <c r="B2" s="144" t="str">
        <f ca="1">"To practice geometry data, solve the following exercise. We have a rectangle with a length L =  "&amp;L_&amp;" cm and height h = "&amp;h_&amp;" cm. "&amp;Line_Break&amp;"
Calculate the following:"&amp;Line_Break</f>
        <v>To practice geometry data, solve the following exercise. We have a rectangle with a length L =  20 cm and height h = 5 cm. 
Calculate the following:</v>
      </c>
      <c r="C2" s="144"/>
      <c r="D2" s="144"/>
      <c r="E2" s="144"/>
      <c r="F2" s="144"/>
      <c r="G2" s="144"/>
      <c r="H2" s="144"/>
      <c r="I2" s="144"/>
      <c r="J2" s="144"/>
      <c r="K2" s="144"/>
      <c r="L2" s="144"/>
      <c r="M2" s="144"/>
      <c r="O2" s="88" t="s">
        <v>433</v>
      </c>
      <c r="P2" s="98" t="s">
        <v>250</v>
      </c>
      <c r="Q2" s="134" t="str">
        <f>IF(AND(D_Fixed=_OK,OR(Name_Data="",Name_FTP=""),N_Start_D_FIxed&lt;=N_Preg_D_Fijos),IF(_xlfn.ISFORMULA(Name_Data),"To export questions to Moodle, you need to open the FastTest PlugIn application and type the name of that file in the cell below.",""),IF(_xlfn.ISFORMULA(Name_Data),"The MAXIMUM number of questions 
to SAVE in FastTest PlugIn is:
"&amp;'FIXED DATA'!A1-N_Start_D_FIxed+1,"To export the questions saved in 
FIXED DATA to Moodle, write in the Data List cell:
=Data_FTP"))</f>
        <v>To export the questions saved in 
FIXED DATA to Moodle, write in the Data List cell:
=Data_FTP</v>
      </c>
      <c r="R2" s="134"/>
      <c r="S2" s="134"/>
    </row>
    <row r="3" spans="1:24" ht="14.45" customHeight="1" thickTop="1" thickBot="1" x14ac:dyDescent="0.55000000000000004">
      <c r="B3" s="147" t="s">
        <v>596</v>
      </c>
      <c r="C3" s="147"/>
      <c r="D3" s="147"/>
      <c r="E3" s="147"/>
      <c r="F3" s="147"/>
      <c r="G3" s="147"/>
      <c r="H3" s="147"/>
      <c r="I3" s="147"/>
      <c r="J3" s="147"/>
      <c r="K3" s="147"/>
      <c r="L3" s="147"/>
      <c r="M3" s="47">
        <f ca="1">(L_+h_)*2</f>
        <v>50</v>
      </c>
      <c r="O3" s="89" t="s">
        <v>429</v>
      </c>
      <c r="P3" s="99" t="s">
        <v>250</v>
      </c>
      <c r="Q3" s="134"/>
      <c r="R3" s="134"/>
      <c r="S3" s="134"/>
    </row>
    <row r="4" spans="1:24" ht="15" thickTop="1" thickBot="1" x14ac:dyDescent="0.55000000000000004">
      <c r="B4" s="147" t="s">
        <v>597</v>
      </c>
      <c r="C4" s="147"/>
      <c r="D4" s="147"/>
      <c r="E4" s="147"/>
      <c r="F4" s="147"/>
      <c r="G4" s="147"/>
      <c r="H4" s="147"/>
      <c r="I4" s="147"/>
      <c r="J4" s="147"/>
      <c r="K4" s="147"/>
      <c r="L4" s="147"/>
      <c r="M4" s="48">
        <f ca="1">L_*h_</f>
        <v>100</v>
      </c>
      <c r="O4" s="89" t="s">
        <v>431</v>
      </c>
      <c r="P4" s="99" t="s">
        <v>250</v>
      </c>
      <c r="Q4" s="135" t="s">
        <v>564</v>
      </c>
      <c r="R4" s="136"/>
      <c r="S4" s="136"/>
      <c r="U4" s="7" t="s">
        <v>566</v>
      </c>
    </row>
    <row r="5" spans="1:24" ht="28.7" customHeight="1" thickTop="1" thickBot="1" x14ac:dyDescent="0.55000000000000004">
      <c r="B5" s="148" t="str">
        <f ca="1">"3) The volume of the rectangular prism if it has a depth of d = "&amp;d_&amp;" cm."</f>
        <v>3) The volume of the rectangular prism if it has a depth of d = 5 cm.</v>
      </c>
      <c r="C5" s="148"/>
      <c r="D5" s="148"/>
      <c r="E5" s="148"/>
      <c r="F5" s="148"/>
      <c r="G5" s="148"/>
      <c r="H5" s="148"/>
      <c r="I5" s="148"/>
      <c r="J5" s="148"/>
      <c r="K5" s="148"/>
      <c r="L5" s="148"/>
      <c r="M5" s="49">
        <f ca="1">Area*d_</f>
        <v>500</v>
      </c>
      <c r="O5" s="92" t="s">
        <v>563</v>
      </c>
      <c r="P5" s="100">
        <v>10</v>
      </c>
      <c r="Q5" s="135"/>
      <c r="R5" s="136"/>
      <c r="S5" s="136"/>
      <c r="U5" s="96" t="str">
        <f>IF(D_Fixed=_OK,Name_Data,Name_Variable)</f>
        <v>Prism_Rec 020x05x05</v>
      </c>
    </row>
    <row r="6" spans="1:24" ht="15" customHeight="1" thickTop="1" thickBot="1" x14ac:dyDescent="0.55000000000000004">
      <c r="B6" s="148" t="s">
        <v>599</v>
      </c>
      <c r="C6" s="148"/>
      <c r="D6" s="148"/>
      <c r="E6" s="148"/>
      <c r="F6" s="148"/>
      <c r="G6" s="148"/>
      <c r="H6" s="148"/>
      <c r="I6" s="148"/>
      <c r="J6" s="148"/>
      <c r="K6" s="148"/>
      <c r="L6" s="148"/>
      <c r="M6" s="157" t="str">
        <f>_OK</f>
        <v>YES</v>
      </c>
      <c r="O6" s="91" t="s">
        <v>432</v>
      </c>
      <c r="P6" s="137" t="s">
        <v>569</v>
      </c>
      <c r="Q6" s="138"/>
      <c r="R6" s="138"/>
      <c r="S6" s="139"/>
      <c r="U6" s="58" t="str" cm="1">
        <f t="array" aca="1" ref="U6" ca="1">IFERROR(IF(N_Question_FTP_Initial&gt;N_Question_FTP,"",INDEX(T_D_FIXED[NAME],N_Start_D_FIxed+(N_Question_FTP-N_Question_FTP_Initial))),"")&amp;
TEXT(N("This formula is for the value to increase as questions are saved in FTP."),"")</f>
        <v/>
      </c>
    </row>
    <row r="7" spans="1:24" ht="18.7" thickTop="1" thickBot="1" x14ac:dyDescent="0.55000000000000004">
      <c r="O7" s="54" t="s">
        <v>567</v>
      </c>
      <c r="P7" s="87">
        <v>0</v>
      </c>
      <c r="Q7" s="140" t="str" cm="1">
        <f t="array" aca="1" ref="Q7" ca="1">IFERROR(INDIRECT("'["&amp;Name_FTP&amp;".xlsm]Datos CL'!H1"),"Open FastTest PlugIn application")</f>
        <v>Open FastTest PlugIn application</v>
      </c>
      <c r="R7" s="141"/>
      <c r="S7" s="142"/>
    </row>
    <row r="8" spans="1:24" ht="21.35" outlineLevel="1" thickTop="1" thickBot="1" x14ac:dyDescent="0.55000000000000004">
      <c r="B8" s="1" t="s">
        <v>256</v>
      </c>
      <c r="E8" s="156"/>
      <c r="F8" s="156"/>
      <c r="G8" s="156"/>
      <c r="H8" s="156"/>
      <c r="I8" s="156"/>
      <c r="J8" s="156"/>
      <c r="K8" s="156"/>
      <c r="L8" s="156"/>
      <c r="M8" s="156"/>
      <c r="O8" s="91" t="s">
        <v>430</v>
      </c>
      <c r="P8" s="87"/>
      <c r="Q8" s="130" t="s">
        <v>568</v>
      </c>
      <c r="R8" s="131"/>
      <c r="S8" s="97">
        <v>1</v>
      </c>
      <c r="U8" s="63" t="s">
        <v>254</v>
      </c>
      <c r="V8" s="57" t="s">
        <v>46</v>
      </c>
      <c r="W8" s="57" t="s">
        <v>47</v>
      </c>
      <c r="X8" s="60" t="s">
        <v>255</v>
      </c>
    </row>
    <row r="9" spans="1:24" ht="14.7" outlineLevel="1" thickTop="1" x14ac:dyDescent="0.5">
      <c r="B9" s="6" t="s">
        <v>5</v>
      </c>
      <c r="C9" s="146" cm="1">
        <f t="array" aca="1" ref="C9" ca="1">IFERROR(IF(D_Fixed=_OK,VLOOKUP(Name_Data,T_D_FIXED[[NAME]:[Volume]],HLOOKUP(B9,'FIXED DATA'!$B$1:$I$2,2,0)),INDIRECT(B9&amp;"_Random")),"")</f>
        <v>20</v>
      </c>
      <c r="D9" s="146"/>
      <c r="E9" s="156"/>
      <c r="F9" s="156"/>
      <c r="G9" s="156"/>
      <c r="H9" s="156"/>
      <c r="I9" s="156"/>
      <c r="J9" s="156"/>
      <c r="K9" s="156"/>
      <c r="L9" s="156"/>
      <c r="M9" s="156"/>
      <c r="U9" s="64">
        <f ca="1">MROUND(RANDBETWEEN(V9,W9),X9)</f>
        <v>524</v>
      </c>
      <c r="V9" s="59">
        <v>100</v>
      </c>
      <c r="W9" s="59">
        <v>600</v>
      </c>
      <c r="X9" s="61">
        <v>2</v>
      </c>
    </row>
    <row r="10" spans="1:24" outlineLevel="1" x14ac:dyDescent="0.5">
      <c r="B10" s="6" t="s">
        <v>6</v>
      </c>
      <c r="C10" s="146" cm="1">
        <f t="array" aca="1" ref="C10" ca="1">IFERROR(IF(D_Fixed=_OK,VLOOKUP(Name_Data,T_D_FIXED[[NAME]:[Volume]],HLOOKUP(B10,'FIXED DATA'!$B$1:$I$2,2,0)),INDIRECT(B10&amp;"_Random")),"")</f>
        <v>5</v>
      </c>
      <c r="D10" s="146"/>
      <c r="E10" s="156"/>
      <c r="F10" s="156"/>
      <c r="G10" s="156"/>
      <c r="H10" s="156"/>
      <c r="I10" s="156"/>
      <c r="J10" s="156"/>
      <c r="K10" s="156"/>
      <c r="L10" s="156"/>
      <c r="M10" s="156"/>
      <c r="U10" s="64">
        <f ca="1">MROUND(RANDBETWEEN(V10,W10),X10)</f>
        <v>430</v>
      </c>
      <c r="V10" s="59">
        <v>15</v>
      </c>
      <c r="W10" s="59">
        <f ca="1">L_Random*0.9</f>
        <v>471.6</v>
      </c>
      <c r="X10" s="61">
        <v>10</v>
      </c>
    </row>
    <row r="11" spans="1:24" outlineLevel="1" x14ac:dyDescent="0.5">
      <c r="B11" s="6" t="s">
        <v>7</v>
      </c>
      <c r="C11" s="146" cm="1">
        <f t="array" aca="1" ref="C11" ca="1">IFERROR(IF(D_Fixed=_OK,VLOOKUP(Name_Data,T_D_FIXED[[NAME]:[Volume]],HLOOKUP(B11,'FIXED DATA'!$B$1:$I$2,2,0)),INDIRECT(B11&amp;"_Random")),"")</f>
        <v>5</v>
      </c>
      <c r="D11" s="146"/>
      <c r="E11" s="156"/>
      <c r="F11" s="156"/>
      <c r="G11" s="156"/>
      <c r="H11" s="156"/>
      <c r="I11" s="156"/>
      <c r="J11" s="156"/>
      <c r="K11" s="156"/>
      <c r="L11" s="156"/>
      <c r="M11" s="156"/>
      <c r="U11" s="65">
        <f ca="1">MROUND(RANDBETWEEN(V11,W11),X11)</f>
        <v>90</v>
      </c>
      <c r="V11" s="53">
        <v>5</v>
      </c>
      <c r="W11" s="53">
        <f ca="1">h_Random/4</f>
        <v>107.5</v>
      </c>
      <c r="X11" s="62">
        <v>5</v>
      </c>
    </row>
    <row r="12" spans="1:24" outlineLevel="1" x14ac:dyDescent="0.5">
      <c r="E12" s="156"/>
      <c r="F12" s="156"/>
      <c r="G12" s="156"/>
      <c r="H12" s="156"/>
      <c r="I12" s="156"/>
      <c r="J12" s="156"/>
      <c r="K12" s="156"/>
      <c r="L12" s="156"/>
      <c r="M12" s="156"/>
    </row>
    <row r="13" spans="1:24" outlineLevel="1" x14ac:dyDescent="0.5">
      <c r="E13" s="156"/>
      <c r="F13" s="156"/>
      <c r="G13" s="156"/>
      <c r="H13" s="156"/>
      <c r="I13" s="156"/>
      <c r="J13" s="156"/>
      <c r="K13" s="156"/>
      <c r="L13" s="156"/>
      <c r="M13" s="156"/>
    </row>
    <row r="14" spans="1:24" outlineLevel="1" x14ac:dyDescent="0.5">
      <c r="E14" s="156"/>
      <c r="F14" s="156"/>
      <c r="G14" s="156"/>
      <c r="H14" s="156"/>
      <c r="I14" s="156"/>
      <c r="J14" s="156"/>
      <c r="K14" s="156"/>
      <c r="L14" s="156"/>
      <c r="M14" s="156"/>
    </row>
    <row r="15" spans="1:24" outlineLevel="1" x14ac:dyDescent="0.5">
      <c r="E15" s="156"/>
      <c r="F15" s="156"/>
      <c r="G15" s="156"/>
      <c r="H15" s="156"/>
      <c r="I15" s="156"/>
      <c r="J15" s="156"/>
      <c r="K15" s="156"/>
      <c r="L15" s="156"/>
      <c r="M15" s="156"/>
    </row>
    <row r="16" spans="1:24" outlineLevel="1" x14ac:dyDescent="0.5">
      <c r="B16" s="145" t="str">
        <f>Question_1</f>
        <v>1) The perimeter of one face of the front rectangle.</v>
      </c>
      <c r="C16" s="145"/>
      <c r="D16" s="145"/>
      <c r="E16" s="145"/>
      <c r="F16" s="145"/>
      <c r="G16" s="145"/>
      <c r="H16" s="145"/>
      <c r="I16" s="145"/>
      <c r="J16" s="145"/>
      <c r="K16" s="145"/>
      <c r="L16" s="145"/>
      <c r="M16" s="145"/>
    </row>
    <row r="17" spans="2:13" ht="15" customHeight="1" outlineLevel="2" x14ac:dyDescent="0.5">
      <c r="B17" s="144" t="s">
        <v>257</v>
      </c>
      <c r="C17" s="144"/>
      <c r="D17" s="144"/>
      <c r="E17" s="144"/>
      <c r="F17" s="144"/>
      <c r="G17" s="144"/>
      <c r="H17" s="144"/>
      <c r="I17" s="144"/>
      <c r="J17" s="144"/>
      <c r="K17" s="144"/>
      <c r="L17" s="144"/>
      <c r="M17" s="144"/>
    </row>
    <row r="18" spans="2:13" ht="30" customHeight="1" outlineLevel="2" x14ac:dyDescent="0.5">
      <c r="B18" s="156"/>
      <c r="C18" s="156"/>
      <c r="D18" s="156"/>
      <c r="E18" s="156"/>
      <c r="F18" s="156"/>
      <c r="G18" s="156"/>
      <c r="H18" s="143" t="str">
        <f ca="1">" ("&amp;L_&amp;" cm + "&amp;h_&amp;" cm) · 2 = "&amp;TEXT(Perimeter,"#.###")&amp;" cm"</f>
        <v xml:space="preserve"> (20 cm + 5 cm) · 2 = 50 cm</v>
      </c>
      <c r="I18" s="143"/>
      <c r="J18" s="143"/>
      <c r="K18" s="143"/>
      <c r="L18" s="143"/>
      <c r="M18" s="143"/>
    </row>
    <row r="19" spans="2:13" outlineLevel="1" x14ac:dyDescent="0.5">
      <c r="B19" s="145" t="str">
        <f>Question_2</f>
        <v>2) The area of the front rectangle face.</v>
      </c>
      <c r="C19" s="145"/>
      <c r="D19" s="145"/>
      <c r="E19" s="145"/>
      <c r="F19" s="145"/>
      <c r="G19" s="145"/>
      <c r="H19" s="145"/>
      <c r="I19" s="145"/>
      <c r="J19" s="145"/>
      <c r="K19" s="145"/>
      <c r="L19" s="145"/>
      <c r="M19" s="145"/>
    </row>
    <row r="20" spans="2:13" ht="15" customHeight="1" outlineLevel="2" x14ac:dyDescent="0.5">
      <c r="B20" s="144" t="s">
        <v>258</v>
      </c>
      <c r="C20" s="144"/>
      <c r="D20" s="144"/>
      <c r="E20" s="144"/>
      <c r="F20" s="144"/>
      <c r="G20" s="144"/>
      <c r="H20" s="144"/>
      <c r="I20" s="144"/>
      <c r="J20" s="144"/>
      <c r="K20" s="144"/>
      <c r="L20" s="144"/>
      <c r="M20" s="144"/>
    </row>
    <row r="21" spans="2:13" ht="30" customHeight="1" outlineLevel="2" x14ac:dyDescent="0.5">
      <c r="B21" s="156"/>
      <c r="C21" s="156"/>
      <c r="D21" s="156"/>
      <c r="E21" s="156"/>
      <c r="F21" s="156"/>
      <c r="G21" s="156"/>
      <c r="H21" s="143" t="str">
        <f ca="1">" "&amp;L_&amp;" cm · "&amp;h_&amp;" cm = "&amp;TEXT(Area,"#.###")&amp;" cm²"</f>
        <v xml:space="preserve"> 20 cm · 5 cm = 100 cm²</v>
      </c>
      <c r="I21" s="143"/>
      <c r="J21" s="143"/>
      <c r="K21" s="143"/>
      <c r="L21" s="143"/>
      <c r="M21" s="143"/>
    </row>
    <row r="22" spans="2:13" outlineLevel="1" x14ac:dyDescent="0.5">
      <c r="B22" s="145" t="str">
        <f ca="1">Question_3</f>
        <v>3) The volume of the rectangular prism if it has a depth of d = 5 cm.</v>
      </c>
      <c r="C22" s="145"/>
      <c r="D22" s="145"/>
      <c r="E22" s="145"/>
      <c r="F22" s="145"/>
      <c r="G22" s="145"/>
      <c r="H22" s="145"/>
      <c r="I22" s="145"/>
      <c r="J22" s="145"/>
      <c r="K22" s="145"/>
      <c r="L22" s="145"/>
      <c r="M22" s="145"/>
    </row>
    <row r="23" spans="2:13" ht="30" customHeight="1" outlineLevel="2" x14ac:dyDescent="0.5">
      <c r="B23" s="144" t="s">
        <v>259</v>
      </c>
      <c r="C23" s="144"/>
      <c r="D23" s="144"/>
      <c r="E23" s="144"/>
      <c r="F23" s="144"/>
      <c r="G23" s="144"/>
      <c r="H23" s="144"/>
      <c r="I23" s="144"/>
      <c r="J23" s="144"/>
      <c r="K23" s="144"/>
      <c r="L23" s="144"/>
      <c r="M23" s="144"/>
    </row>
    <row r="24" spans="2:13" ht="30" customHeight="1" outlineLevel="2" x14ac:dyDescent="0.5">
      <c r="B24" s="156"/>
      <c r="C24" s="156"/>
      <c r="D24" s="156"/>
      <c r="E24" s="156"/>
      <c r="F24" s="156"/>
      <c r="G24" s="156"/>
      <c r="H24" s="143" t="str">
        <f ca="1">" "&amp;Area&amp;" cm² · "&amp;d_&amp;" cm = "&amp;TEXT(Volumen,"#.###")&amp;" cm³"</f>
        <v xml:space="preserve"> 100 cm² · 5 cm = 500 cm³</v>
      </c>
      <c r="I24" s="143"/>
      <c r="J24" s="143"/>
      <c r="K24" s="143"/>
      <c r="L24" s="143"/>
      <c r="M24" s="143"/>
    </row>
    <row r="25" spans="2:13" ht="14.35" customHeight="1" outlineLevel="1" x14ac:dyDescent="0.5">
      <c r="B25" s="145" t="str">
        <f>Question_4</f>
        <v>4) This problem is very easy.</v>
      </c>
      <c r="C25" s="145"/>
      <c r="D25" s="145"/>
      <c r="E25" s="145"/>
      <c r="F25" s="145"/>
      <c r="G25" s="145"/>
      <c r="H25" s="145"/>
      <c r="I25" s="145"/>
      <c r="J25" s="145"/>
      <c r="K25" s="145"/>
      <c r="L25" s="145"/>
      <c r="M25" s="145"/>
    </row>
    <row r="26" spans="2:13" outlineLevel="2" x14ac:dyDescent="0.5">
      <c r="B26" s="144" t="s">
        <v>598</v>
      </c>
      <c r="C26" s="144"/>
      <c r="D26" s="144"/>
      <c r="E26" s="144"/>
      <c r="F26" s="144"/>
      <c r="G26" s="144"/>
      <c r="H26" s="144"/>
      <c r="I26" s="144"/>
      <c r="J26" s="144"/>
      <c r="K26" s="144"/>
      <c r="L26" s="144"/>
      <c r="M26" s="144"/>
    </row>
    <row r="27" spans="2:13" outlineLevel="2" x14ac:dyDescent="0.5">
      <c r="B27" s="156"/>
      <c r="C27" s="156"/>
      <c r="D27" s="156"/>
      <c r="E27" s="156"/>
      <c r="F27" s="156"/>
      <c r="G27" s="156"/>
      <c r="H27" s="158" t="str">
        <f>Easy</f>
        <v>YES</v>
      </c>
      <c r="I27" s="158"/>
      <c r="J27" s="158"/>
      <c r="K27" s="158"/>
      <c r="L27" s="158"/>
      <c r="M27" s="158"/>
    </row>
    <row r="28" spans="2:13" outlineLevel="1" x14ac:dyDescent="0.5"/>
  </sheetData>
  <sheetProtection selectLockedCells="1"/>
  <mergeCells count="32">
    <mergeCell ref="B6:L6"/>
    <mergeCell ref="B25:M25"/>
    <mergeCell ref="B26:M26"/>
    <mergeCell ref="H27:M27"/>
    <mergeCell ref="B24:G24"/>
    <mergeCell ref="B21:G21"/>
    <mergeCell ref="B18:G18"/>
    <mergeCell ref="E8:M15"/>
    <mergeCell ref="B27:G27"/>
    <mergeCell ref="B2:M2"/>
    <mergeCell ref="B3:L3"/>
    <mergeCell ref="B4:L4"/>
    <mergeCell ref="B5:L5"/>
    <mergeCell ref="A1:L1"/>
    <mergeCell ref="B16:M16"/>
    <mergeCell ref="B17:M17"/>
    <mergeCell ref="B20:M20"/>
    <mergeCell ref="H18:M18"/>
    <mergeCell ref="C9:D9"/>
    <mergeCell ref="C10:D10"/>
    <mergeCell ref="C11:D11"/>
    <mergeCell ref="H24:M24"/>
    <mergeCell ref="B23:M23"/>
    <mergeCell ref="B19:M19"/>
    <mergeCell ref="B22:M22"/>
    <mergeCell ref="H21:M21"/>
    <mergeCell ref="Q8:R8"/>
    <mergeCell ref="R1:S1"/>
    <mergeCell ref="Q2:S3"/>
    <mergeCell ref="Q4:S5"/>
    <mergeCell ref="P6:S6"/>
    <mergeCell ref="Q7:S7"/>
  </mergeCells>
  <conditionalFormatting sqref="M3:M6">
    <cfRule type="expression" dxfId="18" priority="28">
      <formula>$P$3="NO"</formula>
    </cfRule>
  </conditionalFormatting>
  <conditionalFormatting sqref="O2:O4">
    <cfRule type="expression" dxfId="17" priority="29">
      <formula>#REF!=_OK</formula>
    </cfRule>
  </conditionalFormatting>
  <conditionalFormatting sqref="O5">
    <cfRule type="expression" dxfId="16" priority="18">
      <formula>$P$8=_OK</formula>
    </cfRule>
  </conditionalFormatting>
  <conditionalFormatting sqref="O6">
    <cfRule type="expression" dxfId="15" priority="26">
      <formula>D_Fixed=_NO</formula>
    </cfRule>
  </conditionalFormatting>
  <conditionalFormatting sqref="O7:S7">
    <cfRule type="expression" dxfId="14" priority="7" stopIfTrue="1">
      <formula>IF(_xlfn.ISFORMULA(Name_Data),_xlfn.FORMULATEXT(Name_Data),_NO)=_NO</formula>
    </cfRule>
    <cfRule type="expression" dxfId="13" priority="10">
      <formula>D_Fixed=_NO</formula>
    </cfRule>
  </conditionalFormatting>
  <conditionalFormatting sqref="P6">
    <cfRule type="expression" dxfId="12" priority="15">
      <formula>D_Fijos=_NO</formula>
    </cfRule>
  </conditionalFormatting>
  <conditionalFormatting sqref="P7">
    <cfRule type="cellIs" dxfId="11" priority="14" operator="notEqual">
      <formula>N_Question_FTP</formula>
    </cfRule>
  </conditionalFormatting>
  <conditionalFormatting sqref="P8">
    <cfRule type="expression" dxfId="10" priority="20">
      <formula>OR(AND(Line_Break="",D_Fixed=_NO),AND(Line_Break="",D_Fixed=_OK,IF(_xlfn.ISFORMULA(Name_Data),_OK,_NO)=_OK))</formula>
    </cfRule>
  </conditionalFormatting>
  <conditionalFormatting sqref="Q4">
    <cfRule type="expression" dxfId="9" priority="16" stopIfTrue="1">
      <formula>IF(_xlfn.ISFORMULA(Name_Data),_xlfn.FORMULATEXT(Name_Data),_NO)=_NO</formula>
    </cfRule>
    <cfRule type="expression" dxfId="8" priority="17">
      <formula>D_Fijxed_NO</formula>
    </cfRule>
  </conditionalFormatting>
  <conditionalFormatting sqref="Q7">
    <cfRule type="expression" dxfId="7" priority="9">
      <formula>"SUMA(D34:D61;I34:I61;N34:N61)=0"</formula>
    </cfRule>
  </conditionalFormatting>
  <conditionalFormatting sqref="Q8:R8">
    <cfRule type="expression" dxfId="6" priority="1" stopIfTrue="1">
      <formula>IF(_xlfn.ISFORMULA(Name_Data),_xlfn.FORMULATEXT(Name_Data),_NO)=_NO</formula>
    </cfRule>
    <cfRule type="expression" dxfId="5" priority="2">
      <formula>$X$4=_NO</formula>
    </cfRule>
    <cfRule type="expression" dxfId="4" priority="3">
      <formula>D_Fijos=_NO</formula>
    </cfRule>
  </conditionalFormatting>
  <conditionalFormatting sqref="Q8:S8">
    <cfRule type="expression" dxfId="3" priority="4" stopIfTrue="1">
      <formula>IF(_xlfn.ISFORMULA(Name_Data),_xlfn.FORMULATEXT(Name_Data),_NO)=_NO</formula>
    </cfRule>
    <cfRule type="expression" dxfId="2" priority="5">
      <formula>$W$4=_NO</formula>
    </cfRule>
    <cfRule type="expression" dxfId="1" priority="6">
      <formula>D_Fixed=_NO</formula>
    </cfRule>
  </conditionalFormatting>
  <conditionalFormatting sqref="U8:X11">
    <cfRule type="expression" dxfId="0" priority="30">
      <formula>$P$4=_OK</formula>
    </cfRule>
  </conditionalFormatting>
  <dataValidations count="7">
    <dataValidation allowBlank="1" showDropDown="1" showInputMessage="1" showErrorMessage="1" sqref="P7" xr:uid="{00000000-0002-0000-0100-000001000000}"/>
    <dataValidation type="list" allowBlank="1" showInputMessage="1" showErrorMessage="1" sqref="P2:P4" xr:uid="{00000000-0002-0000-0100-000004000000}">
      <formula1>YES_NO</formula1>
    </dataValidation>
    <dataValidation type="list" allowBlank="1" showInputMessage="1" showErrorMessage="1" sqref="P8" xr:uid="{C3344F12-257B-4249-9C2A-0C13349AE4A7}">
      <formula1>Break_FTP</formula1>
    </dataValidation>
    <dataValidation type="list" allowBlank="1" showInputMessage="1" showErrorMessage="1" sqref="P8" xr:uid="{1058B1C1-4282-4E32-9B34-23A20D7B6BEA}">
      <formula1>SALTOS_FTP</formula1>
    </dataValidation>
    <dataValidation type="whole" allowBlank="1" showInputMessage="1" showErrorMessage="1" errorTitle="ERROR" error="Debes introducir un número mayor o igual a 1" sqref="S8" xr:uid="{E3F889FC-AF05-491C-8B8A-434B1E525BB7}">
      <formula1>1</formula1>
      <formula2>1000</formula2>
    </dataValidation>
    <dataValidation type="list" allowBlank="1" showInputMessage="1" promptTitle="File Name FasTest PlugIn" prompt="Name of the Excel file you have for the FastTest PlugIn application._x000a_If you have not changed the name, select it from the drop-down list." sqref="Q4:S5" xr:uid="{83587634-D486-44E1-8694-2B5038F0ACDE}">
      <formula1>"FastTest PlugIn"</formula1>
    </dataValidation>
    <dataValidation type="list" errorStyle="warning" allowBlank="1" showInputMessage="1" showErrorMessage="1" sqref="P6:S6" xr:uid="{FD710B21-733B-4585-9555-703834006B96}">
      <formula1>List_Data</formula1>
    </dataValidation>
  </dataValidations>
  <printOptions horizontalCentered="1"/>
  <pageMargins left="0.59055118110236227" right="0.59055118110236227" top="0.59055118110236227" bottom="0.59055118110236227" header="0.59055118110236227" footer="0.39370078740157483"/>
  <pageSetup paperSize="9" scale="130" fitToHeight="100" orientation="portrait" horizontalDpi="4294967295" verticalDpi="4294967295" r:id="rId1"/>
  <headerFooter>
    <oddHeader>&amp;R&amp;"-,Negrita"&amp;10Pag &amp;P / &amp;N&amp;K00+000   &amp;12.</oddHeader>
    <oddFooter>&amp;C&amp;F</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ublished="0" codeName="c_Fixed_Data">
    <tabColor rgb="FF00B0F0"/>
    <pageSetUpPr fitToPage="1"/>
  </sheetPr>
  <dimension ref="A1:N58"/>
  <sheetViews>
    <sheetView showGridLines="0" showRowColHeaders="0" zoomScale="97" zoomScaleNormal="100" workbookViewId="0">
      <pane xSplit="2" ySplit="4" topLeftCell="C5" activePane="bottomRight" state="frozen"/>
      <selection pane="topRight" activeCell="B1" sqref="B1"/>
      <selection pane="bottomLeft" activeCell="A5" sqref="A5"/>
      <selection pane="bottomRight" activeCell="B5" sqref="B5"/>
    </sheetView>
  </sheetViews>
  <sheetFormatPr baseColWidth="10" defaultColWidth="10.8203125" defaultRowHeight="14.35" outlineLevelRow="1" outlineLevelCol="1" x14ac:dyDescent="0.5"/>
  <cols>
    <col min="1" max="1" width="4.703125" customWidth="1"/>
    <col min="2" max="2" width="20.703125" customWidth="1"/>
    <col min="4" max="4" width="11.5859375" customWidth="1"/>
    <col min="5" max="5" width="16.703125" customWidth="1"/>
    <col min="6" max="8" width="16.703125" customWidth="1" outlineLevel="1"/>
    <col min="9" max="9" width="18.87890625" customWidth="1"/>
    <col min="11" max="11" width="2.703125" customWidth="1"/>
    <col min="12" max="12" width="2.64453125" customWidth="1"/>
    <col min="13" max="13" width="3.64453125" customWidth="1"/>
    <col min="14" max="14" width="2.64453125" customWidth="1"/>
  </cols>
  <sheetData>
    <row r="1" spans="1:14" ht="14.7" hidden="1" outlineLevel="1" thickBot="1" x14ac:dyDescent="0.55000000000000004">
      <c r="A1" s="94">
        <f>MAX(T_D_FIXED[Nº])</f>
        <v>13</v>
      </c>
      <c r="B1" s="2" t="s">
        <v>370</v>
      </c>
      <c r="C1" s="3" t="s">
        <v>5</v>
      </c>
      <c r="D1" s="4" t="s">
        <v>6</v>
      </c>
      <c r="E1" s="4" t="s">
        <v>7</v>
      </c>
      <c r="F1" s="22" t="s">
        <v>19</v>
      </c>
      <c r="G1" s="22" t="s">
        <v>20</v>
      </c>
      <c r="H1" s="22" t="s">
        <v>21</v>
      </c>
      <c r="I1" s="22" t="s">
        <v>48</v>
      </c>
      <c r="K1" s="23">
        <v>2.5</v>
      </c>
    </row>
    <row r="2" spans="1:14" hidden="1" outlineLevel="1" x14ac:dyDescent="0.5">
      <c r="B2" s="5">
        <v>1</v>
      </c>
      <c r="C2" s="5">
        <v>2</v>
      </c>
      <c r="D2" s="5">
        <v>3</v>
      </c>
      <c r="E2" s="5">
        <v>4</v>
      </c>
      <c r="F2" s="5">
        <v>5</v>
      </c>
      <c r="G2" s="5">
        <v>6</v>
      </c>
      <c r="H2" s="5">
        <v>7</v>
      </c>
      <c r="I2" s="5">
        <v>8</v>
      </c>
    </row>
    <row r="3" spans="1:14" ht="14.7" hidden="1" outlineLevel="1" thickBot="1" x14ac:dyDescent="0.55000000000000004">
      <c r="B3" s="66" t="str">
        <f ca="1">FIle_Name&amp;TEXT(C3,"000")&amp;"x"&amp;TEXT(D3,"00")&amp;"x"&amp;TEXT(E3,"00")</f>
        <v>Prism_Rec 524x430x90</v>
      </c>
      <c r="C3" s="45" cm="1">
        <f t="array" aca="1" ref="C3" ca="1">INDIRECT(C1&amp;"_Random")</f>
        <v>524</v>
      </c>
      <c r="D3" s="45" cm="1">
        <f t="array" aca="1" ref="D3" ca="1">INDIRECT(D1&amp;"_Random")</f>
        <v>430</v>
      </c>
      <c r="E3" s="45" cm="1">
        <f t="array" aca="1" ref="E3" ca="1">INDIRECT(E1&amp;"_Random")</f>
        <v>90</v>
      </c>
      <c r="F3" s="46">
        <f ca="1">Perimeter</f>
        <v>50</v>
      </c>
      <c r="G3" s="46">
        <f ca="1">Area</f>
        <v>100</v>
      </c>
      <c r="H3" s="46">
        <f ca="1">Volumen</f>
        <v>500</v>
      </c>
      <c r="I3" s="55"/>
      <c r="J3" s="83" t="str">
        <f>IF(See_Results=_OK,PROBLEM!O3,"NO "&amp;PROBLEM!O3)</f>
        <v>View Results</v>
      </c>
      <c r="K3" s="85">
        <f>MAX(T_D_FIXED[N_Pb])</f>
        <v>2</v>
      </c>
    </row>
    <row r="4" spans="1:14" ht="26" collapsed="1" thickTop="1" thickBot="1" x14ac:dyDescent="0.55000000000000004">
      <c r="A4" s="93" t="s">
        <v>565</v>
      </c>
      <c r="B4" s="19" t="s">
        <v>370</v>
      </c>
      <c r="C4" s="20" t="s">
        <v>371</v>
      </c>
      <c r="D4" s="20" t="s">
        <v>372</v>
      </c>
      <c r="E4" s="20" t="s">
        <v>373</v>
      </c>
      <c r="F4" s="21" t="s">
        <v>299</v>
      </c>
      <c r="G4" s="21" t="s">
        <v>51</v>
      </c>
      <c r="H4" s="21" t="s">
        <v>374</v>
      </c>
      <c r="I4" s="20" t="s">
        <v>375</v>
      </c>
      <c r="J4" s="21" t="s">
        <v>437</v>
      </c>
      <c r="K4" s="21" t="s">
        <v>438</v>
      </c>
      <c r="M4" s="87" t="s">
        <v>251</v>
      </c>
      <c r="N4" s="95" t="str">
        <f>Version</f>
        <v>V1.2</v>
      </c>
    </row>
    <row r="5" spans="1:14" ht="50.1" customHeight="1" thickTop="1" x14ac:dyDescent="0.5">
      <c r="A5" s="102">
        <f>ROW()-ROW(T_D_FIXED[[#Headers],[Nº]])</f>
        <v>1</v>
      </c>
      <c r="B5" s="67" t="str">
        <f t="shared" ref="B5:B17" si="0">FIle_Name&amp;TEXT(C5,"000")&amp;"x"&amp;TEXT(D5,"00")&amp;"x"&amp;TEXT(E5,"00")</f>
        <v>Prism_Rec 020x05x05</v>
      </c>
      <c r="C5" s="68">
        <v>20</v>
      </c>
      <c r="D5" s="68">
        <v>5</v>
      </c>
      <c r="E5" s="68">
        <v>5</v>
      </c>
      <c r="F5" s="69">
        <v>50</v>
      </c>
      <c r="G5" s="69">
        <v>100</v>
      </c>
      <c r="H5" s="69">
        <v>500</v>
      </c>
      <c r="I5" s="68"/>
      <c r="J5" s="84" t="s">
        <v>492</v>
      </c>
      <c r="K5" s="84">
        <f>IF($M$4=_OK,ROW()-ROW(T_D_FIXED[[#Headers],[N_Pb]]),IF(T_D_FIXED[[#This Row],[PRINT]]="",0,COUNTA($J$5:J5)))</f>
        <v>1</v>
      </c>
    </row>
    <row r="6" spans="1:14" ht="50.1" customHeight="1" x14ac:dyDescent="0.5">
      <c r="A6" s="102">
        <f>ROW()-ROW(T_D_FIXED[[#Headers],[Nº]])</f>
        <v>2</v>
      </c>
      <c r="B6" s="67" t="str">
        <f t="shared" si="0"/>
        <v>Prism_Rec 020x15x10</v>
      </c>
      <c r="C6" s="68">
        <v>20</v>
      </c>
      <c r="D6" s="68">
        <v>15</v>
      </c>
      <c r="E6" s="68">
        <v>10</v>
      </c>
      <c r="F6" s="69">
        <v>70</v>
      </c>
      <c r="G6" s="69">
        <v>300</v>
      </c>
      <c r="H6" s="69">
        <v>3000</v>
      </c>
      <c r="I6" s="68"/>
      <c r="J6" s="84"/>
      <c r="K6" s="84">
        <f>IF($M$4=_OK,ROW()-ROW(T_D_FIXED[[#Headers],[N_Pb]]),IF(T_D_FIXED[[#This Row],[PRINT]]="",0,COUNTA($J$5:J6)))</f>
        <v>0</v>
      </c>
    </row>
    <row r="7" spans="1:14" ht="50.1" customHeight="1" x14ac:dyDescent="0.5">
      <c r="A7" s="102">
        <f>ROW()-ROW(T_D_FIXED[[#Headers],[Nº]])</f>
        <v>3</v>
      </c>
      <c r="B7" s="67" t="str">
        <f t="shared" si="0"/>
        <v>Prism_Rec 030x20x10</v>
      </c>
      <c r="C7" s="68">
        <v>30</v>
      </c>
      <c r="D7" s="68">
        <v>20</v>
      </c>
      <c r="E7" s="68">
        <v>10</v>
      </c>
      <c r="F7" s="69">
        <v>100</v>
      </c>
      <c r="G7" s="69">
        <v>600</v>
      </c>
      <c r="H7" s="69">
        <v>6000</v>
      </c>
      <c r="I7" s="68"/>
      <c r="J7" s="84"/>
      <c r="K7" s="84">
        <f>IF($M$4=_OK,ROW()-ROW(T_D_FIXED[[#Headers],[N_Pb]]),IF(T_D_FIXED[[#This Row],[PRINT]]="",0,COUNTA($J$5:J7)))</f>
        <v>0</v>
      </c>
    </row>
    <row r="8" spans="1:14" ht="50.1" customHeight="1" x14ac:dyDescent="0.5">
      <c r="A8" s="102">
        <f>ROW()-ROW(T_D_FIXED[[#Headers],[Nº]])</f>
        <v>4</v>
      </c>
      <c r="B8" s="67" t="str">
        <f t="shared" si="0"/>
        <v>Prism_Rec 040x05x05</v>
      </c>
      <c r="C8" s="68">
        <v>40</v>
      </c>
      <c r="D8" s="68">
        <v>5</v>
      </c>
      <c r="E8" s="68">
        <v>5</v>
      </c>
      <c r="F8" s="69">
        <v>90</v>
      </c>
      <c r="G8" s="69">
        <v>200</v>
      </c>
      <c r="H8" s="69">
        <v>1000</v>
      </c>
      <c r="I8" s="5"/>
      <c r="J8" s="84"/>
      <c r="K8" s="84">
        <f>IF($M$4=_OK,ROW()-ROW(T_D_FIXED[[#Headers],[N_Pb]]),IF(T_D_FIXED[[#This Row],[PRINT]]="",0,COUNTA($J$5:J8)))</f>
        <v>0</v>
      </c>
    </row>
    <row r="9" spans="1:14" ht="50.1" customHeight="1" x14ac:dyDescent="0.5">
      <c r="A9" s="102">
        <f>ROW()-ROW(T_D_FIXED[[#Headers],[Nº]])</f>
        <v>5</v>
      </c>
      <c r="B9" s="67" t="str">
        <f t="shared" si="0"/>
        <v>Prism_Rec 050x10x10</v>
      </c>
      <c r="C9" s="68">
        <v>50</v>
      </c>
      <c r="D9" s="68">
        <v>10</v>
      </c>
      <c r="E9" s="68">
        <v>10</v>
      </c>
      <c r="F9" s="69">
        <v>120</v>
      </c>
      <c r="G9" s="69">
        <v>500</v>
      </c>
      <c r="H9" s="69">
        <v>5000</v>
      </c>
      <c r="I9" s="5"/>
      <c r="J9" s="84" t="s">
        <v>492</v>
      </c>
      <c r="K9" s="84">
        <f>IF($M$4=_OK,ROW()-ROW(T_D_FIXED[[#Headers],[N_Pb]]),IF(T_D_FIXED[[#This Row],[PRINT]]="",0,COUNTA($J$5:J9)))</f>
        <v>2</v>
      </c>
    </row>
    <row r="10" spans="1:14" ht="50.1" customHeight="1" x14ac:dyDescent="0.5">
      <c r="A10" s="102">
        <f>ROW()-ROW(T_D_FIXED[[#Headers],[Nº]])</f>
        <v>6</v>
      </c>
      <c r="B10" s="67" t="str">
        <f t="shared" si="0"/>
        <v>Prism_Rec 050x30x20</v>
      </c>
      <c r="C10" s="68">
        <v>50</v>
      </c>
      <c r="D10" s="68">
        <v>30</v>
      </c>
      <c r="E10" s="68">
        <v>20</v>
      </c>
      <c r="F10" s="69">
        <v>160</v>
      </c>
      <c r="G10" s="69">
        <v>1500</v>
      </c>
      <c r="H10" s="69">
        <v>30000</v>
      </c>
      <c r="I10" s="5"/>
      <c r="J10" s="84"/>
      <c r="K10" s="84">
        <f>IF($M$4=_OK,ROW()-ROW(T_D_FIXED[[#Headers],[N_Pb]]),IF(T_D_FIXED[[#This Row],[PRINT]]="",0,COUNTA($J$5:J10)))</f>
        <v>0</v>
      </c>
    </row>
    <row r="11" spans="1:14" ht="50.1" customHeight="1" x14ac:dyDescent="0.5">
      <c r="A11" s="102">
        <f>ROW()-ROW(T_D_FIXED[[#Headers],[Nº]])</f>
        <v>7</v>
      </c>
      <c r="B11" s="67" t="str">
        <f t="shared" si="0"/>
        <v>Prism_Rec 060x05x05</v>
      </c>
      <c r="C11" s="68">
        <v>60</v>
      </c>
      <c r="D11" s="68">
        <v>5</v>
      </c>
      <c r="E11" s="68">
        <v>5</v>
      </c>
      <c r="F11" s="69">
        <v>130</v>
      </c>
      <c r="G11" s="69">
        <v>300</v>
      </c>
      <c r="H11" s="69">
        <v>1500</v>
      </c>
      <c r="I11" s="5"/>
      <c r="J11" s="84"/>
      <c r="K11" s="84">
        <f>IF($M$4=_OK,ROW()-ROW(T_D_FIXED[[#Headers],[N_Pb]]),IF(T_D_FIXED[[#This Row],[PRINT]]="",0,COUNTA($J$5:J11)))</f>
        <v>0</v>
      </c>
    </row>
    <row r="12" spans="1:14" ht="50.1" customHeight="1" x14ac:dyDescent="0.5">
      <c r="A12" s="102">
        <f>ROW()-ROW(T_D_FIXED[[#Headers],[Nº]])</f>
        <v>8</v>
      </c>
      <c r="B12" s="67" t="str">
        <f t="shared" si="0"/>
        <v>Prism_Rec 060x45x25</v>
      </c>
      <c r="C12" s="68">
        <v>60</v>
      </c>
      <c r="D12" s="68">
        <v>45</v>
      </c>
      <c r="E12" s="68">
        <v>25</v>
      </c>
      <c r="F12" s="69">
        <v>210</v>
      </c>
      <c r="G12" s="69">
        <v>2700</v>
      </c>
      <c r="H12" s="69">
        <v>67500</v>
      </c>
      <c r="I12" s="5"/>
      <c r="J12" s="84"/>
      <c r="K12" s="84">
        <f>IF($M$4=_OK,ROW()-ROW(T_D_FIXED[[#Headers],[N_Pb]]),IF(T_D_FIXED[[#This Row],[PRINT]]="",0,COUNTA($J$5:J12)))</f>
        <v>0</v>
      </c>
    </row>
    <row r="13" spans="1:14" ht="50.1" customHeight="1" x14ac:dyDescent="0.5">
      <c r="A13" s="102">
        <f>ROW()-ROW(T_D_FIXED[[#Headers],[Nº]])</f>
        <v>9</v>
      </c>
      <c r="B13" s="67" t="str">
        <f t="shared" si="0"/>
        <v>Prism_Rec 070x05x05</v>
      </c>
      <c r="C13" s="68">
        <v>70</v>
      </c>
      <c r="D13" s="68">
        <v>5</v>
      </c>
      <c r="E13" s="68">
        <v>5</v>
      </c>
      <c r="F13" s="69">
        <v>150</v>
      </c>
      <c r="G13" s="69">
        <v>350</v>
      </c>
      <c r="H13" s="69">
        <v>1750</v>
      </c>
      <c r="I13" s="5"/>
      <c r="J13" s="84"/>
      <c r="K13" s="84">
        <f>IF($M$4=_OK,ROW()-ROW(T_D_FIXED[[#Headers],[N_Pb]]),IF(T_D_FIXED[[#This Row],[PRINT]]="",0,COUNTA($J$5:J13)))</f>
        <v>0</v>
      </c>
    </row>
    <row r="14" spans="1:14" ht="50.1" customHeight="1" x14ac:dyDescent="0.5">
      <c r="A14" s="102">
        <f>ROW()-ROW(T_D_FIXED[[#Headers],[Nº]])</f>
        <v>10</v>
      </c>
      <c r="B14" s="67" t="str">
        <f t="shared" si="0"/>
        <v>Prism_Rec 070x50x35</v>
      </c>
      <c r="C14" s="68">
        <v>70</v>
      </c>
      <c r="D14" s="68">
        <v>50</v>
      </c>
      <c r="E14" s="68">
        <v>35</v>
      </c>
      <c r="F14" s="69">
        <v>240</v>
      </c>
      <c r="G14" s="69">
        <v>3500</v>
      </c>
      <c r="H14" s="69">
        <v>122500</v>
      </c>
      <c r="I14" s="5"/>
      <c r="J14" s="84"/>
      <c r="K14" s="84">
        <f>IF($M$4=_OK,ROW()-ROW(T_D_FIXED[[#Headers],[N_Pb]]),IF(T_D_FIXED[[#This Row],[PRINT]]="",0,COUNTA($J$5:J14)))</f>
        <v>0</v>
      </c>
    </row>
    <row r="15" spans="1:14" ht="50.1" customHeight="1" x14ac:dyDescent="0.5">
      <c r="A15" s="102">
        <f>ROW()-ROW(T_D_FIXED[[#Headers],[Nº]])</f>
        <v>11</v>
      </c>
      <c r="B15" s="67" t="str">
        <f t="shared" si="0"/>
        <v>Prism_Rec 080x50x05</v>
      </c>
      <c r="C15" s="68">
        <v>80</v>
      </c>
      <c r="D15" s="68">
        <v>50</v>
      </c>
      <c r="E15" s="68">
        <v>5</v>
      </c>
      <c r="F15" s="69">
        <v>260</v>
      </c>
      <c r="G15" s="69">
        <v>4000</v>
      </c>
      <c r="H15" s="69">
        <v>20000</v>
      </c>
      <c r="I15" s="5"/>
      <c r="J15" s="84"/>
      <c r="K15" s="84">
        <f>IF($M$4=_OK,ROW()-ROW(T_D_FIXED[[#Headers],[N_Pb]]),IF(T_D_FIXED[[#This Row],[PRINT]]="",0,COUNTA($J$5:J15)))</f>
        <v>0</v>
      </c>
    </row>
    <row r="16" spans="1:14" ht="50.1" customHeight="1" x14ac:dyDescent="0.5">
      <c r="A16" s="102">
        <f>ROW()-ROW(T_D_FIXED[[#Headers],[Nº]])</f>
        <v>12</v>
      </c>
      <c r="B16" s="67" t="str">
        <f t="shared" si="0"/>
        <v>Prism_Rec 090x10x10</v>
      </c>
      <c r="C16" s="68">
        <v>90</v>
      </c>
      <c r="D16" s="68">
        <v>10</v>
      </c>
      <c r="E16" s="68">
        <v>10</v>
      </c>
      <c r="F16" s="69">
        <v>200</v>
      </c>
      <c r="G16" s="69">
        <v>900</v>
      </c>
      <c r="H16" s="69">
        <v>9000</v>
      </c>
      <c r="I16" s="5"/>
      <c r="J16" s="84"/>
      <c r="K16" s="84">
        <f>IF($M$4=_OK,ROW()-ROW(T_D_FIXED[[#Headers],[N_Pb]]),IF(T_D_FIXED[[#This Row],[PRINT]]="",0,COUNTA($J$5:J16)))</f>
        <v>0</v>
      </c>
    </row>
    <row r="17" spans="1:11" ht="50.1" customHeight="1" x14ac:dyDescent="0.5">
      <c r="A17" s="102">
        <f>ROW()-ROW(T_D_FIXED[[#Headers],[Nº]])</f>
        <v>13</v>
      </c>
      <c r="B17" s="67" t="str">
        <f t="shared" si="0"/>
        <v>Prism_Rec 100x70x15</v>
      </c>
      <c r="C17" s="68">
        <v>100</v>
      </c>
      <c r="D17" s="68">
        <v>70</v>
      </c>
      <c r="E17" s="68">
        <v>15</v>
      </c>
      <c r="F17" s="69">
        <v>340</v>
      </c>
      <c r="G17" s="69">
        <v>7000</v>
      </c>
      <c r="H17" s="69">
        <v>105000</v>
      </c>
      <c r="I17" s="5"/>
      <c r="J17" s="84"/>
      <c r="K17" s="84">
        <f>IF($M$4=_OK,ROW()-ROW(T_D_FIXED[[#Headers],[N_Pb]]),IF(T_D_FIXED[[#This Row],[PRINT]]="",0,COUNTA($J$5:J17)))</f>
        <v>0</v>
      </c>
    </row>
    <row r="18" spans="1:11" ht="50.1" customHeight="1" x14ac:dyDescent="0.5"/>
    <row r="19" spans="1:11" ht="50.1" customHeight="1" x14ac:dyDescent="0.5"/>
    <row r="20" spans="1:11" ht="50.1" customHeight="1" x14ac:dyDescent="0.5"/>
    <row r="21" spans="1:11" ht="50.1" customHeight="1" x14ac:dyDescent="0.5"/>
    <row r="22" spans="1:11" ht="50.1" customHeight="1" x14ac:dyDescent="0.5"/>
    <row r="23" spans="1:11" ht="50.1" customHeight="1" x14ac:dyDescent="0.5"/>
    <row r="24" spans="1:11" ht="50.1" customHeight="1" x14ac:dyDescent="0.5"/>
    <row r="25" spans="1:11" ht="50.1" customHeight="1" x14ac:dyDescent="0.5"/>
    <row r="26" spans="1:11" ht="50.1" customHeight="1" x14ac:dyDescent="0.5"/>
    <row r="27" spans="1:11" ht="50.1" customHeight="1" x14ac:dyDescent="0.5"/>
    <row r="28" spans="1:11" ht="50.1" customHeight="1" x14ac:dyDescent="0.5"/>
    <row r="29" spans="1:11" ht="50.1" customHeight="1" x14ac:dyDescent="0.5"/>
    <row r="30" spans="1:11" ht="50.1" customHeight="1" x14ac:dyDescent="0.5"/>
    <row r="31" spans="1:11" ht="50.1" customHeight="1" x14ac:dyDescent="0.5"/>
    <row r="32" spans="1:11" ht="50.1" customHeight="1" x14ac:dyDescent="0.5"/>
    <row r="33" ht="50.1" customHeight="1" x14ac:dyDescent="0.5"/>
    <row r="34" ht="50.1" customHeight="1" x14ac:dyDescent="0.5"/>
    <row r="35" ht="50.1" customHeight="1" x14ac:dyDescent="0.5"/>
    <row r="36" ht="50.1" customHeight="1" x14ac:dyDescent="0.5"/>
    <row r="37" ht="50.1" customHeight="1" x14ac:dyDescent="0.5"/>
    <row r="38" ht="50.1" customHeight="1" x14ac:dyDescent="0.5"/>
    <row r="39" ht="50.1" customHeight="1" x14ac:dyDescent="0.5"/>
    <row r="40" ht="50.1" customHeight="1" x14ac:dyDescent="0.5"/>
    <row r="41" ht="50.1" customHeight="1" x14ac:dyDescent="0.5"/>
    <row r="42" ht="50.1" customHeight="1" x14ac:dyDescent="0.5"/>
    <row r="43" ht="50.1" customHeight="1" x14ac:dyDescent="0.5"/>
    <row r="44" ht="50.1" customHeight="1" x14ac:dyDescent="0.5"/>
    <row r="45" ht="50.1" customHeight="1" x14ac:dyDescent="0.5"/>
    <row r="46" ht="50.1" customHeight="1" x14ac:dyDescent="0.5"/>
    <row r="47" ht="50.1" customHeight="1" x14ac:dyDescent="0.5"/>
    <row r="48" ht="50.1" customHeight="1" x14ac:dyDescent="0.5"/>
    <row r="49" ht="50.1" customHeight="1" x14ac:dyDescent="0.5"/>
    <row r="50" ht="50.1" customHeight="1" x14ac:dyDescent="0.5"/>
    <row r="51" ht="50.1" customHeight="1" x14ac:dyDescent="0.5"/>
    <row r="52" ht="50.1" customHeight="1" x14ac:dyDescent="0.5"/>
    <row r="53" ht="50.1" customHeight="1" x14ac:dyDescent="0.5"/>
    <row r="54" ht="50.1" customHeight="1" x14ac:dyDescent="0.5"/>
    <row r="55" ht="50.1" customHeight="1" x14ac:dyDescent="0.5"/>
    <row r="56" ht="50.1" customHeight="1" x14ac:dyDescent="0.5"/>
    <row r="57" ht="50.1" customHeight="1" x14ac:dyDescent="0.5"/>
    <row r="58" ht="50.1" customHeight="1" x14ac:dyDescent="0.5"/>
  </sheetData>
  <conditionalFormatting sqref="B5:B17">
    <cfRule type="duplicateValues" dxfId="22" priority="8"/>
  </conditionalFormatting>
  <conditionalFormatting sqref="F3:H4">
    <cfRule type="expression" dxfId="21" priority="2">
      <formula>D_Fixed=_OK</formula>
    </cfRule>
  </conditionalFormatting>
  <dataValidations disablePrompts="1" count="1">
    <dataValidation type="list" allowBlank="1" showInputMessage="1" showErrorMessage="1" sqref="M4" xr:uid="{EFEC13B2-2AF9-4E46-8A91-182B24A46341}">
      <formula1>YES_NO</formula1>
    </dataValidation>
  </dataValidations>
  <printOptions horizontalCentered="1"/>
  <pageMargins left="0.39370078740157483" right="0.39370078740157483" top="0.39370078740157483" bottom="0.39370078740157483" header="0.19685039370078741" footer="0.39370078740157483"/>
  <pageSetup paperSize="9" scale="88" fitToHeight="100" orientation="landscape" r:id="rId1"/>
  <headerFooter>
    <oddHeader>&amp;C&amp;"-,Negrita"&amp;A</oddHeader>
    <oddFooter>&amp;R&amp;P / &amp;N</oddFoot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ublished="0" codeName="d_Results_FTP">
    <tabColor rgb="FF005877"/>
  </sheetPr>
  <dimension ref="A1:L7"/>
  <sheetViews>
    <sheetView showGridLines="0" showRowColHeaders="0" zoomScaleNormal="100" workbookViewId="0">
      <pane xSplit="2" ySplit="2" topLeftCell="C3" activePane="bottomRight" state="frozen"/>
      <selection activeCell="B1" sqref="B1"/>
      <selection pane="topRight" activeCell="B1" sqref="B1"/>
      <selection pane="bottomLeft" activeCell="B1" sqref="B1"/>
      <selection pane="bottomRight" activeCell="B3" sqref="B3:C3"/>
    </sheetView>
  </sheetViews>
  <sheetFormatPr baseColWidth="10" defaultColWidth="10.8203125" defaultRowHeight="14.35" x14ac:dyDescent="0.5"/>
  <cols>
    <col min="1" max="1" width="8.703125" customWidth="1"/>
    <col min="2" max="2" width="71.29296875" customWidth="1"/>
    <col min="3" max="3" width="20.29296875" customWidth="1"/>
    <col min="4" max="4" width="3.64453125" bestFit="1" customWidth="1"/>
    <col min="5" max="5" width="6.8203125" bestFit="1" customWidth="1"/>
    <col min="6" max="6" width="10.17578125" bestFit="1" customWidth="1"/>
  </cols>
  <sheetData>
    <row r="1" spans="1:12" ht="27" thickTop="1" thickBot="1" x14ac:dyDescent="0.55000000000000004">
      <c r="A1" s="104" t="s">
        <v>376</v>
      </c>
      <c r="B1" s="103" t="str">
        <f>IFERROR(VLOOKUP(C1,T_D_IMAGE[],COLUMNS(T_D_IMAGE[]),0),"")</f>
        <v>&lt;img src="https://i.ibb.co/qMW1Ssz/Prisma-rectangular.png" width="300" height=""&gt;</v>
      </c>
      <c r="C1" s="105" t="s">
        <v>377</v>
      </c>
      <c r="F1" s="106" t="s">
        <v>593</v>
      </c>
      <c r="G1" s="106" t="s">
        <v>591</v>
      </c>
      <c r="H1" s="106" t="s">
        <v>592</v>
      </c>
      <c r="I1" s="106" t="s">
        <v>594</v>
      </c>
      <c r="J1" s="107"/>
    </row>
    <row r="2" spans="1:12" ht="150" customHeight="1" thickTop="1" x14ac:dyDescent="0.5">
      <c r="A2" s="118" t="str">
        <f>"Fixed Data: "&amp;D_Fixed</f>
        <v>Fixed Data: YES</v>
      </c>
      <c r="B2" s="150" t="str">
        <f ca="1">IFERROR(_xlfn.CONCAT(Statement_FTP:Result_4_FTP),CONCATENATE(Statement_FTP,Question_1_FTP,Result_1_FTP,Question_2_FTP,Result_2_FTP,Question_3_FTP,Result_3_FTP,Question_4_FTP,Result_4_FTP))</f>
        <v>To practice geometry data, solve the following exercise. We have a rectangle with a length L =  20 cm and height h = 5 cm. 
Calculate the following:
1) The perimeter of one face of the front rectangle. {2:NM:%100%50:0#¡Very good!~%95%50:0,5#Good, but be careful with rounding.~%85%50:1#Approximate value, but not exact.~%-10%50:20#Incorrect, check the calculations.} cm
2) The area of the front rectangle face. {3:NM:%100%100:0#¡Very good!~%95%100:1#Good, but be careful with rounding.~%85%100:2#Approximate value, but not exact.~%-10%100:20#Incorrect, check the calculations.} cm²
3) The volume of the rectangular prism if it has a depth of d = 5 cm. {5:NM:%100%500:0#¡Very good!~%95%500:5#Good, but be careful with rounding.~%85%500:10#Approximate value, but not exact.~%-10%500:20#Incorrect, check the calculations.} cm³
4) This problem is very easy.  {1:MC:%100%YES#¡Very good!~%-33%NO#Incorrect, check the calculations.}</v>
      </c>
      <c r="C2" s="150"/>
      <c r="D2" s="150"/>
      <c r="E2" s="150"/>
      <c r="F2" s="108" t="s">
        <v>573</v>
      </c>
      <c r="G2" s="108" t="s">
        <v>574</v>
      </c>
      <c r="H2" s="108" t="s">
        <v>575</v>
      </c>
      <c r="I2" s="108" t="s">
        <v>576</v>
      </c>
      <c r="J2" s="109" t="s">
        <v>590</v>
      </c>
    </row>
    <row r="3" spans="1:12" ht="52.7" thickBot="1" x14ac:dyDescent="0.55000000000000004">
      <c r="A3" s="118" t="str">
        <f>"Break: "&amp;Line_Break</f>
        <v xml:space="preserve">Break: </v>
      </c>
      <c r="B3" s="151" t="str">
        <f ca="1">Statement</f>
        <v>To practice geometry data, solve the following exercise. We have a rectangle with a length L =  20 cm and height h = 5 cm. 
Calculate the following:</v>
      </c>
      <c r="C3" s="151"/>
      <c r="D3" t="s">
        <v>577</v>
      </c>
      <c r="E3" s="110" t="s">
        <v>595</v>
      </c>
      <c r="F3" s="111" t="s">
        <v>583</v>
      </c>
      <c r="G3" s="111" t="s">
        <v>584</v>
      </c>
      <c r="H3" s="111" t="s">
        <v>585</v>
      </c>
      <c r="I3" s="111" t="s">
        <v>586</v>
      </c>
      <c r="J3" s="111" t="s">
        <v>587</v>
      </c>
      <c r="K3" s="111" t="s">
        <v>588</v>
      </c>
    </row>
    <row r="4" spans="1:12" ht="143.69999999999999" thickBot="1" x14ac:dyDescent="0.55000000000000004">
      <c r="A4" s="90" t="s">
        <v>562</v>
      </c>
      <c r="B4" s="120" t="str">
        <f>"
"&amp;Question_1&amp;" "</f>
        <v xml:space="preserve">
1) The perimeter of one face of the front rectangle. </v>
      </c>
      <c r="C4" s="119" t="str" cm="1">
        <f t="array" aca="1" ref="C4" ca="1">"{"&amp;$E4&amp;":NM:"&amp;$F$2&amp;INDIRECT($K4)&amp;":"&amp;MIN(INDIRECT($K4)*$F4,5)&amp;$F$3&amp;
                $G$2&amp;INDIRECT($K4)&amp;":"&amp;MIN(INDIRECT($K4)*$G4,10)&amp;$G$3&amp;
                $H$2&amp;INDIRECT($K4)&amp;":"&amp;MIN(INDIRECT($K4)*$H4,15)&amp;$H$3&amp;
                $I$2&amp;INDIRECT($K4)&amp;":"&amp;MIN(INDIRECT($K4)*$I4,20)&amp;$I$3&amp;"}"&amp;" "&amp;$L4&amp;Line_Break</f>
        <v>{2:NM:%100%50:0#¡Very good!~%95%50:0,5#Good, but be careful with rounding.~%85%50:1#Approximate value, but not exact.~%-10%50:20#Incorrect, check the calculations.} cm</v>
      </c>
      <c r="D4" s="112" t="s">
        <v>578</v>
      </c>
      <c r="E4" s="113">
        <v>2</v>
      </c>
      <c r="F4" s="114">
        <v>0</v>
      </c>
      <c r="G4" s="114">
        <v>0.01</v>
      </c>
      <c r="H4" s="114">
        <v>0.02</v>
      </c>
      <c r="I4" s="115">
        <v>100</v>
      </c>
      <c r="J4" s="116" t="s">
        <v>589</v>
      </c>
      <c r="K4" t="s">
        <v>299</v>
      </c>
      <c r="L4" t="s">
        <v>579</v>
      </c>
    </row>
    <row r="5" spans="1:12" ht="158" thickBot="1" x14ac:dyDescent="0.55000000000000004">
      <c r="B5" s="120" t="str">
        <f>"
"&amp;Question_2&amp;" "</f>
        <v xml:space="preserve">
2) The area of the front rectangle face. </v>
      </c>
      <c r="C5" s="119" t="str" cm="1">
        <f t="array" aca="1" ref="C5" ca="1">"{"&amp;$E5&amp;":NM:"&amp;$F$2&amp;INDIRECT($K5)&amp;":"&amp;MIN(INDIRECT($K5)*$F5,5)&amp;$F$3&amp;
                $G$2&amp;INDIRECT($K5)&amp;":"&amp;MIN(INDIRECT($K5)*$G5,10)&amp;$G$3&amp;
                $H$2&amp;INDIRECT($K5)&amp;":"&amp;MIN(INDIRECT($K5)*$H5,15)&amp;$H$3&amp;
                $I$2&amp;INDIRECT($K5)&amp;":"&amp;MIN(INDIRECT($K5)*$I5,20)&amp;$I$3&amp;"}"&amp;" "&amp;$L5&amp;Line_Break</f>
        <v>{3:NM:%100%100:0#¡Very good!~%95%100:1#Good, but be careful with rounding.~%85%100:2#Approximate value, but not exact.~%-10%100:20#Incorrect, check the calculations.} cm²</v>
      </c>
      <c r="D5" s="112" t="s">
        <v>578</v>
      </c>
      <c r="E5" s="113">
        <v>3</v>
      </c>
      <c r="F5" s="114">
        <v>0</v>
      </c>
      <c r="G5" s="114">
        <v>0.01</v>
      </c>
      <c r="H5" s="114">
        <v>0.02</v>
      </c>
      <c r="I5" s="115">
        <v>100</v>
      </c>
      <c r="K5" t="s">
        <v>51</v>
      </c>
      <c r="L5" t="s">
        <v>580</v>
      </c>
    </row>
    <row r="6" spans="1:12" ht="158" thickBot="1" x14ac:dyDescent="0.55000000000000004">
      <c r="B6" s="120" t="str">
        <f ca="1">"
"&amp;Question_3&amp;" "</f>
        <v xml:space="preserve">
3) The volume of the rectangular prism if it has a depth of d = 5 cm. </v>
      </c>
      <c r="C6" s="119" t="str" cm="1">
        <f t="array" aca="1" ref="C6" ca="1">"{"&amp;$E6&amp;":NM:"&amp;$F$2&amp;INDIRECT($K6)&amp;":"&amp;MIN(INDIRECT($K6)*$F6,5)&amp;$F$3&amp;
                $G$2&amp;INDIRECT($K6)&amp;":"&amp;MIN(INDIRECT($K6)*$G6,10)&amp;$G$3&amp;
                $H$2&amp;INDIRECT($K6)&amp;":"&amp;MIN(INDIRECT($K6)*$H6,15)&amp;$H$3&amp;
                $I$2&amp;INDIRECT($K6)&amp;":"&amp;MIN(INDIRECT($K6)*$I6,20)&amp;$I$3&amp;"}"&amp;" "&amp;$L6&amp;Line_Break</f>
        <v>{5:NM:%100%500:0#¡Very good!~%95%500:5#Good, but be careful with rounding.~%85%500:10#Approximate value, but not exact.~%-10%500:20#Incorrect, check the calculations.} cm³</v>
      </c>
      <c r="D6" s="112" t="s">
        <v>578</v>
      </c>
      <c r="E6" s="113">
        <v>5</v>
      </c>
      <c r="F6" s="114">
        <v>0</v>
      </c>
      <c r="G6" s="114">
        <v>0.01</v>
      </c>
      <c r="H6" s="114">
        <v>0.02</v>
      </c>
      <c r="I6" s="115">
        <v>100</v>
      </c>
      <c r="K6" t="s">
        <v>18</v>
      </c>
      <c r="L6" t="s">
        <v>581</v>
      </c>
    </row>
    <row r="7" spans="1:12" ht="72" thickBot="1" x14ac:dyDescent="0.55000000000000004">
      <c r="B7" s="120" t="str">
        <f>"
"&amp;Question_4&amp;" "</f>
        <v xml:space="preserve">
4) This problem is very easy. </v>
      </c>
      <c r="C7" s="119" t="str">
        <f>" {"&amp;$E$7&amp;":MC:"&amp;$F$2&amp;_OK&amp;$F$3&amp;"~%"&amp;$I7&amp;"%"&amp;_NO&amp;$I3&amp;"}"</f>
        <v xml:space="preserve"> {1:MC:%100%YES#¡Very good!~%-33%NO#Incorrect, check the calculations.}</v>
      </c>
      <c r="D7" s="112" t="s">
        <v>582</v>
      </c>
      <c r="E7" s="113">
        <v>1</v>
      </c>
      <c r="F7" s="117"/>
      <c r="G7" s="117"/>
      <c r="H7" s="117"/>
      <c r="I7" s="113">
        <v>-33</v>
      </c>
    </row>
  </sheetData>
  <mergeCells count="2">
    <mergeCell ref="B2:E2"/>
    <mergeCell ref="B3:C3"/>
  </mergeCells>
  <conditionalFormatting sqref="A2">
    <cfRule type="expression" dxfId="20" priority="1">
      <formula>D_Fixed=_OK</formula>
    </cfRule>
  </conditionalFormatting>
  <conditionalFormatting sqref="A3">
    <cfRule type="expression" dxfId="19" priority="2">
      <formula>Line_Break=""</formula>
    </cfRule>
  </conditionalFormatting>
  <dataValidations count="2">
    <dataValidation type="list" allowBlank="1" showInputMessage="1" showErrorMessage="1" sqref="C1" xr:uid="{00000000-0002-0000-0400-000000000000}">
      <formula1>List_Image</formula1>
    </dataValidation>
    <dataValidation type="whole" allowBlank="1" showInputMessage="1" showErrorMessage="1" sqref="I7" xr:uid="{41637942-26A8-4C3C-9019-760D2BB8EED5}">
      <formula1>-100</formula1>
      <formula2>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ublished="0" codeName="g_Hidden">
    <tabColor rgb="FFFF0000"/>
  </sheetPr>
  <dimension ref="A1:K18"/>
  <sheetViews>
    <sheetView showGridLines="0" showRowColHeaders="0" zoomScale="156" workbookViewId="0">
      <pane xSplit="2" ySplit="1" topLeftCell="C2" activePane="bottomRight" state="frozen"/>
      <selection pane="topRight" activeCell="C1" sqref="C1"/>
      <selection pane="bottomLeft" activeCell="A2" sqref="A2"/>
      <selection pane="bottomRight" activeCell="B14" sqref="B14"/>
    </sheetView>
  </sheetViews>
  <sheetFormatPr baseColWidth="10" defaultColWidth="10.8203125" defaultRowHeight="14.35" x14ac:dyDescent="0.5"/>
  <cols>
    <col min="3" max="3" width="6" customWidth="1"/>
    <col min="4" max="4" width="2.703125" customWidth="1"/>
    <col min="5" max="5" width="5.703125" customWidth="1"/>
    <col min="6" max="7" width="10.87890625" bestFit="1" customWidth="1"/>
    <col min="8" max="8" width="5.703125" customWidth="1"/>
    <col min="9" max="9" width="16.29296875" customWidth="1"/>
    <col min="10" max="10" width="15.703125" customWidth="1"/>
  </cols>
  <sheetData>
    <row r="1" spans="1:11" ht="14.7" thickBot="1" x14ac:dyDescent="0.55000000000000004">
      <c r="A1" s="38" t="s">
        <v>363</v>
      </c>
      <c r="B1" s="39"/>
      <c r="C1" s="39"/>
      <c r="D1" s="40"/>
      <c r="E1" s="7" t="s">
        <v>364</v>
      </c>
      <c r="I1" s="30" t="s">
        <v>365</v>
      </c>
      <c r="J1" s="31"/>
      <c r="K1" s="26"/>
    </row>
    <row r="2" spans="1:11" ht="14.7" thickBot="1" x14ac:dyDescent="0.55000000000000004">
      <c r="A2" s="41" t="s">
        <v>8</v>
      </c>
      <c r="B2" s="47">
        <f ca="1">IF(See_Data=_OK,L_,"Longitud")</f>
        <v>20</v>
      </c>
      <c r="C2" s="31" t="s">
        <v>0</v>
      </c>
      <c r="D2" s="29" t="s">
        <v>2</v>
      </c>
      <c r="F2" s="24" t="s">
        <v>369</v>
      </c>
      <c r="G2" s="24" t="s">
        <v>249</v>
      </c>
      <c r="I2" s="25" t="s">
        <v>13</v>
      </c>
      <c r="J2" s="37">
        <v>11111</v>
      </c>
      <c r="K2" s="26"/>
    </row>
    <row r="3" spans="1:11" x14ac:dyDescent="0.5">
      <c r="A3" s="42" t="s">
        <v>9</v>
      </c>
      <c r="B3" s="47">
        <f ca="1">IF(See_Data=_OK,h_,"h")</f>
        <v>5</v>
      </c>
      <c r="C3" t="s">
        <v>0</v>
      </c>
      <c r="D3" s="29" t="s">
        <v>2</v>
      </c>
      <c r="F3" s="50" t="s">
        <v>43</v>
      </c>
      <c r="G3" s="50" t="s">
        <v>250</v>
      </c>
      <c r="I3" s="32" t="s">
        <v>14</v>
      </c>
      <c r="J3" s="33">
        <v>111111</v>
      </c>
      <c r="K3" s="29"/>
    </row>
    <row r="4" spans="1:11" ht="14.7" thickBot="1" x14ac:dyDescent="0.55000000000000004">
      <c r="A4" s="42" t="s">
        <v>10</v>
      </c>
      <c r="B4" s="47">
        <f ca="1">IF(See_Data=_OK,d_,"d")</f>
        <v>5</v>
      </c>
      <c r="C4" t="s">
        <v>0</v>
      </c>
      <c r="D4" s="29" t="s">
        <v>2</v>
      </c>
      <c r="F4" s="51" t="s">
        <v>44</v>
      </c>
      <c r="G4" s="51" t="s">
        <v>251</v>
      </c>
      <c r="I4" s="32" t="s">
        <v>15</v>
      </c>
      <c r="J4" s="34">
        <v>111111</v>
      </c>
      <c r="K4" s="29"/>
    </row>
    <row r="5" spans="1:11" ht="14.7" thickBot="1" x14ac:dyDescent="0.55000000000000004">
      <c r="A5" s="42" t="s">
        <v>560</v>
      </c>
      <c r="B5" s="47">
        <f ca="1">IF(See_Results=_OK,Perimeter,"")</f>
        <v>50</v>
      </c>
      <c r="C5" t="s">
        <v>561</v>
      </c>
      <c r="D5" s="29" t="s">
        <v>2</v>
      </c>
      <c r="I5" s="27" t="s">
        <v>16</v>
      </c>
      <c r="J5" s="35"/>
      <c r="K5" s="36"/>
    </row>
    <row r="6" spans="1:11" x14ac:dyDescent="0.5">
      <c r="A6" s="42" t="s">
        <v>252</v>
      </c>
      <c r="B6" s="28">
        <f ca="1">IF(See_Results=_OK,Area,"")</f>
        <v>100</v>
      </c>
      <c r="C6" t="s">
        <v>3</v>
      </c>
      <c r="D6" s="29" t="s">
        <v>2</v>
      </c>
    </row>
    <row r="7" spans="1:11" ht="14.7" thickBot="1" x14ac:dyDescent="0.55000000000000004">
      <c r="A7" s="43" t="s">
        <v>253</v>
      </c>
      <c r="B7" s="44">
        <f ca="1">IF(See_Results=_OK,Volumen,"")</f>
        <v>500</v>
      </c>
      <c r="C7" s="35" t="s">
        <v>4</v>
      </c>
      <c r="D7" s="36" t="s">
        <v>1</v>
      </c>
    </row>
    <row r="13" spans="1:11" x14ac:dyDescent="0.5">
      <c r="A13" s="7" t="s">
        <v>366</v>
      </c>
    </row>
    <row r="14" spans="1:11" x14ac:dyDescent="0.5">
      <c r="B14" s="13" t="str">
        <f ca="1">IFERROR(_xlfn.CONCAT(A2:D4),B18)</f>
        <v xml:space="preserve">L = 20 cm ; h = 5 cm ; d = 5 cm ; </v>
      </c>
      <c r="C14" s="14"/>
      <c r="D14" s="14"/>
      <c r="E14" s="14"/>
      <c r="F14" s="15"/>
      <c r="G14" s="52" t="s">
        <v>367</v>
      </c>
    </row>
    <row r="15" spans="1:11" x14ac:dyDescent="0.5">
      <c r="B15" s="8" t="str">
        <f ca="1">CONCATENATE(A2,B2,C2,D2)</f>
        <v xml:space="preserve">L = 20 cm ; </v>
      </c>
      <c r="C15" s="9"/>
      <c r="D15" s="9"/>
      <c r="E15" s="9"/>
      <c r="F15" s="10"/>
      <c r="G15" s="52" t="s">
        <v>368</v>
      </c>
    </row>
    <row r="16" spans="1:11" x14ac:dyDescent="0.5">
      <c r="B16" s="11" t="str">
        <f ca="1">CONCATENATE(A3,B3,C3,D3)</f>
        <v xml:space="preserve">h = 5 cm ; </v>
      </c>
      <c r="F16" s="12"/>
    </row>
    <row r="17" spans="2:6" x14ac:dyDescent="0.5">
      <c r="B17" s="11" t="str">
        <f ca="1">CONCATENATE(A4,B4,C4,D4)</f>
        <v xml:space="preserve">d = 5 cm ; </v>
      </c>
      <c r="F17" s="12"/>
    </row>
    <row r="18" spans="2:6" x14ac:dyDescent="0.5">
      <c r="B18" s="16" t="str">
        <f ca="1">CONCATENATE(B15,B16,B17)</f>
        <v xml:space="preserve">L = 20 cm ; h = 5 cm ; d = 5 cm ; </v>
      </c>
      <c r="C18" s="17"/>
      <c r="D18" s="17"/>
      <c r="E18" s="17"/>
      <c r="F18" s="18"/>
    </row>
  </sheetData>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9AE21-8020-47AA-A65F-03BA15C223EE}">
  <sheetPr published="0" codeName="Sheet1"/>
  <dimension ref="A1:E273"/>
  <sheetViews>
    <sheetView workbookViewId="0">
      <pane xSplit="1" ySplit="1" topLeftCell="B43" activePane="bottomRight" state="frozen"/>
      <selection activeCell="D57" sqref="D57"/>
      <selection pane="topRight" activeCell="D57" sqref="D57"/>
      <selection pane="bottomLeft" activeCell="D57" sqref="D57"/>
      <selection pane="bottomRight" activeCell="D57" sqref="D57"/>
    </sheetView>
  </sheetViews>
  <sheetFormatPr baseColWidth="10" defaultColWidth="8.9375" defaultRowHeight="14.35" x14ac:dyDescent="0.5"/>
  <cols>
    <col min="1" max="1" width="11.76171875" bestFit="1" customWidth="1"/>
    <col min="2" max="2" width="6.05859375" bestFit="1" customWidth="1"/>
    <col min="3" max="4" width="50.64453125" customWidth="1"/>
    <col min="5" max="5" width="19.3515625" bestFit="1" customWidth="1"/>
  </cols>
  <sheetData>
    <row r="1" spans="1:5" x14ac:dyDescent="0.5">
      <c r="A1" t="s">
        <v>411</v>
      </c>
      <c r="B1" t="s">
        <v>412</v>
      </c>
      <c r="C1" t="s">
        <v>413</v>
      </c>
      <c r="D1" t="s">
        <v>414</v>
      </c>
      <c r="E1" t="s">
        <v>415</v>
      </c>
    </row>
    <row r="2" spans="1:5" x14ac:dyDescent="0.5">
      <c r="A2" t="s">
        <v>392</v>
      </c>
      <c r="B2" t="s">
        <v>72</v>
      </c>
      <c r="C2" s="86" t="s">
        <v>494</v>
      </c>
      <c r="E2" t="s">
        <v>495</v>
      </c>
    </row>
    <row r="3" spans="1:5" x14ac:dyDescent="0.5">
      <c r="A3" t="s">
        <v>392</v>
      </c>
      <c r="B3" t="s">
        <v>106</v>
      </c>
      <c r="C3" s="86" t="s">
        <v>331</v>
      </c>
      <c r="E3" t="s">
        <v>330</v>
      </c>
    </row>
    <row r="4" spans="1:5" x14ac:dyDescent="0.5">
      <c r="A4" t="s">
        <v>392</v>
      </c>
      <c r="B4" t="s">
        <v>89</v>
      </c>
      <c r="C4" s="86" t="s">
        <v>302</v>
      </c>
      <c r="E4" t="s">
        <v>300</v>
      </c>
    </row>
    <row r="5" spans="1:5" x14ac:dyDescent="0.5">
      <c r="A5" t="s">
        <v>392</v>
      </c>
      <c r="B5" t="s">
        <v>90</v>
      </c>
      <c r="C5" s="86" t="s">
        <v>308</v>
      </c>
      <c r="E5" t="s">
        <v>306</v>
      </c>
    </row>
    <row r="6" spans="1:5" x14ac:dyDescent="0.5">
      <c r="A6" t="s">
        <v>392</v>
      </c>
      <c r="B6" t="s">
        <v>91</v>
      </c>
      <c r="C6" s="86" t="s">
        <v>314</v>
      </c>
      <c r="E6" t="s">
        <v>312</v>
      </c>
    </row>
    <row r="7" spans="1:5" x14ac:dyDescent="0.5">
      <c r="A7" t="s">
        <v>392</v>
      </c>
      <c r="B7" t="s">
        <v>94</v>
      </c>
      <c r="D7" t="s">
        <v>256</v>
      </c>
    </row>
    <row r="8" spans="1:5" x14ac:dyDescent="0.5">
      <c r="A8" t="s">
        <v>392</v>
      </c>
      <c r="B8" t="s">
        <v>95</v>
      </c>
      <c r="D8" t="s">
        <v>5</v>
      </c>
    </row>
    <row r="9" spans="1:5" x14ac:dyDescent="0.5">
      <c r="A9" t="s">
        <v>392</v>
      </c>
      <c r="B9" t="s">
        <v>96</v>
      </c>
      <c r="D9" t="s">
        <v>6</v>
      </c>
    </row>
    <row r="10" spans="1:5" x14ac:dyDescent="0.5">
      <c r="A10" t="s">
        <v>392</v>
      </c>
      <c r="B10" t="s">
        <v>97</v>
      </c>
      <c r="D10" t="s">
        <v>7</v>
      </c>
    </row>
    <row r="11" spans="1:5" x14ac:dyDescent="0.5">
      <c r="A11" t="s">
        <v>392</v>
      </c>
      <c r="B11" t="s">
        <v>107</v>
      </c>
      <c r="C11" s="86" t="s">
        <v>393</v>
      </c>
    </row>
    <row r="12" spans="1:5" x14ac:dyDescent="0.5">
      <c r="A12" t="s">
        <v>392</v>
      </c>
      <c r="B12" t="s">
        <v>101</v>
      </c>
      <c r="D12" t="s">
        <v>257</v>
      </c>
    </row>
    <row r="13" spans="1:5" x14ac:dyDescent="0.5">
      <c r="A13" t="s">
        <v>392</v>
      </c>
      <c r="B13" t="s">
        <v>103</v>
      </c>
      <c r="C13" s="86" t="s">
        <v>394</v>
      </c>
    </row>
    <row r="14" spans="1:5" x14ac:dyDescent="0.5">
      <c r="A14" t="s">
        <v>392</v>
      </c>
      <c r="B14" t="s">
        <v>440</v>
      </c>
      <c r="D14" t="s">
        <v>258</v>
      </c>
    </row>
    <row r="15" spans="1:5" x14ac:dyDescent="0.5">
      <c r="A15" t="s">
        <v>392</v>
      </c>
      <c r="B15" t="s">
        <v>104</v>
      </c>
      <c r="C15" s="86" t="s">
        <v>395</v>
      </c>
    </row>
    <row r="16" spans="1:5" x14ac:dyDescent="0.5">
      <c r="A16" t="s">
        <v>392</v>
      </c>
      <c r="B16" t="s">
        <v>441</v>
      </c>
      <c r="D16" t="s">
        <v>259</v>
      </c>
    </row>
    <row r="17" spans="1:5" x14ac:dyDescent="0.5">
      <c r="A17" t="s">
        <v>392</v>
      </c>
      <c r="B17" t="s">
        <v>109</v>
      </c>
      <c r="C17" s="86" t="s">
        <v>496</v>
      </c>
      <c r="E17" t="s">
        <v>54</v>
      </c>
    </row>
    <row r="18" spans="1:5" x14ac:dyDescent="0.5">
      <c r="A18" t="s">
        <v>392</v>
      </c>
      <c r="B18" t="s">
        <v>110</v>
      </c>
      <c r="C18" s="86" t="s">
        <v>497</v>
      </c>
      <c r="E18" t="s">
        <v>53</v>
      </c>
    </row>
    <row r="19" spans="1:5" x14ac:dyDescent="0.5">
      <c r="A19" t="s">
        <v>392</v>
      </c>
      <c r="B19" t="s">
        <v>165</v>
      </c>
      <c r="C19" s="86" t="s">
        <v>498</v>
      </c>
      <c r="E19" t="s">
        <v>52</v>
      </c>
    </row>
    <row r="20" spans="1:5" x14ac:dyDescent="0.5">
      <c r="A20" t="s">
        <v>392</v>
      </c>
      <c r="B20" t="s">
        <v>442</v>
      </c>
      <c r="C20" s="86" t="s">
        <v>396</v>
      </c>
    </row>
    <row r="21" spans="1:5" x14ac:dyDescent="0.5">
      <c r="A21" t="s">
        <v>392</v>
      </c>
      <c r="B21" t="s">
        <v>443</v>
      </c>
      <c r="C21" s="86" t="s">
        <v>232</v>
      </c>
    </row>
    <row r="22" spans="1:5" x14ac:dyDescent="0.5">
      <c r="A22" t="s">
        <v>392</v>
      </c>
      <c r="B22" t="s">
        <v>444</v>
      </c>
      <c r="C22" s="86" t="s">
        <v>499</v>
      </c>
    </row>
    <row r="23" spans="1:5" x14ac:dyDescent="0.5">
      <c r="A23" t="s">
        <v>392</v>
      </c>
      <c r="B23" t="s">
        <v>111</v>
      </c>
      <c r="C23" s="86" t="s">
        <v>61</v>
      </c>
      <c r="E23" t="s">
        <v>299</v>
      </c>
    </row>
    <row r="24" spans="1:5" x14ac:dyDescent="0.5">
      <c r="A24" t="s">
        <v>392</v>
      </c>
      <c r="B24" t="s">
        <v>112</v>
      </c>
      <c r="C24" s="86" t="s">
        <v>60</v>
      </c>
      <c r="E24" t="s">
        <v>51</v>
      </c>
    </row>
    <row r="25" spans="1:5" x14ac:dyDescent="0.5">
      <c r="A25" t="s">
        <v>392</v>
      </c>
      <c r="B25" t="s">
        <v>445</v>
      </c>
      <c r="C25" s="86" t="s">
        <v>66</v>
      </c>
      <c r="E25" t="s">
        <v>18</v>
      </c>
    </row>
    <row r="26" spans="1:5" x14ac:dyDescent="0.5">
      <c r="A26" t="s">
        <v>392</v>
      </c>
      <c r="B26" t="s">
        <v>113</v>
      </c>
      <c r="D26" t="s">
        <v>433</v>
      </c>
    </row>
    <row r="27" spans="1:5" x14ac:dyDescent="0.5">
      <c r="A27" t="s">
        <v>392</v>
      </c>
      <c r="B27" t="s">
        <v>114</v>
      </c>
      <c r="D27" t="s">
        <v>429</v>
      </c>
    </row>
    <row r="28" spans="1:5" x14ac:dyDescent="0.5">
      <c r="A28" t="s">
        <v>392</v>
      </c>
      <c r="B28" t="s">
        <v>115</v>
      </c>
      <c r="D28" t="s">
        <v>430</v>
      </c>
    </row>
    <row r="29" spans="1:5" x14ac:dyDescent="0.5">
      <c r="A29" t="s">
        <v>392</v>
      </c>
      <c r="B29" t="s">
        <v>116</v>
      </c>
      <c r="D29" t="s">
        <v>431</v>
      </c>
    </row>
    <row r="30" spans="1:5" x14ac:dyDescent="0.5">
      <c r="A30" t="s">
        <v>392</v>
      </c>
      <c r="B30" t="s">
        <v>117</v>
      </c>
      <c r="D30" t="s">
        <v>432</v>
      </c>
    </row>
    <row r="31" spans="1:5" x14ac:dyDescent="0.5">
      <c r="A31" t="s">
        <v>392</v>
      </c>
      <c r="B31" t="s">
        <v>118</v>
      </c>
      <c r="D31" t="s">
        <v>45</v>
      </c>
    </row>
    <row r="32" spans="1:5" x14ac:dyDescent="0.5">
      <c r="A32" t="s">
        <v>392</v>
      </c>
      <c r="B32" t="s">
        <v>119</v>
      </c>
      <c r="D32" t="s">
        <v>254</v>
      </c>
    </row>
    <row r="33" spans="1:5" x14ac:dyDescent="0.5">
      <c r="A33" t="s">
        <v>392</v>
      </c>
      <c r="B33" t="s">
        <v>120</v>
      </c>
      <c r="C33" s="86" t="s">
        <v>500</v>
      </c>
      <c r="E33" t="s">
        <v>283</v>
      </c>
    </row>
    <row r="34" spans="1:5" x14ac:dyDescent="0.5">
      <c r="A34" t="s">
        <v>392</v>
      </c>
      <c r="B34" t="s">
        <v>121</v>
      </c>
      <c r="C34" s="86" t="s">
        <v>501</v>
      </c>
      <c r="E34" t="s">
        <v>278</v>
      </c>
    </row>
    <row r="35" spans="1:5" x14ac:dyDescent="0.5">
      <c r="A35" t="s">
        <v>392</v>
      </c>
      <c r="B35" t="s">
        <v>446</v>
      </c>
      <c r="C35" s="86" t="s">
        <v>502</v>
      </c>
      <c r="E35" t="s">
        <v>273</v>
      </c>
    </row>
    <row r="36" spans="1:5" x14ac:dyDescent="0.5">
      <c r="A36" t="s">
        <v>392</v>
      </c>
      <c r="B36" t="s">
        <v>122</v>
      </c>
      <c r="D36" t="s">
        <v>250</v>
      </c>
      <c r="E36" t="s">
        <v>325</v>
      </c>
    </row>
    <row r="37" spans="1:5" x14ac:dyDescent="0.5">
      <c r="A37" t="s">
        <v>392</v>
      </c>
      <c r="B37" t="s">
        <v>447</v>
      </c>
      <c r="D37" t="s">
        <v>251</v>
      </c>
      <c r="E37" t="s">
        <v>326</v>
      </c>
    </row>
    <row r="38" spans="1:5" x14ac:dyDescent="0.5">
      <c r="A38" t="s">
        <v>392</v>
      </c>
      <c r="B38" t="s">
        <v>123</v>
      </c>
      <c r="D38" t="s">
        <v>250</v>
      </c>
      <c r="E38" t="s">
        <v>271</v>
      </c>
    </row>
    <row r="39" spans="1:5" x14ac:dyDescent="0.5">
      <c r="A39" t="s">
        <v>392</v>
      </c>
      <c r="B39" t="s">
        <v>124</v>
      </c>
      <c r="D39" t="s">
        <v>439</v>
      </c>
      <c r="E39" t="s">
        <v>297</v>
      </c>
    </row>
    <row r="40" spans="1:5" x14ac:dyDescent="0.5">
      <c r="A40" t="s">
        <v>392</v>
      </c>
      <c r="B40" t="s">
        <v>125</v>
      </c>
      <c r="D40">
        <v>4</v>
      </c>
      <c r="E40" t="s">
        <v>293</v>
      </c>
    </row>
    <row r="41" spans="1:5" x14ac:dyDescent="0.5">
      <c r="A41" t="s">
        <v>392</v>
      </c>
      <c r="B41" t="s">
        <v>126</v>
      </c>
      <c r="D41" t="s">
        <v>46</v>
      </c>
    </row>
    <row r="42" spans="1:5" x14ac:dyDescent="0.5">
      <c r="A42" t="s">
        <v>392</v>
      </c>
      <c r="B42" t="s">
        <v>127</v>
      </c>
      <c r="D42">
        <v>100</v>
      </c>
    </row>
    <row r="43" spans="1:5" x14ac:dyDescent="0.5">
      <c r="A43" t="s">
        <v>392</v>
      </c>
      <c r="B43" t="s">
        <v>128</v>
      </c>
      <c r="D43">
        <v>15</v>
      </c>
    </row>
    <row r="44" spans="1:5" x14ac:dyDescent="0.5">
      <c r="A44" t="s">
        <v>392</v>
      </c>
      <c r="B44" t="s">
        <v>448</v>
      </c>
      <c r="D44">
        <v>5</v>
      </c>
    </row>
    <row r="45" spans="1:5" x14ac:dyDescent="0.5">
      <c r="A45" t="s">
        <v>392</v>
      </c>
      <c r="B45" t="s">
        <v>449</v>
      </c>
      <c r="D45" t="s">
        <v>352</v>
      </c>
      <c r="E45" t="s">
        <v>410</v>
      </c>
    </row>
    <row r="46" spans="1:5" x14ac:dyDescent="0.5">
      <c r="A46" t="s">
        <v>392</v>
      </c>
      <c r="B46" t="s">
        <v>503</v>
      </c>
      <c r="D46" t="s">
        <v>493</v>
      </c>
    </row>
    <row r="47" spans="1:5" x14ac:dyDescent="0.5">
      <c r="A47" t="s">
        <v>392</v>
      </c>
      <c r="B47" t="s">
        <v>504</v>
      </c>
      <c r="D47">
        <v>10</v>
      </c>
      <c r="E47" t="s">
        <v>505</v>
      </c>
    </row>
    <row r="48" spans="1:5" x14ac:dyDescent="0.5">
      <c r="A48" t="s">
        <v>392</v>
      </c>
      <c r="B48" t="s">
        <v>129</v>
      </c>
      <c r="C48" s="86" t="s">
        <v>506</v>
      </c>
    </row>
    <row r="49" spans="1:5" x14ac:dyDescent="0.5">
      <c r="A49" t="s">
        <v>392</v>
      </c>
      <c r="B49" t="s">
        <v>130</v>
      </c>
      <c r="C49" s="86" t="s">
        <v>507</v>
      </c>
      <c r="E49" t="s">
        <v>381</v>
      </c>
    </row>
    <row r="50" spans="1:5" x14ac:dyDescent="0.5">
      <c r="A50" t="s">
        <v>392</v>
      </c>
      <c r="B50" t="s">
        <v>131</v>
      </c>
      <c r="D50">
        <v>4</v>
      </c>
      <c r="E50" t="s">
        <v>291</v>
      </c>
    </row>
    <row r="51" spans="1:5" x14ac:dyDescent="0.5">
      <c r="A51" t="s">
        <v>392</v>
      </c>
      <c r="B51" t="s">
        <v>132</v>
      </c>
      <c r="D51" t="s">
        <v>47</v>
      </c>
    </row>
    <row r="52" spans="1:5" x14ac:dyDescent="0.5">
      <c r="A52" t="s">
        <v>392</v>
      </c>
      <c r="B52" t="s">
        <v>133</v>
      </c>
      <c r="D52">
        <v>600</v>
      </c>
    </row>
    <row r="53" spans="1:5" x14ac:dyDescent="0.5">
      <c r="A53" t="s">
        <v>392</v>
      </c>
      <c r="B53" t="s">
        <v>134</v>
      </c>
      <c r="C53" s="86" t="s">
        <v>397</v>
      </c>
    </row>
    <row r="54" spans="1:5" x14ac:dyDescent="0.5">
      <c r="A54" t="s">
        <v>392</v>
      </c>
      <c r="B54" t="s">
        <v>450</v>
      </c>
      <c r="C54" s="86" t="s">
        <v>398</v>
      </c>
    </row>
    <row r="55" spans="1:5" x14ac:dyDescent="0.5">
      <c r="A55" t="s">
        <v>392</v>
      </c>
      <c r="B55" t="s">
        <v>451</v>
      </c>
      <c r="C55" s="86" t="s">
        <v>508</v>
      </c>
    </row>
    <row r="56" spans="1:5" x14ac:dyDescent="0.5">
      <c r="A56" t="s">
        <v>392</v>
      </c>
      <c r="B56" t="s">
        <v>452</v>
      </c>
      <c r="C56" s="86" t="s">
        <v>508</v>
      </c>
    </row>
    <row r="57" spans="1:5" x14ac:dyDescent="0.5">
      <c r="A57" t="s">
        <v>392</v>
      </c>
      <c r="B57" t="s">
        <v>453</v>
      </c>
      <c r="D57" s="86" t="s">
        <v>17</v>
      </c>
    </row>
    <row r="58" spans="1:5" x14ac:dyDescent="0.5">
      <c r="A58" t="s">
        <v>392</v>
      </c>
      <c r="B58" t="s">
        <v>454</v>
      </c>
      <c r="D58" t="s">
        <v>255</v>
      </c>
    </row>
    <row r="59" spans="1:5" x14ac:dyDescent="0.5">
      <c r="A59" t="s">
        <v>392</v>
      </c>
      <c r="B59" t="s">
        <v>455</v>
      </c>
      <c r="D59">
        <v>2</v>
      </c>
    </row>
    <row r="60" spans="1:5" x14ac:dyDescent="0.5">
      <c r="A60" t="s">
        <v>392</v>
      </c>
      <c r="B60" t="s">
        <v>456</v>
      </c>
      <c r="D60">
        <v>10</v>
      </c>
    </row>
    <row r="61" spans="1:5" x14ac:dyDescent="0.5">
      <c r="A61" t="s">
        <v>392</v>
      </c>
      <c r="B61" t="s">
        <v>457</v>
      </c>
      <c r="D61">
        <v>5</v>
      </c>
    </row>
    <row r="62" spans="1:5" x14ac:dyDescent="0.5">
      <c r="A62" t="s">
        <v>399</v>
      </c>
      <c r="B62" t="s">
        <v>72</v>
      </c>
      <c r="D62" t="s">
        <v>363</v>
      </c>
    </row>
    <row r="63" spans="1:5" x14ac:dyDescent="0.5">
      <c r="A63" t="s">
        <v>399</v>
      </c>
      <c r="B63" t="s">
        <v>73</v>
      </c>
      <c r="D63" t="s">
        <v>8</v>
      </c>
    </row>
    <row r="64" spans="1:5" x14ac:dyDescent="0.5">
      <c r="A64" t="s">
        <v>399</v>
      </c>
      <c r="B64" t="s">
        <v>74</v>
      </c>
      <c r="D64" t="s">
        <v>9</v>
      </c>
    </row>
    <row r="65" spans="1:5" x14ac:dyDescent="0.5">
      <c r="A65" t="s">
        <v>399</v>
      </c>
      <c r="B65" t="s">
        <v>75</v>
      </c>
      <c r="D65" t="s">
        <v>10</v>
      </c>
    </row>
    <row r="66" spans="1:5" x14ac:dyDescent="0.5">
      <c r="A66" t="s">
        <v>399</v>
      </c>
      <c r="B66" t="s">
        <v>76</v>
      </c>
      <c r="D66" t="s">
        <v>252</v>
      </c>
    </row>
    <row r="67" spans="1:5" x14ac:dyDescent="0.5">
      <c r="A67" t="s">
        <v>399</v>
      </c>
      <c r="B67" t="s">
        <v>77</v>
      </c>
      <c r="D67" t="s">
        <v>253</v>
      </c>
    </row>
    <row r="68" spans="1:5" x14ac:dyDescent="0.5">
      <c r="A68" t="s">
        <v>399</v>
      </c>
      <c r="B68" t="s">
        <v>84</v>
      </c>
      <c r="D68" t="s">
        <v>366</v>
      </c>
    </row>
    <row r="69" spans="1:5" x14ac:dyDescent="0.5">
      <c r="A69" t="s">
        <v>399</v>
      </c>
      <c r="B69" t="s">
        <v>106</v>
      </c>
      <c r="C69" s="86" t="s">
        <v>509</v>
      </c>
      <c r="E69" t="s">
        <v>284</v>
      </c>
    </row>
    <row r="70" spans="1:5" x14ac:dyDescent="0.5">
      <c r="A70" t="s">
        <v>399</v>
      </c>
      <c r="B70" t="s">
        <v>89</v>
      </c>
      <c r="C70" s="86" t="s">
        <v>510</v>
      </c>
      <c r="E70" t="s">
        <v>280</v>
      </c>
    </row>
    <row r="71" spans="1:5" x14ac:dyDescent="0.5">
      <c r="A71" t="s">
        <v>399</v>
      </c>
      <c r="B71" t="s">
        <v>90</v>
      </c>
      <c r="C71" s="86" t="s">
        <v>511</v>
      </c>
      <c r="E71" t="s">
        <v>275</v>
      </c>
    </row>
    <row r="72" spans="1:5" x14ac:dyDescent="0.5">
      <c r="A72" t="s">
        <v>399</v>
      </c>
      <c r="B72" t="s">
        <v>91</v>
      </c>
      <c r="C72" s="86" t="s">
        <v>512</v>
      </c>
      <c r="E72" t="s">
        <v>266</v>
      </c>
    </row>
    <row r="73" spans="1:5" x14ac:dyDescent="0.5">
      <c r="A73" t="s">
        <v>399</v>
      </c>
      <c r="B73" t="s">
        <v>92</v>
      </c>
      <c r="C73" s="86" t="s">
        <v>513</v>
      </c>
      <c r="E73" t="s">
        <v>343</v>
      </c>
    </row>
    <row r="74" spans="1:5" x14ac:dyDescent="0.5">
      <c r="A74" t="s">
        <v>399</v>
      </c>
      <c r="B74" t="s">
        <v>99</v>
      </c>
      <c r="C74" s="86" t="s">
        <v>233</v>
      </c>
    </row>
    <row r="75" spans="1:5" x14ac:dyDescent="0.5">
      <c r="A75" t="s">
        <v>399</v>
      </c>
      <c r="B75" t="s">
        <v>100</v>
      </c>
      <c r="C75" s="86" t="s">
        <v>514</v>
      </c>
    </row>
    <row r="76" spans="1:5" x14ac:dyDescent="0.5">
      <c r="A76" t="s">
        <v>399</v>
      </c>
      <c r="B76" t="s">
        <v>107</v>
      </c>
      <c r="C76" s="86" t="s">
        <v>515</v>
      </c>
    </row>
    <row r="77" spans="1:5" x14ac:dyDescent="0.5">
      <c r="A77" t="s">
        <v>399</v>
      </c>
      <c r="B77" t="s">
        <v>101</v>
      </c>
      <c r="C77" s="86" t="s">
        <v>516</v>
      </c>
    </row>
    <row r="78" spans="1:5" x14ac:dyDescent="0.5">
      <c r="A78" t="s">
        <v>399</v>
      </c>
      <c r="B78" t="s">
        <v>102</v>
      </c>
      <c r="C78" s="86" t="s">
        <v>517</v>
      </c>
    </row>
    <row r="79" spans="1:5" x14ac:dyDescent="0.5">
      <c r="A79" t="s">
        <v>399</v>
      </c>
      <c r="B79" t="s">
        <v>135</v>
      </c>
      <c r="D79" t="s">
        <v>0</v>
      </c>
    </row>
    <row r="80" spans="1:5" x14ac:dyDescent="0.5">
      <c r="A80" t="s">
        <v>399</v>
      </c>
      <c r="B80" t="s">
        <v>136</v>
      </c>
      <c r="D80" t="s">
        <v>0</v>
      </c>
    </row>
    <row r="81" spans="1:5" x14ac:dyDescent="0.5">
      <c r="A81" t="s">
        <v>399</v>
      </c>
      <c r="B81" t="s">
        <v>137</v>
      </c>
      <c r="D81" t="s">
        <v>0</v>
      </c>
    </row>
    <row r="82" spans="1:5" x14ac:dyDescent="0.5">
      <c r="A82" t="s">
        <v>399</v>
      </c>
      <c r="B82" t="s">
        <v>138</v>
      </c>
      <c r="D82" t="s">
        <v>3</v>
      </c>
    </row>
    <row r="83" spans="1:5" x14ac:dyDescent="0.5">
      <c r="A83" t="s">
        <v>399</v>
      </c>
      <c r="B83" t="s">
        <v>139</v>
      </c>
      <c r="D83" t="s">
        <v>4</v>
      </c>
    </row>
    <row r="84" spans="1:5" x14ac:dyDescent="0.5">
      <c r="A84" t="s">
        <v>399</v>
      </c>
      <c r="B84" t="s">
        <v>140</v>
      </c>
      <c r="D84" t="s">
        <v>2</v>
      </c>
    </row>
    <row r="85" spans="1:5" x14ac:dyDescent="0.5">
      <c r="A85" t="s">
        <v>399</v>
      </c>
      <c r="B85" t="s">
        <v>141</v>
      </c>
      <c r="D85" t="s">
        <v>2</v>
      </c>
    </row>
    <row r="86" spans="1:5" x14ac:dyDescent="0.5">
      <c r="A86" t="s">
        <v>399</v>
      </c>
      <c r="B86" t="s">
        <v>142</v>
      </c>
      <c r="D86" t="s">
        <v>2</v>
      </c>
    </row>
    <row r="87" spans="1:5" x14ac:dyDescent="0.5">
      <c r="A87" t="s">
        <v>399</v>
      </c>
      <c r="B87" t="s">
        <v>143</v>
      </c>
      <c r="D87" t="s">
        <v>2</v>
      </c>
    </row>
    <row r="88" spans="1:5" x14ac:dyDescent="0.5">
      <c r="A88" t="s">
        <v>399</v>
      </c>
      <c r="B88" t="s">
        <v>144</v>
      </c>
      <c r="D88" t="s">
        <v>1</v>
      </c>
    </row>
    <row r="89" spans="1:5" x14ac:dyDescent="0.5">
      <c r="A89" t="s">
        <v>399</v>
      </c>
      <c r="B89" t="s">
        <v>145</v>
      </c>
      <c r="D89" t="s">
        <v>364</v>
      </c>
    </row>
    <row r="90" spans="1:5" x14ac:dyDescent="0.5">
      <c r="A90" t="s">
        <v>399</v>
      </c>
      <c r="B90" t="s">
        <v>146</v>
      </c>
      <c r="D90" t="s">
        <v>369</v>
      </c>
    </row>
    <row r="91" spans="1:5" x14ac:dyDescent="0.5">
      <c r="A91" t="s">
        <v>399</v>
      </c>
      <c r="B91" t="s">
        <v>147</v>
      </c>
      <c r="D91" t="s">
        <v>43</v>
      </c>
    </row>
    <row r="92" spans="1:5" x14ac:dyDescent="0.5">
      <c r="A92" t="s">
        <v>399</v>
      </c>
      <c r="B92" t="s">
        <v>148</v>
      </c>
      <c r="D92" t="s">
        <v>44</v>
      </c>
    </row>
    <row r="93" spans="1:5" x14ac:dyDescent="0.5">
      <c r="A93" t="s">
        <v>399</v>
      </c>
      <c r="B93" t="s">
        <v>149</v>
      </c>
      <c r="D93" t="s">
        <v>367</v>
      </c>
    </row>
    <row r="94" spans="1:5" x14ac:dyDescent="0.5">
      <c r="A94" t="s">
        <v>399</v>
      </c>
      <c r="B94" t="s">
        <v>150</v>
      </c>
      <c r="D94" t="s">
        <v>368</v>
      </c>
    </row>
    <row r="95" spans="1:5" x14ac:dyDescent="0.5">
      <c r="A95" t="s">
        <v>399</v>
      </c>
      <c r="B95" t="s">
        <v>151</v>
      </c>
      <c r="D95" t="s">
        <v>249</v>
      </c>
    </row>
    <row r="96" spans="1:5" x14ac:dyDescent="0.5">
      <c r="A96" t="s">
        <v>399</v>
      </c>
      <c r="B96" t="s">
        <v>152</v>
      </c>
      <c r="D96" t="s">
        <v>250</v>
      </c>
      <c r="E96" t="s">
        <v>50</v>
      </c>
    </row>
    <row r="97" spans="1:5" x14ac:dyDescent="0.5">
      <c r="A97" t="s">
        <v>399</v>
      </c>
      <c r="B97" t="s">
        <v>153</v>
      </c>
      <c r="D97" t="s">
        <v>251</v>
      </c>
      <c r="E97" t="s">
        <v>49</v>
      </c>
    </row>
    <row r="98" spans="1:5" x14ac:dyDescent="0.5">
      <c r="A98" t="s">
        <v>399</v>
      </c>
      <c r="B98" t="s">
        <v>154</v>
      </c>
      <c r="D98" t="s">
        <v>365</v>
      </c>
    </row>
    <row r="99" spans="1:5" x14ac:dyDescent="0.5">
      <c r="A99" t="s">
        <v>399</v>
      </c>
      <c r="B99" t="s">
        <v>155</v>
      </c>
      <c r="D99" t="s">
        <v>13</v>
      </c>
    </row>
    <row r="100" spans="1:5" x14ac:dyDescent="0.5">
      <c r="A100" t="s">
        <v>399</v>
      </c>
      <c r="B100" t="s">
        <v>156</v>
      </c>
      <c r="D100" t="s">
        <v>14</v>
      </c>
    </row>
    <row r="101" spans="1:5" x14ac:dyDescent="0.5">
      <c r="A101" t="s">
        <v>399</v>
      </c>
      <c r="B101" t="s">
        <v>157</v>
      </c>
      <c r="D101" t="s">
        <v>15</v>
      </c>
    </row>
    <row r="102" spans="1:5" x14ac:dyDescent="0.5">
      <c r="A102" t="s">
        <v>399</v>
      </c>
      <c r="B102" t="s">
        <v>158</v>
      </c>
      <c r="D102" t="s">
        <v>16</v>
      </c>
    </row>
    <row r="103" spans="1:5" x14ac:dyDescent="0.5">
      <c r="A103" t="s">
        <v>399</v>
      </c>
      <c r="B103" t="s">
        <v>159</v>
      </c>
      <c r="D103">
        <v>11111</v>
      </c>
    </row>
    <row r="104" spans="1:5" x14ac:dyDescent="0.5">
      <c r="A104" t="s">
        <v>399</v>
      </c>
      <c r="B104" t="s">
        <v>160</v>
      </c>
      <c r="D104">
        <v>111111</v>
      </c>
    </row>
    <row r="105" spans="1:5" x14ac:dyDescent="0.5">
      <c r="A105" t="s">
        <v>399</v>
      </c>
      <c r="B105" t="s">
        <v>161</v>
      </c>
      <c r="D105">
        <v>111111</v>
      </c>
    </row>
    <row r="106" spans="1:5" x14ac:dyDescent="0.5">
      <c r="A106" t="s">
        <v>400</v>
      </c>
      <c r="B106" t="s">
        <v>72</v>
      </c>
      <c r="D106" t="s">
        <v>370</v>
      </c>
    </row>
    <row r="107" spans="1:5" x14ac:dyDescent="0.5">
      <c r="A107" t="s">
        <v>400</v>
      </c>
      <c r="B107" t="s">
        <v>73</v>
      </c>
      <c r="D107">
        <v>1</v>
      </c>
    </row>
    <row r="108" spans="1:5" x14ac:dyDescent="0.5">
      <c r="A108" t="s">
        <v>400</v>
      </c>
      <c r="B108" t="s">
        <v>74</v>
      </c>
      <c r="C108" s="86" t="s">
        <v>518</v>
      </c>
    </row>
    <row r="109" spans="1:5" x14ac:dyDescent="0.5">
      <c r="A109" t="s">
        <v>400</v>
      </c>
      <c r="B109" t="s">
        <v>75</v>
      </c>
      <c r="D109" t="s">
        <v>370</v>
      </c>
    </row>
    <row r="110" spans="1:5" x14ac:dyDescent="0.5">
      <c r="A110" t="s">
        <v>400</v>
      </c>
      <c r="B110" t="s">
        <v>76</v>
      </c>
      <c r="C110" s="86" t="s">
        <v>519</v>
      </c>
    </row>
    <row r="111" spans="1:5" x14ac:dyDescent="0.5">
      <c r="A111" t="s">
        <v>400</v>
      </c>
      <c r="B111" t="s">
        <v>77</v>
      </c>
      <c r="C111" s="86" t="s">
        <v>520</v>
      </c>
    </row>
    <row r="112" spans="1:5" x14ac:dyDescent="0.5">
      <c r="A112" t="s">
        <v>400</v>
      </c>
      <c r="B112" t="s">
        <v>78</v>
      </c>
      <c r="C112" s="86" t="s">
        <v>521</v>
      </c>
    </row>
    <row r="113" spans="1:4" x14ac:dyDescent="0.5">
      <c r="A113" t="s">
        <v>400</v>
      </c>
      <c r="B113" t="s">
        <v>79</v>
      </c>
      <c r="C113" s="86" t="s">
        <v>522</v>
      </c>
    </row>
    <row r="114" spans="1:4" x14ac:dyDescent="0.5">
      <c r="A114" t="s">
        <v>400</v>
      </c>
      <c r="B114" t="s">
        <v>80</v>
      </c>
      <c r="C114" s="86" t="s">
        <v>523</v>
      </c>
    </row>
    <row r="115" spans="1:4" x14ac:dyDescent="0.5">
      <c r="A115" t="s">
        <v>400</v>
      </c>
      <c r="B115" t="s">
        <v>81</v>
      </c>
      <c r="C115" s="86" t="s">
        <v>524</v>
      </c>
    </row>
    <row r="116" spans="1:4" x14ac:dyDescent="0.5">
      <c r="A116" t="s">
        <v>400</v>
      </c>
      <c r="B116" t="s">
        <v>82</v>
      </c>
      <c r="C116" s="86" t="s">
        <v>525</v>
      </c>
    </row>
    <row r="117" spans="1:4" x14ac:dyDescent="0.5">
      <c r="A117" t="s">
        <v>400</v>
      </c>
      <c r="B117" t="s">
        <v>83</v>
      </c>
      <c r="C117" s="86" t="s">
        <v>526</v>
      </c>
    </row>
    <row r="118" spans="1:4" x14ac:dyDescent="0.5">
      <c r="A118" t="s">
        <v>400</v>
      </c>
      <c r="B118" t="s">
        <v>84</v>
      </c>
      <c r="C118" s="86" t="s">
        <v>527</v>
      </c>
    </row>
    <row r="119" spans="1:4" x14ac:dyDescent="0.5">
      <c r="A119" t="s">
        <v>400</v>
      </c>
      <c r="B119" t="s">
        <v>85</v>
      </c>
      <c r="C119" s="86" t="s">
        <v>528</v>
      </c>
    </row>
    <row r="120" spans="1:4" x14ac:dyDescent="0.5">
      <c r="A120" t="s">
        <v>400</v>
      </c>
      <c r="B120" t="s">
        <v>86</v>
      </c>
      <c r="C120" s="86" t="s">
        <v>529</v>
      </c>
    </row>
    <row r="121" spans="1:4" x14ac:dyDescent="0.5">
      <c r="A121" t="s">
        <v>400</v>
      </c>
      <c r="B121" t="s">
        <v>87</v>
      </c>
      <c r="C121" s="86" t="s">
        <v>530</v>
      </c>
    </row>
    <row r="122" spans="1:4" x14ac:dyDescent="0.5">
      <c r="A122" t="s">
        <v>400</v>
      </c>
      <c r="B122" t="s">
        <v>88</v>
      </c>
      <c r="C122" s="86" t="s">
        <v>531</v>
      </c>
    </row>
    <row r="123" spans="1:4" x14ac:dyDescent="0.5">
      <c r="A123" t="s">
        <v>400</v>
      </c>
      <c r="B123" t="s">
        <v>105</v>
      </c>
      <c r="D123" t="s">
        <v>5</v>
      </c>
    </row>
    <row r="124" spans="1:4" x14ac:dyDescent="0.5">
      <c r="A124" t="s">
        <v>400</v>
      </c>
      <c r="B124" t="s">
        <v>106</v>
      </c>
      <c r="D124">
        <v>2</v>
      </c>
    </row>
    <row r="125" spans="1:4" x14ac:dyDescent="0.5">
      <c r="A125" t="s">
        <v>400</v>
      </c>
      <c r="B125" t="s">
        <v>89</v>
      </c>
      <c r="C125" s="86" t="s">
        <v>532</v>
      </c>
    </row>
    <row r="126" spans="1:4" x14ac:dyDescent="0.5">
      <c r="A126" t="s">
        <v>400</v>
      </c>
      <c r="B126" t="s">
        <v>90</v>
      </c>
      <c r="D126" t="s">
        <v>371</v>
      </c>
    </row>
    <row r="127" spans="1:4" x14ac:dyDescent="0.5">
      <c r="A127" t="s">
        <v>400</v>
      </c>
      <c r="B127" t="s">
        <v>91</v>
      </c>
      <c r="D127">
        <v>20</v>
      </c>
    </row>
    <row r="128" spans="1:4" x14ac:dyDescent="0.5">
      <c r="A128" t="s">
        <v>400</v>
      </c>
      <c r="B128" t="s">
        <v>92</v>
      </c>
      <c r="D128">
        <v>20</v>
      </c>
    </row>
    <row r="129" spans="1:4" x14ac:dyDescent="0.5">
      <c r="A129" t="s">
        <v>400</v>
      </c>
      <c r="B129" t="s">
        <v>93</v>
      </c>
      <c r="D129">
        <v>30</v>
      </c>
    </row>
    <row r="130" spans="1:4" x14ac:dyDescent="0.5">
      <c r="A130" t="s">
        <v>400</v>
      </c>
      <c r="B130" t="s">
        <v>94</v>
      </c>
      <c r="D130">
        <v>40</v>
      </c>
    </row>
    <row r="131" spans="1:4" x14ac:dyDescent="0.5">
      <c r="A131" t="s">
        <v>400</v>
      </c>
      <c r="B131" t="s">
        <v>95</v>
      </c>
      <c r="D131">
        <v>50</v>
      </c>
    </row>
    <row r="132" spans="1:4" x14ac:dyDescent="0.5">
      <c r="A132" t="s">
        <v>400</v>
      </c>
      <c r="B132" t="s">
        <v>96</v>
      </c>
      <c r="D132">
        <v>50</v>
      </c>
    </row>
    <row r="133" spans="1:4" x14ac:dyDescent="0.5">
      <c r="A133" t="s">
        <v>400</v>
      </c>
      <c r="B133" t="s">
        <v>97</v>
      </c>
      <c r="D133">
        <v>60</v>
      </c>
    </row>
    <row r="134" spans="1:4" x14ac:dyDescent="0.5">
      <c r="A134" t="s">
        <v>400</v>
      </c>
      <c r="B134" t="s">
        <v>162</v>
      </c>
      <c r="D134">
        <v>60</v>
      </c>
    </row>
    <row r="135" spans="1:4" x14ac:dyDescent="0.5">
      <c r="A135" t="s">
        <v>400</v>
      </c>
      <c r="B135" t="s">
        <v>98</v>
      </c>
      <c r="D135">
        <v>70</v>
      </c>
    </row>
    <row r="136" spans="1:4" x14ac:dyDescent="0.5">
      <c r="A136" t="s">
        <v>400</v>
      </c>
      <c r="B136" t="s">
        <v>99</v>
      </c>
      <c r="D136">
        <v>70</v>
      </c>
    </row>
    <row r="137" spans="1:4" x14ac:dyDescent="0.5">
      <c r="A137" t="s">
        <v>400</v>
      </c>
      <c r="B137" t="s">
        <v>100</v>
      </c>
      <c r="D137">
        <v>80</v>
      </c>
    </row>
    <row r="138" spans="1:4" x14ac:dyDescent="0.5">
      <c r="A138" t="s">
        <v>400</v>
      </c>
      <c r="B138" t="s">
        <v>107</v>
      </c>
      <c r="D138">
        <v>90</v>
      </c>
    </row>
    <row r="139" spans="1:4" x14ac:dyDescent="0.5">
      <c r="A139" t="s">
        <v>400</v>
      </c>
      <c r="B139" t="s">
        <v>101</v>
      </c>
      <c r="D139">
        <v>100</v>
      </c>
    </row>
    <row r="140" spans="1:4" x14ac:dyDescent="0.5">
      <c r="A140" t="s">
        <v>400</v>
      </c>
      <c r="B140" t="s">
        <v>163</v>
      </c>
      <c r="D140" t="s">
        <v>6</v>
      </c>
    </row>
    <row r="141" spans="1:4" x14ac:dyDescent="0.5">
      <c r="A141" t="s">
        <v>400</v>
      </c>
      <c r="B141" t="s">
        <v>135</v>
      </c>
      <c r="D141">
        <v>3</v>
      </c>
    </row>
    <row r="142" spans="1:4" x14ac:dyDescent="0.5">
      <c r="A142" t="s">
        <v>400</v>
      </c>
      <c r="B142" t="s">
        <v>136</v>
      </c>
      <c r="C142" s="86" t="s">
        <v>533</v>
      </c>
    </row>
    <row r="143" spans="1:4" x14ac:dyDescent="0.5">
      <c r="A143" t="s">
        <v>400</v>
      </c>
      <c r="B143" t="s">
        <v>137</v>
      </c>
      <c r="D143" t="s">
        <v>372</v>
      </c>
    </row>
    <row r="144" spans="1:4" x14ac:dyDescent="0.5">
      <c r="A144" t="s">
        <v>400</v>
      </c>
      <c r="B144" t="s">
        <v>138</v>
      </c>
      <c r="D144">
        <v>5</v>
      </c>
    </row>
    <row r="145" spans="1:4" x14ac:dyDescent="0.5">
      <c r="A145" t="s">
        <v>400</v>
      </c>
      <c r="B145" t="s">
        <v>139</v>
      </c>
      <c r="D145">
        <v>15</v>
      </c>
    </row>
    <row r="146" spans="1:4" x14ac:dyDescent="0.5">
      <c r="A146" t="s">
        <v>400</v>
      </c>
      <c r="B146" t="s">
        <v>164</v>
      </c>
      <c r="D146">
        <v>20</v>
      </c>
    </row>
    <row r="147" spans="1:4" x14ac:dyDescent="0.5">
      <c r="A147" t="s">
        <v>400</v>
      </c>
      <c r="B147" t="s">
        <v>108</v>
      </c>
      <c r="D147">
        <v>5</v>
      </c>
    </row>
    <row r="148" spans="1:4" x14ac:dyDescent="0.5">
      <c r="A148" t="s">
        <v>400</v>
      </c>
      <c r="B148" t="s">
        <v>109</v>
      </c>
      <c r="D148">
        <v>10</v>
      </c>
    </row>
    <row r="149" spans="1:4" x14ac:dyDescent="0.5">
      <c r="A149" t="s">
        <v>400</v>
      </c>
      <c r="B149" t="s">
        <v>110</v>
      </c>
      <c r="D149">
        <v>30</v>
      </c>
    </row>
    <row r="150" spans="1:4" x14ac:dyDescent="0.5">
      <c r="A150" t="s">
        <v>400</v>
      </c>
      <c r="B150" t="s">
        <v>165</v>
      </c>
      <c r="D150">
        <v>5</v>
      </c>
    </row>
    <row r="151" spans="1:4" x14ac:dyDescent="0.5">
      <c r="A151" t="s">
        <v>400</v>
      </c>
      <c r="B151" t="s">
        <v>166</v>
      </c>
      <c r="D151">
        <v>45</v>
      </c>
    </row>
    <row r="152" spans="1:4" x14ac:dyDescent="0.5">
      <c r="A152" t="s">
        <v>400</v>
      </c>
      <c r="B152" t="s">
        <v>167</v>
      </c>
      <c r="D152">
        <v>5</v>
      </c>
    </row>
    <row r="153" spans="1:4" x14ac:dyDescent="0.5">
      <c r="A153" t="s">
        <v>400</v>
      </c>
      <c r="B153" t="s">
        <v>168</v>
      </c>
      <c r="D153">
        <v>50</v>
      </c>
    </row>
    <row r="154" spans="1:4" x14ac:dyDescent="0.5">
      <c r="A154" t="s">
        <v>400</v>
      </c>
      <c r="B154" t="s">
        <v>169</v>
      </c>
      <c r="D154">
        <v>50</v>
      </c>
    </row>
    <row r="155" spans="1:4" x14ac:dyDescent="0.5">
      <c r="A155" t="s">
        <v>400</v>
      </c>
      <c r="B155" t="s">
        <v>170</v>
      </c>
      <c r="D155">
        <v>10</v>
      </c>
    </row>
    <row r="156" spans="1:4" x14ac:dyDescent="0.5">
      <c r="A156" t="s">
        <v>400</v>
      </c>
      <c r="B156" t="s">
        <v>171</v>
      </c>
      <c r="D156">
        <v>70</v>
      </c>
    </row>
    <row r="157" spans="1:4" x14ac:dyDescent="0.5">
      <c r="A157" t="s">
        <v>400</v>
      </c>
      <c r="B157" t="s">
        <v>172</v>
      </c>
      <c r="D157" t="s">
        <v>7</v>
      </c>
    </row>
    <row r="158" spans="1:4" x14ac:dyDescent="0.5">
      <c r="A158" t="s">
        <v>400</v>
      </c>
      <c r="B158" t="s">
        <v>140</v>
      </c>
      <c r="D158">
        <v>4</v>
      </c>
    </row>
    <row r="159" spans="1:4" x14ac:dyDescent="0.5">
      <c r="A159" t="s">
        <v>400</v>
      </c>
      <c r="B159" t="s">
        <v>141</v>
      </c>
      <c r="C159" s="86" t="s">
        <v>534</v>
      </c>
    </row>
    <row r="160" spans="1:4" x14ac:dyDescent="0.5">
      <c r="A160" t="s">
        <v>400</v>
      </c>
      <c r="B160" t="s">
        <v>142</v>
      </c>
      <c r="D160" t="s">
        <v>373</v>
      </c>
    </row>
    <row r="161" spans="1:5" x14ac:dyDescent="0.5">
      <c r="A161" t="s">
        <v>400</v>
      </c>
      <c r="B161" t="s">
        <v>143</v>
      </c>
      <c r="D161">
        <v>5</v>
      </c>
    </row>
    <row r="162" spans="1:5" x14ac:dyDescent="0.5">
      <c r="A162" t="s">
        <v>400</v>
      </c>
      <c r="B162" t="s">
        <v>144</v>
      </c>
      <c r="D162">
        <v>10</v>
      </c>
    </row>
    <row r="163" spans="1:5" x14ac:dyDescent="0.5">
      <c r="A163" t="s">
        <v>400</v>
      </c>
      <c r="B163" t="s">
        <v>173</v>
      </c>
      <c r="D163">
        <v>10</v>
      </c>
    </row>
    <row r="164" spans="1:5" x14ac:dyDescent="0.5">
      <c r="A164" t="s">
        <v>400</v>
      </c>
      <c r="B164" t="s">
        <v>174</v>
      </c>
      <c r="D164">
        <v>5</v>
      </c>
    </row>
    <row r="165" spans="1:5" x14ac:dyDescent="0.5">
      <c r="A165" t="s">
        <v>400</v>
      </c>
      <c r="B165" t="s">
        <v>175</v>
      </c>
      <c r="D165">
        <v>10</v>
      </c>
    </row>
    <row r="166" spans="1:5" x14ac:dyDescent="0.5">
      <c r="A166" t="s">
        <v>400</v>
      </c>
      <c r="B166" t="s">
        <v>176</v>
      </c>
      <c r="D166">
        <v>20</v>
      </c>
    </row>
    <row r="167" spans="1:5" x14ac:dyDescent="0.5">
      <c r="A167" t="s">
        <v>400</v>
      </c>
      <c r="B167" t="s">
        <v>177</v>
      </c>
      <c r="D167">
        <v>5</v>
      </c>
    </row>
    <row r="168" spans="1:5" x14ac:dyDescent="0.5">
      <c r="A168" t="s">
        <v>400</v>
      </c>
      <c r="B168" t="s">
        <v>178</v>
      </c>
      <c r="D168">
        <v>25</v>
      </c>
    </row>
    <row r="169" spans="1:5" x14ac:dyDescent="0.5">
      <c r="A169" t="s">
        <v>400</v>
      </c>
      <c r="B169" t="s">
        <v>179</v>
      </c>
      <c r="D169">
        <v>5</v>
      </c>
    </row>
    <row r="170" spans="1:5" x14ac:dyDescent="0.5">
      <c r="A170" t="s">
        <v>400</v>
      </c>
      <c r="B170" t="s">
        <v>180</v>
      </c>
      <c r="D170">
        <v>35</v>
      </c>
    </row>
    <row r="171" spans="1:5" x14ac:dyDescent="0.5">
      <c r="A171" t="s">
        <v>400</v>
      </c>
      <c r="B171" t="s">
        <v>181</v>
      </c>
      <c r="D171">
        <v>5</v>
      </c>
    </row>
    <row r="172" spans="1:5" x14ac:dyDescent="0.5">
      <c r="A172" t="s">
        <v>400</v>
      </c>
      <c r="B172" t="s">
        <v>182</v>
      </c>
      <c r="D172">
        <v>10</v>
      </c>
    </row>
    <row r="173" spans="1:5" x14ac:dyDescent="0.5">
      <c r="A173" t="s">
        <v>400</v>
      </c>
      <c r="B173" t="s">
        <v>183</v>
      </c>
      <c r="D173">
        <v>15</v>
      </c>
    </row>
    <row r="174" spans="1:5" x14ac:dyDescent="0.5">
      <c r="A174" t="s">
        <v>400</v>
      </c>
      <c r="B174" t="s">
        <v>145</v>
      </c>
      <c r="D174" t="s">
        <v>19</v>
      </c>
    </row>
    <row r="175" spans="1:5" x14ac:dyDescent="0.5">
      <c r="A175" t="s">
        <v>400</v>
      </c>
      <c r="B175" t="s">
        <v>184</v>
      </c>
      <c r="D175">
        <v>5</v>
      </c>
    </row>
    <row r="176" spans="1:5" x14ac:dyDescent="0.5">
      <c r="A176" t="s">
        <v>400</v>
      </c>
      <c r="B176" t="s">
        <v>185</v>
      </c>
      <c r="C176" s="86" t="s">
        <v>329</v>
      </c>
      <c r="E176" t="s">
        <v>55</v>
      </c>
    </row>
    <row r="177" spans="1:4" x14ac:dyDescent="0.5">
      <c r="A177" t="s">
        <v>400</v>
      </c>
      <c r="B177" t="s">
        <v>186</v>
      </c>
      <c r="D177" t="s">
        <v>299</v>
      </c>
    </row>
    <row r="178" spans="1:4" x14ac:dyDescent="0.5">
      <c r="A178" t="s">
        <v>400</v>
      </c>
      <c r="B178" t="s">
        <v>187</v>
      </c>
      <c r="D178">
        <v>50</v>
      </c>
    </row>
    <row r="179" spans="1:4" x14ac:dyDescent="0.5">
      <c r="A179" t="s">
        <v>400</v>
      </c>
      <c r="B179" t="s">
        <v>188</v>
      </c>
      <c r="D179">
        <v>70</v>
      </c>
    </row>
    <row r="180" spans="1:4" x14ac:dyDescent="0.5">
      <c r="A180" t="s">
        <v>400</v>
      </c>
      <c r="B180" t="s">
        <v>189</v>
      </c>
      <c r="D180">
        <v>100</v>
      </c>
    </row>
    <row r="181" spans="1:4" x14ac:dyDescent="0.5">
      <c r="A181" t="s">
        <v>400</v>
      </c>
      <c r="B181" t="s">
        <v>190</v>
      </c>
      <c r="D181">
        <v>90</v>
      </c>
    </row>
    <row r="182" spans="1:4" x14ac:dyDescent="0.5">
      <c r="A182" t="s">
        <v>400</v>
      </c>
      <c r="B182" t="s">
        <v>191</v>
      </c>
      <c r="D182">
        <v>120</v>
      </c>
    </row>
    <row r="183" spans="1:4" x14ac:dyDescent="0.5">
      <c r="A183" t="s">
        <v>400</v>
      </c>
      <c r="B183" t="s">
        <v>192</v>
      </c>
      <c r="D183">
        <v>160</v>
      </c>
    </row>
    <row r="184" spans="1:4" x14ac:dyDescent="0.5">
      <c r="A184" t="s">
        <v>400</v>
      </c>
      <c r="B184" t="s">
        <v>193</v>
      </c>
      <c r="D184">
        <v>130</v>
      </c>
    </row>
    <row r="185" spans="1:4" x14ac:dyDescent="0.5">
      <c r="A185" t="s">
        <v>400</v>
      </c>
      <c r="B185" t="s">
        <v>194</v>
      </c>
      <c r="D185">
        <v>210</v>
      </c>
    </row>
    <row r="186" spans="1:4" x14ac:dyDescent="0.5">
      <c r="A186" t="s">
        <v>400</v>
      </c>
      <c r="B186" t="s">
        <v>195</v>
      </c>
      <c r="D186">
        <v>150</v>
      </c>
    </row>
    <row r="187" spans="1:4" x14ac:dyDescent="0.5">
      <c r="A187" t="s">
        <v>400</v>
      </c>
      <c r="B187" t="s">
        <v>196</v>
      </c>
      <c r="D187">
        <v>240</v>
      </c>
    </row>
    <row r="188" spans="1:4" x14ac:dyDescent="0.5">
      <c r="A188" t="s">
        <v>400</v>
      </c>
      <c r="B188" t="s">
        <v>197</v>
      </c>
      <c r="D188">
        <v>260</v>
      </c>
    </row>
    <row r="189" spans="1:4" x14ac:dyDescent="0.5">
      <c r="A189" t="s">
        <v>400</v>
      </c>
      <c r="B189" t="s">
        <v>198</v>
      </c>
      <c r="D189">
        <v>200</v>
      </c>
    </row>
    <row r="190" spans="1:4" x14ac:dyDescent="0.5">
      <c r="A190" t="s">
        <v>400</v>
      </c>
      <c r="B190" t="s">
        <v>199</v>
      </c>
      <c r="D190">
        <v>340</v>
      </c>
    </row>
    <row r="191" spans="1:4" x14ac:dyDescent="0.5">
      <c r="A191" t="s">
        <v>400</v>
      </c>
      <c r="B191" t="s">
        <v>200</v>
      </c>
      <c r="D191" t="s">
        <v>20</v>
      </c>
    </row>
    <row r="192" spans="1:4" x14ac:dyDescent="0.5">
      <c r="A192" t="s">
        <v>400</v>
      </c>
      <c r="B192" t="s">
        <v>146</v>
      </c>
      <c r="D192">
        <v>6</v>
      </c>
    </row>
    <row r="193" spans="1:4" x14ac:dyDescent="0.5">
      <c r="A193" t="s">
        <v>400</v>
      </c>
      <c r="B193" t="s">
        <v>147</v>
      </c>
      <c r="C193" s="86" t="s">
        <v>234</v>
      </c>
    </row>
    <row r="194" spans="1:4" x14ac:dyDescent="0.5">
      <c r="A194" t="s">
        <v>400</v>
      </c>
      <c r="B194" t="s">
        <v>148</v>
      </c>
      <c r="D194" t="s">
        <v>51</v>
      </c>
    </row>
    <row r="195" spans="1:4" x14ac:dyDescent="0.5">
      <c r="A195" t="s">
        <v>400</v>
      </c>
      <c r="B195" t="s">
        <v>201</v>
      </c>
      <c r="D195">
        <v>100</v>
      </c>
    </row>
    <row r="196" spans="1:4" x14ac:dyDescent="0.5">
      <c r="A196" t="s">
        <v>400</v>
      </c>
      <c r="B196" t="s">
        <v>202</v>
      </c>
      <c r="D196">
        <v>300</v>
      </c>
    </row>
    <row r="197" spans="1:4" x14ac:dyDescent="0.5">
      <c r="A197" t="s">
        <v>400</v>
      </c>
      <c r="B197" t="s">
        <v>203</v>
      </c>
      <c r="D197">
        <v>600</v>
      </c>
    </row>
    <row r="198" spans="1:4" x14ac:dyDescent="0.5">
      <c r="A198" t="s">
        <v>400</v>
      </c>
      <c r="B198" t="s">
        <v>204</v>
      </c>
      <c r="D198">
        <v>200</v>
      </c>
    </row>
    <row r="199" spans="1:4" x14ac:dyDescent="0.5">
      <c r="A199" t="s">
        <v>400</v>
      </c>
      <c r="B199" t="s">
        <v>205</v>
      </c>
      <c r="D199">
        <v>500</v>
      </c>
    </row>
    <row r="200" spans="1:4" x14ac:dyDescent="0.5">
      <c r="A200" t="s">
        <v>400</v>
      </c>
      <c r="B200" t="s">
        <v>206</v>
      </c>
      <c r="D200">
        <v>1500</v>
      </c>
    </row>
    <row r="201" spans="1:4" x14ac:dyDescent="0.5">
      <c r="A201" t="s">
        <v>400</v>
      </c>
      <c r="B201" t="s">
        <v>207</v>
      </c>
      <c r="D201">
        <v>300</v>
      </c>
    </row>
    <row r="202" spans="1:4" x14ac:dyDescent="0.5">
      <c r="A202" t="s">
        <v>400</v>
      </c>
      <c r="B202" t="s">
        <v>208</v>
      </c>
      <c r="D202">
        <v>2700</v>
      </c>
    </row>
    <row r="203" spans="1:4" x14ac:dyDescent="0.5">
      <c r="A203" t="s">
        <v>400</v>
      </c>
      <c r="B203" t="s">
        <v>209</v>
      </c>
      <c r="D203">
        <v>350</v>
      </c>
    </row>
    <row r="204" spans="1:4" x14ac:dyDescent="0.5">
      <c r="A204" t="s">
        <v>400</v>
      </c>
      <c r="B204" t="s">
        <v>149</v>
      </c>
      <c r="D204">
        <v>3500</v>
      </c>
    </row>
    <row r="205" spans="1:4" x14ac:dyDescent="0.5">
      <c r="A205" t="s">
        <v>400</v>
      </c>
      <c r="B205" t="s">
        <v>150</v>
      </c>
      <c r="D205">
        <v>4000</v>
      </c>
    </row>
    <row r="206" spans="1:4" x14ac:dyDescent="0.5">
      <c r="A206" t="s">
        <v>400</v>
      </c>
      <c r="B206" t="s">
        <v>210</v>
      </c>
      <c r="D206">
        <v>900</v>
      </c>
    </row>
    <row r="207" spans="1:4" x14ac:dyDescent="0.5">
      <c r="A207" t="s">
        <v>400</v>
      </c>
      <c r="B207" t="s">
        <v>211</v>
      </c>
      <c r="D207">
        <v>7000</v>
      </c>
    </row>
    <row r="208" spans="1:4" x14ac:dyDescent="0.5">
      <c r="A208" t="s">
        <v>400</v>
      </c>
      <c r="B208" t="s">
        <v>212</v>
      </c>
      <c r="D208" t="s">
        <v>21</v>
      </c>
    </row>
    <row r="209" spans="1:4" x14ac:dyDescent="0.5">
      <c r="A209" t="s">
        <v>400</v>
      </c>
      <c r="B209" t="s">
        <v>151</v>
      </c>
      <c r="D209">
        <v>7</v>
      </c>
    </row>
    <row r="210" spans="1:4" x14ac:dyDescent="0.5">
      <c r="A210" t="s">
        <v>400</v>
      </c>
      <c r="B210" t="s">
        <v>152</v>
      </c>
      <c r="C210" s="86" t="s">
        <v>235</v>
      </c>
    </row>
    <row r="211" spans="1:4" x14ac:dyDescent="0.5">
      <c r="A211" t="s">
        <v>400</v>
      </c>
      <c r="B211" t="s">
        <v>153</v>
      </c>
      <c r="D211" t="s">
        <v>374</v>
      </c>
    </row>
    <row r="212" spans="1:4" x14ac:dyDescent="0.5">
      <c r="A212" t="s">
        <v>400</v>
      </c>
      <c r="B212" t="s">
        <v>213</v>
      </c>
      <c r="D212">
        <v>500</v>
      </c>
    </row>
    <row r="213" spans="1:4" x14ac:dyDescent="0.5">
      <c r="A213" t="s">
        <v>400</v>
      </c>
      <c r="B213" t="s">
        <v>214</v>
      </c>
      <c r="D213">
        <v>3000</v>
      </c>
    </row>
    <row r="214" spans="1:4" x14ac:dyDescent="0.5">
      <c r="A214" t="s">
        <v>400</v>
      </c>
      <c r="B214" t="s">
        <v>215</v>
      </c>
      <c r="D214">
        <v>6000</v>
      </c>
    </row>
    <row r="215" spans="1:4" x14ac:dyDescent="0.5">
      <c r="A215" t="s">
        <v>400</v>
      </c>
      <c r="B215" t="s">
        <v>216</v>
      </c>
      <c r="D215">
        <v>1000</v>
      </c>
    </row>
    <row r="216" spans="1:4" x14ac:dyDescent="0.5">
      <c r="A216" t="s">
        <v>400</v>
      </c>
      <c r="B216" t="s">
        <v>217</v>
      </c>
      <c r="D216">
        <v>5000</v>
      </c>
    </row>
    <row r="217" spans="1:4" x14ac:dyDescent="0.5">
      <c r="A217" t="s">
        <v>400</v>
      </c>
      <c r="B217" t="s">
        <v>218</v>
      </c>
      <c r="D217">
        <v>30000</v>
      </c>
    </row>
    <row r="218" spans="1:4" x14ac:dyDescent="0.5">
      <c r="A218" t="s">
        <v>400</v>
      </c>
      <c r="B218" t="s">
        <v>219</v>
      </c>
      <c r="D218">
        <v>1500</v>
      </c>
    </row>
    <row r="219" spans="1:4" x14ac:dyDescent="0.5">
      <c r="A219" t="s">
        <v>400</v>
      </c>
      <c r="B219" t="s">
        <v>220</v>
      </c>
      <c r="D219">
        <v>67500</v>
      </c>
    </row>
    <row r="220" spans="1:4" x14ac:dyDescent="0.5">
      <c r="A220" t="s">
        <v>400</v>
      </c>
      <c r="B220" t="s">
        <v>221</v>
      </c>
      <c r="D220">
        <v>1750</v>
      </c>
    </row>
    <row r="221" spans="1:4" x14ac:dyDescent="0.5">
      <c r="A221" t="s">
        <v>400</v>
      </c>
      <c r="B221" t="s">
        <v>222</v>
      </c>
      <c r="D221">
        <v>122500</v>
      </c>
    </row>
    <row r="222" spans="1:4" x14ac:dyDescent="0.5">
      <c r="A222" t="s">
        <v>400</v>
      </c>
      <c r="B222" t="s">
        <v>223</v>
      </c>
      <c r="D222">
        <v>20000</v>
      </c>
    </row>
    <row r="223" spans="1:4" x14ac:dyDescent="0.5">
      <c r="A223" t="s">
        <v>400</v>
      </c>
      <c r="B223" t="s">
        <v>224</v>
      </c>
      <c r="D223">
        <v>9000</v>
      </c>
    </row>
    <row r="224" spans="1:4" x14ac:dyDescent="0.5">
      <c r="A224" t="s">
        <v>400</v>
      </c>
      <c r="B224" t="s">
        <v>225</v>
      </c>
      <c r="D224">
        <v>105000</v>
      </c>
    </row>
    <row r="225" spans="1:5" x14ac:dyDescent="0.5">
      <c r="A225" t="s">
        <v>400</v>
      </c>
      <c r="B225" t="s">
        <v>226</v>
      </c>
      <c r="D225" t="s">
        <v>48</v>
      </c>
    </row>
    <row r="226" spans="1:5" x14ac:dyDescent="0.5">
      <c r="A226" t="s">
        <v>400</v>
      </c>
      <c r="B226" t="s">
        <v>227</v>
      </c>
      <c r="D226">
        <v>8</v>
      </c>
    </row>
    <row r="227" spans="1:5" x14ac:dyDescent="0.5">
      <c r="A227" t="s">
        <v>400</v>
      </c>
      <c r="B227" t="s">
        <v>228</v>
      </c>
      <c r="D227" t="s">
        <v>375</v>
      </c>
    </row>
    <row r="228" spans="1:5" x14ac:dyDescent="0.5">
      <c r="A228" t="s">
        <v>400</v>
      </c>
      <c r="B228" t="s">
        <v>154</v>
      </c>
      <c r="D228" t="s">
        <v>22</v>
      </c>
      <c r="E228" t="s">
        <v>335</v>
      </c>
    </row>
    <row r="229" spans="1:5" x14ac:dyDescent="0.5">
      <c r="A229" t="s">
        <v>400</v>
      </c>
      <c r="B229" t="s">
        <v>155</v>
      </c>
      <c r="D229" t="s">
        <v>434</v>
      </c>
      <c r="E229" t="s">
        <v>458</v>
      </c>
    </row>
    <row r="230" spans="1:5" x14ac:dyDescent="0.5">
      <c r="A230" t="s">
        <v>400</v>
      </c>
      <c r="B230" t="s">
        <v>156</v>
      </c>
      <c r="C230" s="86" t="s">
        <v>535</v>
      </c>
      <c r="E230" t="s">
        <v>459</v>
      </c>
    </row>
    <row r="231" spans="1:5" x14ac:dyDescent="0.5">
      <c r="A231" t="s">
        <v>400</v>
      </c>
      <c r="B231" t="s">
        <v>157</v>
      </c>
      <c r="D231" t="s">
        <v>437</v>
      </c>
    </row>
    <row r="232" spans="1:5" x14ac:dyDescent="0.5">
      <c r="A232" t="s">
        <v>400</v>
      </c>
      <c r="B232" t="s">
        <v>158</v>
      </c>
      <c r="D232" t="s">
        <v>492</v>
      </c>
    </row>
    <row r="233" spans="1:5" x14ac:dyDescent="0.5">
      <c r="A233" t="s">
        <v>400</v>
      </c>
      <c r="B233" t="s">
        <v>460</v>
      </c>
      <c r="D233" t="s">
        <v>492</v>
      </c>
    </row>
    <row r="234" spans="1:5" x14ac:dyDescent="0.5">
      <c r="A234" t="s">
        <v>400</v>
      </c>
      <c r="B234" t="s">
        <v>229</v>
      </c>
      <c r="D234">
        <v>2.5</v>
      </c>
      <c r="E234" t="s">
        <v>289</v>
      </c>
    </row>
    <row r="235" spans="1:5" x14ac:dyDescent="0.5">
      <c r="A235" t="s">
        <v>400</v>
      </c>
      <c r="B235" t="s">
        <v>159</v>
      </c>
      <c r="D235" t="s">
        <v>251</v>
      </c>
      <c r="E235" t="s">
        <v>461</v>
      </c>
    </row>
    <row r="236" spans="1:5" x14ac:dyDescent="0.5">
      <c r="A236" t="s">
        <v>400</v>
      </c>
      <c r="B236" t="s">
        <v>160</v>
      </c>
      <c r="C236" s="86" t="s">
        <v>462</v>
      </c>
      <c r="E236" t="s">
        <v>463</v>
      </c>
    </row>
    <row r="237" spans="1:5" x14ac:dyDescent="0.5">
      <c r="A237" t="s">
        <v>400</v>
      </c>
      <c r="B237" t="s">
        <v>161</v>
      </c>
      <c r="D237" t="s">
        <v>438</v>
      </c>
    </row>
    <row r="238" spans="1:5" x14ac:dyDescent="0.5">
      <c r="A238" t="s">
        <v>400</v>
      </c>
      <c r="B238" t="s">
        <v>464</v>
      </c>
      <c r="C238" s="86" t="s">
        <v>536</v>
      </c>
    </row>
    <row r="239" spans="1:5" x14ac:dyDescent="0.5">
      <c r="A239" t="s">
        <v>400</v>
      </c>
      <c r="B239" t="s">
        <v>465</v>
      </c>
      <c r="C239" s="86" t="s">
        <v>537</v>
      </c>
    </row>
    <row r="240" spans="1:5" x14ac:dyDescent="0.5">
      <c r="A240" t="s">
        <v>400</v>
      </c>
      <c r="B240" t="s">
        <v>466</v>
      </c>
      <c r="C240" s="86" t="s">
        <v>538</v>
      </c>
    </row>
    <row r="241" spans="1:5" x14ac:dyDescent="0.5">
      <c r="A241" t="s">
        <v>400</v>
      </c>
      <c r="B241" t="s">
        <v>467</v>
      </c>
      <c r="C241" s="86" t="s">
        <v>539</v>
      </c>
    </row>
    <row r="242" spans="1:5" x14ac:dyDescent="0.5">
      <c r="A242" t="s">
        <v>400</v>
      </c>
      <c r="B242" t="s">
        <v>468</v>
      </c>
      <c r="C242" s="86" t="s">
        <v>540</v>
      </c>
    </row>
    <row r="243" spans="1:5" x14ac:dyDescent="0.5">
      <c r="A243" t="s">
        <v>400</v>
      </c>
      <c r="B243" t="s">
        <v>469</v>
      </c>
      <c r="C243" s="86" t="s">
        <v>541</v>
      </c>
    </row>
    <row r="244" spans="1:5" x14ac:dyDescent="0.5">
      <c r="A244" t="s">
        <v>400</v>
      </c>
      <c r="B244" t="s">
        <v>470</v>
      </c>
      <c r="C244" s="86" t="s">
        <v>542</v>
      </c>
    </row>
    <row r="245" spans="1:5" x14ac:dyDescent="0.5">
      <c r="A245" t="s">
        <v>400</v>
      </c>
      <c r="B245" t="s">
        <v>471</v>
      </c>
      <c r="C245" s="86" t="s">
        <v>543</v>
      </c>
    </row>
    <row r="246" spans="1:5" x14ac:dyDescent="0.5">
      <c r="A246" t="s">
        <v>400</v>
      </c>
      <c r="B246" t="s">
        <v>472</v>
      </c>
      <c r="C246" s="86" t="s">
        <v>544</v>
      </c>
    </row>
    <row r="247" spans="1:5" x14ac:dyDescent="0.5">
      <c r="A247" t="s">
        <v>400</v>
      </c>
      <c r="B247" t="s">
        <v>473</v>
      </c>
      <c r="C247" s="86" t="s">
        <v>545</v>
      </c>
    </row>
    <row r="248" spans="1:5" x14ac:dyDescent="0.5">
      <c r="A248" t="s">
        <v>400</v>
      </c>
      <c r="B248" t="s">
        <v>474</v>
      </c>
      <c r="C248" s="86" t="s">
        <v>546</v>
      </c>
    </row>
    <row r="249" spans="1:5" x14ac:dyDescent="0.5">
      <c r="A249" t="s">
        <v>400</v>
      </c>
      <c r="B249" t="s">
        <v>475</v>
      </c>
      <c r="C249" s="86" t="s">
        <v>547</v>
      </c>
    </row>
    <row r="250" spans="1:5" x14ac:dyDescent="0.5">
      <c r="A250" t="s">
        <v>400</v>
      </c>
      <c r="B250" t="s">
        <v>476</v>
      </c>
      <c r="C250" s="86" t="s">
        <v>548</v>
      </c>
    </row>
    <row r="251" spans="1:5" x14ac:dyDescent="0.5">
      <c r="A251" t="s">
        <v>401</v>
      </c>
      <c r="B251" t="s">
        <v>72</v>
      </c>
      <c r="D251" t="s">
        <v>376</v>
      </c>
    </row>
    <row r="252" spans="1:5" x14ac:dyDescent="0.5">
      <c r="A252" t="s">
        <v>401</v>
      </c>
      <c r="B252" t="s">
        <v>73</v>
      </c>
      <c r="C252" s="86" t="s">
        <v>402</v>
      </c>
    </row>
    <row r="253" spans="1:5" x14ac:dyDescent="0.5">
      <c r="A253" t="s">
        <v>401</v>
      </c>
      <c r="B253" t="s">
        <v>74</v>
      </c>
      <c r="C253" s="86" t="s">
        <v>403</v>
      </c>
    </row>
    <row r="254" spans="1:5" x14ac:dyDescent="0.5">
      <c r="A254" t="s">
        <v>401</v>
      </c>
      <c r="B254" t="s">
        <v>105</v>
      </c>
      <c r="D254" t="s">
        <v>377</v>
      </c>
    </row>
    <row r="255" spans="1:5" x14ac:dyDescent="0.5">
      <c r="A255" t="s">
        <v>401</v>
      </c>
      <c r="B255" t="s">
        <v>106</v>
      </c>
      <c r="C255" s="86" t="s">
        <v>334</v>
      </c>
      <c r="E255" t="s">
        <v>332</v>
      </c>
    </row>
    <row r="256" spans="1:5" x14ac:dyDescent="0.5">
      <c r="A256" t="s">
        <v>401</v>
      </c>
      <c r="B256" t="s">
        <v>89</v>
      </c>
      <c r="C256" s="86" t="s">
        <v>305</v>
      </c>
      <c r="E256" t="s">
        <v>303</v>
      </c>
    </row>
    <row r="257" spans="1:5" x14ac:dyDescent="0.5">
      <c r="A257" t="s">
        <v>401</v>
      </c>
      <c r="B257" t="s">
        <v>90</v>
      </c>
      <c r="C257" s="86" t="s">
        <v>311</v>
      </c>
      <c r="E257" t="s">
        <v>309</v>
      </c>
    </row>
    <row r="258" spans="1:5" x14ac:dyDescent="0.5">
      <c r="A258" t="s">
        <v>401</v>
      </c>
      <c r="B258" t="s">
        <v>91</v>
      </c>
      <c r="C258" s="86" t="s">
        <v>317</v>
      </c>
      <c r="E258" t="s">
        <v>315</v>
      </c>
    </row>
    <row r="259" spans="1:5" x14ac:dyDescent="0.5">
      <c r="A259" t="s">
        <v>401</v>
      </c>
      <c r="B259" t="s">
        <v>163</v>
      </c>
      <c r="C259" s="86" t="s">
        <v>549</v>
      </c>
      <c r="E259" t="s">
        <v>383</v>
      </c>
    </row>
    <row r="260" spans="1:5" x14ac:dyDescent="0.5">
      <c r="A260" t="s">
        <v>401</v>
      </c>
      <c r="B260" t="s">
        <v>136</v>
      </c>
      <c r="C260" s="86" t="s">
        <v>389</v>
      </c>
      <c r="E260" t="s">
        <v>319</v>
      </c>
    </row>
    <row r="261" spans="1:5" x14ac:dyDescent="0.5">
      <c r="A261" t="s">
        <v>401</v>
      </c>
      <c r="B261" t="s">
        <v>137</v>
      </c>
      <c r="C261" s="86" t="s">
        <v>390</v>
      </c>
      <c r="E261" t="s">
        <v>321</v>
      </c>
    </row>
    <row r="262" spans="1:5" x14ac:dyDescent="0.5">
      <c r="A262" t="s">
        <v>401</v>
      </c>
      <c r="B262" t="s">
        <v>138</v>
      </c>
      <c r="C262" s="86" t="s">
        <v>391</v>
      </c>
      <c r="E262" t="s">
        <v>323</v>
      </c>
    </row>
    <row r="263" spans="1:5" x14ac:dyDescent="0.5">
      <c r="A263" t="s">
        <v>404</v>
      </c>
      <c r="B263" t="s">
        <v>72</v>
      </c>
      <c r="D263" t="s">
        <v>370</v>
      </c>
    </row>
    <row r="264" spans="1:5" x14ac:dyDescent="0.5">
      <c r="A264" t="s">
        <v>404</v>
      </c>
      <c r="B264" t="s">
        <v>73</v>
      </c>
      <c r="D264" t="s">
        <v>377</v>
      </c>
    </row>
    <row r="265" spans="1:5" x14ac:dyDescent="0.5">
      <c r="A265" t="s">
        <v>404</v>
      </c>
      <c r="B265" t="s">
        <v>105</v>
      </c>
      <c r="D265" t="s">
        <v>378</v>
      </c>
    </row>
    <row r="266" spans="1:5" x14ac:dyDescent="0.5">
      <c r="A266" t="s">
        <v>404</v>
      </c>
      <c r="B266" t="s">
        <v>106</v>
      </c>
      <c r="D266" t="s">
        <v>11</v>
      </c>
    </row>
    <row r="267" spans="1:5" x14ac:dyDescent="0.5">
      <c r="A267" t="s">
        <v>404</v>
      </c>
      <c r="B267" t="s">
        <v>163</v>
      </c>
      <c r="D267" t="s">
        <v>12</v>
      </c>
    </row>
    <row r="268" spans="1:5" x14ac:dyDescent="0.5">
      <c r="A268" t="s">
        <v>404</v>
      </c>
      <c r="B268" t="s">
        <v>135</v>
      </c>
      <c r="C268" s="86" t="s">
        <v>550</v>
      </c>
    </row>
    <row r="269" spans="1:5" x14ac:dyDescent="0.5">
      <c r="A269" t="s">
        <v>404</v>
      </c>
      <c r="B269" t="s">
        <v>172</v>
      </c>
      <c r="D269" t="s">
        <v>379</v>
      </c>
    </row>
    <row r="270" spans="1:5" x14ac:dyDescent="0.5">
      <c r="A270" t="s">
        <v>404</v>
      </c>
      <c r="B270" t="s">
        <v>140</v>
      </c>
      <c r="D270">
        <v>300</v>
      </c>
    </row>
    <row r="271" spans="1:5" x14ac:dyDescent="0.5">
      <c r="A271" t="s">
        <v>404</v>
      </c>
      <c r="B271" t="s">
        <v>145</v>
      </c>
      <c r="D271" t="s">
        <v>372</v>
      </c>
    </row>
    <row r="272" spans="1:5" x14ac:dyDescent="0.5">
      <c r="A272" t="s">
        <v>404</v>
      </c>
      <c r="B272" t="s">
        <v>200</v>
      </c>
      <c r="D272" t="s">
        <v>380</v>
      </c>
    </row>
    <row r="273" spans="1:3" x14ac:dyDescent="0.5">
      <c r="A273" t="s">
        <v>404</v>
      </c>
      <c r="B273" t="s">
        <v>146</v>
      </c>
      <c r="C273" s="86" t="s">
        <v>405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19DCD-CE9E-4F26-A49A-C662E18CD402}">
  <sheetPr published="0" codeName="Sheet2"/>
  <dimension ref="A1:D67"/>
  <sheetViews>
    <sheetView showRowColHeaders="0" workbookViewId="0">
      <pane xSplit="1" ySplit="1" topLeftCell="B2" activePane="bottomRight" state="frozen"/>
      <selection activeCell="D57" sqref="D57"/>
      <selection pane="topRight" activeCell="D57" sqref="D57"/>
      <selection pane="bottomLeft" activeCell="D57" sqref="D57"/>
      <selection pane="bottomRight" activeCell="D57" sqref="D57"/>
    </sheetView>
  </sheetViews>
  <sheetFormatPr baseColWidth="10" defaultColWidth="8.9375" defaultRowHeight="14.35" x14ac:dyDescent="0.5"/>
  <cols>
    <col min="1" max="1" width="22.29296875" bestFit="1" customWidth="1"/>
    <col min="2" max="3" width="50.64453125" customWidth="1"/>
    <col min="4" max="4" width="5.64453125" bestFit="1" customWidth="1"/>
  </cols>
  <sheetData>
    <row r="1" spans="1:4" x14ac:dyDescent="0.5">
      <c r="A1" t="s">
        <v>406</v>
      </c>
      <c r="B1" t="s">
        <v>407</v>
      </c>
      <c r="C1" t="s">
        <v>408</v>
      </c>
      <c r="D1" t="s">
        <v>409</v>
      </c>
    </row>
    <row r="2" spans="1:4" x14ac:dyDescent="0.5">
      <c r="A2" t="s">
        <v>49</v>
      </c>
      <c r="B2" s="86" t="s">
        <v>260</v>
      </c>
      <c r="C2" s="86" t="s">
        <v>251</v>
      </c>
      <c r="D2" t="s">
        <v>69</v>
      </c>
    </row>
    <row r="3" spans="1:4" x14ac:dyDescent="0.5">
      <c r="A3" t="s">
        <v>50</v>
      </c>
      <c r="B3" s="86" t="s">
        <v>261</v>
      </c>
      <c r="C3" s="86" t="s">
        <v>250</v>
      </c>
      <c r="D3" t="s">
        <v>69</v>
      </c>
    </row>
    <row r="4" spans="1:4" x14ac:dyDescent="0.5">
      <c r="A4" t="s">
        <v>51</v>
      </c>
      <c r="B4" s="86" t="s">
        <v>342</v>
      </c>
      <c r="C4" s="86" t="s">
        <v>60</v>
      </c>
      <c r="D4" t="s">
        <v>69</v>
      </c>
    </row>
    <row r="5" spans="1:4" x14ac:dyDescent="0.5">
      <c r="A5" t="s">
        <v>266</v>
      </c>
      <c r="B5" s="86" t="s">
        <v>267</v>
      </c>
      <c r="C5" s="86" t="s">
        <v>512</v>
      </c>
      <c r="D5" t="s">
        <v>69</v>
      </c>
    </row>
    <row r="6" spans="1:4" x14ac:dyDescent="0.5">
      <c r="A6" t="s">
        <v>268</v>
      </c>
      <c r="B6" s="86" t="s">
        <v>269</v>
      </c>
      <c r="D6" t="s">
        <v>69</v>
      </c>
    </row>
    <row r="7" spans="1:4" x14ac:dyDescent="0.5">
      <c r="A7" t="s">
        <v>52</v>
      </c>
      <c r="B7" s="86" t="s">
        <v>478</v>
      </c>
      <c r="C7" s="86" t="s">
        <v>498</v>
      </c>
      <c r="D7" t="s">
        <v>69</v>
      </c>
    </row>
    <row r="8" spans="1:4" x14ac:dyDescent="0.5">
      <c r="A8" t="s">
        <v>271</v>
      </c>
      <c r="B8" s="86" t="s">
        <v>298</v>
      </c>
      <c r="C8" s="86" t="s">
        <v>250</v>
      </c>
      <c r="D8" t="s">
        <v>69</v>
      </c>
    </row>
    <row r="9" spans="1:4" x14ac:dyDescent="0.5">
      <c r="A9" t="s">
        <v>463</v>
      </c>
      <c r="B9" s="86" t="s">
        <v>479</v>
      </c>
      <c r="C9" s="86" t="s">
        <v>462</v>
      </c>
      <c r="D9" t="s">
        <v>69</v>
      </c>
    </row>
    <row r="10" spans="1:4" x14ac:dyDescent="0.5">
      <c r="A10" t="s">
        <v>273</v>
      </c>
      <c r="B10" s="86" t="s">
        <v>480</v>
      </c>
      <c r="C10" s="86" t="s">
        <v>502</v>
      </c>
      <c r="D10" t="s">
        <v>69</v>
      </c>
    </row>
    <row r="11" spans="1:4" x14ac:dyDescent="0.5">
      <c r="A11" t="s">
        <v>275</v>
      </c>
      <c r="B11" s="86" t="s">
        <v>276</v>
      </c>
      <c r="C11" s="86" t="s">
        <v>511</v>
      </c>
      <c r="D11" t="s">
        <v>69</v>
      </c>
    </row>
    <row r="12" spans="1:4" x14ac:dyDescent="0.5">
      <c r="A12" t="s">
        <v>381</v>
      </c>
      <c r="B12" s="86" t="s">
        <v>292</v>
      </c>
      <c r="C12" s="86" t="s">
        <v>507</v>
      </c>
      <c r="D12" t="s">
        <v>69</v>
      </c>
    </row>
    <row r="13" spans="1:4" x14ac:dyDescent="0.5">
      <c r="A13" t="s">
        <v>458</v>
      </c>
      <c r="B13" s="86" t="s">
        <v>481</v>
      </c>
      <c r="C13" s="86" t="s">
        <v>434</v>
      </c>
      <c r="D13" t="s">
        <v>69</v>
      </c>
    </row>
    <row r="14" spans="1:4" x14ac:dyDescent="0.5">
      <c r="A14" t="s">
        <v>53</v>
      </c>
      <c r="B14" s="86" t="s">
        <v>270</v>
      </c>
      <c r="C14" s="86" t="s">
        <v>497</v>
      </c>
      <c r="D14" t="s">
        <v>69</v>
      </c>
    </row>
    <row r="15" spans="1:4" x14ac:dyDescent="0.5">
      <c r="A15" t="s">
        <v>278</v>
      </c>
      <c r="B15" s="86" t="s">
        <v>274</v>
      </c>
      <c r="C15" s="86" t="s">
        <v>501</v>
      </c>
      <c r="D15" t="s">
        <v>69</v>
      </c>
    </row>
    <row r="16" spans="1:4" x14ac:dyDescent="0.5">
      <c r="A16" t="s">
        <v>280</v>
      </c>
      <c r="B16" s="86" t="s">
        <v>281</v>
      </c>
      <c r="C16" s="86" t="s">
        <v>510</v>
      </c>
      <c r="D16" t="s">
        <v>69</v>
      </c>
    </row>
    <row r="17" spans="1:4" x14ac:dyDescent="0.5">
      <c r="A17" t="s">
        <v>382</v>
      </c>
      <c r="B17" s="86" t="s">
        <v>551</v>
      </c>
    </row>
    <row r="18" spans="1:4" x14ac:dyDescent="0.5">
      <c r="A18" t="s">
        <v>383</v>
      </c>
      <c r="B18" s="86" t="s">
        <v>282</v>
      </c>
      <c r="C18" s="86" t="s">
        <v>549</v>
      </c>
      <c r="D18" t="s">
        <v>69</v>
      </c>
    </row>
    <row r="19" spans="1:4" x14ac:dyDescent="0.5">
      <c r="A19" t="s">
        <v>54</v>
      </c>
      <c r="B19" s="86" t="s">
        <v>277</v>
      </c>
      <c r="C19" s="86" t="s">
        <v>496</v>
      </c>
      <c r="D19" t="s">
        <v>69</v>
      </c>
    </row>
    <row r="20" spans="1:4" x14ac:dyDescent="0.5">
      <c r="A20" t="s">
        <v>283</v>
      </c>
      <c r="B20" s="86" t="s">
        <v>279</v>
      </c>
      <c r="C20" s="86" t="s">
        <v>500</v>
      </c>
      <c r="D20" t="s">
        <v>69</v>
      </c>
    </row>
    <row r="21" spans="1:4" x14ac:dyDescent="0.5">
      <c r="A21" t="s">
        <v>284</v>
      </c>
      <c r="B21" s="86" t="s">
        <v>285</v>
      </c>
      <c r="C21" s="86" t="s">
        <v>509</v>
      </c>
      <c r="D21" t="s">
        <v>69</v>
      </c>
    </row>
    <row r="22" spans="1:4" x14ac:dyDescent="0.5">
      <c r="A22" t="s">
        <v>286</v>
      </c>
      <c r="B22" s="86" t="s">
        <v>272</v>
      </c>
      <c r="C22" s="86" t="s">
        <v>59</v>
      </c>
      <c r="D22" t="s">
        <v>69</v>
      </c>
    </row>
    <row r="23" spans="1:4" x14ac:dyDescent="0.5">
      <c r="A23" t="s">
        <v>288</v>
      </c>
      <c r="B23" s="86" t="s">
        <v>384</v>
      </c>
      <c r="D23" t="s">
        <v>69</v>
      </c>
    </row>
    <row r="24" spans="1:4" x14ac:dyDescent="0.5">
      <c r="A24" t="s">
        <v>385</v>
      </c>
      <c r="B24" s="86" t="s">
        <v>386</v>
      </c>
      <c r="C24" s="86" t="s">
        <v>377</v>
      </c>
      <c r="D24" t="s">
        <v>69</v>
      </c>
    </row>
    <row r="25" spans="1:4" x14ac:dyDescent="0.5">
      <c r="A25" t="s">
        <v>289</v>
      </c>
      <c r="B25" s="86" t="s">
        <v>290</v>
      </c>
      <c r="C25" s="86" t="s">
        <v>70</v>
      </c>
      <c r="D25" t="s">
        <v>69</v>
      </c>
    </row>
    <row r="26" spans="1:4" x14ac:dyDescent="0.5">
      <c r="A26" t="s">
        <v>410</v>
      </c>
      <c r="B26" s="86" t="s">
        <v>482</v>
      </c>
      <c r="C26" s="86" t="s">
        <v>352</v>
      </c>
      <c r="D26" t="s">
        <v>69</v>
      </c>
    </row>
    <row r="27" spans="1:4" x14ac:dyDescent="0.5">
      <c r="A27" t="s">
        <v>387</v>
      </c>
      <c r="B27" s="86" t="s">
        <v>552</v>
      </c>
    </row>
    <row r="28" spans="1:4" x14ac:dyDescent="0.5">
      <c r="A28" t="s">
        <v>388</v>
      </c>
      <c r="B28" s="86" t="s">
        <v>553</v>
      </c>
    </row>
    <row r="29" spans="1:4" x14ac:dyDescent="0.5">
      <c r="A29" t="s">
        <v>505</v>
      </c>
      <c r="B29" s="86" t="s">
        <v>554</v>
      </c>
      <c r="C29" s="86" t="s">
        <v>555</v>
      </c>
      <c r="D29" t="s">
        <v>69</v>
      </c>
    </row>
    <row r="30" spans="1:4" x14ac:dyDescent="0.5">
      <c r="A30" t="s">
        <v>291</v>
      </c>
      <c r="B30" s="86" t="s">
        <v>483</v>
      </c>
      <c r="C30" s="86" t="s">
        <v>71</v>
      </c>
      <c r="D30" t="s">
        <v>69</v>
      </c>
    </row>
    <row r="31" spans="1:4" x14ac:dyDescent="0.5">
      <c r="A31" t="s">
        <v>293</v>
      </c>
      <c r="B31" s="86" t="s">
        <v>484</v>
      </c>
      <c r="C31" s="86" t="s">
        <v>71</v>
      </c>
      <c r="D31" t="s">
        <v>69</v>
      </c>
    </row>
    <row r="32" spans="1:4" x14ac:dyDescent="0.5">
      <c r="A32" t="s">
        <v>295</v>
      </c>
      <c r="B32" s="86" t="s">
        <v>556</v>
      </c>
    </row>
    <row r="33" spans="1:4" x14ac:dyDescent="0.5">
      <c r="A33" t="s">
        <v>296</v>
      </c>
      <c r="B33" s="86" t="s">
        <v>557</v>
      </c>
    </row>
    <row r="34" spans="1:4" x14ac:dyDescent="0.5">
      <c r="A34" t="s">
        <v>297</v>
      </c>
      <c r="B34" s="86" t="s">
        <v>294</v>
      </c>
      <c r="C34" s="86" t="s">
        <v>439</v>
      </c>
      <c r="D34" t="s">
        <v>69</v>
      </c>
    </row>
    <row r="35" spans="1:4" x14ac:dyDescent="0.5">
      <c r="A35" t="s">
        <v>495</v>
      </c>
      <c r="B35" s="86" t="s">
        <v>558</v>
      </c>
      <c r="C35" s="86" t="s">
        <v>494</v>
      </c>
      <c r="D35" t="s">
        <v>69</v>
      </c>
    </row>
    <row r="36" spans="1:4" x14ac:dyDescent="0.5">
      <c r="A36" t="s">
        <v>485</v>
      </c>
      <c r="B36" s="86" t="s">
        <v>294</v>
      </c>
      <c r="C36" s="86" t="s">
        <v>439</v>
      </c>
      <c r="D36" t="s">
        <v>69</v>
      </c>
    </row>
    <row r="37" spans="1:4" x14ac:dyDescent="0.5">
      <c r="A37" t="s">
        <v>299</v>
      </c>
      <c r="B37" s="86" t="s">
        <v>262</v>
      </c>
      <c r="C37" s="86" t="s">
        <v>61</v>
      </c>
      <c r="D37" t="s">
        <v>69</v>
      </c>
    </row>
    <row r="38" spans="1:4" x14ac:dyDescent="0.5">
      <c r="A38" t="s">
        <v>263</v>
      </c>
      <c r="B38" s="86" t="s">
        <v>264</v>
      </c>
      <c r="D38" t="s">
        <v>69</v>
      </c>
    </row>
    <row r="39" spans="1:4" x14ac:dyDescent="0.5">
      <c r="A39" t="s">
        <v>265</v>
      </c>
      <c r="B39" s="86" t="s">
        <v>477</v>
      </c>
      <c r="D39" t="s">
        <v>69</v>
      </c>
    </row>
    <row r="40" spans="1:4" x14ac:dyDescent="0.5">
      <c r="A40" t="s">
        <v>461</v>
      </c>
      <c r="B40" s="86" t="s">
        <v>486</v>
      </c>
      <c r="C40" s="86" t="s">
        <v>251</v>
      </c>
      <c r="D40" t="s">
        <v>69</v>
      </c>
    </row>
    <row r="41" spans="1:4" x14ac:dyDescent="0.5">
      <c r="A41" s="86" t="s">
        <v>337</v>
      </c>
      <c r="B41" s="86" t="s">
        <v>338</v>
      </c>
    </row>
    <row r="42" spans="1:4" x14ac:dyDescent="0.5">
      <c r="A42" t="s">
        <v>339</v>
      </c>
      <c r="B42" s="86" t="s">
        <v>340</v>
      </c>
      <c r="D42" t="s">
        <v>69</v>
      </c>
    </row>
    <row r="43" spans="1:4" x14ac:dyDescent="0.5">
      <c r="A43" t="s">
        <v>489</v>
      </c>
      <c r="B43" s="86" t="s">
        <v>490</v>
      </c>
      <c r="D43" t="s">
        <v>69</v>
      </c>
    </row>
    <row r="44" spans="1:4" x14ac:dyDescent="0.5">
      <c r="A44" t="s">
        <v>300</v>
      </c>
      <c r="B44" s="86" t="s">
        <v>307</v>
      </c>
      <c r="C44" s="86" t="s">
        <v>302</v>
      </c>
      <c r="D44" t="s">
        <v>69</v>
      </c>
    </row>
    <row r="45" spans="1:4" x14ac:dyDescent="0.5">
      <c r="A45" t="s">
        <v>303</v>
      </c>
      <c r="B45" s="86" t="s">
        <v>304</v>
      </c>
      <c r="C45" s="86" t="s">
        <v>305</v>
      </c>
      <c r="D45" t="s">
        <v>69</v>
      </c>
    </row>
    <row r="46" spans="1:4" x14ac:dyDescent="0.5">
      <c r="A46" t="s">
        <v>306</v>
      </c>
      <c r="B46" s="86" t="s">
        <v>313</v>
      </c>
      <c r="C46" s="86" t="s">
        <v>308</v>
      </c>
      <c r="D46" t="s">
        <v>69</v>
      </c>
    </row>
    <row r="47" spans="1:4" x14ac:dyDescent="0.5">
      <c r="A47" t="s">
        <v>309</v>
      </c>
      <c r="B47" s="86" t="s">
        <v>310</v>
      </c>
      <c r="C47" s="86" t="s">
        <v>311</v>
      </c>
      <c r="D47" t="s">
        <v>69</v>
      </c>
    </row>
    <row r="48" spans="1:4" x14ac:dyDescent="0.5">
      <c r="A48" t="s">
        <v>312</v>
      </c>
      <c r="B48" s="86" t="s">
        <v>487</v>
      </c>
      <c r="C48" s="86" t="s">
        <v>314</v>
      </c>
      <c r="D48" t="s">
        <v>69</v>
      </c>
    </row>
    <row r="49" spans="1:4" x14ac:dyDescent="0.5">
      <c r="A49" t="s">
        <v>315</v>
      </c>
      <c r="B49" s="86" t="s">
        <v>316</v>
      </c>
      <c r="C49" s="86" t="s">
        <v>317</v>
      </c>
      <c r="D49" t="s">
        <v>69</v>
      </c>
    </row>
    <row r="50" spans="1:4" x14ac:dyDescent="0.5">
      <c r="A50" t="s">
        <v>318</v>
      </c>
      <c r="B50" s="86" t="s">
        <v>559</v>
      </c>
    </row>
    <row r="51" spans="1:4" x14ac:dyDescent="0.5">
      <c r="A51" t="s">
        <v>319</v>
      </c>
      <c r="B51" s="86" t="s">
        <v>320</v>
      </c>
      <c r="C51" s="86" t="s">
        <v>389</v>
      </c>
      <c r="D51" t="s">
        <v>69</v>
      </c>
    </row>
    <row r="52" spans="1:4" x14ac:dyDescent="0.5">
      <c r="A52" t="s">
        <v>321</v>
      </c>
      <c r="B52" s="86" t="s">
        <v>322</v>
      </c>
      <c r="C52" s="86" t="s">
        <v>390</v>
      </c>
      <c r="D52" t="s">
        <v>69</v>
      </c>
    </row>
    <row r="53" spans="1:4" x14ac:dyDescent="0.5">
      <c r="A53" t="s">
        <v>323</v>
      </c>
      <c r="B53" s="86" t="s">
        <v>324</v>
      </c>
      <c r="C53" s="86" t="s">
        <v>391</v>
      </c>
      <c r="D53" t="s">
        <v>69</v>
      </c>
    </row>
    <row r="54" spans="1:4" x14ac:dyDescent="0.5">
      <c r="A54" t="s">
        <v>459</v>
      </c>
      <c r="B54" s="86" t="s">
        <v>488</v>
      </c>
      <c r="C54" s="86" t="s">
        <v>535</v>
      </c>
      <c r="D54" t="s">
        <v>69</v>
      </c>
    </row>
    <row r="55" spans="1:4" x14ac:dyDescent="0.5">
      <c r="A55" t="s">
        <v>325</v>
      </c>
      <c r="B55" s="86" t="s">
        <v>327</v>
      </c>
      <c r="C55" s="86" t="s">
        <v>250</v>
      </c>
      <c r="D55" t="s">
        <v>69</v>
      </c>
    </row>
    <row r="56" spans="1:4" x14ac:dyDescent="0.5">
      <c r="A56" t="s">
        <v>326</v>
      </c>
      <c r="B56" s="86" t="s">
        <v>287</v>
      </c>
      <c r="C56" s="86" t="s">
        <v>251</v>
      </c>
      <c r="D56" t="s">
        <v>69</v>
      </c>
    </row>
    <row r="57" spans="1:4" x14ac:dyDescent="0.5">
      <c r="A57" t="s">
        <v>55</v>
      </c>
      <c r="B57" s="86" t="s">
        <v>328</v>
      </c>
      <c r="C57" s="86" t="s">
        <v>329</v>
      </c>
      <c r="D57" t="s">
        <v>69</v>
      </c>
    </row>
    <row r="58" spans="1:4" x14ac:dyDescent="0.5">
      <c r="A58" t="s">
        <v>330</v>
      </c>
      <c r="B58" s="86" t="s">
        <v>301</v>
      </c>
      <c r="C58" s="86" t="s">
        <v>331</v>
      </c>
      <c r="D58" t="s">
        <v>69</v>
      </c>
    </row>
    <row r="59" spans="1:4" x14ac:dyDescent="0.5">
      <c r="A59" t="s">
        <v>332</v>
      </c>
      <c r="B59" s="86" t="s">
        <v>333</v>
      </c>
      <c r="C59" s="86" t="s">
        <v>334</v>
      </c>
      <c r="D59" t="s">
        <v>69</v>
      </c>
    </row>
    <row r="60" spans="1:4" x14ac:dyDescent="0.5">
      <c r="A60" t="s">
        <v>335</v>
      </c>
      <c r="B60" s="86" t="s">
        <v>336</v>
      </c>
      <c r="C60" s="86" t="s">
        <v>22</v>
      </c>
      <c r="D60" t="s">
        <v>69</v>
      </c>
    </row>
    <row r="61" spans="1:4" x14ac:dyDescent="0.5">
      <c r="A61" t="s">
        <v>56</v>
      </c>
      <c r="B61" s="86" t="s">
        <v>63</v>
      </c>
    </row>
    <row r="62" spans="1:4" x14ac:dyDescent="0.5">
      <c r="A62" t="s">
        <v>341</v>
      </c>
      <c r="B62" s="86" t="s">
        <v>62</v>
      </c>
    </row>
    <row r="63" spans="1:4" x14ac:dyDescent="0.5">
      <c r="A63" t="s">
        <v>57</v>
      </c>
      <c r="B63" s="86" t="s">
        <v>64</v>
      </c>
    </row>
    <row r="64" spans="1:4" x14ac:dyDescent="0.5">
      <c r="A64" t="s">
        <v>58</v>
      </c>
      <c r="B64" s="86" t="s">
        <v>65</v>
      </c>
    </row>
    <row r="65" spans="1:4" x14ac:dyDescent="0.5">
      <c r="A65" t="s">
        <v>18</v>
      </c>
      <c r="B65" s="86" t="s">
        <v>491</v>
      </c>
      <c r="C65" s="86" t="s">
        <v>66</v>
      </c>
      <c r="D65" t="s">
        <v>69</v>
      </c>
    </row>
    <row r="66" spans="1:4" x14ac:dyDescent="0.5">
      <c r="A66" t="s">
        <v>343</v>
      </c>
      <c r="B66" s="86" t="s">
        <v>344</v>
      </c>
      <c r="C66" s="86" t="s">
        <v>513</v>
      </c>
      <c r="D66" t="s">
        <v>69</v>
      </c>
    </row>
    <row r="67" spans="1:4" x14ac:dyDescent="0.5">
      <c r="A67" t="s">
        <v>345</v>
      </c>
      <c r="B67" s="86" t="s">
        <v>346</v>
      </c>
      <c r="D67" t="s">
        <v>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e_Images"/>
  <dimension ref="A1"/>
  <sheetViews>
    <sheetView showGridLines="0" showRowColHeaders="0" workbookViewId="0">
      <selection activeCell="D57" sqref="D57"/>
    </sheetView>
  </sheetViews>
  <sheetFormatPr baseColWidth="10" defaultColWidth="10.8203125" defaultRowHeight="14.35" x14ac:dyDescent="0.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_Links_Images">
    <tabColor rgb="FF005877"/>
  </sheetPr>
  <dimension ref="A1:F2"/>
  <sheetViews>
    <sheetView showGridLines="0" showRowColHeaders="0" workbookViewId="0">
      <selection activeCell="D57" sqref="D57"/>
    </sheetView>
  </sheetViews>
  <sheetFormatPr baseColWidth="10" defaultColWidth="10.8203125" defaultRowHeight="14.35" x14ac:dyDescent="0.5"/>
  <cols>
    <col min="1" max="1" width="24.703125" bestFit="1" customWidth="1"/>
    <col min="2" max="2" width="16.5859375" customWidth="1"/>
    <col min="3" max="3" width="39.87890625" bestFit="1" customWidth="1"/>
    <col min="6" max="6" width="41.703125" customWidth="1"/>
  </cols>
  <sheetData>
    <row r="1" spans="1:6" x14ac:dyDescent="0.5">
      <c r="A1" s="7" t="s">
        <v>370</v>
      </c>
      <c r="B1" s="7" t="s">
        <v>378</v>
      </c>
      <c r="C1" s="7" t="s">
        <v>572</v>
      </c>
      <c r="D1" s="7" t="s">
        <v>379</v>
      </c>
      <c r="E1" s="7" t="s">
        <v>372</v>
      </c>
      <c r="F1" s="7" t="s">
        <v>380</v>
      </c>
    </row>
    <row r="2" spans="1:6" x14ac:dyDescent="0.5">
      <c r="A2" s="70" t="s">
        <v>377</v>
      </c>
      <c r="B2" s="73" t="s">
        <v>570</v>
      </c>
      <c r="C2" s="71" t="str">
        <f>MID(B2,26,33)</f>
        <v>Prisma-rectangular.png</v>
      </c>
      <c r="D2" s="72">
        <v>300</v>
      </c>
      <c r="E2" s="72"/>
      <c r="F2" t="str">
        <f>URL_I&amp;T_D_IMAGE[[#This Row],[Link]]&amp;URL_W&amp;T_D_IMAGE[[#This Row],[Width]]&amp;URL_Height&amp;T_D_IMAGE[[#This Row],[Height]]&amp;URL_F</f>
        <v>&lt;img src="https://i.ibb.co/qMW1Ssz/Prisma-rectangular.png" width="300" height=""&gt;</v>
      </c>
    </row>
  </sheetData>
  <hyperlinks>
    <hyperlink ref="B2" r:id="rId1" xr:uid="{3ECFE786-AA2F-4CF4-89D0-C628626AA99D}"/>
  </hyperlinks>
  <pageMargins left="0.7" right="0.7" top="0.75" bottom="0.75" header="0.3" footer="0.3"/>
  <pageSetup paperSize="9" orientation="portrait" horizontalDpi="4294967295" verticalDpi="4294967295"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71</vt:i4>
      </vt:variant>
    </vt:vector>
  </HeadingPairs>
  <TitlesOfParts>
    <vt:vector size="80" baseType="lpstr">
      <vt:lpstr>INSTRUCTIONS</vt:lpstr>
      <vt:lpstr>PROBLEM</vt:lpstr>
      <vt:lpstr>FIXED DATA</vt:lpstr>
      <vt:lpstr>RESULTS - FTP</vt:lpstr>
      <vt:lpstr>HIDDEN</vt:lpstr>
      <vt:lpstr>FORMULA</vt:lpstr>
      <vt:lpstr>NAMES</vt:lpstr>
      <vt:lpstr>IMAGES</vt:lpstr>
      <vt:lpstr>LINKS</vt:lpstr>
      <vt:lpstr>_NO</vt:lpstr>
      <vt:lpstr>_OK</vt:lpstr>
      <vt:lpstr>Area</vt:lpstr>
      <vt:lpstr>INSTRUCTIONS!Área_de_impresión</vt:lpstr>
      <vt:lpstr>PROBLEM!Área_de_impresión</vt:lpstr>
      <vt:lpstr>Area_See</vt:lpstr>
      <vt:lpstr>Break_FTP</vt:lpstr>
      <vt:lpstr>d_</vt:lpstr>
      <vt:lpstr>D_Fijos</vt:lpstr>
      <vt:lpstr>D_Fixed</vt:lpstr>
      <vt:lpstr>D_Print</vt:lpstr>
      <vt:lpstr>d_Random</vt:lpstr>
      <vt:lpstr>d_See</vt:lpstr>
      <vt:lpstr>Data_FTP</vt:lpstr>
      <vt:lpstr>Description</vt:lpstr>
      <vt:lpstr>Easy</vt:lpstr>
      <vt:lpstr>FIle_Name</vt:lpstr>
      <vt:lpstr>h_</vt:lpstr>
      <vt:lpstr>h_Random</vt:lpstr>
      <vt:lpstr>h_See</vt:lpstr>
      <vt:lpstr>IMAGE</vt:lpstr>
      <vt:lpstr>Image_FTP</vt:lpstr>
      <vt:lpstr>L_</vt:lpstr>
      <vt:lpstr>L_Random</vt:lpstr>
      <vt:lpstr>L_See</vt:lpstr>
      <vt:lpstr>Line_Break</vt:lpstr>
      <vt:lpstr>List_Data</vt:lpstr>
      <vt:lpstr>List_Image</vt:lpstr>
      <vt:lpstr>Multiple_Img</vt:lpstr>
      <vt:lpstr>N_Figure</vt:lpstr>
      <vt:lpstr>N_Pb_Random</vt:lpstr>
      <vt:lpstr>N_Preg_D_Fijos</vt:lpstr>
      <vt:lpstr>N_Question_FTP</vt:lpstr>
      <vt:lpstr>N_Question_FTP_Initial</vt:lpstr>
      <vt:lpstr>N_Start_D_FIxed</vt:lpstr>
      <vt:lpstr>Name_Data</vt:lpstr>
      <vt:lpstr>Name_FTP</vt:lpstr>
      <vt:lpstr>Name_Pb</vt:lpstr>
      <vt:lpstr>Name_Variable</vt:lpstr>
      <vt:lpstr>Nombre_FTP</vt:lpstr>
      <vt:lpstr>Perimeter</vt:lpstr>
      <vt:lpstr>Perimeter_See</vt:lpstr>
      <vt:lpstr>Print_OK</vt:lpstr>
      <vt:lpstr>Question_1</vt:lpstr>
      <vt:lpstr>Question_1_FTP</vt:lpstr>
      <vt:lpstr>Question_2</vt:lpstr>
      <vt:lpstr>Question_2_FTP</vt:lpstr>
      <vt:lpstr>Question_3</vt:lpstr>
      <vt:lpstr>Question_3_FTP</vt:lpstr>
      <vt:lpstr>Question_4</vt:lpstr>
      <vt:lpstr>Question_4_FTP</vt:lpstr>
      <vt:lpstr>Result_1_FTP</vt:lpstr>
      <vt:lpstr>Result_2_FTP</vt:lpstr>
      <vt:lpstr>Result_3_FTP</vt:lpstr>
      <vt:lpstr>Result_4_FTP</vt:lpstr>
      <vt:lpstr>Results</vt:lpstr>
      <vt:lpstr>Salto</vt:lpstr>
      <vt:lpstr>SALTOS_FTP</vt:lpstr>
      <vt:lpstr>See_Data</vt:lpstr>
      <vt:lpstr>See_Results</vt:lpstr>
      <vt:lpstr>Solu_ini</vt:lpstr>
      <vt:lpstr>Statement</vt:lpstr>
      <vt:lpstr>Statement_FTP</vt:lpstr>
      <vt:lpstr>SUB_FOLDER</vt:lpstr>
      <vt:lpstr>'FIXED DATA'!Títulos_a_imprimir</vt:lpstr>
      <vt:lpstr>INSTRUCTIONS!Títulos_a_imprimir</vt:lpstr>
      <vt:lpstr>PROBLEM!Títulos_a_imprimir</vt:lpstr>
      <vt:lpstr>Version</vt:lpstr>
      <vt:lpstr>Volumen</vt:lpstr>
      <vt:lpstr>Volumen_See</vt:lpstr>
      <vt:lpstr>YES_NO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Milagros [Alazne] Huerta Gómez de Merodio</dc:creator>
  <cp:lastModifiedBy>Alazne Huerta Gómez de Merodio</cp:lastModifiedBy>
  <cp:lastPrinted>2024-01-05T20:19:24Z</cp:lastPrinted>
  <dcterms:created xsi:type="dcterms:W3CDTF">2023-06-22T15:17:01Z</dcterms:created>
  <dcterms:modified xsi:type="dcterms:W3CDTF">2024-12-28T12:30:57Z</dcterms:modified>
</cp:coreProperties>
</file>